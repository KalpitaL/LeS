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'Quote'!$A$1:$R$56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'Quote'!$A$37</x:definedName>
    <x:definedName name="Enquiry_To_Vendor_ID" comment="Enquiry to Vendor ID">'Quote'!$C$37</x:definedName>
    <x:definedName name="GrandTotal">'Quote'!$N$36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'Quote'!$A$29</x:definedName>
    <x:definedName name="ItemListStartupRow" comment="Item List Start Up Row">Quote!$A$19</x:definedName>
    <x:definedName name="ItemSubTotal">'Quote'!$N$35</x:definedName>
    <x:definedName name="ItemSubTotalTitle">'Quote'!$J$35</x:definedName>
    <x:definedName name="LeadDay">Quote!$M$11</x:definedName>
    <x:definedName name="Lock">'Quote'!$M$37</x:definedName>
    <x:definedName name="LoggedInEmailID">'Quote'!$N$37</x:definedName>
    <x:definedName name="LoggedInPwd">'Quote'!$O$37</x:definedName>
    <x:definedName name="OtherCharges">'Quote'!$C$31</x:definedName>
    <x:definedName name="OtherChargesLastRow">'Quote'!$A$35</x:definedName>
    <x:definedName name="OtherChargesStartRow">'Quote'!$A$30</x:definedName>
    <x:definedName name="Port">'Quote'!$P$37</x:definedName>
    <x:definedName name="PortOfDelivery" comment="Port of Delivery">Quote!$M$9</x:definedName>
    <x:definedName name="PurchaserName">'Quote'!$J$37</x:definedName>
    <x:definedName name="QuoteBefore">Quote!$M$8</x:definedName>
    <x:definedName name="QuoteID">MasterData!$N$7</x:definedName>
    <x:definedName name="QuoteSubject">'Quote'!$E$37</x:definedName>
    <x:definedName name="Remarks">'Quote'!$E$39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'Quote'!$K$37</x:definedName>
    <x:definedName name="SentIndex">'Quote'!$L$37</x:definedName>
    <x:definedName name="Server">'Quote'!$Q$37</x:definedName>
    <x:definedName name="Terms">'Quote'!$A$43:$T$64</x:definedName>
    <x:definedName name="ToEmailID">'Quote'!$I$37</x:definedName>
    <x:definedName name="ToEmailPwd">'Quote'!$H$37</x:definedName>
    <x:definedName name="VAL">'Quote'!$F$37</x:definedName>
    <x:definedName name="VAT_All">Quote!$M$16</x:definedName>
    <x:definedName name="Vendor_ID" comment="Vendor ID">'Quote'!$B$37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'Quote'!$D$37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'Quote'!$E$40</x:definedName>
    <x:definedName name="VesselETA" comment="Vessel ETA">Quote!$M$10</x:definedName>
    <x:definedName name="VesselName" comment="Vessel Name">Quote!$M$4</x:definedName>
    <x:definedName name="ItmPrice">'Quote'!$N$20:$N$20,'Quote'!$N$21:$N$21,'Quote'!$N$22:$N$22,'Quote'!$N$23:$N$23,'Quote'!$N$24:$N$24,'Quote'!$N$25:$N$25,'Quote'!$N$26:$N$26,'Quote'!$N$27:$N$27,'Quote'!$N$28:$N$28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1" i="1"/>
  <x:c r="N22" i="1"/>
  <x:c r="N23" i="1"/>
  <x:c r="N24" i="1"/>
  <x:c r="N25" i="1"/>
  <x:c r="N26" i="1"/>
  <x:c r="N27" i="1"/>
  <x:c r="N28" i="1"/>
  <x:c r="N31" i="1"/>
  <x:c r="N32" i="1"/>
  <x:c r="N33" i="1"/>
  <x:c r="N34" i="1"/>
  <x:c r="N35" i="1"/>
  <x:c r="N36" i="1"/>
</x:calcChain>
</file>

<file path=xl/sharedStrings.xml><?xml version="1.0" encoding="utf-8"?>
<x:sst xmlns:x="http://schemas.openxmlformats.org/spreadsheetml/2006/main" count="159" uniqueCount="159">
  <x:si>
    <x:t>RFQ</x:t>
  </x:si>
  <x:si>
    <x:t>Request for Quote</x:t>
  </x:si>
  <x:si>
    <x:t>Invoice To</x:t>
  </x:si>
  <x:si>
    <x:t xml:space="preserve">Bernhard Schulte Shipmanagement (Singapore) Pte. Ltd.
Invoice To:  MASTER  &amp; OWNER OF SINOCHART BEIJING,
              REGD. OWNER: SFL KENAI INC,
              AS AGENTS: BERNHARD SCHULTE SHIPMANAGEMENT (SINGAPORE) PTE LTD
             152 BEACH ROAD, #32-00, GATEWAY EAST, 
             SINGAPORE 189721
             ATTN:- Accounts Department
             PLEASE SEND SOFT COPY TO:- sg-smc-acct@bs-shipmanagement.com
</x:t>
  </x:si>
  <x:si>
    <x:t>Vessel</x:t>
  </x:si>
  <x:si>
    <x:t>Sinochart Beijing</x:t>
  </x:si>
  <x:si>
    <x:t>RFQ No.</x:t>
  </x:si>
  <x:si>
    <x:t>SBG/O0108/RF17</x:t>
  </x:si>
  <x:si>
    <x:t>RFQ Date</x:t>
  </x:si>
  <x:si>
    <x:t>Req No(s)</x:t>
  </x:si>
  <x:si>
    <x:t>Submit Quote Before:</x:t>
  </x:si>
  <x:si>
    <x:t>Port of Delivery</x:t>
  </x:si>
  <x:si>
    <x:t>Shekou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</x:si>
  <x:si>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</x:si>
  <x:si>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</x:si>
  <x:si>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</x:si>
  <x:si>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</x:si>
  <x:si>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</x:si>
  <x:si>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</x:si>
  <x:si>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</x:si>
  <x:si>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</x:si>
  <x:si>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</x:si>
  <x:si>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</x:si>
  <x:si>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</x:si>
  <x:si>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</x:si>
  <x:si>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</x:si>
  <x:si>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</x:si>
  <x:si>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</x:si>
  <x:si>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</x:si>
  <x:si>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</x:si>
  <x:si>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</x:si>
  <x:si>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</x:si>
  <x:si>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</x:si>
  <x:si>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</x:si>
  <x:si>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</x:si>
  <x:si>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</x:si>
  <x:si>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</x:si>
  <x:si>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</x:si>
  <x:si>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</x:si>
  <x:si>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</x:si>
  <x:si>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</x:si>
  <x:si>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TURNBUCKLE FRAME GALV, EYE&amp;HOOK 25MMX350MM</x:t>
  </x:si>
  <x:si>
    <x:t>PCS</x:t>
  </x:si>
  <x:si>
    <x:t>SHACKLE D-TYPE SCREW PIN, S. STEEL 19MM SWL 1.0TON</x:t>
  </x:si>
  <x:si>
    <x:t>WIRE CLIP MALLEABLE GALV, 1"</x:t>
  </x:si>
  <x:si>
    <x:t>SHACKLE BOW HEX HEAD BOLT, UNGALV JIS-BB 38MM SWL 9.0TON</x:t>
  </x:si>
  <x:si>
    <x:t>TURNBUCKLE FRAME GALV EYE&amp;EYE, 9MMX150MM</x:t>
  </x:si>
  <x:si>
    <x:t>TURNBUCKLE FRAME GALV JAW&amp;JAW, 3/8X6"</x:t>
  </x:si>
  <x:si>
    <x:t>TURNBUCKLE FRAME GALV, EYE&amp;HOOK 16MMX250MM</x:t>
  </x:si>
  <x:si>
    <x:t>WIRE CLIP CAST-IRON STANDARD, GALV 9MM</x:t>
  </x:si>
  <x:si>
    <x:t>BOLT STUD WITH FURTHER DETAIL</x:t>
  </x:si>
  <x:si>
    <x:t>STUD BOLT, STAINLESS STEEL, NOM. SIZE &amp; THREAD=M12 X 1.75, L=60MM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</x:si>
  <x:si>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</x:si>
  <x:si>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</x:si>
  <x:si>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</x:si>
  <x:si>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</x:si>
  <x:si>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</x:si>
  <x:si>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</x:si>
  <x:si>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</x:si>
  <x:si>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</x:si>
  <x:si>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</x:si>
  <x:si>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</x:si>
  <x:si>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</x:si>
  <x:si>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</x:si>
  <x:si>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</x:si>
  <x:si>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</x:si>
  <x:si>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</x:si>
  <x:si>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</x:si>
  <x:si>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</x:si>
  <x:si>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</x:si>
  <x:si>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</x:si>
  <x:si>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</x:si>
  <x:si>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</x:si>
  <x:si>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</x:si>
  <x:si>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</x:si>
  <x:si>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</x:si>
  <x:si>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</x:si>
  <x:si>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</x:si>
  <x:si>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PURCHASING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</x:si>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</x:sst>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42941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42941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>
        <x:v>12</x:v>
      </x:c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13</x:v>
      </x:c>
      <x:c r="L10" s="169" t="s"/>
      <x:c r="M10" s="190">
        <x:v>42948.5</x:v>
      </x:c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14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15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16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17</x:v>
      </x:c>
      <x:c r="B13" s="165" t="s"/>
      <x:c r="C13" s="165" t="s"/>
      <x:c r="D13" s="166" t="s">
        <x:v>18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19</x:v>
      </x:c>
      <x:c r="B14" s="165" t="s"/>
      <x:c r="C14" s="165" t="s"/>
      <x:c r="D14" s="166" t="s">
        <x:v>20</x:v>
      </x:c>
      <x:c r="E14" s="166" t="s"/>
      <x:c r="F14" s="166" t="s"/>
      <x:c r="G14" s="166" t="s"/>
      <x:c r="H14" s="166" t="s"/>
      <x:c r="I14" s="167" t="s"/>
      <x:c r="K14" s="165" t="s">
        <x:v>21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22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23</x:v>
      </x:c>
      <x:c r="L15" s="168" t="s"/>
      <x:c r="M15" s="209" t="n">
        <x:v>0</x:v>
      </x:c>
      <x:c r="N15" s="210" t="s"/>
      <x:c r="O15" s="211" t="s"/>
      <x:c r="P15" s="170" t="s">
        <x:v>24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25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26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27</x:v>
      </x:c>
      <x:c r="B17" s="165" t="s"/>
      <x:c r="C17" s="165" t="s"/>
      <x:c r="D17" s="166" t="s">
        <x:v>28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14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99990008174930</x:v>
      </x:c>
      <x:c r="C20" s="227" t="n">
        <x:v>230553</x:v>
      </x:c>
      <x:c r="D20" s="228" t="s">
        <x:v>41</x:v>
      </x:c>
      <x:c r="E20" s="229" t="s"/>
      <x:c r="F20" s="229" t="n">
        <x:v>230553</x:v>
      </x:c>
      <x:c r="G20" s="229" t="s">
        <x:v>42</x:v>
      </x:c>
      <x:c r="H20" s="230" t="n">
        <x:v>0</x:v>
      </x:c>
      <x:c r="I20" s="231" t="n">
        <x:v>6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99990008174748</x:v>
      </x:c>
      <x:c r="C21" s="227" t="n">
        <x:v>233507</x:v>
      </x:c>
      <x:c r="D21" s="228" t="s">
        <x:v>43</x:v>
      </x:c>
      <x:c r="E21" s="229" t="s"/>
      <x:c r="F21" s="229" t="n">
        <x:v>233507</x:v>
      </x:c>
      <x:c r="G21" s="229" t="s">
        <x:v>42</x:v>
      </x:c>
      <x:c r="H21" s="230" t="n">
        <x:v>0</x:v>
      </x:c>
      <x:c r="I21" s="231" t="n">
        <x:v>6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/>
      <x:c r="S21" s="238" t="s"/>
      <x:c r="T21" s="239" t="s"/>
    </x:row>
    <x:row r="22" spans="1:24" customFormat="1" ht="24" customHeight="1" x14ac:dyDescent="0.2">
      <x:c r="A22" s="226" t="n">
        <x:v>3</x:v>
      </x:c>
      <x:c r="B22" s="226" t="n">
        <x:v>99990008175145</x:v>
      </x:c>
      <x:c r="C22" s="227" t="n">
        <x:v>230857</x:v>
      </x:c>
      <x:c r="D22" s="228" t="s">
        <x:v>44</x:v>
      </x:c>
      <x:c r="E22" s="229" t="s"/>
      <x:c r="F22" s="229" t="n">
        <x:v>230857</x:v>
      </x:c>
      <x:c r="G22" s="229" t="s">
        <x:v>42</x:v>
      </x:c>
      <x:c r="H22" s="230" t="n">
        <x:v>0</x:v>
      </x:c>
      <x:c r="I22" s="231" t="n">
        <x:v>24</x:v>
      </x:c>
      <x:c r="J22" s="232" t="n">
        <x:v>0</x:v>
      </x:c>
      <x:c r="K22" s="233" t="s"/>
      <x:c r="L22" s="231" t="n">
        <x:v>0</x:v>
      </x:c>
      <x:c r="M22" s="231" t="n">
        <x:v>0</x:v>
      </x:c>
      <x:c r="N22" s="234" t="s">
        <x:f>ROUND(((I22*J22)-((I22*J22)*L22/100))+(((I22*J22)-((I22*J22)*L22/100))*M22/100), 2)</x:f>
      </x:c>
      <x:c r="O22" s="230" t="s">
        <x:f>M11</x:f>
      </x:c>
      <x:c r="P22" s="235" t="s"/>
      <x:c r="Q22" s="236" t="s"/>
      <x:c r="R22" s="237" t="s"/>
      <x:c r="S22" s="238" t="s"/>
      <x:c r="T22" s="239" t="s"/>
    </x:row>
    <x:row r="23" spans="1:24" customFormat="1" ht="24" customHeight="1" x14ac:dyDescent="0.2">
      <x:c r="A23" s="226" t="n">
        <x:v>4</x:v>
      </x:c>
      <x:c r="B23" s="226" t="n">
        <x:v>99990008174588</x:v>
      </x:c>
      <x:c r="C23" s="227" t="n">
        <x:v>230230</x:v>
      </x:c>
      <x:c r="D23" s="228" t="s">
        <x:v>45</x:v>
      </x:c>
      <x:c r="E23" s="229" t="s"/>
      <x:c r="F23" s="229" t="n">
        <x:v>230230</x:v>
      </x:c>
      <x:c r="G23" s="229" t="s">
        <x:v>42</x:v>
      </x:c>
      <x:c r="H23" s="230" t="n">
        <x:v>0</x:v>
      </x:c>
      <x:c r="I23" s="231" t="n">
        <x:v>6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24" customHeight="1" x14ac:dyDescent="0.2">
      <x:c r="A24" s="226" t="n">
        <x:v>5</x:v>
      </x:c>
      <x:c r="B24" s="226" t="n">
        <x:v>99990008174905</x:v>
      </x:c>
      <x:c r="C24" s="227" t="n">
        <x:v>230518</x:v>
      </x:c>
      <x:c r="D24" s="228" t="s">
        <x:v>46</x:v>
      </x:c>
      <x:c r="E24" s="229" t="s"/>
      <x:c r="F24" s="229" t="n">
        <x:v>230518</x:v>
      </x:c>
      <x:c r="G24" s="229" t="s">
        <x:v>42</x:v>
      </x:c>
      <x:c r="H24" s="230" t="n">
        <x:v>0</x:v>
      </x:c>
      <x:c r="I24" s="231" t="n">
        <x:v>12</x:v>
      </x:c>
      <x:c r="J24" s="232" t="n">
        <x:v>0</x:v>
      </x:c>
      <x:c r="K24" s="233" t="s"/>
      <x:c r="L24" s="231" t="n">
        <x:v>0</x:v>
      </x:c>
      <x:c r="M24" s="231" t="n">
        <x:v>0</x:v>
      </x:c>
      <x:c r="N24" s="234">
        <x:f>ROUND(((I24*J24)-((I24*J24)*L24/100))+(((I24*J24)-((I24*J24)*L24/100))*M24/100), 2)</x:f>
      </x:c>
      <x:c r="O24" s="230">
        <x:f>M11</x:f>
      </x:c>
      <x:c r="P24" s="235" t="s"/>
      <x:c r="Q24" s="236" t="s"/>
      <x:c r="R24" s="237" t="s"/>
      <x:c r="S24" s="238" t="s"/>
      <x:c r="T24" s="239" t="s"/>
    </x:row>
    <x:row r="25" spans="1:24" customFormat="1" ht="24" customHeight="1" x14ac:dyDescent="0.2">
      <x:c r="A25" s="226" t="n">
        <x:v>6</x:v>
      </x:c>
      <x:c r="B25" s="226" t="n">
        <x:v>99990008174953</x:v>
      </x:c>
      <x:c r="C25" s="227" t="n">
        <x:v>230621</x:v>
      </x:c>
      <x:c r="D25" s="228" t="s">
        <x:v>47</x:v>
      </x:c>
      <x:c r="E25" s="229" t="s"/>
      <x:c r="F25" s="229" t="n">
        <x:v>230621</x:v>
      </x:c>
      <x:c r="G25" s="229" t="s">
        <x:v>42</x:v>
      </x:c>
      <x:c r="H25" s="230" t="n">
        <x:v>0</x:v>
      </x:c>
      <x:c r="I25" s="231" t="n">
        <x:v>6</x:v>
      </x:c>
      <x:c r="J25" s="232" t="n">
        <x:v>0</x:v>
      </x:c>
      <x:c r="K25" s="233" t="s"/>
      <x:c r="L25" s="231" t="n">
        <x:v>0</x:v>
      </x:c>
      <x:c r="M25" s="231" t="n">
        <x:v>0</x:v>
      </x:c>
      <x:c r="N25" s="234">
        <x:f>ROUND(((I25*J25)-((I25*J25)*L25/100))+(((I25*J25)-((I25*J25)*L25/100))*M25/100), 2)</x:f>
      </x:c>
      <x:c r="O25" s="230">
        <x:f>M11</x:f>
      </x:c>
      <x:c r="P25" s="235" t="s"/>
      <x:c r="Q25" s="236" t="s"/>
      <x:c r="R25" s="237" t="s"/>
      <x:c r="S25" s="238" t="s"/>
      <x:c r="T25" s="239" t="s"/>
    </x:row>
    <x:row r="26" spans="1:24" customFormat="1" ht="24" customHeight="1" x14ac:dyDescent="0.2">
      <x:c r="A26" s="226" t="n">
        <x:v>7</x:v>
      </x:c>
      <x:c r="B26" s="226" t="n">
        <x:v>99990008174927</x:v>
      </x:c>
      <x:c r="C26" s="227" t="n">
        <x:v>230550</x:v>
      </x:c>
      <x:c r="D26" s="228" t="s">
        <x:v>48</x:v>
      </x:c>
      <x:c r="E26" s="229" t="s"/>
      <x:c r="F26" s="229" t="n">
        <x:v>230550</x:v>
      </x:c>
      <x:c r="G26" s="229" t="s">
        <x:v>42</x:v>
      </x:c>
      <x:c r="H26" s="230" t="n">
        <x:v>0</x:v>
      </x:c>
      <x:c r="I26" s="231" t="n">
        <x:v>6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24" customHeight="1" x14ac:dyDescent="0.2">
      <x:c r="A27" s="226" t="n">
        <x:v>8</x:v>
      </x:c>
      <x:c r="B27" s="226" t="n">
        <x:v>99990008175111</x:v>
      </x:c>
      <x:c r="C27" s="227" t="n">
        <x:v>230819</x:v>
      </x:c>
      <x:c r="D27" s="228" t="s">
        <x:v>49</x:v>
      </x:c>
      <x:c r="E27" s="229" t="s"/>
      <x:c r="F27" s="229" t="n">
        <x:v>230819</x:v>
      </x:c>
      <x:c r="G27" s="229" t="s">
        <x:v>42</x:v>
      </x:c>
      <x:c r="H27" s="230" t="n">
        <x:v>0</x:v>
      </x:c>
      <x:c r="I27" s="231" t="n">
        <x:v>24</x:v>
      </x:c>
      <x:c r="J27" s="232" t="n">
        <x:v>0</x:v>
      </x:c>
      <x:c r="K27" s="233" t="s"/>
      <x:c r="L27" s="231" t="n">
        <x:v>0</x:v>
      </x:c>
      <x:c r="M27" s="231" t="n">
        <x:v>0</x:v>
      </x:c>
      <x:c r="N27" s="234">
        <x:f>ROUND(((I27*J27)-((I27*J27)*L27/100))+(((I27*J27)-((I27*J27)*L27/100))*M27/100), 2)</x:f>
      </x:c>
      <x:c r="O27" s="230">
        <x:f>M11</x:f>
      </x:c>
      <x:c r="P27" s="235" t="s"/>
      <x:c r="Q27" s="236" t="s"/>
      <x:c r="R27" s="237" t="s"/>
      <x:c r="S27" s="238" t="s"/>
      <x:c r="T27" s="239" t="s"/>
    </x:row>
    <x:row r="28" spans="1:24" customFormat="1" ht="24" customHeight="1" x14ac:dyDescent="0.2">
      <x:c r="A28" s="226" t="n">
        <x:v>9</x:v>
      </x:c>
      <x:c r="B28" s="226" t="n">
        <x:v>99990008200789</x:v>
      </x:c>
      <x:c r="C28" s="227" t="n">
        <x:v>691501</x:v>
      </x:c>
      <x:c r="D28" s="228" t="s">
        <x:v>50</x:v>
      </x:c>
      <x:c r="E28" s="229" t="s"/>
      <x:c r="F28" s="229" t="n">
        <x:v>691501</x:v>
      </x:c>
      <x:c r="G28" s="229" t="s">
        <x:v>42</x:v>
      </x:c>
      <x:c r="H28" s="230" t="n">
        <x:v>0</x:v>
      </x:c>
      <x:c r="I28" s="231" t="n">
        <x:v>40</x:v>
      </x:c>
      <x:c r="J28" s="232" t="n">
        <x:v>0</x:v>
      </x:c>
      <x:c r="K28" s="233" t="s"/>
      <x:c r="L28" s="231" t="n">
        <x:v>0</x:v>
      </x:c>
      <x:c r="M28" s="231" t="n">
        <x:v>0</x:v>
      </x:c>
      <x:c r="N28" s="234">
        <x:f>ROUND(((I28*J28)-((I28*J28)*L28/100))+(((I28*J28)-((I28*J28)*L28/100))*M28/100), 2)</x:f>
      </x:c>
      <x:c r="O28" s="230">
        <x:f>M11</x:f>
      </x:c>
      <x:c r="P28" s="235" t="s"/>
      <x:c r="Q28" s="236" t="s"/>
      <x:c r="R28" s="237" t="s">
        <x:v>51</x:v>
      </x:c>
      <x:c r="S28" s="238" t="s"/>
      <x:c r="T28" s="239" t="s"/>
    </x:row>
    <x:row r="29" spans="1:24" customFormat="1" ht="15" customHeight="1" x14ac:dyDescent="0.2">
      <x:c r="A29" s="32" t="s"/>
      <x:c r="B29" s="295" t="s"/>
      <x:c r="C29" s="296" t="s"/>
      <x:c r="D29" s="296" t="s"/>
      <x:c r="E29" s="296" t="s"/>
      <x:c r="F29" s="296" t="s"/>
      <x:c r="G29" s="296" t="s"/>
      <x:c r="H29" s="297" t="s"/>
      <x:c r="I29" s="297" t="s"/>
      <x:c r="J29" s="297" t="s"/>
      <x:c r="K29" s="297" t="s"/>
      <x:c r="L29" s="297" t="s"/>
      <x:c r="M29" s="297" t="s"/>
      <x:c r="N29" s="297" t="s"/>
      <x:c r="O29" s="297" t="s"/>
      <x:c r="P29" s="297" t="s"/>
      <x:c r="Q29" s="297" t="s"/>
      <x:c r="R29" s="297" t="s"/>
      <x:c r="S29" s="297" t="s"/>
      <x:c r="T29" s="298" t="s"/>
    </x:row>
    <x:row r="30" spans="1:24" customFormat="1" ht="12.75" customHeight="1" x14ac:dyDescent="0.2">
      <x:c r="A30" s="289" t="s">
        <x:v>29</x:v>
      </x:c>
      <x:c r="B30" s="289" t="s"/>
      <x:c r="C30" s="290" t="s">
        <x:v>52</x:v>
      </x:c>
      <x:c r="D30" s="291" t="s"/>
      <x:c r="E30" s="291" t="s"/>
      <x:c r="F30" s="291" t="s"/>
      <x:c r="G30" s="291" t="s"/>
      <x:c r="H30" s="291" t="s"/>
      <x:c r="I30" s="292" t="s"/>
      <x:c r="J30" s="292" t="s">
        <x:v>53</x:v>
      </x:c>
      <x:c r="K30" s="292" t="s"/>
      <x:c r="L30" s="292" t="s">
        <x:v>36</x:v>
      </x:c>
      <x:c r="M30" s="292" t="s">
        <x:v>37</x:v>
      </x:c>
      <x:c r="N30" s="293" t="s">
        <x:v>54</x:v>
      </x:c>
      <x:c r="O30" s="294" t="s">
        <x:v>39</x:v>
      </x:c>
      <x:c r="P30" s="294" t="s"/>
      <x:c r="Q30" s="294" t="s"/>
      <x:c r="R30" s="294" t="s"/>
      <x:c r="S30" s="294" t="s"/>
      <x:c r="T30" s="225" t="s"/>
    </x:row>
    <x:row r="31" spans="1:24" customFormat="1" ht="15" customHeight="1" x14ac:dyDescent="0.2">
      <x:c r="A31" s="269" t="n">
        <x:v>1</x:v>
      </x:c>
      <x:c r="B31" s="270" t="s"/>
      <x:c r="C31" s="271" t="s">
        <x:v>55</x:v>
      </x:c>
      <x:c r="D31" s="272" t="s">
        <x:v>55</x:v>
      </x:c>
      <x:c r="E31" s="272" t="s">
        <x:v>55</x:v>
      </x:c>
      <x:c r="F31" s="272" t="s">
        <x:v>55</x:v>
      </x:c>
      <x:c r="G31" s="272" t="s">
        <x:v>55</x:v>
      </x:c>
      <x:c r="H31" s="273" t="s">
        <x:v>55</x:v>
      </x:c>
      <x:c r="I31" s="274" t="s"/>
      <x:c r="J31" s="275" t="n">
        <x:v>0</x:v>
      </x:c>
      <x:c r="K31" s="276" t="s"/>
      <x:c r="L31" s="277" t="n">
        <x:v>0</x:v>
      </x:c>
      <x:c r="M31" s="277" t="n">
        <x:v>0</x:v>
      </x:c>
      <x:c r="N31" s="285">
        <x:f>(J31 -(J31 *L31 /100)+((J31 -(J31 *L31 /100))*M31 /100))</x:f>
      </x:c>
      <x:c r="O31" s="286" t="s"/>
      <x:c r="P31" s="287" t="s"/>
      <x:c r="Q31" s="287" t="s"/>
      <x:c r="R31" s="287" t="s"/>
      <x:c r="S31" s="288" t="s"/>
      <x:c r="T31" s="283" t="s"/>
    </x:row>
    <x:row r="32" spans="1:24" customFormat="1" ht="15" customHeight="1" x14ac:dyDescent="0.2">
      <x:c r="A32" s="269" t="n">
        <x:v>2</x:v>
      </x:c>
      <x:c r="B32" s="270" t="s"/>
      <x:c r="C32" s="271" t="s">
        <x:v>56</x:v>
      </x:c>
      <x:c r="D32" s="272" t="s">
        <x:v>56</x:v>
      </x:c>
      <x:c r="E32" s="272" t="s">
        <x:v>56</x:v>
      </x:c>
      <x:c r="F32" s="272" t="s">
        <x:v>56</x:v>
      </x:c>
      <x:c r="G32" s="272" t="s">
        <x:v>56</x:v>
      </x:c>
      <x:c r="H32" s="273" t="s">
        <x:v>56</x:v>
      </x:c>
      <x:c r="I32" s="284" t="s"/>
      <x:c r="J32" s="275" t="n">
        <x:v>0</x:v>
      </x:c>
      <x:c r="K32" s="276" t="s"/>
      <x:c r="L32" s="277" t="n">
        <x:v>0</x:v>
      </x:c>
      <x:c r="M32" s="277" t="n">
        <x:v>0</x:v>
      </x:c>
      <x:c r="N32" s="279">
        <x:f>(J32 -(J32 *L32 /100)+((J32 -(J32 *L32 /100))*M32 /100))</x:f>
      </x:c>
      <x:c r="O32" s="280" t="s"/>
      <x:c r="P32" s="281" t="s"/>
      <x:c r="Q32" s="281" t="s"/>
      <x:c r="R32" s="281" t="s"/>
      <x:c r="S32" s="282" t="s"/>
      <x:c r="T32" s="283" t="s"/>
    </x:row>
    <x:row r="33" spans="1:24" customFormat="1" ht="15" customHeight="1" x14ac:dyDescent="0.2">
      <x:c r="A33" s="269" t="n">
        <x:v>3</x:v>
      </x:c>
      <x:c r="B33" s="270" t="s"/>
      <x:c r="C33" s="271" t="s"/>
      <x:c r="D33" s="272" t="s"/>
      <x:c r="E33" s="272" t="s"/>
      <x:c r="F33" s="272" t="s"/>
      <x:c r="G33" s="272" t="s"/>
      <x:c r="H33" s="273" t="s"/>
      <x:c r="I33" s="274" t="s"/>
      <x:c r="J33" s="275" t="n">
        <x:v>0</x:v>
      </x:c>
      <x:c r="K33" s="276" t="s"/>
      <x:c r="L33" s="277" t="n">
        <x:v>0</x:v>
      </x:c>
      <x:c r="M33" s="277" t="n">
        <x:v>0</x:v>
      </x:c>
      <x:c r="N33" s="279">
        <x:f>(J33 -(J33 *L33 /100)+((J33 -(J33 *L33 /100))*M33 /100))</x:f>
      </x:c>
      <x:c r="O33" s="280" t="s"/>
      <x:c r="P33" s="281" t="s"/>
      <x:c r="Q33" s="281" t="s"/>
      <x:c r="R33" s="281" t="s"/>
      <x:c r="S33" s="282" t="s"/>
      <x:c r="T33" s="283" t="s"/>
    </x:row>
    <x:row r="34" spans="1:24" customFormat="1" ht="15.75" customHeight="1" x14ac:dyDescent="0.2">
      <x:c r="A34" s="269" t="n">
        <x:v>4</x:v>
      </x:c>
      <x:c r="B34" s="270" t="s"/>
      <x:c r="C34" s="271" t="s"/>
      <x:c r="D34" s="272" t="s"/>
      <x:c r="E34" s="272" t="s"/>
      <x:c r="F34" s="272" t="s"/>
      <x:c r="G34" s="272" t="s"/>
      <x:c r="H34" s="273" t="s"/>
      <x:c r="I34" s="274" t="s"/>
      <x:c r="J34" s="275" t="n">
        <x:v>0</x:v>
      </x:c>
      <x:c r="K34" s="276" t="s"/>
      <x:c r="L34" s="277" t="n">
        <x:v>0</x:v>
      </x:c>
      <x:c r="M34" s="278" t="n">
        <x:v>0</x:v>
      </x:c>
      <x:c r="N34" s="279">
        <x:f>(J34 -(J34 *L34 /100)+((J34 -(J34 *L34 /100))*M34 /100))</x:f>
      </x:c>
      <x:c r="O34" s="280" t="s"/>
      <x:c r="P34" s="281" t="s"/>
      <x:c r="Q34" s="281" t="s"/>
      <x:c r="R34" s="281" t="s"/>
      <x:c r="S34" s="282" t="s"/>
      <x:c r="T34" s="283" t="s"/>
    </x:row>
    <x:row r="35" spans="1:24" customFormat="1" ht="15.95" customHeight="1" x14ac:dyDescent="0.2">
      <x:c r="A35" s="247" t="s"/>
      <x:c r="B35" s="247" t="s"/>
      <x:c r="C35" s="248" t="s"/>
      <x:c r="D35" s="248" t="s"/>
      <x:c r="J35" s="58" t="s">
        <x:v>57</x:v>
      </x:c>
      <x:c r="K35" s="59" t="s"/>
      <x:c r="L35" s="58" t="s"/>
      <x:c r="M35" s="59" t="s"/>
      <x:c r="N35" s="264">
        <x:f>SUM(ItmPrice)</x:f>
      </x:c>
      <x:c r="O35" s="267" t="s"/>
      <x:c r="P35" s="268" t="s"/>
    </x:row>
    <x:row r="36" spans="1:24" customFormat="1" ht="15" customHeight="1" x14ac:dyDescent="0.2">
      <x:c r="A36" s="247" t="s"/>
      <x:c r="B36" s="247" t="s"/>
      <x:c r="C36" s="248" t="s"/>
      <x:c r="D36" s="248" t="s"/>
      <x:c r="J36" s="123" t="s">
        <x:v>58</x:v>
      </x:c>
      <x:c r="K36" s="124" t="s"/>
      <x:c r="L36" s="124" t="s"/>
      <x:c r="M36" s="125" t="s"/>
      <x:c r="N36" s="264">
        <x:f>SUM(N31:N35)</x:f>
      </x:c>
      <x:c r="O36" s="265" t="s"/>
      <x:c r="P36" s="266" t="s"/>
    </x:row>
    <x:row r="37" spans="1:24" customFormat="1" ht="2.25" hidden="1" customHeight="1" x14ac:dyDescent="0.2">
      <x:c r="A37" s="258" t="n">
        <x:v>0</x:v>
      </x:c>
      <x:c r="B37" s="258" t="n">
        <x:v>0</x:v>
      </x:c>
      <x:c r="C37" s="259" t="n">
        <x:v>0</x:v>
      </x:c>
      <x:c r="D37" s="248" t="s"/>
      <x:c r="E37" s="248" t="s"/>
      <x:c r="F37" s="260" t="n">
        <x:v>1</x:v>
      </x:c>
      <x:c r="G37" s="248" t="s"/>
      <x:c r="H37" s="248" t="s"/>
      <x:c r="I37" s="248" t="s"/>
      <x:c r="J37" s="248" t="s"/>
      <x:c r="K37" s="261" t="s"/>
      <x:c r="L37" s="262" t="n">
        <x:v>0</x:v>
      </x:c>
      <x:c r="M37" s="263" t="n">
        <x:v>0</x:v>
      </x:c>
      <x:c r="N37" s="162" t="s">
        <x:v>59</x:v>
      </x:c>
      <x:c r="O37" s="257" t="s"/>
      <x:c r="P37" s="263" t="n">
        <x:v>995</x:v>
      </x:c>
      <x:c r="Q37" s="248" t="s">
        <x:v>60</x:v>
      </x:c>
      <x:c r="R37" s="248" t="s"/>
      <x:c r="S37" s="248" t="s"/>
    </x:row>
    <x:row r="38" spans="1:24" customFormat="1" ht="18.75" customHeight="1" x14ac:dyDescent="0.2">
      <x:c r="A38" s="247" t="s"/>
      <x:c r="B38" s="247" t="s"/>
      <x:c r="C38" s="247" t="s"/>
      <x:c r="H38" s="257" t="s"/>
      <x:c r="J38" s="248" t="s"/>
      <x:c r="K38" s="248" t="s"/>
      <x:c r="L38" s="248" t="s"/>
      <x:c r="M38" s="248" t="s"/>
      <x:c r="N38" s="248" t="s"/>
      <x:c r="O38" s="248" t="s"/>
      <x:c r="P38" s="248" t="s"/>
      <x:c r="R38" s="248" t="s"/>
      <x:c r="S38" s="248" t="s"/>
    </x:row>
    <x:row r="39" spans="1:24" customFormat="1" ht="127.5" customHeight="1" x14ac:dyDescent="0.2">
      <x:c r="A39" s="249" t="s">
        <x:v>61</x:v>
      </x:c>
      <x:c r="B39" s="249" t="s"/>
      <x:c r="C39" s="249" t="s"/>
      <x:c r="D39" s="250" t="s"/>
      <x:c r="E39" s="254" t="s"/>
      <x:c r="F39" s="255" t="s"/>
      <x:c r="G39" s="255" t="s"/>
      <x:c r="H39" s="255" t="s"/>
      <x:c r="I39" s="255" t="s"/>
      <x:c r="J39" s="255" t="s"/>
      <x:c r="K39" s="255" t="s"/>
      <x:c r="L39" s="255" t="s"/>
      <x:c r="M39" s="255" t="s"/>
      <x:c r="N39" s="255" t="s"/>
      <x:c r="O39" s="255" t="s"/>
      <x:c r="P39" s="255" t="s"/>
      <x:c r="Q39" s="255" t="s"/>
      <x:c r="R39" s="255" t="s"/>
      <x:c r="S39" s="255" t="s"/>
      <x:c r="T39" s="256" t="s"/>
    </x:row>
    <x:row r="40" spans="1:24" customFormat="1" ht="129.75" customHeight="1" x14ac:dyDescent="0.2">
      <x:c r="A40" s="249" t="s">
        <x:v>39</x:v>
      </x:c>
      <x:c r="B40" s="249" t="s"/>
      <x:c r="C40" s="249" t="s"/>
      <x:c r="D40" s="250" t="s"/>
      <x:c r="E40" s="251" t="s"/>
      <x:c r="F40" s="252" t="s"/>
      <x:c r="G40" s="252" t="s"/>
      <x:c r="H40" s="252" t="s"/>
      <x:c r="I40" s="252" t="s"/>
      <x:c r="J40" s="252" t="s"/>
      <x:c r="K40" s="252" t="s"/>
      <x:c r="L40" s="252" t="s"/>
      <x:c r="M40" s="252" t="s"/>
      <x:c r="N40" s="252" t="s"/>
      <x:c r="O40" s="252" t="s"/>
      <x:c r="P40" s="252" t="s"/>
      <x:c r="Q40" s="252" t="s"/>
      <x:c r="R40" s="252" t="s"/>
      <x:c r="S40" s="252" t="s"/>
      <x:c r="T40" s="253" t="s"/>
    </x:row>
    <x:row r="41" spans="1:24" customFormat="1" ht="15.95" customHeight="1" x14ac:dyDescent="0.2">
      <x:c r="A41" s="247" t="s"/>
      <x:c r="B41" s="247" t="s"/>
      <x:c r="C41" s="247" t="s"/>
      <x:c r="H41" s="248" t="s"/>
      <x:c r="I41" s="248" t="s"/>
      <x:c r="J41" s="248" t="s"/>
      <x:c r="K41" s="248" t="s"/>
      <x:c r="L41" s="248" t="s"/>
      <x:c r="M41" s="248" t="s"/>
      <x:c r="N41" s="248" t="s"/>
      <x:c r="O41" s="248" t="s"/>
      <x:c r="P41" s="248" t="s"/>
      <x:c r="Q41" s="248" t="s"/>
      <x:c r="R41" s="248" t="s"/>
      <x:c r="S41" s="248" t="s"/>
    </x:row>
    <x:row r="42" spans="1:24" customFormat="1" ht="15.95" customHeight="1" x14ac:dyDescent="0.2">
      <x:c r="A42" s="245" t="s">
        <x:v>62</x:v>
      </x:c>
      <x:c r="B42" s="245" t="s"/>
      <x:c r="C42" s="245" t="s"/>
      <x:c r="D42" s="245" t="s"/>
      <x:c r="E42" s="245" t="s"/>
      <x:c r="F42" s="245" t="s"/>
      <x:c r="G42" s="245" t="s"/>
      <x:c r="H42" s="245" t="s"/>
      <x:c r="I42" s="245" t="s"/>
      <x:c r="J42" s="245" t="s"/>
      <x:c r="K42" s="245" t="s"/>
      <x:c r="L42" s="245" t="s"/>
      <x:c r="M42" s="245" t="s"/>
      <x:c r="N42" s="245" t="s"/>
      <x:c r="O42" s="245" t="s"/>
      <x:c r="P42" s="245" t="s"/>
      <x:c r="Q42" s="245" t="s"/>
      <x:c r="R42" s="245" t="s"/>
      <x:c r="S42" s="245" t="s"/>
      <x:c r="T42" s="246" t="s"/>
    </x:row>
    <x:row r="43" spans="1:24" customFormat="1" ht="12.7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12.7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7.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12.7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12.7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7.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12.7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7.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12.7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12.7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7.5" customHeight="1">
      <x:c r="A62" s="243" t="s"/>
      <x:c r="B62" s="243" t="s"/>
      <x:c r="C62" s="243" t="s"/>
      <x:c r="D62" s="243" t="s"/>
      <x:c r="E62" s="243" t="s"/>
      <x:c r="F62" s="243" t="s"/>
      <x:c r="G62" s="243" t="s"/>
      <x:c r="H62" s="243" t="s"/>
      <x:c r="I62" s="243" t="s"/>
      <x:c r="J62" s="243" t="s"/>
      <x:c r="K62" s="243" t="s"/>
      <x:c r="L62" s="243" t="s"/>
      <x:c r="M62" s="243" t="s"/>
      <x:c r="N62" s="243" t="s"/>
      <x:c r="O62" s="243" t="s"/>
      <x:c r="P62" s="243" t="s"/>
      <x:c r="Q62" s="243" t="s"/>
      <x:c r="R62" s="243" t="s"/>
      <x:c r="S62" s="243" t="s"/>
      <x:c r="T62" s="244" t="s"/>
    </x:row>
    <x:row r="63" spans="1:24" customFormat="1" ht="12.75" customHeight="1">
      <x:c r="A63" s="243" t="s"/>
      <x:c r="B63" s="243" t="s"/>
      <x:c r="C63" s="243" t="s"/>
      <x:c r="D63" s="243" t="s"/>
      <x:c r="E63" s="243" t="s"/>
      <x:c r="F63" s="243" t="s"/>
      <x:c r="G63" s="243" t="s"/>
      <x:c r="H63" s="243" t="s"/>
      <x:c r="I63" s="243" t="s"/>
      <x:c r="J63" s="243" t="s"/>
      <x:c r="K63" s="243" t="s"/>
      <x:c r="L63" s="243" t="s"/>
      <x:c r="M63" s="243" t="s"/>
      <x:c r="N63" s="243" t="s"/>
      <x:c r="O63" s="243" t="s"/>
      <x:c r="P63" s="243" t="s"/>
      <x:c r="Q63" s="243" t="s"/>
      <x:c r="R63" s="243" t="s"/>
      <x:c r="S63" s="243" t="s"/>
      <x:c r="T63" s="244" t="s"/>
    </x:row>
    <x:row r="64" spans="1:24" customFormat="1" ht="12.75" customHeight="1">
      <x:c r="A64" s="243" t="s"/>
      <x:c r="B64" s="243" t="s"/>
      <x:c r="C64" s="243" t="s"/>
      <x:c r="D64" s="243" t="s"/>
      <x:c r="E64" s="243" t="s"/>
      <x:c r="F64" s="243" t="s"/>
      <x:c r="G64" s="243" t="s"/>
      <x:c r="H64" s="243" t="s"/>
      <x:c r="I64" s="243" t="s"/>
      <x:c r="J64" s="243" t="s"/>
      <x:c r="K64" s="243" t="s"/>
      <x:c r="L64" s="243" t="s"/>
      <x:c r="M64" s="243" t="s"/>
      <x:c r="N64" s="243" t="s"/>
      <x:c r="O64" s="243" t="s"/>
      <x:c r="P64" s="243" t="s"/>
      <x:c r="Q64" s="243" t="s"/>
      <x:c r="R64" s="243" t="s"/>
      <x:c r="S64" s="243" t="s"/>
      <x:c r="T64" s="244" t="s"/>
    </x:row>
    <x:row r="65" spans="1:24" customFormat="1" ht="12.75" customHeight="1">
      <x:c r="A65" s="241" t="s"/>
      <x:c r="B65" s="241" t="s"/>
      <x:c r="C65" s="241" t="s"/>
      <x:c r="D65" s="241" t="s"/>
      <x:c r="E65" s="241" t="s"/>
      <x:c r="F65" s="241" t="s"/>
      <x:c r="G65" s="241" t="s"/>
      <x:c r="H65" s="241" t="s"/>
      <x:c r="I65" s="241" t="s"/>
      <x:c r="J65" s="241" t="s"/>
      <x:c r="K65" s="241" t="s"/>
      <x:c r="L65" s="241" t="s"/>
      <x:c r="M65" s="241" t="s"/>
      <x:c r="N65" s="241" t="s"/>
      <x:c r="O65" s="241" t="s"/>
      <x:c r="P65" s="241" t="s"/>
      <x:c r="Q65" s="241" t="s"/>
      <x:c r="R65" s="241" t="s"/>
      <x:c r="S65" s="241" t="s"/>
      <x:c r="T65" s="242" t="s"/>
    </x:row>
    <x:row r="66" spans="1:24">
      <x:c r="A66" s="240" t="s">
        <x:v>63</x:v>
      </x:c>
      <x:c r="B66" s="240" t="s"/>
      <x:c r="C66" s="240" t="s"/>
      <x:c r="D66" s="240" t="s"/>
      <x:c r="E66" s="240" t="s"/>
      <x:c r="F66" s="240" t="s"/>
      <x:c r="G66" s="240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83">
    <x:mergeCell ref="E39:S39"/>
    <x:mergeCell ref="E40:S40"/>
    <x:mergeCell ref="E42:S42"/>
    <x:mergeCell ref="A43:S64"/>
    <x:mergeCell ref="A65:S65"/>
    <x:mergeCell ref="A39:D39"/>
    <x:mergeCell ref="A40:D40"/>
    <x:mergeCell ref="K1:R1"/>
    <x:mergeCell ref="R19:S19"/>
    <x:mergeCell ref="R20:S20"/>
    <x:mergeCell ref="O31:S31"/>
    <x:mergeCell ref="O32:S32"/>
    <x:mergeCell ref="O30:S30"/>
    <x:mergeCell ref="J30:K30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35:P35"/>
    <x:mergeCell ref="O36:P36"/>
    <x:mergeCell ref="J36:M36"/>
    <x:mergeCell ref="O33:S33"/>
    <x:mergeCell ref="O34:S34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30:H30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J21:K21"/>
    <x:mergeCell ref="D22:E22"/>
    <x:mergeCell ref="J22:K22"/>
    <x:mergeCell ref="D23:E23"/>
    <x:mergeCell ref="J23:K23"/>
    <x:mergeCell ref="D24:E24"/>
    <x:mergeCell ref="J24:K24"/>
    <x:mergeCell ref="D25:E25"/>
    <x:mergeCell ref="J25:K25"/>
    <x:mergeCell ref="D26:E26"/>
    <x:mergeCell ref="J26:K26"/>
    <x:mergeCell ref="D27:E27"/>
    <x:mergeCell ref="J27:K27"/>
    <x:mergeCell ref="D28:E28"/>
    <x:mergeCell ref="J28:K28"/>
    <x:mergeCell ref="C31:H31"/>
    <x:mergeCell ref="J31:K31"/>
    <x:mergeCell ref="C32:H32"/>
    <x:mergeCell ref="J32:K32"/>
    <x:mergeCell ref="C33:H33"/>
    <x:mergeCell ref="J33:K33"/>
    <x:mergeCell ref="C34:H34"/>
    <x:mergeCell ref="J34:K34"/>
  </x:mergeCells>
  <x:phoneticPr fontId="3" type="noConversion"/>
  <x:dataValidations count="46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:I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:J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:L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:M2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:I2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:J2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:L2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:M2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5:I2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5:J2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5:L2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5:M2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7:I2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7:J2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7:L2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7:M2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8:I2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8:J2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8:L2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8:M28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31:H31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2:H32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3:H33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4:H34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55</x:v>
      </x:c>
      <x:c r="M1" s="300" t="s">
        <x:v>64</x:v>
      </x:c>
      <x:c r="N1" s="301" t="s">
        <x:v>0</x:v>
      </x:c>
      <x:c r="O1" s="162" t="s">
        <x:v>65</x:v>
      </x:c>
    </x:row>
    <x:row r="2" spans="1:15" x14ac:dyDescent="0.2">
      <x:c r="G2" s="162" t="n">
        <x:v>1001310</x:v>
      </x:c>
      <x:c r="H2" s="162" t="s">
        <x:v>56</x:v>
      </x:c>
      <x:c r="M2" s="300" t="s">
        <x:v>66</x:v>
      </x:c>
      <x:c r="N2" s="301" t="n">
        <x:v>1020116298</x:v>
      </x:c>
      <x:c r="O2" s="162" t="s">
        <x:v>67</x:v>
      </x:c>
    </x:row>
    <x:row r="3" spans="1:15" x14ac:dyDescent="0.2">
      <x:c r="G3" s="162" t="n">
        <x:v>1001352</x:v>
      </x:c>
      <x:c r="H3" s="162" t="s">
        <x:v>52</x:v>
      </x:c>
      <x:c r="M3" s="300" t="s">
        <x:v>68</x:v>
      </x:c>
      <x:c r="N3" s="301" t="n">
        <x:v>99990000270856</x:v>
      </x:c>
      <x:c r="O3" s="162" t="s">
        <x:v>69</x:v>
      </x:c>
    </x:row>
    <x:row r="4" spans="1:15" x14ac:dyDescent="0.2">
      <x:c r="G4" s="162" t="n">
        <x:v>1012729</x:v>
      </x:c>
      <x:c r="H4" s="162" t="s">
        <x:v>70</x:v>
      </x:c>
      <x:c r="M4" s="300" t="s">
        <x:v>71</x:v>
      </x:c>
      <x:c r="N4" s="301" t="n">
        <x:v>1020269958</x:v>
      </x:c>
      <x:c r="O4" s="162" t="s">
        <x:v>72</x:v>
      </x:c>
    </x:row>
    <x:row r="5" spans="1:15" x14ac:dyDescent="0.2">
      <x:c r="G5" s="162" t="n">
        <x:v>1012730</x:v>
      </x:c>
      <x:c r="H5" s="162" t="s">
        <x:v>73</x:v>
      </x:c>
      <x:c r="M5" s="300" t="s">
        <x:v>74</x:v>
      </x:c>
      <x:c r="N5" s="301" t="s"/>
      <x:c r="O5" s="162" t="s">
        <x:v>75</x:v>
      </x:c>
    </x:row>
    <x:row r="6" spans="1:15" x14ac:dyDescent="0.2">
      <x:c r="G6" s="162" t="n">
        <x:v>1012731</x:v>
      </x:c>
      <x:c r="H6" s="162" t="s">
        <x:v>76</x:v>
      </x:c>
      <x:c r="M6" s="300" t="s">
        <x:v>77</x:v>
      </x:c>
      <x:c r="N6" s="301" t="s">
        <x:v>78</x:v>
      </x:c>
      <x:c r="O6" s="162" t="s">
        <x:v>79</x:v>
      </x:c>
    </x:row>
    <x:row r="7" spans="1:15" x14ac:dyDescent="0.2">
      <x:c r="G7" s="162" t="n">
        <x:v>1012732</x:v>
      </x:c>
      <x:c r="H7" s="162" t="s">
        <x:v>80</x:v>
      </x:c>
      <x:c r="M7" s="300" t="s">
        <x:v>81</x:v>
      </x:c>
      <x:c r="N7" s="301" t="n">
        <x:v>0</x:v>
      </x:c>
      <x:c r="O7" s="162" t="s">
        <x:v>82</x:v>
      </x:c>
    </x:row>
    <x:row r="8" spans="1:15" x14ac:dyDescent="0.2">
      <x:c r="G8" s="162" t="n">
        <x:v>1012733</x:v>
      </x:c>
      <x:c r="H8" s="162" t="s">
        <x:v>83</x:v>
      </x:c>
      <x:c r="O8" s="162" t="s">
        <x:v>84</x:v>
      </x:c>
    </x:row>
    <x:row r="9" spans="1:15" x14ac:dyDescent="0.2">
      <x:c r="G9" s="162" t="n">
        <x:v>1012734</x:v>
      </x:c>
      <x:c r="H9" s="162" t="s">
        <x:v>85</x:v>
      </x:c>
      <x:c r="O9" s="162" t="s">
        <x:v>86</x:v>
      </x:c>
    </x:row>
    <x:row r="10" spans="1:15" x14ac:dyDescent="0.2">
      <x:c r="G10" s="162" t="n">
        <x:v>1012735</x:v>
      </x:c>
      <x:c r="H10" s="162" t="s">
        <x:v>87</x:v>
      </x:c>
      <x:c r="O10" s="162" t="s">
        <x:v>88</x:v>
      </x:c>
    </x:row>
    <x:row r="11" spans="1:15" x14ac:dyDescent="0.2">
      <x:c r="G11" s="162" t="n">
        <x:v>1012736</x:v>
      </x:c>
      <x:c r="H11" s="162" t="s">
        <x:v>89</x:v>
      </x:c>
      <x:c r="O11" s="162" t="s">
        <x:v>90</x:v>
      </x:c>
    </x:row>
    <x:row r="12" spans="1:15" x14ac:dyDescent="0.2">
      <x:c r="G12" s="162" t="n">
        <x:v>1012737</x:v>
      </x:c>
      <x:c r="H12" s="162" t="s">
        <x:v>91</x:v>
      </x:c>
      <x:c r="O12" s="162" t="s">
        <x:v>92</x:v>
      </x:c>
    </x:row>
    <x:row r="13" spans="1:15" x14ac:dyDescent="0.2">
      <x:c r="G13" s="162" t="n">
        <x:v>1012738</x:v>
      </x:c>
      <x:c r="H13" s="162" t="s">
        <x:v>93</x:v>
      </x:c>
      <x:c r="O13" s="162" t="s">
        <x:v>94</x:v>
      </x:c>
    </x:row>
    <x:row r="14" spans="1:15" x14ac:dyDescent="0.2">
      <x:c r="G14" s="162" t="n">
        <x:v>1012739</x:v>
      </x:c>
      <x:c r="H14" s="162" t="s">
        <x:v>95</x:v>
      </x:c>
      <x:c r="O14" s="162" t="s">
        <x:v>96</x:v>
      </x:c>
    </x:row>
    <x:row r="15" spans="1:15" x14ac:dyDescent="0.2">
      <x:c r="G15" s="162" t="n">
        <x:v>1012740</x:v>
      </x:c>
      <x:c r="H15" s="162" t="s">
        <x:v>97</x:v>
      </x:c>
      <x:c r="O15" s="162" t="s">
        <x:v>98</x:v>
      </x:c>
    </x:row>
    <x:row r="16" spans="1:15" x14ac:dyDescent="0.2">
      <x:c r="G16" s="162" t="n">
        <x:v>1012741</x:v>
      </x:c>
      <x:c r="H16" s="162" t="s">
        <x:v>99</x:v>
      </x:c>
      <x:c r="O16" s="162" t="s">
        <x:v>100</x:v>
      </x:c>
    </x:row>
    <x:row r="17" spans="1:15" x14ac:dyDescent="0.2">
      <x:c r="G17" s="162" t="n">
        <x:v>1012742</x:v>
      </x:c>
      <x:c r="H17" s="162" t="s">
        <x:v>101</x:v>
      </x:c>
      <x:c r="O17" s="162" t="s">
        <x:v>102</x:v>
      </x:c>
    </x:row>
    <x:row r="18" spans="1:15" x14ac:dyDescent="0.2">
      <x:c r="G18" s="162" t="n">
        <x:v>1012743</x:v>
      </x:c>
      <x:c r="H18" s="162" t="s">
        <x:v>103</x:v>
      </x:c>
      <x:c r="O18" s="162" t="s">
        <x:v>104</x:v>
      </x:c>
    </x:row>
    <x:row r="19" spans="1:15" x14ac:dyDescent="0.2">
      <x:c r="G19" s="162" t="n">
        <x:v>1012744</x:v>
      </x:c>
      <x:c r="H19" s="162" t="s">
        <x:v>105</x:v>
      </x:c>
      <x:c r="O19" s="162" t="s">
        <x:v>106</x:v>
      </x:c>
    </x:row>
    <x:row r="20" spans="1:15" x14ac:dyDescent="0.2">
      <x:c r="G20" s="162" t="n">
        <x:v>1012745</x:v>
      </x:c>
      <x:c r="H20" s="162" t="s">
        <x:v>107</x:v>
      </x:c>
      <x:c r="O20" s="162" t="s">
        <x:v>108</x:v>
      </x:c>
    </x:row>
    <x:row r="21" spans="1:15" x14ac:dyDescent="0.2">
      <x:c r="O21" s="162" t="s">
        <x:v>109</x:v>
      </x:c>
    </x:row>
    <x:row r="22" spans="1:15" x14ac:dyDescent="0.2">
      <x:c r="O22" s="162" t="s">
        <x:v>110</x:v>
      </x:c>
    </x:row>
    <x:row r="23" spans="1:15" x14ac:dyDescent="0.2">
      <x:c r="O23" s="162" t="s">
        <x:v>111</x:v>
      </x:c>
    </x:row>
    <x:row r="24" spans="1:15" x14ac:dyDescent="0.2">
      <x:c r="O24" s="162" t="s">
        <x:v>112</x:v>
      </x:c>
    </x:row>
    <x:row r="25" spans="1:15" x14ac:dyDescent="0.2">
      <x:c r="O25" s="162" t="s">
        <x:v>113</x:v>
      </x:c>
    </x:row>
    <x:row r="26" spans="1:15" x14ac:dyDescent="0.2">
      <x:c r="O26" s="162" t="s">
        <x:v>114</x:v>
      </x:c>
    </x:row>
    <x:row r="27" spans="1:15" x14ac:dyDescent="0.2">
      <x:c r="O27" s="162" t="s">
        <x:v>115</x:v>
      </x:c>
    </x:row>
    <x:row r="28" spans="1:15" x14ac:dyDescent="0.2">
      <x:c r="O28" s="162" t="s">
        <x:v>116</x:v>
      </x:c>
    </x:row>
    <x:row r="29" spans="1:15" x14ac:dyDescent="0.2">
      <x:c r="O29" s="162" t="s">
        <x:v>117</x:v>
      </x:c>
    </x:row>
    <x:row r="30" spans="1:15" x14ac:dyDescent="0.2">
      <x:c r="O30" s="162" t="s">
        <x:v>118</x:v>
      </x:c>
    </x:row>
    <x:row r="31" spans="1:15" x14ac:dyDescent="0.2">
      <x:c r="O31" s="162" t="s">
        <x:v>119</x:v>
      </x:c>
    </x:row>
    <x:row r="32" spans="1:15" x14ac:dyDescent="0.2">
      <x:c r="O32" s="162" t="s">
        <x:v>120</x:v>
      </x:c>
    </x:row>
    <x:row r="33" spans="1:15" x14ac:dyDescent="0.2">
      <x:c r="O33" s="162" t="s">
        <x:v>121</x:v>
      </x:c>
    </x:row>
    <x:row r="34" spans="1:15" x14ac:dyDescent="0.2">
      <x:c r="O34" s="162" t="s">
        <x:v>122</x:v>
      </x:c>
    </x:row>
    <x:row r="35" spans="1:15" x14ac:dyDescent="0.2">
      <x:c r="O35" s="162" t="s">
        <x:v>123</x:v>
      </x:c>
    </x:row>
    <x:row r="36" spans="1:15" x14ac:dyDescent="0.2">
      <x:c r="O36" s="162" t="s">
        <x:v>124</x:v>
      </x:c>
    </x:row>
    <x:row r="37" spans="1:15" x14ac:dyDescent="0.2">
      <x:c r="O37" s="162" t="s">
        <x:v>125</x:v>
      </x:c>
    </x:row>
    <x:row r="38" spans="1:15" x14ac:dyDescent="0.2">
      <x:c r="O38" s="162" t="s">
        <x:v>126</x:v>
      </x:c>
    </x:row>
    <x:row r="39" spans="1:15" x14ac:dyDescent="0.2">
      <x:c r="O39" s="162" t="s">
        <x:v>127</x:v>
      </x:c>
    </x:row>
    <x:row r="40" spans="1:15" x14ac:dyDescent="0.2">
      <x:c r="O40" s="162" t="s">
        <x:v>128</x:v>
      </x:c>
    </x:row>
    <x:row r="41" spans="1:15" x14ac:dyDescent="0.2">
      <x:c r="O41" s="162" t="s">
        <x:v>129</x:v>
      </x:c>
    </x:row>
    <x:row r="42" spans="1:15" x14ac:dyDescent="0.2">
      <x:c r="O42" s="162" t="s">
        <x:v>130</x:v>
      </x:c>
    </x:row>
    <x:row r="43" spans="1:15" x14ac:dyDescent="0.2">
      <x:c r="O43" s="162" t="s">
        <x:v>131</x:v>
      </x:c>
    </x:row>
    <x:row r="44" spans="1:15" x14ac:dyDescent="0.2">
      <x:c r="O44" s="162" t="s">
        <x:v>132</x:v>
      </x:c>
    </x:row>
    <x:row r="45" spans="1:15" x14ac:dyDescent="0.2">
      <x:c r="O45" s="162" t="s">
        <x:v>133</x:v>
      </x:c>
    </x:row>
    <x:row r="46" spans="1:15" x14ac:dyDescent="0.2">
      <x:c r="O46" s="162" t="s">
        <x:v>134</x:v>
      </x:c>
    </x:row>
    <x:row r="47" spans="1:15" x14ac:dyDescent="0.2">
      <x:c r="O47" s="162" t="s">
        <x:v>135</x:v>
      </x:c>
    </x:row>
    <x:row r="48" spans="1:15" x14ac:dyDescent="0.2">
      <x:c r="O48" s="162" t="s">
        <x:v>136</x:v>
      </x:c>
    </x:row>
    <x:row r="49" spans="1:15" x14ac:dyDescent="0.2">
      <x:c r="O49" s="162" t="s">
        <x:v>137</x:v>
      </x:c>
    </x:row>
    <x:row r="50" spans="1:15" x14ac:dyDescent="0.2">
      <x:c r="O50" s="162" t="s">
        <x:v>138</x:v>
      </x:c>
    </x:row>
    <x:row r="51" spans="1:15" x14ac:dyDescent="0.2">
      <x:c r="O51" s="162" t="s">
        <x:v>139</x:v>
      </x:c>
    </x:row>
    <x:row r="52" spans="1:15" x14ac:dyDescent="0.2">
      <x:c r="O52" s="162" t="s">
        <x:v>140</x:v>
      </x:c>
    </x:row>
    <x:row r="53" spans="1:15" x14ac:dyDescent="0.2">
      <x:c r="O53" s="162" t="s">
        <x:v>141</x:v>
      </x:c>
    </x:row>
    <x:row r="54" spans="1:15" x14ac:dyDescent="0.2">
      <x:c r="O54" s="162" t="s">
        <x:v>142</x:v>
      </x:c>
    </x:row>
    <x:row r="55" spans="1:15" x14ac:dyDescent="0.2">
      <x:c r="O55" s="162" t="s">
        <x:v>143</x:v>
      </x:c>
    </x:row>
    <x:row r="56" spans="1:15" x14ac:dyDescent="0.2">
      <x:c r="O56" s="162" t="s">
        <x:v>144</x:v>
      </x:c>
    </x:row>
    <x:row r="57" spans="1:15" x14ac:dyDescent="0.2">
      <x:c r="O57" s="162" t="s">
        <x:v>145</x:v>
      </x:c>
    </x:row>
    <x:row r="58" spans="1:15" x14ac:dyDescent="0.2">
      <x:c r="O58" s="162" t="s">
        <x:v>146</x:v>
      </x:c>
    </x:row>
    <x:row r="59" spans="1:15" x14ac:dyDescent="0.2">
      <x:c r="O59" s="162" t="s">
        <x:v>147</x:v>
      </x:c>
    </x:row>
    <x:row r="60" spans="1:15" x14ac:dyDescent="0.2">
      <x:c r="O60" s="162" t="s">
        <x:v>148</x:v>
      </x:c>
    </x:row>
    <x:row r="61" spans="1:15" x14ac:dyDescent="0.2">
      <x:c r="O61" s="162" t="s">
        <x:v>149</x:v>
      </x:c>
    </x:row>
    <x:row r="62" spans="1:15" x14ac:dyDescent="0.2">
      <x:c r="O62" s="162" t="s">
        <x:v>150</x:v>
      </x:c>
    </x:row>
    <x:row r="63" spans="1:15" x14ac:dyDescent="0.2">
      <x:c r="O63" s="162" t="s">
        <x:v>151</x:v>
      </x:c>
    </x:row>
    <x:row r="64" spans="1:15" x14ac:dyDescent="0.2">
      <x:c r="O64" s="162" t="s">
        <x:v>152</x:v>
      </x:c>
    </x:row>
    <x:row r="65" spans="1:15" x14ac:dyDescent="0.2">
      <x:c r="O65" s="162" t="s">
        <x:v>153</x:v>
      </x:c>
    </x:row>
    <x:row r="66" spans="1:15" x14ac:dyDescent="0.2">
      <x:c r="O66" s="162" t="s">
        <x:v>154</x:v>
      </x:c>
    </x:row>
    <x:row r="67" spans="1:15" x14ac:dyDescent="0.2">
      <x:c r="O67" s="162" t="s">
        <x:v>155</x:v>
      </x:c>
    </x:row>
    <x:row r="68" spans="1:15" x14ac:dyDescent="0.2">
      <x:c r="O68" s="162" t="s">
        <x:v>156</x:v>
      </x:c>
    </x:row>
    <x:row r="69" spans="1:15" x14ac:dyDescent="0.2">
      <x:c r="O69" s="162" t="s">
        <x:v>157</x:v>
      </x:c>
    </x:row>
    <x:row r="70" spans="1:15" x14ac:dyDescent="0.2">
      <x:c r="O70" s="162" t="s">
        <x:v>158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2017-07-25T04:57:32.2786016Z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