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'Quote'!$A$1:$R$71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'Quote'!$A$52</x:definedName>
    <x:definedName name="Enquiry_To_Vendor_ID" comment="Enquiry to Vendor ID">'Quote'!$C$52</x:definedName>
    <x:definedName name="GrandTotal">'Quote'!$N$51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'Quote'!$A$44</x:definedName>
    <x:definedName name="ItemListStartupRow" comment="Item List Start Up Row">Quote!$A$19</x:definedName>
    <x:definedName name="ItemSubTotal">'Quote'!$N$50</x:definedName>
    <x:definedName name="ItemSubTotalTitle">'Quote'!$J$50</x:definedName>
    <x:definedName name="LeadDay">Quote!$M$11</x:definedName>
    <x:definedName name="Lock">'Quote'!$M$52</x:definedName>
    <x:definedName name="LoggedInEmailID">'Quote'!$N$52</x:definedName>
    <x:definedName name="LoggedInPwd">'Quote'!$O$52</x:definedName>
    <x:definedName name="OtherCharges">'Quote'!$C$46</x:definedName>
    <x:definedName name="OtherChargesLastRow">'Quote'!$A$50</x:definedName>
    <x:definedName name="OtherChargesStartRow">'Quote'!$A$45</x:definedName>
    <x:definedName name="Port">'Quote'!$P$52</x:definedName>
    <x:definedName name="PortOfDelivery" comment="Port of Delivery">Quote!$M$9</x:definedName>
    <x:definedName name="PurchaserName">'Quote'!$J$52</x:definedName>
    <x:definedName name="QuoteBefore">Quote!$M$8</x:definedName>
    <x:definedName name="QuoteID">MasterData!$N$7</x:definedName>
    <x:definedName name="QuoteSubject">'Quote'!$E$52</x:definedName>
    <x:definedName name="Remarks">'Quote'!$E$54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'Quote'!$K$52</x:definedName>
    <x:definedName name="SentIndex">'Quote'!$L$52</x:definedName>
    <x:definedName name="Server">'Quote'!$Q$52</x:definedName>
    <x:definedName name="Terms">'Quote'!$A$58:$T$79</x:definedName>
    <x:definedName name="ToEmailID">'Quote'!$I$52</x:definedName>
    <x:definedName name="ToEmailPwd">'Quote'!$H$52</x:definedName>
    <x:definedName name="VAL">'Quote'!$F$52</x:definedName>
    <x:definedName name="VAT_All">Quote!$M$16</x:definedName>
    <x:definedName name="Vendor_ID" comment="Vendor ID">'Quote'!$B$52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'Quote'!$D$52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'Quote'!$E$55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'Quote'!$N$20:$N$20,'Quote'!$N$23:$N$23,'Quote'!$N$26:$N$26,'Quote'!$N$29:$N$29,'Quote'!$N$32:$N$32,'Quote'!$N$35:$N$35,'Quote'!$N$38:$N$38,'Quote'!$N$41:$N$41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5" i="1"/>
  <x:c r="N38" i="1"/>
  <x:c r="N41" i="1"/>
  <x:c r="N46" i="1"/>
  <x:c r="N47" i="1"/>
  <x:c r="N48" i="1"/>
  <x:c r="N49" i="1"/>
  <x:c r="N50" i="1"/>
  <x:c r="N51" i="1"/>
</x:calcChain>
</file>

<file path=xl/sharedStrings.xml><?xml version="1.0" encoding="utf-8"?>
<x:sst xmlns:x="http://schemas.openxmlformats.org/spreadsheetml/2006/main" count="172" uniqueCount="172">
  <x:si>
    <x:t>RFQ</x:t>
  </x:si>
  <x:si>
    <x:t>Request for Quote</x:t>
  </x:si>
  <x:si>
    <x:t>Invoice To</x:t>
  </x:si>
  <x:si>
    <x:t>Bernhard Schulte Shipmanagement (Singapore) Pte. Ltd.
Invoice To:  MASTER  &amp; OWNER OF KOKUKA GLORIOUS,
              REGD. OWNER: GLORIOUS &amp; KSK (PANAMA) S.A.,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</x:si>
  <x:si>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</x:si>
  <x:si>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Kokuka Glorious</x:t>
  </x:si>
  <x:si>
    <x:t>RFQ No.</x:t>
  </x:si>
  <x:si>
    <x:t>KGLS/O0113/RF17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</x:si>
  <x:si>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</x:si>
  <x:si>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</x:si>
  <x:si>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</x:si>
  <x:si>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</x:si>
  <x:si>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</x:si>
  <x:si>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</x:si>
  <x:si>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</x:si>
  <x:si>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</x:si>
  <x:si>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</x:si>
  <x:si>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</x:si>
  <x:si>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</x:si>
  <x:si>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</x:si>
  <x:si>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</x:si>
  <x:si>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</x:si>
  <x:si>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</x:si>
  <x:si>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</x:si>
  <x:si>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</x:si>
  <x:si>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</x:si>
  <x:si>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</x:si>
  <x:si>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</x:si>
  <x:si>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</x:si>
  <x:si>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</x:si>
  <x:si>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</x:si>
  <x:si>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</x:si>
  <x:si>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</x:si>
  <x:si>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</x:si>
  <x:si>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</x:si>
  <x:si>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</x:si>
  <x:si>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</x:si>
  <x:si>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</x:si>
  <x:si>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</x:si>
  <x:si>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</x:si>
  <x:si>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</x:si>
  <x:si>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ADVANCED ANTI-SOIL ULTRAFILTRATION MEMBRANE MODEL:CSUF-5040 / FLUX: 0.5M3PER HR</x:t>
  </x:si>
  <x:si>
    <x:t>SET</x:t>
  </x:si>
  <x:si>
    <x:t>See attachment</x:t>
  </x:si>
  <x:si>
    <x:t>Equipment Name:</x:t>
  </x:si>
  <x:si>
    <x:t>580.99.01.01-SPARE PARTS FOR BIOLOGICAL SEWAGE SYSTEM</x:t>
  </x:si>
  <x:si>
    <x:t>Serial No:</x:t>
  </x:si>
  <x:si>
    <x:t>Maker:</x:t>
  </x:si>
  <x:si>
    <x:t>Drawing No:</x:t>
  </x:si>
  <x:si>
    <x:t>WCBx-30-00</x:t>
  </x:si>
  <x:si>
    <x:t>SOLENOID VALVE 
 NORMALLY OPEN / VOLT: 220V</x:t>
  </x:si>
  <x:si>
    <x:t>ZS-15H</x:t>
  </x:si>
  <x:si>
    <x:t>SOLENOID VALVE  NORMALLY CLOSED / VOLT: 220V</x:t>
  </x:si>
  <x:si>
    <x:t>ZS-15</x:t>
  </x:si>
  <x:si>
    <x:t>PCS</x:t>
  </x:si>
  <x:si>
    <x:t>SEAL  CAP</x:t>
  </x:si>
  <x:si>
    <x:t>580.99.05.01-SPARE PARTS FOR STERILIZER</x:t>
  </x:si>
  <x:si>
    <x:t>DRAWING 3</x:t>
  </x:si>
  <x:si>
    <x:t>GASKET</x:t>
  </x:si>
  <x:si>
    <x:t>SEAL RING</x:t>
  </x:si>
  <x:si>
    <x:t>1SET ( 4 TYPES EACH)See attachment</x:t>
  </x:si>
  <x:si>
    <x:t>SEAL MANDREL</x:t>
  </x:si>
  <x:si>
    <x:t>QUARTS TUBE</x:t>
  </x:si>
  <x:si>
    <x:t>1 set 3 quare tubesSee attachment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</x:si>
  <x:si>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</x:si>
  <x:si>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</x:si>
  <x:si>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</x:si>
  <x:si>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</x:si>
  <x:si>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</x:si>
  <x:si>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</x:si>
  <x:si>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</x:si>
  <x:si>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</x:si>
  <x:si>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</x:si>
  <x:si>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</x:si>
  <x:si>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The sewage plant membrane was clogged up, sterilizer tube was over due for replacement and the solenoeid valve that was installed was wrong function.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</x:si>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</x:sst>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5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8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42951.5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5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99990010915505</x:v>
      </x:c>
      <x:c r="C20" s="227" t="n">
        <x:v>2406355</x:v>
      </x:c>
      <x:c r="D20" s="228" t="s">
        <x:v>41</x:v>
      </x:c>
      <x:c r="E20" s="229" t="s"/>
      <x:c r="F20" s="229" t="n">
        <x:v>2406355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300" t="s"/>
      <x:c r="J21" s="301" t="s"/>
      <x:c r="K21" s="302" t="s"/>
      <x:c r="L21" s="300" t="s"/>
      <x:c r="M21" s="300" t="s"/>
      <x:c r="N21" s="234" t="s"/>
      <x:c r="O21" s="230" t="s"/>
      <x:c r="P21" s="303" t="s"/>
      <x:c r="Q21" s="304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300" t="s"/>
      <x:c r="J22" s="301" t="s"/>
      <x:c r="K22" s="302" t="s"/>
      <x:c r="L22" s="300" t="s"/>
      <x:c r="M22" s="300" t="s"/>
      <x:c r="N22" s="234" t="s"/>
      <x:c r="O22" s="230" t="s"/>
      <x:c r="P22" s="303" t="s"/>
      <x:c r="Q22" s="304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99990010915507</x:v>
      </x:c>
      <x:c r="C23" s="227" t="n">
        <x:v>2406357</x:v>
      </x:c>
      <x:c r="D23" s="299" t="s">
        <x:v>50</x:v>
      </x:c>
      <x:c r="E23" s="229" t="s"/>
      <x:c r="F23" s="229" t="s">
        <x:v>51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>
        <x:v>43</x:v>
      </x:c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99" t="s">
        <x:v>45</x:v>
      </x:c>
      <x:c r="E24" s="229" t="s"/>
      <x:c r="F24" s="229" t="s">
        <x:v>46</x:v>
      </x:c>
      <x:c r="G24" s="229" t="s"/>
      <x:c r="H24" s="230" t="s"/>
      <x:c r="I24" s="300" t="s"/>
      <x:c r="J24" s="301" t="s"/>
      <x:c r="K24" s="302" t="s"/>
      <x:c r="L24" s="300" t="s"/>
      <x:c r="M24" s="300" t="s"/>
      <x:c r="N24" s="234" t="s"/>
      <x:c r="O24" s="230" t="s"/>
      <x:c r="P24" s="303" t="s"/>
      <x:c r="Q24" s="304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99" t="s"/>
      <x:c r="E25" s="229" t="s"/>
      <x:c r="F25" s="229" t="s">
        <x:v>48</x:v>
      </x:c>
      <x:c r="G25" s="229" t="s">
        <x:v>49</x:v>
      </x:c>
      <x:c r="H25" s="230" t="s"/>
      <x:c r="I25" s="300" t="s"/>
      <x:c r="J25" s="301" t="s"/>
      <x:c r="K25" s="302" t="s"/>
      <x:c r="L25" s="300" t="s"/>
      <x:c r="M25" s="300" t="s"/>
      <x:c r="N25" s="234" t="s"/>
      <x:c r="O25" s="230" t="s"/>
      <x:c r="P25" s="303" t="s"/>
      <x:c r="Q25" s="304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99990010915509</x:v>
      </x:c>
      <x:c r="C26" s="227" t="n">
        <x:v>2406359</x:v>
      </x:c>
      <x:c r="D26" s="228" t="s">
        <x:v>52</x:v>
      </x:c>
      <x:c r="E26" s="229" t="s"/>
      <x:c r="F26" s="229" t="s">
        <x:v>53</x:v>
      </x:c>
      <x:c r="G26" s="229" t="s">
        <x:v>54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>
        <x:v>43</x:v>
      </x:c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44</x:v>
      </x:c>
      <x:c r="D27" s="228" t="s">
        <x:v>45</x:v>
      </x:c>
      <x:c r="E27" s="229" t="s"/>
      <x:c r="F27" s="229" t="s">
        <x:v>46</x:v>
      </x:c>
      <x:c r="G27" s="229" t="s"/>
      <x:c r="H27" s="230" t="s"/>
      <x:c r="I27" s="300" t="s"/>
      <x:c r="J27" s="301" t="s"/>
      <x:c r="K27" s="302" t="s"/>
      <x:c r="L27" s="300" t="s"/>
      <x:c r="M27" s="300" t="s"/>
      <x:c r="N27" s="234" t="s"/>
      <x:c r="O27" s="230" t="s"/>
      <x:c r="P27" s="303" t="s"/>
      <x:c r="Q27" s="304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47</x:v>
      </x:c>
      <x:c r="D28" s="228" t="s"/>
      <x:c r="E28" s="229" t="s"/>
      <x:c r="F28" s="229" t="s">
        <x:v>48</x:v>
      </x:c>
      <x:c r="G28" s="229" t="s">
        <x:v>49</x:v>
      </x:c>
      <x:c r="H28" s="230" t="s"/>
      <x:c r="I28" s="300" t="s"/>
      <x:c r="J28" s="301" t="s"/>
      <x:c r="K28" s="302" t="s"/>
      <x:c r="L28" s="300" t="s"/>
      <x:c r="M28" s="300" t="s"/>
      <x:c r="N28" s="234" t="s"/>
      <x:c r="O28" s="230" t="s"/>
      <x:c r="P28" s="303" t="s"/>
      <x:c r="Q28" s="304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99990010915514</x:v>
      </x:c>
      <x:c r="C29" s="227" t="n">
        <x:v>2406364</x:v>
      </x:c>
      <x:c r="D29" s="228" t="s">
        <x:v>55</x:v>
      </x:c>
      <x:c r="E29" s="229" t="s"/>
      <x:c r="F29" s="229" t="n">
        <x:v>2406364</x:v>
      </x:c>
      <x:c r="G29" s="229" t="s">
        <x:v>54</x:v>
      </x:c>
      <x:c r="H29" s="230" t="n">
        <x:v>0</x:v>
      </x:c>
      <x:c r="I29" s="231" t="n">
        <x:v>2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>
        <x:v>43</x:v>
      </x:c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44</x:v>
      </x:c>
      <x:c r="D30" s="228" t="s">
        <x:v>56</x:v>
      </x:c>
      <x:c r="E30" s="229" t="s"/>
      <x:c r="F30" s="229" t="s">
        <x:v>46</x:v>
      </x:c>
      <x:c r="G30" s="229" t="s"/>
      <x:c r="H30" s="230" t="s"/>
      <x:c r="I30" s="300" t="s"/>
      <x:c r="J30" s="301" t="s"/>
      <x:c r="K30" s="302" t="s"/>
      <x:c r="L30" s="300" t="s"/>
      <x:c r="M30" s="300" t="s"/>
      <x:c r="N30" s="234" t="s"/>
      <x:c r="O30" s="230" t="s"/>
      <x:c r="P30" s="303" t="s"/>
      <x:c r="Q30" s="304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47</x:v>
      </x:c>
      <x:c r="D31" s="228" t="s"/>
      <x:c r="E31" s="229" t="s"/>
      <x:c r="F31" s="229" t="s">
        <x:v>48</x:v>
      </x:c>
      <x:c r="G31" s="229" t="s">
        <x:v>57</x:v>
      </x:c>
      <x:c r="H31" s="230" t="s"/>
      <x:c r="I31" s="300" t="s"/>
      <x:c r="J31" s="301" t="s"/>
      <x:c r="K31" s="302" t="s"/>
      <x:c r="L31" s="300" t="s"/>
      <x:c r="M31" s="300" t="s"/>
      <x:c r="N31" s="234" t="s"/>
      <x:c r="O31" s="230" t="s"/>
      <x:c r="P31" s="303" t="s"/>
      <x:c r="Q31" s="304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99990010915518</x:v>
      </x:c>
      <x:c r="C32" s="227" t="n">
        <x:v>2406368</x:v>
      </x:c>
      <x:c r="D32" s="228" t="s">
        <x:v>58</x:v>
      </x:c>
      <x:c r="E32" s="229" t="s"/>
      <x:c r="F32" s="229" t="n">
        <x:v>2406368</x:v>
      </x:c>
      <x:c r="G32" s="229" t="s">
        <x:v>54</x:v>
      </x:c>
      <x:c r="H32" s="230" t="n">
        <x:v>0</x:v>
      </x:c>
      <x:c r="I32" s="231" t="n">
        <x:v>2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>
        <x:v>43</x:v>
      </x:c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44</x:v>
      </x:c>
      <x:c r="D33" s="228" t="s">
        <x:v>56</x:v>
      </x:c>
      <x:c r="E33" s="229" t="s"/>
      <x:c r="F33" s="229" t="s">
        <x:v>46</x:v>
      </x:c>
      <x:c r="G33" s="229" t="s"/>
      <x:c r="H33" s="230" t="s"/>
      <x:c r="I33" s="300" t="s"/>
      <x:c r="J33" s="301" t="s"/>
      <x:c r="K33" s="302" t="s"/>
      <x:c r="L33" s="300" t="s"/>
      <x:c r="M33" s="300" t="s"/>
      <x:c r="N33" s="234" t="s"/>
      <x:c r="O33" s="230" t="s"/>
      <x:c r="P33" s="303" t="s"/>
      <x:c r="Q33" s="304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47</x:v>
      </x:c>
      <x:c r="D34" s="228" t="s"/>
      <x:c r="E34" s="229" t="s"/>
      <x:c r="F34" s="229" t="s">
        <x:v>48</x:v>
      </x:c>
      <x:c r="G34" s="229" t="s">
        <x:v>57</x:v>
      </x:c>
      <x:c r="H34" s="230" t="s"/>
      <x:c r="I34" s="300" t="s"/>
      <x:c r="J34" s="301" t="s"/>
      <x:c r="K34" s="302" t="s"/>
      <x:c r="L34" s="300" t="s"/>
      <x:c r="M34" s="300" t="s"/>
      <x:c r="N34" s="234" t="s"/>
      <x:c r="O34" s="230" t="s"/>
      <x:c r="P34" s="303" t="s"/>
      <x:c r="Q34" s="304" t="s"/>
      <x:c r="R34" s="237" t="s"/>
      <x:c r="S34" s="238" t="s"/>
      <x:c r="T34" s="239" t="s"/>
    </x:row>
    <x:row r="35" spans="1:24" customFormat="1" ht="24" customHeight="1" x14ac:dyDescent="0.2">
      <x:c r="A35" s="226" t="n">
        <x:v>6</x:v>
      </x:c>
      <x:c r="B35" s="226" t="n">
        <x:v>99990010915517</x:v>
      </x:c>
      <x:c r="C35" s="227" t="n">
        <x:v>2406367</x:v>
      </x:c>
      <x:c r="D35" s="228" t="s">
        <x:v>59</x:v>
      </x:c>
      <x:c r="E35" s="229" t="s"/>
      <x:c r="F35" s="229" t="n">
        <x:v>2406367</x:v>
      </x:c>
      <x:c r="G35" s="229" t="s">
        <x:v>42</x:v>
      </x:c>
      <x:c r="H35" s="230" t="n">
        <x:v>0</x:v>
      </x:c>
      <x:c r="I35" s="231" t="n">
        <x:v>2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>
        <x:v>60</x:v>
      </x:c>
      <x:c r="S35" s="238" t="s"/>
      <x:c r="T35" s="239" t="s"/>
    </x:row>
    <x:row r="36" spans="1:24" customFormat="1" ht="17" customHeight="1" x14ac:dyDescent="0.2">
      <x:c r="A36" s="226" t="s"/>
      <x:c r="B36" s="226" t="s"/>
      <x:c r="C36" s="227" t="s">
        <x:v>44</x:v>
      </x:c>
      <x:c r="D36" s="228" t="s">
        <x:v>56</x:v>
      </x:c>
      <x:c r="E36" s="229" t="s"/>
      <x:c r="F36" s="229" t="s">
        <x:v>46</x:v>
      </x:c>
      <x:c r="G36" s="229" t="s"/>
      <x:c r="H36" s="230" t="s"/>
      <x:c r="I36" s="300" t="s"/>
      <x:c r="J36" s="301" t="s"/>
      <x:c r="K36" s="302" t="s"/>
      <x:c r="L36" s="300" t="s"/>
      <x:c r="M36" s="300" t="s"/>
      <x:c r="N36" s="234" t="s"/>
      <x:c r="O36" s="230" t="s"/>
      <x:c r="P36" s="303" t="s"/>
      <x:c r="Q36" s="304" t="s"/>
      <x:c r="R36" s="237" t="s"/>
      <x:c r="S36" s="238" t="s"/>
      <x:c r="T36" s="239" t="s"/>
    </x:row>
    <x:row r="37" spans="1:24" customFormat="1" ht="17" customHeight="1" x14ac:dyDescent="0.2">
      <x:c r="A37" s="226" t="s"/>
      <x:c r="B37" s="226" t="s"/>
      <x:c r="C37" s="227" t="s">
        <x:v>47</x:v>
      </x:c>
      <x:c r="D37" s="228" t="s"/>
      <x:c r="E37" s="229" t="s"/>
      <x:c r="F37" s="229" t="s">
        <x:v>48</x:v>
      </x:c>
      <x:c r="G37" s="229" t="s">
        <x:v>57</x:v>
      </x:c>
      <x:c r="H37" s="230" t="s"/>
      <x:c r="I37" s="300" t="s"/>
      <x:c r="J37" s="301" t="s"/>
      <x:c r="K37" s="302" t="s"/>
      <x:c r="L37" s="300" t="s"/>
      <x:c r="M37" s="300" t="s"/>
      <x:c r="N37" s="234" t="s"/>
      <x:c r="O37" s="230" t="s"/>
      <x:c r="P37" s="303" t="s"/>
      <x:c r="Q37" s="304" t="s"/>
      <x:c r="R37" s="237" t="s"/>
      <x:c r="S37" s="238" t="s"/>
      <x:c r="T37" s="239" t="s"/>
    </x:row>
    <x:row r="38" spans="1:24" customFormat="1" ht="24" customHeight="1" x14ac:dyDescent="0.2">
      <x:c r="A38" s="226" t="n">
        <x:v>7</x:v>
      </x:c>
      <x:c r="B38" s="226" t="n">
        <x:v>99990010915521</x:v>
      </x:c>
      <x:c r="C38" s="227" t="n">
        <x:v>2406371</x:v>
      </x:c>
      <x:c r="D38" s="228" t="s">
        <x:v>61</x:v>
      </x:c>
      <x:c r="E38" s="229" t="s"/>
      <x:c r="F38" s="229" t="n">
        <x:v>2406371</x:v>
      </x:c>
      <x:c r="G38" s="229" t="s">
        <x:v>54</x:v>
      </x:c>
      <x:c r="H38" s="230" t="n">
        <x:v>0</x:v>
      </x:c>
      <x:c r="I38" s="231" t="n">
        <x:v>2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>
        <x:v>43</x:v>
      </x:c>
      <x:c r="S38" s="238" t="s"/>
      <x:c r="T38" s="239" t="s"/>
    </x:row>
    <x:row r="39" spans="1:24" customFormat="1" ht="17" customHeight="1" x14ac:dyDescent="0.2">
      <x:c r="A39" s="226" t="s"/>
      <x:c r="B39" s="226" t="s"/>
      <x:c r="C39" s="227" t="s">
        <x:v>44</x:v>
      </x:c>
      <x:c r="D39" s="228" t="s">
        <x:v>56</x:v>
      </x:c>
      <x:c r="E39" s="229" t="s"/>
      <x:c r="F39" s="229" t="s">
        <x:v>46</x:v>
      </x:c>
      <x:c r="G39" s="229" t="s"/>
      <x:c r="H39" s="230" t="s"/>
      <x:c r="I39" s="300" t="s"/>
      <x:c r="J39" s="301" t="s"/>
      <x:c r="K39" s="302" t="s"/>
      <x:c r="L39" s="300" t="s"/>
      <x:c r="M39" s="300" t="s"/>
      <x:c r="N39" s="234" t="s"/>
      <x:c r="O39" s="230" t="s"/>
      <x:c r="P39" s="303" t="s"/>
      <x:c r="Q39" s="304" t="s"/>
      <x:c r="R39" s="237" t="s"/>
      <x:c r="S39" s="238" t="s"/>
      <x:c r="T39" s="239" t="s"/>
    </x:row>
    <x:row r="40" spans="1:24" customFormat="1" ht="17" customHeight="1" x14ac:dyDescent="0.2">
      <x:c r="A40" s="226" t="s"/>
      <x:c r="B40" s="226" t="s"/>
      <x:c r="C40" s="227" t="s">
        <x:v>47</x:v>
      </x:c>
      <x:c r="D40" s="228" t="s"/>
      <x:c r="E40" s="229" t="s"/>
      <x:c r="F40" s="229" t="s">
        <x:v>48</x:v>
      </x:c>
      <x:c r="G40" s="229" t="s">
        <x:v>57</x:v>
      </x:c>
      <x:c r="H40" s="230" t="s"/>
      <x:c r="I40" s="300" t="s"/>
      <x:c r="J40" s="301" t="s"/>
      <x:c r="K40" s="302" t="s"/>
      <x:c r="L40" s="300" t="s"/>
      <x:c r="M40" s="300" t="s"/>
      <x:c r="N40" s="234" t="s"/>
      <x:c r="O40" s="230" t="s"/>
      <x:c r="P40" s="303" t="s"/>
      <x:c r="Q40" s="304" t="s"/>
      <x:c r="R40" s="237" t="s"/>
      <x:c r="S40" s="238" t="s"/>
      <x:c r="T40" s="239" t="s"/>
    </x:row>
    <x:row r="41" spans="1:24" customFormat="1" ht="24" customHeight="1" x14ac:dyDescent="0.2">
      <x:c r="A41" s="226" t="n">
        <x:v>8</x:v>
      </x:c>
      <x:c r="B41" s="226" t="n">
        <x:v>99990010915524</x:v>
      </x:c>
      <x:c r="C41" s="227" t="n">
        <x:v>2406374</x:v>
      </x:c>
      <x:c r="D41" s="228" t="s">
        <x:v>62</x:v>
      </x:c>
      <x:c r="E41" s="229" t="s"/>
      <x:c r="F41" s="229" t="n">
        <x:v>2406374</x:v>
      </x:c>
      <x:c r="G41" s="229" t="s">
        <x:v>42</x:v>
      </x:c>
      <x:c r="H41" s="230" t="n">
        <x:v>0</x:v>
      </x:c>
      <x:c r="I41" s="231" t="n">
        <x:v>1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>
        <x:v>63</x:v>
      </x:c>
      <x:c r="S41" s="238" t="s"/>
      <x:c r="T41" s="239" t="s"/>
    </x:row>
    <x:row r="42" spans="1:24" customFormat="1" ht="17" customHeight="1" x14ac:dyDescent="0.2">
      <x:c r="A42" s="226" t="s"/>
      <x:c r="B42" s="226" t="s"/>
      <x:c r="C42" s="227" t="s">
        <x:v>44</x:v>
      </x:c>
      <x:c r="D42" s="228" t="s">
        <x:v>56</x:v>
      </x:c>
      <x:c r="E42" s="229" t="s"/>
      <x:c r="F42" s="229" t="s">
        <x:v>46</x:v>
      </x:c>
      <x:c r="G42" s="229" t="s"/>
      <x:c r="H42" s="230" t="s"/>
      <x:c r="I42" s="300" t="s"/>
      <x:c r="J42" s="301" t="s"/>
      <x:c r="K42" s="302" t="s"/>
      <x:c r="L42" s="300" t="s"/>
      <x:c r="M42" s="300" t="s"/>
      <x:c r="N42" s="234" t="s"/>
      <x:c r="O42" s="230" t="s"/>
      <x:c r="P42" s="303" t="s"/>
      <x:c r="Q42" s="304" t="s"/>
      <x:c r="R42" s="237" t="s"/>
      <x:c r="S42" s="238" t="s"/>
      <x:c r="T42" s="239" t="s"/>
    </x:row>
    <x:row r="43" spans="1:24" customFormat="1" ht="17" customHeight="1" x14ac:dyDescent="0.2">
      <x:c r="A43" s="226" t="s"/>
      <x:c r="B43" s="226" t="s"/>
      <x:c r="C43" s="227" t="s">
        <x:v>47</x:v>
      </x:c>
      <x:c r="D43" s="228" t="s"/>
      <x:c r="E43" s="229" t="s"/>
      <x:c r="F43" s="229" t="s">
        <x:v>48</x:v>
      </x:c>
      <x:c r="G43" s="229" t="s">
        <x:v>57</x:v>
      </x:c>
      <x:c r="H43" s="230" t="s"/>
      <x:c r="I43" s="300" t="s"/>
      <x:c r="J43" s="301" t="s"/>
      <x:c r="K43" s="302" t="s"/>
      <x:c r="L43" s="300" t="s"/>
      <x:c r="M43" s="300" t="s"/>
      <x:c r="N43" s="234" t="s"/>
      <x:c r="O43" s="230" t="s"/>
      <x:c r="P43" s="303" t="s"/>
      <x:c r="Q43" s="304" t="s"/>
      <x:c r="R43" s="237" t="s"/>
      <x:c r="S43" s="238" t="s"/>
      <x:c r="T43" s="239" t="s"/>
    </x:row>
    <x:row r="44" spans="1:24" customFormat="1" ht="15" customHeight="1" x14ac:dyDescent="0.2">
      <x:c r="A44" s="32" t="s"/>
      <x:c r="B44" s="295" t="s"/>
      <x:c r="C44" s="296" t="s"/>
      <x:c r="D44" s="296" t="s"/>
      <x:c r="E44" s="296" t="s"/>
      <x:c r="F44" s="296" t="s"/>
      <x:c r="G44" s="296" t="s"/>
      <x:c r="H44" s="297" t="s"/>
      <x:c r="I44" s="297" t="s"/>
      <x:c r="J44" s="297" t="s"/>
      <x:c r="K44" s="297" t="s"/>
      <x:c r="L44" s="297" t="s"/>
      <x:c r="M44" s="297" t="s"/>
      <x:c r="N44" s="297" t="s"/>
      <x:c r="O44" s="297" t="s"/>
      <x:c r="P44" s="297" t="s"/>
      <x:c r="Q44" s="297" t="s"/>
      <x:c r="R44" s="297" t="s"/>
      <x:c r="S44" s="297" t="s"/>
      <x:c r="T44" s="298" t="s"/>
    </x:row>
    <x:row r="45" spans="1:24" customFormat="1" ht="12.75" customHeight="1" x14ac:dyDescent="0.2">
      <x:c r="A45" s="289" t="s">
        <x:v>29</x:v>
      </x:c>
      <x:c r="B45" s="289" t="s"/>
      <x:c r="C45" s="290" t="s">
        <x:v>64</x:v>
      </x:c>
      <x:c r="D45" s="291" t="s"/>
      <x:c r="E45" s="291" t="s"/>
      <x:c r="F45" s="291" t="s"/>
      <x:c r="G45" s="291" t="s"/>
      <x:c r="H45" s="291" t="s"/>
      <x:c r="I45" s="292" t="s"/>
      <x:c r="J45" s="292" t="s">
        <x:v>65</x:v>
      </x:c>
      <x:c r="K45" s="292" t="s"/>
      <x:c r="L45" s="292" t="s">
        <x:v>36</x:v>
      </x:c>
      <x:c r="M45" s="292" t="s">
        <x:v>37</x:v>
      </x:c>
      <x:c r="N45" s="293" t="s">
        <x:v>66</x:v>
      </x:c>
      <x:c r="O45" s="294" t="s">
        <x:v>39</x:v>
      </x:c>
      <x:c r="P45" s="294" t="s"/>
      <x:c r="Q45" s="294" t="s"/>
      <x:c r="R45" s="294" t="s"/>
      <x:c r="S45" s="294" t="s"/>
      <x:c r="T45" s="225" t="s"/>
    </x:row>
    <x:row r="46" spans="1:24" customFormat="1" ht="15" customHeight="1" x14ac:dyDescent="0.2">
      <x:c r="A46" s="269" t="n">
        <x:v>1</x:v>
      </x:c>
      <x:c r="B46" s="270" t="s"/>
      <x:c r="C46" s="271" t="s">
        <x:v>67</x:v>
      </x:c>
      <x:c r="D46" s="272" t="s">
        <x:v>67</x:v>
      </x:c>
      <x:c r="E46" s="272" t="s">
        <x:v>67</x:v>
      </x:c>
      <x:c r="F46" s="272" t="s">
        <x:v>67</x:v>
      </x:c>
      <x:c r="G46" s="272" t="s">
        <x:v>67</x:v>
      </x:c>
      <x:c r="H46" s="273" t="s">
        <x:v>67</x:v>
      </x:c>
      <x:c r="I46" s="274" t="s"/>
      <x:c r="J46" s="275" t="n">
        <x:v>0</x:v>
      </x:c>
      <x:c r="K46" s="276" t="s"/>
      <x:c r="L46" s="277" t="n">
        <x:v>0</x:v>
      </x:c>
      <x:c r="M46" s="277" t="n">
        <x:v>0</x:v>
      </x:c>
      <x:c r="N46" s="285">
        <x:f>(J46 -(J46 *L46 /100)+((J46 -(J46 *L46 /100))*M46 /100))</x:f>
      </x:c>
      <x:c r="O46" s="286" t="s"/>
      <x:c r="P46" s="287" t="s"/>
      <x:c r="Q46" s="287" t="s"/>
      <x:c r="R46" s="287" t="s"/>
      <x:c r="S46" s="288" t="s"/>
      <x:c r="T46" s="283" t="s"/>
    </x:row>
    <x:row r="47" spans="1:24" customFormat="1" ht="15" customHeight="1" x14ac:dyDescent="0.2">
      <x:c r="A47" s="269" t="n">
        <x:v>2</x:v>
      </x:c>
      <x:c r="B47" s="270" t="s"/>
      <x:c r="C47" s="271" t="s">
        <x:v>68</x:v>
      </x:c>
      <x:c r="D47" s="272" t="s">
        <x:v>68</x:v>
      </x:c>
      <x:c r="E47" s="272" t="s">
        <x:v>68</x:v>
      </x:c>
      <x:c r="F47" s="272" t="s">
        <x:v>68</x:v>
      </x:c>
      <x:c r="G47" s="272" t="s">
        <x:v>68</x:v>
      </x:c>
      <x:c r="H47" s="273" t="s">
        <x:v>68</x:v>
      </x:c>
      <x:c r="I47" s="284" t="s"/>
      <x:c r="J47" s="275" t="n">
        <x:v>0</x:v>
      </x:c>
      <x:c r="K47" s="276" t="s"/>
      <x:c r="L47" s="277" t="n">
        <x:v>0</x:v>
      </x:c>
      <x:c r="M47" s="277" t="n">
        <x:v>0</x:v>
      </x:c>
      <x:c r="N47" s="279">
        <x:f>(J47 -(J47 *L47 /100)+((J47 -(J47 *L47 /100))*M47 /100))</x:f>
      </x:c>
      <x:c r="O47" s="280" t="s"/>
      <x:c r="P47" s="281" t="s"/>
      <x:c r="Q47" s="281" t="s"/>
      <x:c r="R47" s="281" t="s"/>
      <x:c r="S47" s="282" t="s"/>
      <x:c r="T47" s="283" t="s"/>
    </x:row>
    <x:row r="48" spans="1:24" customFormat="1" ht="15" customHeight="1" x14ac:dyDescent="0.2">
      <x:c r="A48" s="269" t="n">
        <x:v>3</x:v>
      </x:c>
      <x:c r="B48" s="270" t="s"/>
      <x:c r="C48" s="271" t="s"/>
      <x:c r="D48" s="272" t="s"/>
      <x:c r="E48" s="272" t="s"/>
      <x:c r="F48" s="272" t="s"/>
      <x:c r="G48" s="272" t="s"/>
      <x:c r="H48" s="273" t="s"/>
      <x:c r="I48" s="274" t="s"/>
      <x:c r="J48" s="275" t="n">
        <x:v>0</x:v>
      </x:c>
      <x:c r="K48" s="276" t="s"/>
      <x:c r="L48" s="277" t="n">
        <x:v>0</x:v>
      </x:c>
      <x:c r="M48" s="277" t="n">
        <x:v>0</x:v>
      </x:c>
      <x:c r="N48" s="279">
        <x:f>(J48 -(J48 *L48 /100)+((J48 -(J48 *L48 /100))*M48 /100))</x:f>
      </x:c>
      <x:c r="O48" s="280" t="s"/>
      <x:c r="P48" s="281" t="s"/>
      <x:c r="Q48" s="281" t="s"/>
      <x:c r="R48" s="281" t="s"/>
      <x:c r="S48" s="282" t="s"/>
      <x:c r="T48" s="283" t="s"/>
    </x:row>
    <x:row r="49" spans="1:24" customFormat="1" ht="15.75" customHeight="1" x14ac:dyDescent="0.2">
      <x:c r="A49" s="269" t="n">
        <x:v>4</x:v>
      </x:c>
      <x:c r="B49" s="270" t="s"/>
      <x:c r="C49" s="271" t="s"/>
      <x:c r="D49" s="272" t="s"/>
      <x:c r="E49" s="272" t="s"/>
      <x:c r="F49" s="272" t="s"/>
      <x:c r="G49" s="272" t="s"/>
      <x:c r="H49" s="273" t="s"/>
      <x:c r="I49" s="274" t="s"/>
      <x:c r="J49" s="275" t="n">
        <x:v>0</x:v>
      </x:c>
      <x:c r="K49" s="276" t="s"/>
      <x:c r="L49" s="277" t="n">
        <x:v>0</x:v>
      </x:c>
      <x:c r="M49" s="278" t="n">
        <x:v>0</x:v>
      </x:c>
      <x:c r="N49" s="279">
        <x:f>(J49 -(J49 *L49 /100)+((J49 -(J49 *L49 /100))*M49 /100))</x:f>
      </x:c>
      <x:c r="O49" s="280" t="s"/>
      <x:c r="P49" s="281" t="s"/>
      <x:c r="Q49" s="281" t="s"/>
      <x:c r="R49" s="281" t="s"/>
      <x:c r="S49" s="282" t="s"/>
      <x:c r="T49" s="283" t="s"/>
    </x:row>
    <x:row r="50" spans="1:24" customFormat="1" ht="15.95" customHeight="1" x14ac:dyDescent="0.2">
      <x:c r="A50" s="247" t="s"/>
      <x:c r="B50" s="247" t="s"/>
      <x:c r="C50" s="248" t="s"/>
      <x:c r="D50" s="248" t="s"/>
      <x:c r="J50" s="58" t="s">
        <x:v>69</x:v>
      </x:c>
      <x:c r="K50" s="59" t="s"/>
      <x:c r="L50" s="58" t="s"/>
      <x:c r="M50" s="59" t="s"/>
      <x:c r="N50" s="264">
        <x:f>SUM(ItmPrice)</x:f>
      </x:c>
      <x:c r="O50" s="267" t="s"/>
      <x:c r="P50" s="268" t="s"/>
    </x:row>
    <x:row r="51" spans="1:24" customFormat="1" ht="15" customHeight="1" x14ac:dyDescent="0.2">
      <x:c r="A51" s="247" t="s"/>
      <x:c r="B51" s="247" t="s"/>
      <x:c r="C51" s="248" t="s"/>
      <x:c r="D51" s="248" t="s"/>
      <x:c r="J51" s="123" t="s">
        <x:v>70</x:v>
      </x:c>
      <x:c r="K51" s="124" t="s"/>
      <x:c r="L51" s="124" t="s"/>
      <x:c r="M51" s="125" t="s"/>
      <x:c r="N51" s="264">
        <x:f>SUM(N46:N50)</x:f>
      </x:c>
      <x:c r="O51" s="265" t="s"/>
      <x:c r="P51" s="266" t="s"/>
    </x:row>
    <x:row r="52" spans="1:24" customFormat="1" ht="2.25" hidden="1" customHeight="1" x14ac:dyDescent="0.2">
      <x:c r="A52" s="258" t="n">
        <x:v>0</x:v>
      </x:c>
      <x:c r="B52" s="258" t="n">
        <x:v>0</x:v>
      </x:c>
      <x:c r="C52" s="259" t="n">
        <x:v>0</x:v>
      </x:c>
      <x:c r="D52" s="248" t="s"/>
      <x:c r="E52" s="248" t="s"/>
      <x:c r="F52" s="260" t="n">
        <x:v>1</x:v>
      </x:c>
      <x:c r="G52" s="248" t="s"/>
      <x:c r="H52" s="248" t="s"/>
      <x:c r="I52" s="248" t="s"/>
      <x:c r="J52" s="248" t="s"/>
      <x:c r="K52" s="261" t="s"/>
      <x:c r="L52" s="262" t="n">
        <x:v>0</x:v>
      </x:c>
      <x:c r="M52" s="263" t="n">
        <x:v>0</x:v>
      </x:c>
      <x:c r="N52" s="162" t="s">
        <x:v>71</x:v>
      </x:c>
      <x:c r="O52" s="257" t="s"/>
      <x:c r="P52" s="263" t="n">
        <x:v>995</x:v>
      </x:c>
      <x:c r="Q52" s="248" t="s">
        <x:v>72</x:v>
      </x:c>
      <x:c r="R52" s="248" t="s"/>
      <x:c r="S52" s="248" t="s"/>
    </x:row>
    <x:row r="53" spans="1:24" customFormat="1" ht="18.75" customHeight="1" x14ac:dyDescent="0.2">
      <x:c r="A53" s="247" t="s"/>
      <x:c r="B53" s="247" t="s"/>
      <x:c r="C53" s="247" t="s"/>
      <x:c r="H53" s="257" t="s"/>
      <x:c r="J53" s="248" t="s"/>
      <x:c r="K53" s="248" t="s"/>
      <x:c r="L53" s="248" t="s"/>
      <x:c r="M53" s="248" t="s"/>
      <x:c r="N53" s="248" t="s"/>
      <x:c r="O53" s="248" t="s"/>
      <x:c r="P53" s="248" t="s"/>
      <x:c r="R53" s="248" t="s"/>
      <x:c r="S53" s="248" t="s"/>
    </x:row>
    <x:row r="54" spans="1:24" customFormat="1" ht="127.5" customHeight="1" x14ac:dyDescent="0.2">
      <x:c r="A54" s="249" t="s">
        <x:v>73</x:v>
      </x:c>
      <x:c r="B54" s="249" t="s"/>
      <x:c r="C54" s="249" t="s"/>
      <x:c r="D54" s="250" t="s"/>
      <x:c r="E54" s="254" t="s">
        <x:v>74</x:v>
      </x:c>
      <x:c r="F54" s="255" t="s"/>
      <x:c r="G54" s="255" t="s"/>
      <x:c r="H54" s="255" t="s"/>
      <x:c r="I54" s="255" t="s"/>
      <x:c r="J54" s="255" t="s"/>
      <x:c r="K54" s="255" t="s"/>
      <x:c r="L54" s="255" t="s"/>
      <x:c r="M54" s="255" t="s"/>
      <x:c r="N54" s="255" t="s"/>
      <x:c r="O54" s="255" t="s"/>
      <x:c r="P54" s="255" t="s"/>
      <x:c r="Q54" s="255" t="s"/>
      <x:c r="R54" s="255" t="s"/>
      <x:c r="S54" s="255" t="s"/>
      <x:c r="T54" s="256" t="s"/>
    </x:row>
    <x:row r="55" spans="1:24" customFormat="1" ht="129.75" customHeight="1" x14ac:dyDescent="0.2">
      <x:c r="A55" s="249" t="s">
        <x:v>39</x:v>
      </x:c>
      <x:c r="B55" s="249" t="s"/>
      <x:c r="C55" s="249" t="s"/>
      <x:c r="D55" s="250" t="s"/>
      <x:c r="E55" s="251" t="s"/>
      <x:c r="F55" s="252" t="s"/>
      <x:c r="G55" s="252" t="s"/>
      <x:c r="H55" s="252" t="s"/>
      <x:c r="I55" s="252" t="s"/>
      <x:c r="J55" s="252" t="s"/>
      <x:c r="K55" s="252" t="s"/>
      <x:c r="L55" s="252" t="s"/>
      <x:c r="M55" s="252" t="s"/>
      <x:c r="N55" s="252" t="s"/>
      <x:c r="O55" s="252" t="s"/>
      <x:c r="P55" s="252" t="s"/>
      <x:c r="Q55" s="252" t="s"/>
      <x:c r="R55" s="252" t="s"/>
      <x:c r="S55" s="252" t="s"/>
      <x:c r="T55" s="253" t="s"/>
    </x:row>
    <x:row r="56" spans="1:24" customFormat="1" ht="15.95" customHeight="1" x14ac:dyDescent="0.2">
      <x:c r="A56" s="247" t="s"/>
      <x:c r="B56" s="247" t="s"/>
      <x:c r="C56" s="247" t="s"/>
      <x:c r="H56" s="248" t="s"/>
      <x:c r="I56" s="248" t="s"/>
      <x:c r="J56" s="248" t="s"/>
      <x:c r="K56" s="248" t="s"/>
      <x:c r="L56" s="248" t="s"/>
      <x:c r="M56" s="248" t="s"/>
      <x:c r="N56" s="248" t="s"/>
      <x:c r="O56" s="248" t="s"/>
      <x:c r="P56" s="248" t="s"/>
      <x:c r="Q56" s="248" t="s"/>
      <x:c r="R56" s="248" t="s"/>
      <x:c r="S56" s="248" t="s"/>
    </x:row>
    <x:row r="57" spans="1:24" customFormat="1" ht="15.95" customHeight="1" x14ac:dyDescent="0.2">
      <x:c r="A57" s="245" t="s">
        <x:v>75</x:v>
      </x:c>
      <x:c r="B57" s="245" t="s"/>
      <x:c r="C57" s="245" t="s"/>
      <x:c r="D57" s="245" t="s"/>
      <x:c r="E57" s="245" t="s"/>
      <x:c r="F57" s="245" t="s"/>
      <x:c r="G57" s="245" t="s"/>
      <x:c r="H57" s="245" t="s"/>
      <x:c r="I57" s="245" t="s"/>
      <x:c r="J57" s="245" t="s"/>
      <x:c r="K57" s="245" t="s"/>
      <x:c r="L57" s="245" t="s"/>
      <x:c r="M57" s="245" t="s"/>
      <x:c r="N57" s="245" t="s"/>
      <x:c r="O57" s="245" t="s"/>
      <x:c r="P57" s="245" t="s"/>
      <x:c r="Q57" s="245" t="s"/>
      <x:c r="R57" s="245" t="s"/>
      <x:c r="S57" s="245" t="s"/>
      <x:c r="T57" s="246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7.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7.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7.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12.75" customHeight="1">
      <x:c r="A72" s="243" t="s"/>
      <x:c r="B72" s="243" t="s"/>
      <x:c r="C72" s="243" t="s"/>
      <x:c r="D72" s="243" t="s"/>
      <x:c r="E72" s="243" t="s"/>
      <x:c r="F72" s="243" t="s"/>
      <x:c r="G72" s="243" t="s"/>
      <x:c r="H72" s="243" t="s"/>
      <x:c r="I72" s="243" t="s"/>
      <x:c r="J72" s="243" t="s"/>
      <x:c r="K72" s="243" t="s"/>
      <x:c r="L72" s="243" t="s"/>
      <x:c r="M72" s="243" t="s"/>
      <x:c r="N72" s="243" t="s"/>
      <x:c r="O72" s="243" t="s"/>
      <x:c r="P72" s="243" t="s"/>
      <x:c r="Q72" s="243" t="s"/>
      <x:c r="R72" s="243" t="s"/>
      <x:c r="S72" s="243" t="s"/>
      <x:c r="T72" s="244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12.75" customHeight="1">
      <x:c r="A74" s="243" t="s"/>
      <x:c r="B74" s="243" t="s"/>
      <x:c r="C74" s="243" t="s"/>
      <x:c r="D74" s="243" t="s"/>
      <x:c r="E74" s="243" t="s"/>
      <x:c r="F74" s="243" t="s"/>
      <x:c r="G74" s="243" t="s"/>
      <x:c r="H74" s="243" t="s"/>
      <x:c r="I74" s="243" t="s"/>
      <x:c r="J74" s="243" t="s"/>
      <x:c r="K74" s="243" t="s"/>
      <x:c r="L74" s="243" t="s"/>
      <x:c r="M74" s="243" t="s"/>
      <x:c r="N74" s="243" t="s"/>
      <x:c r="O74" s="243" t="s"/>
      <x:c r="P74" s="243" t="s"/>
      <x:c r="Q74" s="243" t="s"/>
      <x:c r="R74" s="243" t="s"/>
      <x:c r="S74" s="243" t="s"/>
      <x:c r="T74" s="244" t="s"/>
    </x:row>
    <x:row r="75" spans="1:24" customFormat="1" ht="12.75" customHeight="1">
      <x:c r="A75" s="243" t="s"/>
      <x:c r="B75" s="243" t="s"/>
      <x:c r="C75" s="243" t="s"/>
      <x:c r="D75" s="243" t="s"/>
      <x:c r="E75" s="243" t="s"/>
      <x:c r="F75" s="243" t="s"/>
      <x:c r="G75" s="243" t="s"/>
      <x:c r="H75" s="243" t="s"/>
      <x:c r="I75" s="243" t="s"/>
      <x:c r="J75" s="243" t="s"/>
      <x:c r="K75" s="243" t="s"/>
      <x:c r="L75" s="243" t="s"/>
      <x:c r="M75" s="243" t="s"/>
      <x:c r="N75" s="243" t="s"/>
      <x:c r="O75" s="243" t="s"/>
      <x:c r="P75" s="243" t="s"/>
      <x:c r="Q75" s="243" t="s"/>
      <x:c r="R75" s="243" t="s"/>
      <x:c r="S75" s="243" t="s"/>
      <x:c r="T75" s="244" t="s"/>
    </x:row>
    <x:row r="76" spans="1:24" customFormat="1" ht="12.75" customHeight="1">
      <x:c r="A76" s="243" t="s"/>
      <x:c r="B76" s="243" t="s"/>
      <x:c r="C76" s="243" t="s"/>
      <x:c r="D76" s="243" t="s"/>
      <x:c r="E76" s="243" t="s"/>
      <x:c r="F76" s="243" t="s"/>
      <x:c r="G76" s="243" t="s"/>
      <x:c r="H76" s="243" t="s"/>
      <x:c r="I76" s="243" t="s"/>
      <x:c r="J76" s="243" t="s"/>
      <x:c r="K76" s="243" t="s"/>
      <x:c r="L76" s="243" t="s"/>
      <x:c r="M76" s="243" t="s"/>
      <x:c r="N76" s="243" t="s"/>
      <x:c r="O76" s="243" t="s"/>
      <x:c r="P76" s="243" t="s"/>
      <x:c r="Q76" s="243" t="s"/>
      <x:c r="R76" s="243" t="s"/>
      <x:c r="S76" s="243" t="s"/>
      <x:c r="T76" s="244" t="s"/>
    </x:row>
    <x:row r="77" spans="1:24" customFormat="1" ht="7.5" customHeight="1">
      <x:c r="A77" s="243" t="s"/>
      <x:c r="B77" s="243" t="s"/>
      <x:c r="C77" s="243" t="s"/>
      <x:c r="D77" s="243" t="s"/>
      <x:c r="E77" s="243" t="s"/>
      <x:c r="F77" s="243" t="s"/>
      <x:c r="G77" s="243" t="s"/>
      <x:c r="H77" s="243" t="s"/>
      <x:c r="I77" s="243" t="s"/>
      <x:c r="J77" s="243" t="s"/>
      <x:c r="K77" s="243" t="s"/>
      <x:c r="L77" s="243" t="s"/>
      <x:c r="M77" s="243" t="s"/>
      <x:c r="N77" s="243" t="s"/>
      <x:c r="O77" s="243" t="s"/>
      <x:c r="P77" s="243" t="s"/>
      <x:c r="Q77" s="243" t="s"/>
      <x:c r="R77" s="243" t="s"/>
      <x:c r="S77" s="243" t="s"/>
      <x:c r="T77" s="244" t="s"/>
    </x:row>
    <x:row r="78" spans="1:24" customFormat="1" ht="12.75" customHeight="1">
      <x:c r="A78" s="243" t="s"/>
      <x:c r="B78" s="243" t="s"/>
      <x:c r="C78" s="243" t="s"/>
      <x:c r="D78" s="243" t="s"/>
      <x:c r="E78" s="243" t="s"/>
      <x:c r="F78" s="243" t="s"/>
      <x:c r="G78" s="243" t="s"/>
      <x:c r="H78" s="243" t="s"/>
      <x:c r="I78" s="243" t="s"/>
      <x:c r="J78" s="243" t="s"/>
      <x:c r="K78" s="243" t="s"/>
      <x:c r="L78" s="243" t="s"/>
      <x:c r="M78" s="243" t="s"/>
      <x:c r="N78" s="243" t="s"/>
      <x:c r="O78" s="243" t="s"/>
      <x:c r="P78" s="243" t="s"/>
      <x:c r="Q78" s="243" t="s"/>
      <x:c r="R78" s="243" t="s"/>
      <x:c r="S78" s="243" t="s"/>
      <x:c r="T78" s="244" t="s"/>
    </x:row>
    <x:row r="79" spans="1:24" customFormat="1" ht="12.75" customHeight="1">
      <x:c r="A79" s="243" t="s"/>
      <x:c r="B79" s="243" t="s"/>
      <x:c r="C79" s="243" t="s"/>
      <x:c r="D79" s="243" t="s"/>
      <x:c r="E79" s="243" t="s"/>
      <x:c r="F79" s="243" t="s"/>
      <x:c r="G79" s="243" t="s"/>
      <x:c r="H79" s="243" t="s"/>
      <x:c r="I79" s="243" t="s"/>
      <x:c r="J79" s="243" t="s"/>
      <x:c r="K79" s="243" t="s"/>
      <x:c r="L79" s="243" t="s"/>
      <x:c r="M79" s="243" t="s"/>
      <x:c r="N79" s="243" t="s"/>
      <x:c r="O79" s="243" t="s"/>
      <x:c r="P79" s="243" t="s"/>
      <x:c r="Q79" s="243" t="s"/>
      <x:c r="R79" s="243" t="s"/>
      <x:c r="S79" s="243" t="s"/>
      <x:c r="T79" s="244" t="s"/>
    </x:row>
    <x:row r="80" spans="1:24" customFormat="1" ht="12.75" customHeight="1">
      <x:c r="A80" s="241" t="s"/>
      <x:c r="B80" s="241" t="s"/>
      <x:c r="C80" s="241" t="s"/>
      <x:c r="D80" s="241" t="s"/>
      <x:c r="E80" s="241" t="s"/>
      <x:c r="F80" s="241" t="s"/>
      <x:c r="G80" s="241" t="s"/>
      <x:c r="H80" s="241" t="s"/>
      <x:c r="I80" s="241" t="s"/>
      <x:c r="J80" s="241" t="s"/>
      <x:c r="K80" s="241" t="s"/>
      <x:c r="L80" s="241" t="s"/>
      <x:c r="M80" s="241" t="s"/>
      <x:c r="N80" s="241" t="s"/>
      <x:c r="O80" s="241" t="s"/>
      <x:c r="P80" s="241" t="s"/>
      <x:c r="Q80" s="241" t="s"/>
      <x:c r="R80" s="241" t="s"/>
      <x:c r="S80" s="241" t="s"/>
      <x:c r="T80" s="242" t="s"/>
    </x:row>
    <x:row r="81" spans="1:24">
      <x:c r="A81" s="240" t="s">
        <x:v>76</x:v>
      </x:c>
      <x:c r="B81" s="240" t="s"/>
      <x:c r="C81" s="240" t="s"/>
      <x:c r="D81" s="240" t="s"/>
      <x:c r="E81" s="240" t="s"/>
      <x:c r="F81" s="240" t="s"/>
      <x:c r="G81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89">
    <x:mergeCell ref="E54:S54"/>
    <x:mergeCell ref="E55:S55"/>
    <x:mergeCell ref="E57:S57"/>
    <x:mergeCell ref="A58:S79"/>
    <x:mergeCell ref="A80:S80"/>
    <x:mergeCell ref="A54:D54"/>
    <x:mergeCell ref="A55:D55"/>
    <x:mergeCell ref="K1:R1"/>
    <x:mergeCell ref="R19:S19"/>
    <x:mergeCell ref="R20:S20"/>
    <x:mergeCell ref="O46:S46"/>
    <x:mergeCell ref="O47:S47"/>
    <x:mergeCell ref="O45:S45"/>
    <x:mergeCell ref="J45:K45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50:P50"/>
    <x:mergeCell ref="O51:P51"/>
    <x:mergeCell ref="J51:M51"/>
    <x:mergeCell ref="O48:S48"/>
    <x:mergeCell ref="O49:S49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45:H45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D35:E35"/>
    <x:mergeCell ref="J35:K35"/>
    <x:mergeCell ref="D36:E36"/>
    <x:mergeCell ref="D38:E38"/>
    <x:mergeCell ref="J38:K38"/>
    <x:mergeCell ref="D39:E39"/>
    <x:mergeCell ref="D41:E41"/>
    <x:mergeCell ref="J41:K41"/>
    <x:mergeCell ref="D42:E42"/>
    <x:mergeCell ref="C46:H46"/>
    <x:mergeCell ref="J46:K46"/>
    <x:mergeCell ref="C47:H47"/>
    <x:mergeCell ref="J47:K47"/>
    <x:mergeCell ref="C48:H48"/>
    <x:mergeCell ref="J48:K48"/>
    <x:mergeCell ref="C49:H49"/>
    <x:mergeCell ref="J49:K49"/>
  </x:mergeCells>
  <x:phoneticPr fontId="3" type="noConversion"/>
  <x:dataValidations count="41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46:H4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7:H4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8:H4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9:H49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67</x:v>
      </x:c>
      <x:c r="M1" s="306" t="s">
        <x:v>77</x:v>
      </x:c>
      <x:c r="N1" s="307" t="s">
        <x:v>0</x:v>
      </x:c>
      <x:c r="O1" s="162" t="s">
        <x:v>78</x:v>
      </x:c>
    </x:row>
    <x:row r="2" spans="1:15" x14ac:dyDescent="0.2">
      <x:c r="G2" s="162" t="n">
        <x:v>1001310</x:v>
      </x:c>
      <x:c r="H2" s="162" t="s">
        <x:v>68</x:v>
      </x:c>
      <x:c r="M2" s="306" t="s">
        <x:v>79</x:v>
      </x:c>
      <x:c r="N2" s="307" t="n">
        <x:v>1020115531</x:v>
      </x:c>
      <x:c r="O2" s="162" t="s">
        <x:v>80</x:v>
      </x:c>
    </x:row>
    <x:row r="3" spans="1:15" x14ac:dyDescent="0.2">
      <x:c r="G3" s="162" t="n">
        <x:v>1001352</x:v>
      </x:c>
      <x:c r="H3" s="162" t="s">
        <x:v>64</x:v>
      </x:c>
      <x:c r="M3" s="306" t="s">
        <x:v>81</x:v>
      </x:c>
      <x:c r="N3" s="307" t="n">
        <x:v>99990000270494</x:v>
      </x:c>
      <x:c r="O3" s="162" t="s">
        <x:v>82</x:v>
      </x:c>
    </x:row>
    <x:row r="4" spans="1:15" x14ac:dyDescent="0.2">
      <x:c r="G4" s="162" t="n">
        <x:v>1012729</x:v>
      </x:c>
      <x:c r="H4" s="162" t="s">
        <x:v>83</x:v>
      </x:c>
      <x:c r="M4" s="306" t="s">
        <x:v>84</x:v>
      </x:c>
      <x:c r="N4" s="307" t="n">
        <x:v>1020258507</x:v>
      </x:c>
      <x:c r="O4" s="162" t="s">
        <x:v>85</x:v>
      </x:c>
    </x:row>
    <x:row r="5" spans="1:15" x14ac:dyDescent="0.2">
      <x:c r="G5" s="162" t="n">
        <x:v>1012730</x:v>
      </x:c>
      <x:c r="H5" s="162" t="s">
        <x:v>86</x:v>
      </x:c>
      <x:c r="M5" s="306" t="s">
        <x:v>87</x:v>
      </x:c>
      <x:c r="N5" s="307" t="s"/>
      <x:c r="O5" s="162" t="s">
        <x:v>88</x:v>
      </x:c>
    </x:row>
    <x:row r="6" spans="1:15" x14ac:dyDescent="0.2">
      <x:c r="G6" s="162" t="n">
        <x:v>1012731</x:v>
      </x:c>
      <x:c r="H6" s="162" t="s">
        <x:v>89</x:v>
      </x:c>
      <x:c r="M6" s="306" t="s">
        <x:v>90</x:v>
      </x:c>
      <x:c r="N6" s="307" t="s">
        <x:v>91</x:v>
      </x:c>
      <x:c r="O6" s="162" t="s">
        <x:v>92</x:v>
      </x:c>
    </x:row>
    <x:row r="7" spans="1:15" x14ac:dyDescent="0.2">
      <x:c r="G7" s="162" t="n">
        <x:v>1012732</x:v>
      </x:c>
      <x:c r="H7" s="162" t="s">
        <x:v>93</x:v>
      </x:c>
      <x:c r="M7" s="306" t="s">
        <x:v>94</x:v>
      </x:c>
      <x:c r="N7" s="307" t="n">
        <x:v>0</x:v>
      </x:c>
      <x:c r="O7" s="162" t="s">
        <x:v>95</x:v>
      </x:c>
    </x:row>
    <x:row r="8" spans="1:15" x14ac:dyDescent="0.2">
      <x:c r="G8" s="162" t="n">
        <x:v>1012733</x:v>
      </x:c>
      <x:c r="H8" s="162" t="s">
        <x:v>96</x:v>
      </x:c>
      <x:c r="O8" s="162" t="s">
        <x:v>97</x:v>
      </x:c>
    </x:row>
    <x:row r="9" spans="1:15" x14ac:dyDescent="0.2">
      <x:c r="G9" s="162" t="n">
        <x:v>1012734</x:v>
      </x:c>
      <x:c r="H9" s="162" t="s">
        <x:v>98</x:v>
      </x:c>
      <x:c r="O9" s="162" t="s">
        <x:v>99</x:v>
      </x:c>
    </x:row>
    <x:row r="10" spans="1:15" x14ac:dyDescent="0.2">
      <x:c r="G10" s="162" t="n">
        <x:v>1012735</x:v>
      </x:c>
      <x:c r="H10" s="162" t="s">
        <x:v>100</x:v>
      </x:c>
      <x:c r="O10" s="162" t="s">
        <x:v>101</x:v>
      </x:c>
    </x:row>
    <x:row r="11" spans="1:15" x14ac:dyDescent="0.2">
      <x:c r="G11" s="162" t="n">
        <x:v>1012736</x:v>
      </x:c>
      <x:c r="H11" s="162" t="s">
        <x:v>102</x:v>
      </x:c>
      <x:c r="O11" s="162" t="s">
        <x:v>103</x:v>
      </x:c>
    </x:row>
    <x:row r="12" spans="1:15" x14ac:dyDescent="0.2">
      <x:c r="G12" s="162" t="n">
        <x:v>1012737</x:v>
      </x:c>
      <x:c r="H12" s="162" t="s">
        <x:v>104</x:v>
      </x:c>
      <x:c r="O12" s="162" t="s">
        <x:v>105</x:v>
      </x:c>
    </x:row>
    <x:row r="13" spans="1:15" x14ac:dyDescent="0.2">
      <x:c r="G13" s="162" t="n">
        <x:v>1012738</x:v>
      </x:c>
      <x:c r="H13" s="162" t="s">
        <x:v>106</x:v>
      </x:c>
      <x:c r="O13" s="162" t="s">
        <x:v>107</x:v>
      </x:c>
    </x:row>
    <x:row r="14" spans="1:15" x14ac:dyDescent="0.2">
      <x:c r="G14" s="162" t="n">
        <x:v>1012739</x:v>
      </x:c>
      <x:c r="H14" s="162" t="s">
        <x:v>108</x:v>
      </x:c>
      <x:c r="O14" s="162" t="s">
        <x:v>109</x:v>
      </x:c>
    </x:row>
    <x:row r="15" spans="1:15" x14ac:dyDescent="0.2">
      <x:c r="G15" s="162" t="n">
        <x:v>1012740</x:v>
      </x:c>
      <x:c r="H15" s="162" t="s">
        <x:v>110</x:v>
      </x:c>
      <x:c r="O15" s="162" t="s">
        <x:v>111</x:v>
      </x:c>
    </x:row>
    <x:row r="16" spans="1:15" x14ac:dyDescent="0.2">
      <x:c r="G16" s="162" t="n">
        <x:v>1012741</x:v>
      </x:c>
      <x:c r="H16" s="162" t="s">
        <x:v>112</x:v>
      </x:c>
      <x:c r="O16" s="162" t="s">
        <x:v>113</x:v>
      </x:c>
    </x:row>
    <x:row r="17" spans="1:15" x14ac:dyDescent="0.2">
      <x:c r="G17" s="162" t="n">
        <x:v>1012742</x:v>
      </x:c>
      <x:c r="H17" s="162" t="s">
        <x:v>114</x:v>
      </x:c>
      <x:c r="O17" s="162" t="s">
        <x:v>115</x:v>
      </x:c>
    </x:row>
    <x:row r="18" spans="1:15" x14ac:dyDescent="0.2">
      <x:c r="G18" s="162" t="n">
        <x:v>1012743</x:v>
      </x:c>
      <x:c r="H18" s="162" t="s">
        <x:v>116</x:v>
      </x:c>
      <x:c r="O18" s="162" t="s">
        <x:v>117</x:v>
      </x:c>
    </x:row>
    <x:row r="19" spans="1:15" x14ac:dyDescent="0.2">
      <x:c r="G19" s="162" t="n">
        <x:v>1012744</x:v>
      </x:c>
      <x:c r="H19" s="162" t="s">
        <x:v>118</x:v>
      </x:c>
      <x:c r="O19" s="162" t="s">
        <x:v>119</x:v>
      </x:c>
    </x:row>
    <x:row r="20" spans="1:15" x14ac:dyDescent="0.2">
      <x:c r="G20" s="162" t="n">
        <x:v>1012745</x:v>
      </x:c>
      <x:c r="H20" s="162" t="s">
        <x:v>120</x:v>
      </x:c>
      <x:c r="O20" s="162" t="s">
        <x:v>121</x:v>
      </x:c>
    </x:row>
    <x:row r="21" spans="1:15" x14ac:dyDescent="0.2">
      <x:c r="O21" s="162" t="s">
        <x:v>122</x:v>
      </x:c>
    </x:row>
    <x:row r="22" spans="1:15" x14ac:dyDescent="0.2">
      <x:c r="O22" s="162" t="s">
        <x:v>123</x:v>
      </x:c>
    </x:row>
    <x:row r="23" spans="1:15" x14ac:dyDescent="0.2">
      <x:c r="O23" s="162" t="s">
        <x:v>124</x:v>
      </x:c>
    </x:row>
    <x:row r="24" spans="1:15" x14ac:dyDescent="0.2">
      <x:c r="O24" s="162" t="s">
        <x:v>125</x:v>
      </x:c>
    </x:row>
    <x:row r="25" spans="1:15" x14ac:dyDescent="0.2">
      <x:c r="O25" s="162" t="s">
        <x:v>126</x:v>
      </x:c>
    </x:row>
    <x:row r="26" spans="1:15" x14ac:dyDescent="0.2">
      <x:c r="O26" s="162" t="s">
        <x:v>127</x:v>
      </x:c>
    </x:row>
    <x:row r="27" spans="1:15" x14ac:dyDescent="0.2">
      <x:c r="O27" s="162" t="s">
        <x:v>128</x:v>
      </x:c>
    </x:row>
    <x:row r="28" spans="1:15" x14ac:dyDescent="0.2">
      <x:c r="O28" s="162" t="s">
        <x:v>129</x:v>
      </x:c>
    </x:row>
    <x:row r="29" spans="1:15" x14ac:dyDescent="0.2">
      <x:c r="O29" s="162" t="s">
        <x:v>130</x:v>
      </x:c>
    </x:row>
    <x:row r="30" spans="1:15" x14ac:dyDescent="0.2">
      <x:c r="O30" s="162" t="s">
        <x:v>131</x:v>
      </x:c>
    </x:row>
    <x:row r="31" spans="1:15" x14ac:dyDescent="0.2">
      <x:c r="O31" s="162" t="s">
        <x:v>132</x:v>
      </x:c>
    </x:row>
    <x:row r="32" spans="1:15" x14ac:dyDescent="0.2">
      <x:c r="O32" s="162" t="s">
        <x:v>133</x:v>
      </x:c>
    </x:row>
    <x:row r="33" spans="1:15" x14ac:dyDescent="0.2">
      <x:c r="O33" s="162" t="s">
        <x:v>134</x:v>
      </x:c>
    </x:row>
    <x:row r="34" spans="1:15" x14ac:dyDescent="0.2">
      <x:c r="O34" s="162" t="s">
        <x:v>135</x:v>
      </x:c>
    </x:row>
    <x:row r="35" spans="1:15" x14ac:dyDescent="0.2">
      <x:c r="O35" s="162" t="s">
        <x:v>136</x:v>
      </x:c>
    </x:row>
    <x:row r="36" spans="1:15" x14ac:dyDescent="0.2">
      <x:c r="O36" s="162" t="s">
        <x:v>137</x:v>
      </x:c>
    </x:row>
    <x:row r="37" spans="1:15" x14ac:dyDescent="0.2">
      <x:c r="O37" s="162" t="s">
        <x:v>138</x:v>
      </x:c>
    </x:row>
    <x:row r="38" spans="1:15" x14ac:dyDescent="0.2">
      <x:c r="O38" s="162" t="s">
        <x:v>139</x:v>
      </x:c>
    </x:row>
    <x:row r="39" spans="1:15" x14ac:dyDescent="0.2">
      <x:c r="O39" s="162" t="s">
        <x:v>140</x:v>
      </x:c>
    </x:row>
    <x:row r="40" spans="1:15" x14ac:dyDescent="0.2">
      <x:c r="O40" s="162" t="s">
        <x:v>141</x:v>
      </x:c>
    </x:row>
    <x:row r="41" spans="1:15" x14ac:dyDescent="0.2">
      <x:c r="O41" s="162" t="s">
        <x:v>142</x:v>
      </x:c>
    </x:row>
    <x:row r="42" spans="1:15" x14ac:dyDescent="0.2">
      <x:c r="O42" s="162" t="s">
        <x:v>143</x:v>
      </x:c>
    </x:row>
    <x:row r="43" spans="1:15" x14ac:dyDescent="0.2">
      <x:c r="O43" s="162" t="s">
        <x:v>144</x:v>
      </x:c>
    </x:row>
    <x:row r="44" spans="1:15" x14ac:dyDescent="0.2">
      <x:c r="O44" s="162" t="s">
        <x:v>145</x:v>
      </x:c>
    </x:row>
    <x:row r="45" spans="1:15" x14ac:dyDescent="0.2">
      <x:c r="O45" s="162" t="s">
        <x:v>146</x:v>
      </x:c>
    </x:row>
    <x:row r="46" spans="1:15" x14ac:dyDescent="0.2">
      <x:c r="O46" s="162" t="s">
        <x:v>147</x:v>
      </x:c>
    </x:row>
    <x:row r="47" spans="1:15" x14ac:dyDescent="0.2">
      <x:c r="O47" s="162" t="s">
        <x:v>148</x:v>
      </x:c>
    </x:row>
    <x:row r="48" spans="1:15" x14ac:dyDescent="0.2">
      <x:c r="O48" s="162" t="s">
        <x:v>149</x:v>
      </x:c>
    </x:row>
    <x:row r="49" spans="1:15" x14ac:dyDescent="0.2">
      <x:c r="O49" s="162" t="s">
        <x:v>150</x:v>
      </x:c>
    </x:row>
    <x:row r="50" spans="1:15" x14ac:dyDescent="0.2">
      <x:c r="O50" s="162" t="s">
        <x:v>151</x:v>
      </x:c>
    </x:row>
    <x:row r="51" spans="1:15" x14ac:dyDescent="0.2">
      <x:c r="O51" s="162" t="s">
        <x:v>152</x:v>
      </x:c>
    </x:row>
    <x:row r="52" spans="1:15" x14ac:dyDescent="0.2">
      <x:c r="O52" s="162" t="s">
        <x:v>153</x:v>
      </x:c>
    </x:row>
    <x:row r="53" spans="1:15" x14ac:dyDescent="0.2">
      <x:c r="O53" s="162" t="s">
        <x:v>154</x:v>
      </x:c>
    </x:row>
    <x:row r="54" spans="1:15" x14ac:dyDescent="0.2">
      <x:c r="O54" s="162" t="s">
        <x:v>155</x:v>
      </x:c>
    </x:row>
    <x:row r="55" spans="1:15" x14ac:dyDescent="0.2">
      <x:c r="O55" s="162" t="s">
        <x:v>156</x:v>
      </x:c>
    </x:row>
    <x:row r="56" spans="1:15" x14ac:dyDescent="0.2">
      <x:c r="O56" s="162" t="s">
        <x:v>157</x:v>
      </x:c>
    </x:row>
    <x:row r="57" spans="1:15" x14ac:dyDescent="0.2">
      <x:c r="O57" s="162" t="s">
        <x:v>158</x:v>
      </x:c>
    </x:row>
    <x:row r="58" spans="1:15" x14ac:dyDescent="0.2">
      <x:c r="O58" s="162" t="s">
        <x:v>159</x:v>
      </x:c>
    </x:row>
    <x:row r="59" spans="1:15" x14ac:dyDescent="0.2">
      <x:c r="O59" s="162" t="s">
        <x:v>160</x:v>
      </x:c>
    </x:row>
    <x:row r="60" spans="1:15" x14ac:dyDescent="0.2">
      <x:c r="O60" s="162" t="s">
        <x:v>161</x:v>
      </x:c>
    </x:row>
    <x:row r="61" spans="1:15" x14ac:dyDescent="0.2">
      <x:c r="O61" s="162" t="s">
        <x:v>162</x:v>
      </x:c>
    </x:row>
    <x:row r="62" spans="1:15" x14ac:dyDescent="0.2">
      <x:c r="O62" s="162" t="s">
        <x:v>163</x:v>
      </x:c>
    </x:row>
    <x:row r="63" spans="1:15" x14ac:dyDescent="0.2">
      <x:c r="O63" s="162" t="s">
        <x:v>164</x:v>
      </x:c>
    </x:row>
    <x:row r="64" spans="1:15" x14ac:dyDescent="0.2">
      <x:c r="O64" s="162" t="s">
        <x:v>165</x:v>
      </x:c>
    </x:row>
    <x:row r="65" spans="1:15" x14ac:dyDescent="0.2">
      <x:c r="O65" s="162" t="s">
        <x:v>166</x:v>
      </x:c>
    </x:row>
    <x:row r="66" spans="1:15" x14ac:dyDescent="0.2">
      <x:c r="O66" s="162" t="s">
        <x:v>167</x:v>
      </x:c>
    </x:row>
    <x:row r="67" spans="1:15" x14ac:dyDescent="0.2">
      <x:c r="O67" s="162" t="s">
        <x:v>168</x:v>
      </x:c>
    </x:row>
    <x:row r="68" spans="1:15" x14ac:dyDescent="0.2">
      <x:c r="O68" s="162" t="s">
        <x:v>169</x:v>
      </x:c>
    </x:row>
    <x:row r="69" spans="1:15" x14ac:dyDescent="0.2">
      <x:c r="O69" s="162" t="s">
        <x:v>170</x:v>
      </x:c>
    </x:row>
    <x:row r="70" spans="1:15" x14ac:dyDescent="0.2">
      <x:c r="O70" s="162" t="s">
        <x:v>171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2017-07-25T04:58:10.3656241Z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