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'Quote'!$A$1:$R$146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'Quote'!$A$127</x:definedName>
    <x:definedName name="Enquiry_To_Vendor_ID" comment="Enquiry to Vendor ID">'Quote'!$C$127</x:definedName>
    <x:definedName name="GrandTotal">'Quote'!$N$126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'Quote'!$A$119</x:definedName>
    <x:definedName name="ItemListStartupRow" comment="Item List Start Up Row">Quote!$A$19</x:definedName>
    <x:definedName name="ItemSubTotal">'Quote'!$N$125</x:definedName>
    <x:definedName name="ItemSubTotalTitle">'Quote'!$J$125</x:definedName>
    <x:definedName name="LeadDay">Quote!$M$11</x:definedName>
    <x:definedName name="Lock">'Quote'!$M$127</x:definedName>
    <x:definedName name="LoggedInEmailID">'Quote'!$N$127</x:definedName>
    <x:definedName name="LoggedInPwd">'Quote'!$O$127</x:definedName>
    <x:definedName name="OtherCharges">'Quote'!$C$121</x:definedName>
    <x:definedName name="OtherChargesLastRow">'Quote'!$A$125</x:definedName>
    <x:definedName name="OtherChargesStartRow">'Quote'!$A$120</x:definedName>
    <x:definedName name="Port">'Quote'!$P$127</x:definedName>
    <x:definedName name="PortOfDelivery" comment="Port of Delivery">Quote!$M$9</x:definedName>
    <x:definedName name="PurchaserName">'Quote'!$J$127</x:definedName>
    <x:definedName name="QuoteBefore">Quote!$M$8</x:definedName>
    <x:definedName name="QuoteID">MasterData!$N$7</x:definedName>
    <x:definedName name="QuoteSubject">'Quote'!$E$127</x:definedName>
    <x:definedName name="Remarks">'Quote'!$E$129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'Quote'!$K$127</x:definedName>
    <x:definedName name="SentIndex">'Quote'!$L$127</x:definedName>
    <x:definedName name="Server">'Quote'!$Q$127</x:definedName>
    <x:definedName name="Terms">'Quote'!$A$133:$T$154</x:definedName>
    <x:definedName name="ToEmailID">'Quote'!$I$127</x:definedName>
    <x:definedName name="ToEmailPwd">'Quote'!$H$127</x:definedName>
    <x:definedName name="VAL">'Quote'!$F$127</x:definedName>
    <x:definedName name="VAT_All">Quote!$M$16</x:definedName>
    <x:definedName name="Vendor_ID" comment="Vendor ID">'Quote'!$B$127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'Quote'!$D$127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'Quote'!$E$130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,'Quote'!$N$27:$N$27,'Quote'!$N$28:$N$28,'Quote'!$N$29:$N$29,'Quote'!$N$30:$N$30,'Quote'!$N$31:$N$31,'Quote'!$N$32:$N$32,'Quote'!$N$33:$N$33,'Quote'!$N$34:$N$34,'Quote'!$N$35:$N$35,'Quote'!$N$36:$N$36,'Quote'!$N$37:$N$37,'Quote'!$N$38:$N$38,'Quote'!$N$39:$N$39,'Quote'!$N$40:$N$40,'Quote'!$N$41:$N$41,'Quote'!$N$42:$N$42,'Quote'!$N$43:$N$43,'Quote'!$N$44:$N$44,'Quote'!$N$45:$N$45,'Quote'!$N$46:$N$46,'Quote'!$N$47:$N$47,'Quote'!$N$48:$N$48,'Quote'!$N$49:$N$49,'Quote'!$N$50:$N$50,'Quote'!$N$51:$N$51,'Quote'!$N$52:$N$52,'Quote'!$N$53:$N$53,'Quote'!$N$54:$N$54,'Quote'!$N$55:$N$55,'Quote'!$N$56:$N$56,'Quote'!$N$57:$N$57,'Quote'!$N$58:$N$58,'Quote'!$N$59:$N$59,'Quote'!$N$60:$N$60,'Quote'!$N$61:$N$61,'Quote'!$N$62:$N$62,'Quote'!$N$63:$N$63,'Quote'!$N$64:$N$64,'Quote'!$N$65:$N$65,'Quote'!$N$66:$N$66,'Quote'!$N$67:$N$67,'Quote'!$N$68:$N$68,'Quote'!$N$69:$N$69,'Quote'!$N$70:$N$70,'Quote'!$N$71:$N$71,'Quote'!$N$72:$N$72,'Quote'!$N$73:$N$73,'Quote'!$N$74:$N$74,'Quote'!$N$75:$N$75,'Quote'!$N$76:$N$76,'Quote'!$N$77:$N$77,'Quote'!$N$78:$N$78,'Quote'!$N$79:$N$79,'Quote'!$N$80:$N$80,'Quote'!$N$81:$N$81,'Quote'!$N$82:$N$82,'Quote'!$N$83:$N$83,'Quote'!$N$84:$N$84,'Quote'!$N$85:$N$85,'Quote'!$N$86:$N$86,'Quote'!$N$87:$N$87,'Quote'!$N$88:$N$88,'Quote'!$N$89:$N$89,'Quote'!$N$90:$N$90,'Quote'!$N$91:$N$91,'Quote'!$N$92:$N$92,'Quote'!$N$93:$N$93,'Quote'!$N$94:$N$94,'Quote'!$N$95:$N$95,'Quote'!$N$96:$N$96,'Quote'!$N$97:$N$97,'Quote'!$N$98:$N$98,'Quote'!$N$99:$N$99,'Quote'!$N$100:$N$100,'Quote'!$N$101:$N$101,'Quote'!$N$102:$N$102,'Quote'!$N$103:$N$103,'Quote'!$N$104:$N$104,'Quote'!$N$105:$N$105,'Quote'!$N$106:$N$106,'Quote'!$N$107:$N$107,'Quote'!$N$108:$N$108,'Quote'!$N$109:$N$109,'Quote'!$N$110:$N$110,'Quote'!$N$111:$N$111,'Quote'!$N$112:$N$112,'Quote'!$N$113:$N$113,'Quote'!$N$114:$N$114,'Quote'!$N$115:$N$115,'Quote'!$N$116:$N$116,'Quote'!$N$117:$N$117,'Quote'!$N$118:$N$118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7" i="1"/>
  <x:c r="N28" i="1"/>
  <x:c r="N29" i="1"/>
  <x:c r="N30" i="1"/>
  <x:c r="N31" i="1"/>
  <x:c r="N32" i="1"/>
  <x:c r="N33" i="1"/>
  <x:c r="N34" i="1"/>
  <x:c r="N35" i="1"/>
  <x:c r="N36" i="1"/>
  <x:c r="N37" i="1"/>
  <x:c r="N38" i="1"/>
  <x:c r="N39" i="1"/>
  <x:c r="N40" i="1"/>
  <x:c r="N41" i="1"/>
  <x:c r="N42" i="1"/>
  <x:c r="N43" i="1"/>
  <x:c r="N44" i="1"/>
  <x:c r="N45" i="1"/>
  <x:c r="N46" i="1"/>
  <x:c r="N47" i="1"/>
  <x:c r="N48" i="1"/>
  <x:c r="N49" i="1"/>
  <x:c r="N50" i="1"/>
  <x:c r="N51" i="1"/>
  <x:c r="N52" i="1"/>
  <x:c r="N53" i="1"/>
  <x:c r="N54" i="1"/>
  <x:c r="N55" i="1"/>
  <x:c r="N56" i="1"/>
  <x:c r="N57" i="1"/>
  <x:c r="N58" i="1"/>
  <x:c r="N59" i="1"/>
  <x:c r="N60" i="1"/>
  <x:c r="N61" i="1"/>
  <x:c r="N62" i="1"/>
  <x:c r="N63" i="1"/>
  <x:c r="N64" i="1"/>
  <x:c r="N65" i="1"/>
  <x:c r="N66" i="1"/>
  <x:c r="N67" i="1"/>
  <x:c r="N68" i="1"/>
  <x:c r="N69" i="1"/>
  <x:c r="N70" i="1"/>
  <x:c r="N71" i="1"/>
  <x:c r="O71" i="1"/>
  <x:c r="N72" i="1"/>
  <x:c r="O72" i="1"/>
  <x:c r="N73" i="1"/>
  <x:c r="O73" i="1"/>
  <x:c r="N74" i="1"/>
  <x:c r="O74" i="1"/>
  <x:c r="N75" i="1"/>
  <x:c r="O75" i="1"/>
  <x:c r="N76" i="1"/>
  <x:c r="O76" i="1"/>
  <x:c r="N77" i="1"/>
  <x:c r="O77" i="1"/>
  <x:c r="N78" i="1"/>
  <x:c r="O78" i="1"/>
  <x:c r="N79" i="1"/>
  <x:c r="O79" i="1"/>
  <x:c r="N80" i="1"/>
  <x:c r="O80" i="1"/>
  <x:c r="N81" i="1"/>
  <x:c r="O81" i="1"/>
  <x:c r="N82" i="1"/>
  <x:c r="O82" i="1"/>
  <x:c r="N83" i="1"/>
  <x:c r="O83" i="1"/>
  <x:c r="N84" i="1"/>
  <x:c r="O84" i="1"/>
  <x:c r="N85" i="1"/>
  <x:c r="O85" i="1"/>
  <x:c r="N86" i="1"/>
  <x:c r="O86" i="1"/>
  <x:c r="N87" i="1"/>
  <x:c r="O87" i="1"/>
  <x:c r="N88" i="1"/>
  <x:c r="O88" i="1"/>
  <x:c r="N89" i="1"/>
  <x:c r="O89" i="1"/>
  <x:c r="N90" i="1"/>
  <x:c r="O90" i="1"/>
  <x:c r="N91" i="1"/>
  <x:c r="O91" i="1"/>
  <x:c r="N92" i="1"/>
  <x:c r="O92" i="1"/>
  <x:c r="N93" i="1"/>
  <x:c r="O93" i="1"/>
  <x:c r="N94" i="1"/>
  <x:c r="O94" i="1"/>
  <x:c r="N95" i="1"/>
  <x:c r="O95" i="1"/>
  <x:c r="N96" i="1"/>
  <x:c r="O96" i="1"/>
  <x:c r="N97" i="1"/>
  <x:c r="O97" i="1"/>
  <x:c r="N98" i="1"/>
  <x:c r="O98" i="1"/>
  <x:c r="N99" i="1"/>
  <x:c r="O99" i="1"/>
  <x:c r="N100" i="1"/>
  <x:c r="O100" i="1"/>
  <x:c r="N101" i="1"/>
  <x:c r="O101" i="1"/>
  <x:c r="N102" i="1"/>
  <x:c r="O102" i="1"/>
  <x:c r="N103" i="1"/>
  <x:c r="O103" i="1"/>
  <x:c r="N104" i="1"/>
  <x:c r="O104" i="1"/>
  <x:c r="N105" i="1"/>
  <x:c r="O105" i="1"/>
  <x:c r="N106" i="1"/>
  <x:c r="O106" i="1"/>
  <x:c r="N107" i="1"/>
  <x:c r="O107" i="1"/>
  <x:c r="N108" i="1"/>
  <x:c r="O108" i="1"/>
  <x:c r="N109" i="1"/>
  <x:c r="O109" i="1"/>
  <x:c r="N110" i="1"/>
  <x:c r="O110" i="1"/>
  <x:c r="N111" i="1"/>
  <x:c r="O111" i="1"/>
  <x:c r="N112" i="1"/>
  <x:c r="O112" i="1"/>
  <x:c r="N113" i="1"/>
  <x:c r="O113" i="1"/>
  <x:c r="N114" i="1"/>
  <x:c r="O114" i="1"/>
  <x:c r="N115" i="1"/>
  <x:c r="O115" i="1"/>
  <x:c r="N116" i="1"/>
  <x:c r="O116" i="1"/>
  <x:c r="N117" i="1"/>
  <x:c r="O117" i="1"/>
  <x:c r="N118" i="1"/>
  <x:c r="O118" i="1"/>
  <x:c r="N121" i="1"/>
  <x:c r="N122" i="1"/>
  <x:c r="N123" i="1"/>
  <x:c r="N124" i="1"/>
  <x:c r="N125" i="1"/>
  <x:c r="N126" i="1"/>
</x:calcChain>
</file>

<file path=xl/sharedStrings.xml><?xml version="1.0" encoding="utf-8"?>
<x:sst xmlns:x="http://schemas.openxmlformats.org/spreadsheetml/2006/main" count="251" uniqueCount="251">
  <x:si>
    <x:t>RFQ</x:t>
  </x:si>
  <x:si>
    <x:t>Request for Quote</x:t>
  </x:si>
  <x:si>
    <x:t>Invoice To</x:t>
  </x:si>
  <x:si>
    <x:t>Bernhard Schulte Shipmanagement (Singapore) Pte. Ltd.
Invoice To:  MASTER  &amp; OWNER OF TRUST AMITY,
             REGD. OWNER: TRUST ENERGY RESOURCES PTE LTD,
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</x:si>
  <x:si>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</x:si>
  <x:si>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Trust Amity</x:t>
  </x:si>
  <x:si>
    <x:t>RFQ No.</x:t>
  </x:si>
  <x:si>
    <x:t>AMY/O0032/RF17</x:t>
  </x:si>
  <x:si>
    <x:t>RFQ Date</x:t>
  </x:si>
  <x:si>
    <x:t>Req No(s)</x:t>
  </x:si>
  <x:si>
    <x:t>Submit Quote Before:</x:t>
  </x:si>
  <x:si>
    <x:t>Port of Delivery</x:t>
  </x:si>
  <x:si>
    <x:t>Rotterdam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</x:si>
  <x:si>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</x:si>
  <x:si>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</x:si>
  <x:si>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</x:si>
  <x:si>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</x:si>
  <x:si>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</x:si>
  <x:si>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</x:si>
  <x:si>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</x:si>
  <x:si>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</x:si>
  <x:si>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</x:si>
  <x:si>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</x:si>
  <x:si>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</x:si>
  <x:si>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</x:si>
  <x:si>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</x:si>
  <x:si>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</x:si>
  <x:si>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</x:si>
  <x:si>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</x:si>
  <x:si>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</x:si>
  <x:si>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</x:si>
  <x:si>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</x:si>
  <x:si>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</x:si>
  <x:si>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</x:si>
  <x:si>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</x:si>
  <x:si>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</x:si>
  <x:si>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</x:si>
  <x:si>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</x:si>
  <x:si>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</x:si>
  <x:si>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</x:si>
  <x:si>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</x:si>
  <x:si>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SAFETY SIGN GENERAL ALARM, 150X150MM</x:t>
  </x:si>
  <x:si>
    <x:t>PCS</x:t>
  </x:si>
  <x:si>
    <x:t>SAFETY SIGN RESUSCITATOR, 150X150MM</x:t>
  </x:si>
  <x:si>
    <x:t>FIRE EQUIPMENT SIGN, SAFETY PLAN 150X150MM</x:t>
  </x:si>
  <x:si>
    <x:t>SAFETY SIGN HELIDECK, 100X300MM</x:t>
  </x:si>
  <x:si>
    <x:t>SAFETY SIGN ESCAPE LADDER, 100X300MM</x:t>
  </x:si>
  <x:si>
    <x:t>SAFETY SIGN SAFETY EQUIPMENT, 100X300MM</x:t>
  </x:si>
  <x:si>
    <x:t>SAFETY SIGN 100X300MM, BREATHING APPARATUS</x:t>
  </x:si>
  <x:si>
    <x:t>SAFETY SIGN POLLUTION, CONTROL EQUIPMENT 100X300MM</x:t>
  </x:si>
  <x:si>
    <x:t>SAFETY SIGN EMERGENCY STOP, 100X300MM</x:t>
  </x:si>
  <x:si>
    <x:t>SAFETY SIGN EMERGENCY EYE WASH, 100X300MM</x:t>
  </x:si>
  <x:si>
    <x:t>SAFETY SIGN EMERGENCY EQPMNT, 100X300MM</x:t>
  </x:si>
  <x:si>
    <x:t>SAFETY SIGN FIRST AID, 200X150MM</x:t>
  </x:si>
  <x:si>
    <x:t>SAFETY SIGN EMERGENCY, TELEPHONE 150X150MM</x:t>
  </x:si>
  <x:si>
    <x:t>SAFETY SIGN EEBD, 150X150MM</x:t>
  </x:si>
  <x:si>
    <x:t>SAFETY SIGN MEDICAL LOCKER, 150X150MM</x:t>
  </x:si>
  <x:si>
    <x:t>SAFETY SIGN ANTI-EXPOSURE SUIT, 150X150MM</x:t>
  </x:si>
  <x:si>
    <x:t>SAFETY SIGN THERMAL PROTECTIVE, AID 150X150MM</x:t>
  </x:si>
  <x:si>
    <x:t>SAFETY SIGN STRETCHER, 150X150MM</x:t>
  </x:si>
  <x:si>
    <x:t>SAFETY SIGN ASSEMBLY STATION, 300X300MM</x:t>
  </x:si>
  <x:si>
    <x:t>SAFETY SIGN ASSEM STATION, 150X150MM</x:t>
  </x:si>
  <x:si>
    <x:t>SAFETY SIGN LINE-THROWING, APPLIANCE 150X150MM</x:t>
  </x:si>
  <x:si>
    <x:t>SAFETY SIGN ROCKET PARASHUTE, FLARES 150X150MM</x:t>
  </x:si>
  <x:si>
    <x:t>SAFETY SIGN SURVIVAL CRAFT, DISTRESS SIGNAL 150X150MM</x:t>
  </x:si>
  <x:si>
    <x:t>SAFETY SIGN RADAR TRANSPONDER, 150X150MM</x:t>
  </x:si>
  <x:si>
    <x:t>SAFETY SIGN EPIRB, 150X150MM</x:t>
  </x:si>
  <x:si>
    <x:t>SAFETY SIGN SURVIVAL CRAFT, PORTABLE RADIO 150X150MM</x:t>
  </x:si>
  <x:si>
    <x:t>SAFETY SIGN IMMERSION SUIT, 150X150MM</x:t>
  </x:si>
  <x:si>
    <x:t>SAFETY SIGN LIFEJACKET, 150X150MM</x:t>
  </x:si>
  <x:si>
    <x:t>SAFETY SIGN LIFEBUOY WITH, LIGHT &amp; SMOKE 150X150MM</x:t>
  </x:si>
  <x:si>
    <x:t>SAFETY SIGN LIFEBUOY WITH, LIGHT 150X150MM</x:t>
  </x:si>
  <x:si>
    <x:t>SAFETY SIGN LIFEBUOY, 150X150MM</x:t>
  </x:si>
  <x:si>
    <x:t>SAFETY SIGN LIFEBUOY WITH LINE, 150X150MM</x:t>
  </x:si>
  <x:si>
    <x:t>SAFETY SIGN EMBARKATION LADDER, 150X150MM</x:t>
  </x:si>
  <x:si>
    <x:t>SAFETY SIGN DAVIT-LAUNCHED, LIFERAFT 150X150MM</x:t>
  </x:si>
  <x:si>
    <x:t>SAFETY SIGN LIFERAFT, 150X150MM</x:t>
  </x:si>
  <x:si>
    <x:t>SAFETY SIGN RESCUE BOAT, 150X150MM</x:t>
  </x:si>
  <x:si>
    <x:t>SAFETY SIGN  LIFEBOAT, 150X150MM</x:t>
  </x:si>
  <x:si>
    <x:t>FIRST AID SATCHEL, D.T.I. SCALE 1A COMPLETE</x:t>
  </x:si>
  <x:si>
    <x:t>SET</x:t>
  </x:si>
  <x:si>
    <x:t>ANTI-SEASICKNESS MEDICINE</x:t>
  </x:si>
  <x:si>
    <x:t>TAB</x:t>
  </x:si>
  <x:si>
    <x:t>POSTER MAN OVERBOARD, #1015W 480X330MM</x:t>
  </x:si>
  <x:si>
    <x:t>POSTER ENCLOSED SPACE &amp; TANK, RESCUE #1017W 480X330MM</x:t>
  </x:si>
  <x:si>
    <x:t>POSTER FAST RESCUE BOAT, OPERATION #1073W 480X330MM</x:t>
  </x:si>
  <x:si>
    <x:t>POSTER PREVENTING OIL SPILLS, #1008W 480X330MM</x:t>
  </x:si>
  <x:si>
    <x:t>POSTER DON'T THROW GARBAGE, OVERBOARD 297X210MM</x:t>
  </x:si>
  <x:si>
    <x:t>POSTER DRUGS WARNING, 297X210MM</x:t>
  </x:si>
  <x:si>
    <x:t>POSTER FIRE EXTINGUISHER TYPES, #1027Y 297X210MM</x:t>
  </x:si>
  <x:si>
    <x:t>SIGN WHITE VINYL SPECIAL, PROHIBITION #8570 100X300MM</x:t>
  </x:si>
  <x:si>
    <x:t>SIGN WHITE VINYL SELF ADHESIVE, PROHIBITION #8530 100X300MM</x:t>
  </x:si>
  <x:si>
    <x:t>FIRE CONTROL SIGN CO2 BATTERY, 150X150MM</x:t>
  </x:si>
  <x:si>
    <x:t>SIGN DECK &amp; ENGINE ROOM, ACETYLENE #7701 100X300MM</x:t>
  </x:si>
  <x:si>
    <x:t>SIGN DECK &amp; ENGINE ROOM, OXYGEN #7700 100X300MM</x:t>
  </x:si>
  <x:si>
    <x:t>SIGN ISPS CODE UNDER CCTV, #WV2896NM 350X300MM</x:t>
  </x:si>
  <x:si>
    <x:t>ISPS CODE SIGN SHIP COMPLIES, W/THE IMO ISPS CODE 297X420MM</x:t>
  </x:si>
  <x:si>
    <x:t>SIGN ISPS CODE SECURITY NOTICE, #WV3138PM 400X300MM</x:t>
  </x:si>
  <x:si>
    <x:t>SPACE IDENTIFICATION SIGN, EMRG'CY GENERTR 3135 300X300MM</x:t>
  </x:si>
  <x:si>
    <x:t>SPACE IDENTIFICATION SIGN, PAINT STORE #3126 300X300MM</x:t>
  </x:si>
  <x:si>
    <x:t>SPACE IDENTIFICATION SIGN GAS, BOTTLE STORE 3125 300X300MM</x:t>
  </x:si>
  <x:si>
    <x:t>SPACE IDENTIFICATION SIGN, BATTERY LOCKER #3123 300X300MM</x:t>
  </x:si>
  <x:si>
    <x:t>SPACE IDENTIFICATION SIGN, MACHINERY SPACE 3111 300X300MM</x:t>
  </x:si>
  <x:si>
    <x:t>SPACE IDENTIFICATION SIGN, STEERING GEAR #3136 300X300MM</x:t>
  </x:si>
  <x:si>
    <x:t>WHITE VINYL SIGN COMBINATION, CAUTION #3107KM 200X300MM</x:t>
  </x:si>
  <x:si>
    <x:t>WHITE VINYL SIGN COMBINATION, DO NOT THROW #3115 200X300MM</x:t>
  </x:si>
  <x:si>
    <x:t>WHITE VINYL SIGN COMBINATION, DANGER #3101 200X300MM</x:t>
  </x:si>
  <x:si>
    <x:t>SIGN ISPS CODE RESTRICTED AREA, #8691GM 100X300MM</x:t>
  </x:si>
  <x:si>
    <x:t>SIGN WHITE VINYL SELF ADHESIVE, #8545 100X300MM</x:t>
  </x:si>
  <x:si>
    <x:t>SIGN WHITE VINYL SELF ADHESIVE, #5715 200X150MM WEAR GOGGLES</x:t>
  </x:si>
  <x:si>
    <x:t>SIGN WHITE VINYL SELF ADHESIVE, 5726 200X150MM WEAR PROTECTIVE</x:t>
  </x:si>
  <x:si>
    <x:t>SIGN WHITE VINYL SELF ADHESIVE, #5725 200X150MM BOOTS MUST BE</x:t>
  </x:si>
  <x:si>
    <x:t>SIGN WHITE VINYL SELF ADHESIVE, #5724 200X150MM WEAR GLOVES</x:t>
  </x:si>
  <x:si>
    <x:t>SIGN WHITE VINYL SELF ADHESIVE, #5709 200X150MM WEAR HELMET</x:t>
  </x:si>
  <x:si>
    <x:t>SIGN WHITE VINYL SELF ADHESIVE, 5723 200X150MM EAR PROTEC MUST</x:t>
  </x:si>
  <x:si>
    <x:t>FIRE CONTROL SIGN FIRE STATION, 150X150MM</x:t>
  </x:si>
  <x:si>
    <x:t>FIRE CONTROL SIGN LOCKER W/, FIREMAN'S OUTFIT 150X150MM</x:t>
  </x:si>
  <x:si>
    <x:t>FIRE CONTROL SYMBOL ISO 17631, FIRE BLANKET 150X150MM</x:t>
  </x:si>
  <x:si>
    <x:t>FIRE CONTROL SYMBOL ISO 17631, PORTABLE FOAM APPLICATOR UNIT</x:t>
  </x:si>
  <x:si>
    <x:t>FIRE CONTROL SIGN PUSH-BUTTON/, SWITCH FOR FIREALARM 150X150MM</x:t>
  </x:si>
  <x:si>
    <x:t>FIRE CONTROL SYMBOL ISO 17631, POWDER FIRE EXTINGUISHER</x:t>
  </x:si>
  <x:si>
    <x:t>FIRE CONTROL SYMBOL ISO 17631, CO2 FIRE EXTINGUISHER 150X150</x:t>
  </x:si>
  <x:si>
    <x:t>FIRE CONTROL SYMBOL ISO 17631, WATER FIRE HOSE &amp; NOZZLE</x:t>
  </x:si>
  <x:si>
    <x:t>FIRE EQUIPMENT SIGN 9LTR FOAM, FOAM EXTINGUISHER 150X150MM</x:t>
  </x:si>
  <x:si>
    <x:t>FIRE CONTROL SIGN WHEELED PWDR, FIRE EXTINGUISHER 150X150MM</x:t>
  </x:si>
  <x:si>
    <x:t>FIRE CONTROL SIGN EMERGENCY, GENERATOR 150X150MM</x:t>
  </x:si>
  <x:si>
    <x:t>FIRE CONTROL SIGN LOCKER W/ADD, PROTECTIVE CLOTHING 150X150MM</x:t>
  </x:si>
  <x:si>
    <x:t>FIRE CONTROL SIGN INTERNT'L, SHORE CONNECTION 150X150M</x:t>
  </x:si>
  <x:si>
    <x:t>FIRE CONTROL SIGN, SMOKE DETECTOR 150X150MM</x:t>
  </x:si>
  <x:si>
    <x:t>FIRE CONTROL SIGN SPACE PRTCTD, BY SPRINKLER 150X150MM</x:t>
  </x:si>
  <x:si>
    <x:t>FIRE CONTROL SIGN EMERGENCY, FIRE PUMP 150X150MM</x:t>
  </x:si>
  <x:si>
    <x:t>FIRE CONTROL SIGN FIRE CONTROL, PLAN 150X150MM</x:t>
  </x:si>
  <x:si>
    <x:t>FIRE CONTROL SIGN SPACE PRTCTD, BY CO2 150X150MM</x:t>
  </x:si>
  <x:si>
    <x:t>FIRE CONTROL SIGN CO2 HORN, 150X150MM</x:t>
  </x:si>
  <x:si>
    <x:t>FIRE CONTROL SIGN CO2 RELEASE, STATION 150X150MM</x:t>
  </x:si>
  <x:si>
    <x:t>SAFETY SIGN ARROW, HORIZONTAL(R) 150X300MM</x:t>
  </x:si>
  <x:si>
    <x:t>SAFETY SIGN ARROW 45DEG UP, (R) (SIZE TO BE SPECIFIED)</x:t>
  </x:si>
  <x:si>
    <x:t>SAFETY SIGN ARROW, HORIZONTAL(L) (SIZE TO BE SPECIFIED)</x:t>
  </x:si>
  <x:si>
    <x:t>SAFETY SIGN 6, 150X75MM</x:t>
  </x:si>
  <x:si>
    <x:t>SAFETY SIGN 4, 150X75MM</x:t>
  </x:si>
  <x:si>
    <x:t>SAFETY SIGN 3, 150X75MM</x:t>
  </x:si>
  <x:si>
    <x:t>SAFETY SIGN 5, 150X75MM</x:t>
  </x:si>
  <x:si>
    <x:t>SAFETY SIGN 2, 150X75MM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</x:si>
  <x:si>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</x:si>
  <x:si>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</x:si>
  <x:si>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</x:si>
  <x:si>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</x:si>
  <x:si>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</x:si>
  <x:si>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</x:si>
  <x:si>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</x:si>
  <x:si>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</x:si>
  <x:si>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</x:si>
  <x:si>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</x:si>
  <x:si>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eta Rotterdam 12 Aug 2017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</x:si>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</x:sst>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42942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42942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99990008177552</x:v>
      </x:c>
      <x:c r="C20" s="227" t="n">
        <x:v>334155</x:v>
      </x:c>
      <x:c r="D20" s="228" t="s">
        <x:v>41</x:v>
      </x:c>
      <x:c r="E20" s="229" t="s"/>
      <x:c r="F20" s="229" t="n">
        <x:v>334155</x:v>
      </x:c>
      <x:c r="G20" s="229" t="s">
        <x:v>42</x:v>
      </x:c>
      <x:c r="H20" s="230" t="n">
        <x:v>0</x:v>
      </x:c>
      <x:c r="I20" s="231" t="n">
        <x:v>10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99990008177548</x:v>
      </x:c>
      <x:c r="C21" s="227" t="n">
        <x:v>334156</x:v>
      </x:c>
      <x:c r="D21" s="228" t="s">
        <x:v>43</x:v>
      </x:c>
      <x:c r="E21" s="229" t="s"/>
      <x:c r="F21" s="229" t="n">
        <x:v>334156</x:v>
      </x:c>
      <x:c r="G21" s="229" t="s">
        <x:v>42</x:v>
      </x:c>
      <x:c r="H21" s="230" t="n">
        <x:v>0</x:v>
      </x:c>
      <x:c r="I21" s="231" t="n">
        <x:v>3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99990008177542</x:v>
      </x:c>
      <x:c r="C22" s="227" t="n">
        <x:v>334132</x:v>
      </x:c>
      <x:c r="D22" s="228" t="s">
        <x:v>44</x:v>
      </x:c>
      <x:c r="E22" s="229" t="s"/>
      <x:c r="F22" s="229" t="n">
        <x:v>334132</x:v>
      </x:c>
      <x:c r="G22" s="229" t="s">
        <x:v>42</x:v>
      </x:c>
      <x:c r="H22" s="230" t="n">
        <x:v>0</x:v>
      </x:c>
      <x:c r="I22" s="231" t="n">
        <x:v>6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99990008177540</x:v>
      </x:c>
      <x:c r="C23" s="227" t="n">
        <x:v>334189</x:v>
      </x:c>
      <x:c r="D23" s="228" t="s">
        <x:v>45</x:v>
      </x:c>
      <x:c r="E23" s="229" t="s"/>
      <x:c r="F23" s="229" t="n">
        <x:v>334189</x:v>
      </x:c>
      <x:c r="G23" s="229" t="s">
        <x:v>42</x:v>
      </x:c>
      <x:c r="H23" s="230" t="n">
        <x:v>0</x:v>
      </x:c>
      <x:c r="I23" s="231" t="n">
        <x:v>3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99990008177539</x:v>
      </x:c>
      <x:c r="C24" s="227" t="n">
        <x:v>334188</x:v>
      </x:c>
      <x:c r="D24" s="228" t="s">
        <x:v>46</x:v>
      </x:c>
      <x:c r="E24" s="229" t="s"/>
      <x:c r="F24" s="229" t="n">
        <x:v>334188</x:v>
      </x:c>
      <x:c r="G24" s="229" t="s">
        <x:v>42</x:v>
      </x:c>
      <x:c r="H24" s="230" t="n">
        <x:v>0</x:v>
      </x:c>
      <x:c r="I24" s="231" t="n">
        <x:v>3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99990008177535</x:v>
      </x:c>
      <x:c r="C25" s="227" t="n">
        <x:v>334184</x:v>
      </x:c>
      <x:c r="D25" s="228" t="s">
        <x:v>47</x:v>
      </x:c>
      <x:c r="E25" s="229" t="s"/>
      <x:c r="F25" s="229" t="n">
        <x:v>334184</x:v>
      </x:c>
      <x:c r="G25" s="229" t="s">
        <x:v>42</x:v>
      </x:c>
      <x:c r="H25" s="230" t="n">
        <x:v>0</x:v>
      </x:c>
      <x:c r="I25" s="231" t="n">
        <x:v>5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99990008177533</x:v>
      </x:c>
      <x:c r="C26" s="227" t="n">
        <x:v>334182</x:v>
      </x:c>
      <x:c r="D26" s="228" t="s">
        <x:v>48</x:v>
      </x:c>
      <x:c r="E26" s="229" t="s"/>
      <x:c r="F26" s="229" t="n">
        <x:v>334182</x:v>
      </x:c>
      <x:c r="G26" s="229" t="s">
        <x:v>42</x:v>
      </x:c>
      <x:c r="H26" s="230" t="n">
        <x:v>0</x:v>
      </x:c>
      <x:c r="I26" s="231" t="n">
        <x:v>10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24" customHeight="1" x14ac:dyDescent="0.2">
      <x:c r="A27" s="226" t="n">
        <x:v>8</x:v>
      </x:c>
      <x:c r="B27" s="226" t="n">
        <x:v>99990008177532</x:v>
      </x:c>
      <x:c r="C27" s="227" t="n">
        <x:v>334181</x:v>
      </x:c>
      <x:c r="D27" s="228" t="s">
        <x:v>49</x:v>
      </x:c>
      <x:c r="E27" s="229" t="s"/>
      <x:c r="F27" s="229" t="n">
        <x:v>334181</x:v>
      </x:c>
      <x:c r="G27" s="229" t="s">
        <x:v>42</x:v>
      </x:c>
      <x:c r="H27" s="230" t="n">
        <x:v>0</x:v>
      </x:c>
      <x:c r="I27" s="231" t="n">
        <x:v>5</x:v>
      </x:c>
      <x:c r="J27" s="232" t="n">
        <x:v>0</x:v>
      </x:c>
      <x:c r="K27" s="233" t="s"/>
      <x:c r="L27" s="231" t="n">
        <x:v>0</x:v>
      </x:c>
      <x:c r="M27" s="231" t="n">
        <x:v>0</x:v>
      </x:c>
      <x:c r="N27" s="234">
        <x:f>ROUND(((I27*J27)-((I27*J27)*L27/100))+(((I27*J27)-((I27*J27)*L27/100))*M27/100), 2)</x:f>
      </x:c>
      <x:c r="O27" s="230">
        <x:f>M11</x:f>
      </x:c>
      <x:c r="P27" s="235" t="s"/>
      <x:c r="Q27" s="236" t="s"/>
      <x:c r="R27" s="237" t="s"/>
      <x:c r="S27" s="238" t="s"/>
      <x:c r="T27" s="239" t="s"/>
    </x:row>
    <x:row r="28" spans="1:24" customFormat="1" ht="24" customHeight="1" x14ac:dyDescent="0.2">
      <x:c r="A28" s="226" t="n">
        <x:v>9</x:v>
      </x:c>
      <x:c r="B28" s="226" t="n">
        <x:v>99990008177530</x:v>
      </x:c>
      <x:c r="C28" s="227" t="n">
        <x:v>334179</x:v>
      </x:c>
      <x:c r="D28" s="228" t="s">
        <x:v>50</x:v>
      </x:c>
      <x:c r="E28" s="229" t="s"/>
      <x:c r="F28" s="229" t="n">
        <x:v>334179</x:v>
      </x:c>
      <x:c r="G28" s="229" t="s">
        <x:v>42</x:v>
      </x:c>
      <x:c r="H28" s="230" t="n">
        <x:v>0</x:v>
      </x:c>
      <x:c r="I28" s="231" t="n">
        <x:v>5</x:v>
      </x:c>
      <x:c r="J28" s="232" t="n">
        <x:v>0</x:v>
      </x:c>
      <x:c r="K28" s="233" t="s"/>
      <x:c r="L28" s="231" t="n">
        <x:v>0</x:v>
      </x:c>
      <x:c r="M28" s="231" t="n">
        <x:v>0</x:v>
      </x:c>
      <x:c r="N28" s="234">
        <x:f>ROUND(((I28*J28)-((I28*J28)*L28/100))+(((I28*J28)-((I28*J28)*L28/100))*M28/100), 2)</x:f>
      </x:c>
      <x:c r="O28" s="230">
        <x:f>M11</x:f>
      </x:c>
      <x:c r="P28" s="235" t="s"/>
      <x:c r="Q28" s="236" t="s"/>
      <x:c r="R28" s="237" t="s"/>
      <x:c r="S28" s="238" t="s"/>
      <x:c r="T28" s="239" t="s"/>
    </x:row>
    <x:row r="29" spans="1:24" customFormat="1" ht="24" customHeight="1" x14ac:dyDescent="0.2">
      <x:c r="A29" s="226" t="n">
        <x:v>10</x:v>
      </x:c>
      <x:c r="B29" s="226" t="n">
        <x:v>99990008177528</x:v>
      </x:c>
      <x:c r="C29" s="227" t="n">
        <x:v>334177</x:v>
      </x:c>
      <x:c r="D29" s="228" t="s">
        <x:v>51</x:v>
      </x:c>
      <x:c r="E29" s="229" t="s"/>
      <x:c r="F29" s="229" t="n">
        <x:v>334177</x:v>
      </x:c>
      <x:c r="G29" s="229" t="s">
        <x:v>42</x:v>
      </x:c>
      <x:c r="H29" s="230" t="n">
        <x:v>0</x:v>
      </x:c>
      <x:c r="I29" s="231" t="n">
        <x:v>5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24" customHeight="1" x14ac:dyDescent="0.2">
      <x:c r="A30" s="226" t="n">
        <x:v>11</x:v>
      </x:c>
      <x:c r="B30" s="226" t="n">
        <x:v>99990008177524</x:v>
      </x:c>
      <x:c r="C30" s="227" t="n">
        <x:v>334173</x:v>
      </x:c>
      <x:c r="D30" s="228" t="s">
        <x:v>52</x:v>
      </x:c>
      <x:c r="E30" s="229" t="s"/>
      <x:c r="F30" s="229" t="n">
        <x:v>334173</x:v>
      </x:c>
      <x:c r="G30" s="229" t="s">
        <x:v>42</x:v>
      </x:c>
      <x:c r="H30" s="230" t="n">
        <x:v>0</x:v>
      </x:c>
      <x:c r="I30" s="231" t="n">
        <x:v>5</x:v>
      </x:c>
      <x:c r="J30" s="232" t="n">
        <x:v>0</x:v>
      </x:c>
      <x:c r="K30" s="233" t="s"/>
      <x:c r="L30" s="231" t="n">
        <x:v>0</x:v>
      </x:c>
      <x:c r="M30" s="231" t="n">
        <x:v>0</x:v>
      </x:c>
      <x:c r="N30" s="234">
        <x:f>ROUND(((I30*J30)-((I30*J30)*L30/100))+(((I30*J30)-((I30*J30)*L30/100))*M30/100), 2)</x:f>
      </x:c>
      <x:c r="O30" s="230">
        <x:f>M11</x:f>
      </x:c>
      <x:c r="P30" s="235" t="s"/>
      <x:c r="Q30" s="236" t="s"/>
      <x:c r="R30" s="237" t="s"/>
      <x:c r="S30" s="238" t="s"/>
      <x:c r="T30" s="239" t="s"/>
    </x:row>
    <x:row r="31" spans="1:24" customFormat="1" ht="24" customHeight="1" x14ac:dyDescent="0.2">
      <x:c r="A31" s="226" t="n">
        <x:v>12</x:v>
      </x:c>
      <x:c r="B31" s="226" t="n">
        <x:v>99990008177520</x:v>
      </x:c>
      <x:c r="C31" s="227" t="n">
        <x:v>334170</x:v>
      </x:c>
      <x:c r="D31" s="228" t="s">
        <x:v>53</x:v>
      </x:c>
      <x:c r="E31" s="229" t="s"/>
      <x:c r="F31" s="229" t="n">
        <x:v>334170</x:v>
      </x:c>
      <x:c r="G31" s="229" t="s">
        <x:v>42</x:v>
      </x:c>
      <x:c r="H31" s="230" t="n">
        <x:v>0</x:v>
      </x:c>
      <x:c r="I31" s="231" t="n">
        <x:v>10</x:v>
      </x:c>
      <x:c r="J31" s="232" t="n">
        <x:v>0</x:v>
      </x:c>
      <x:c r="K31" s="233" t="s"/>
      <x:c r="L31" s="231" t="n">
        <x:v>0</x:v>
      </x:c>
      <x:c r="M31" s="231" t="n">
        <x:v>0</x:v>
      </x:c>
      <x:c r="N31" s="234">
        <x:f>ROUND(((I31*J31)-((I31*J31)*L31/100))+(((I31*J31)-((I31*J31)*L31/100))*M31/100), 2)</x:f>
      </x:c>
      <x:c r="O31" s="230">
        <x:f>M11</x:f>
      </x:c>
      <x:c r="P31" s="235" t="s"/>
      <x:c r="Q31" s="236" t="s"/>
      <x:c r="R31" s="237" t="s"/>
      <x:c r="S31" s="238" t="s"/>
      <x:c r="T31" s="239" t="s"/>
    </x:row>
    <x:row r="32" spans="1:24" customFormat="1" ht="24" customHeight="1" x14ac:dyDescent="0.2">
      <x:c r="A32" s="226" t="n">
        <x:v>13</x:v>
      </x:c>
      <x:c r="B32" s="226" t="n">
        <x:v>99990008177445</x:v>
      </x:c>
      <x:c r="C32" s="227" t="n">
        <x:v>334131</x:v>
      </x:c>
      <x:c r="D32" s="228" t="s">
        <x:v>54</x:v>
      </x:c>
      <x:c r="E32" s="229" t="s"/>
      <x:c r="F32" s="229" t="n">
        <x:v>334131</x:v>
      </x:c>
      <x:c r="G32" s="229" t="s">
        <x:v>42</x:v>
      </x:c>
      <x:c r="H32" s="230" t="n">
        <x:v>0</x:v>
      </x:c>
      <x:c r="I32" s="231" t="n">
        <x:v>5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24" customHeight="1" x14ac:dyDescent="0.2">
      <x:c r="A33" s="226" t="n">
        <x:v>14</x:v>
      </x:c>
      <x:c r="B33" s="226" t="n">
        <x:v>99990008177444</x:v>
      </x:c>
      <x:c r="C33" s="227" t="n">
        <x:v>334129</x:v>
      </x:c>
      <x:c r="D33" s="228" t="s">
        <x:v>55</x:v>
      </x:c>
      <x:c r="E33" s="229" t="s"/>
      <x:c r="F33" s="229" t="n">
        <x:v>334129</x:v>
      </x:c>
      <x:c r="G33" s="229" t="s">
        <x:v>42</x:v>
      </x:c>
      <x:c r="H33" s="230" t="n">
        <x:v>0</x:v>
      </x:c>
      <x:c r="I33" s="231" t="n">
        <x:v>10</x:v>
      </x:c>
      <x:c r="J33" s="232" t="n">
        <x:v>0</x:v>
      </x:c>
      <x:c r="K33" s="233" t="s"/>
      <x:c r="L33" s="231" t="n">
        <x:v>0</x:v>
      </x:c>
      <x:c r="M33" s="231" t="n">
        <x:v>0</x:v>
      </x:c>
      <x:c r="N33" s="234">
        <x:f>ROUND(((I33*J33)-((I33*J33)*L33/100))+(((I33*J33)-((I33*J33)*L33/100))*M33/100), 2)</x:f>
      </x:c>
      <x:c r="O33" s="230">
        <x:f>M11</x:f>
      </x:c>
      <x:c r="P33" s="235" t="s"/>
      <x:c r="Q33" s="236" t="s"/>
      <x:c r="R33" s="237" t="s"/>
      <x:c r="S33" s="238" t="s"/>
      <x:c r="T33" s="239" t="s"/>
    </x:row>
    <x:row r="34" spans="1:24" customFormat="1" ht="24" customHeight="1" x14ac:dyDescent="0.2">
      <x:c r="A34" s="226" t="n">
        <x:v>15</x:v>
      </x:c>
      <x:c r="B34" s="226" t="n">
        <x:v>99990008177442</x:v>
      </x:c>
      <x:c r="C34" s="227" t="n">
        <x:v>334127</x:v>
      </x:c>
      <x:c r="D34" s="228" t="s">
        <x:v>56</x:v>
      </x:c>
      <x:c r="E34" s="229" t="s"/>
      <x:c r="F34" s="229" t="n">
        <x:v>334127</x:v>
      </x:c>
      <x:c r="G34" s="229" t="s">
        <x:v>42</x:v>
      </x:c>
      <x:c r="H34" s="230" t="n">
        <x:v>0</x:v>
      </x:c>
      <x:c r="I34" s="231" t="n">
        <x:v>5</x:v>
      </x:c>
      <x:c r="J34" s="232" t="n">
        <x:v>0</x:v>
      </x:c>
      <x:c r="K34" s="233" t="s"/>
      <x:c r="L34" s="231" t="n">
        <x:v>0</x:v>
      </x:c>
      <x:c r="M34" s="231" t="n">
        <x:v>0</x:v>
      </x:c>
      <x:c r="N34" s="234">
        <x:f>ROUND(((I34*J34)-((I34*J34)*L34/100))+(((I34*J34)-((I34*J34)*L34/100))*M34/100), 2)</x:f>
      </x:c>
      <x:c r="O34" s="230">
        <x:f>M11</x:f>
      </x:c>
      <x:c r="P34" s="235" t="s"/>
      <x:c r="Q34" s="236" t="s"/>
      <x:c r="R34" s="237" t="s"/>
      <x:c r="S34" s="238" t="s"/>
      <x:c r="T34" s="239" t="s"/>
    </x:row>
    <x:row r="35" spans="1:24" customFormat="1" ht="24" customHeight="1" x14ac:dyDescent="0.2">
      <x:c r="A35" s="226" t="n">
        <x:v>16</x:v>
      </x:c>
      <x:c r="B35" s="226" t="n">
        <x:v>99990008177441</x:v>
      </x:c>
      <x:c r="C35" s="227" t="n">
        <x:v>334126</x:v>
      </x:c>
      <x:c r="D35" s="228" t="s">
        <x:v>57</x:v>
      </x:c>
      <x:c r="E35" s="229" t="s"/>
      <x:c r="F35" s="229" t="n">
        <x:v>334126</x:v>
      </x:c>
      <x:c r="G35" s="229" t="s">
        <x:v>42</x:v>
      </x:c>
      <x:c r="H35" s="230" t="n">
        <x:v>0</x:v>
      </x:c>
      <x:c r="I35" s="231" t="n">
        <x:v>5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24" customHeight="1" x14ac:dyDescent="0.2">
      <x:c r="A36" s="226" t="n">
        <x:v>17</x:v>
      </x:c>
      <x:c r="B36" s="226" t="n">
        <x:v>99990008177440</x:v>
      </x:c>
      <x:c r="C36" s="227" t="n">
        <x:v>334125</x:v>
      </x:c>
      <x:c r="D36" s="228" t="s">
        <x:v>58</x:v>
      </x:c>
      <x:c r="E36" s="229" t="s"/>
      <x:c r="F36" s="229" t="n">
        <x:v>334125</x:v>
      </x:c>
      <x:c r="G36" s="229" t="s">
        <x:v>42</x:v>
      </x:c>
      <x:c r="H36" s="230" t="n">
        <x:v>0</x:v>
      </x:c>
      <x:c r="I36" s="231" t="n">
        <x:v>5</x:v>
      </x:c>
      <x:c r="J36" s="232" t="n">
        <x:v>0</x:v>
      </x:c>
      <x:c r="K36" s="233" t="s"/>
      <x:c r="L36" s="231" t="n">
        <x:v>0</x:v>
      </x:c>
      <x:c r="M36" s="231" t="n">
        <x:v>0</x:v>
      </x:c>
      <x:c r="N36" s="234">
        <x:f>ROUND(((I36*J36)-((I36*J36)*L36/100))+(((I36*J36)-((I36*J36)*L36/100))*M36/100), 2)</x:f>
      </x:c>
      <x:c r="O36" s="230">
        <x:f>M11</x:f>
      </x:c>
      <x:c r="P36" s="235" t="s"/>
      <x:c r="Q36" s="236" t="s"/>
      <x:c r="R36" s="237" t="s"/>
      <x:c r="S36" s="238" t="s"/>
      <x:c r="T36" s="239" t="s"/>
    </x:row>
    <x:row r="37" spans="1:24" customFormat="1" ht="24" customHeight="1" x14ac:dyDescent="0.2">
      <x:c r="A37" s="226" t="n">
        <x:v>18</x:v>
      </x:c>
      <x:c r="B37" s="226" t="n">
        <x:v>99990008177439</x:v>
      </x:c>
      <x:c r="C37" s="227" t="n">
        <x:v>334121</x:v>
      </x:c>
      <x:c r="D37" s="228" t="s">
        <x:v>59</x:v>
      </x:c>
      <x:c r="E37" s="229" t="s"/>
      <x:c r="F37" s="229" t="n">
        <x:v>334121</x:v>
      </x:c>
      <x:c r="G37" s="229" t="s">
        <x:v>42</x:v>
      </x:c>
      <x:c r="H37" s="230" t="n">
        <x:v>0</x:v>
      </x:c>
      <x:c r="I37" s="231" t="n">
        <x:v>5</x:v>
      </x:c>
      <x:c r="J37" s="232" t="n">
        <x:v>0</x:v>
      </x:c>
      <x:c r="K37" s="233" t="s"/>
      <x:c r="L37" s="231" t="n">
        <x:v>0</x:v>
      </x:c>
      <x:c r="M37" s="231" t="n">
        <x:v>0</x:v>
      </x:c>
      <x:c r="N37" s="234">
        <x:f>ROUND(((I37*J37)-((I37*J37)*L37/100))+(((I37*J37)-((I37*J37)*L37/100))*M37/100), 2)</x:f>
      </x:c>
      <x:c r="O37" s="230">
        <x:f>M11</x:f>
      </x:c>
      <x:c r="P37" s="235" t="s"/>
      <x:c r="Q37" s="236" t="s"/>
      <x:c r="R37" s="237" t="s"/>
      <x:c r="S37" s="238" t="s"/>
      <x:c r="T37" s="239" t="s"/>
    </x:row>
    <x:row r="38" spans="1:24" customFormat="1" ht="24" customHeight="1" x14ac:dyDescent="0.2">
      <x:c r="A38" s="226" t="n">
        <x:v>19</x:v>
      </x:c>
      <x:c r="B38" s="226" t="n">
        <x:v>99990008177437</x:v>
      </x:c>
      <x:c r="C38" s="227" t="n">
        <x:v>334124</x:v>
      </x:c>
      <x:c r="D38" s="228" t="s">
        <x:v>60</x:v>
      </x:c>
      <x:c r="E38" s="229" t="s"/>
      <x:c r="F38" s="229" t="n">
        <x:v>334124</x:v>
      </x:c>
      <x:c r="G38" s="229" t="s">
        <x:v>42</x:v>
      </x:c>
      <x:c r="H38" s="230" t="n">
        <x:v>0</x:v>
      </x:c>
      <x:c r="I38" s="231" t="n">
        <x:v>5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/>
      <x:c r="S38" s="238" t="s"/>
      <x:c r="T38" s="239" t="s"/>
    </x:row>
    <x:row r="39" spans="1:24" customFormat="1" ht="24" customHeight="1" x14ac:dyDescent="0.2">
      <x:c r="A39" s="226" t="n">
        <x:v>20</x:v>
      </x:c>
      <x:c r="B39" s="226" t="n">
        <x:v>99990008177436</x:v>
      </x:c>
      <x:c r="C39" s="227" t="n">
        <x:v>334119</x:v>
      </x:c>
      <x:c r="D39" s="228" t="s">
        <x:v>61</x:v>
      </x:c>
      <x:c r="E39" s="229" t="s"/>
      <x:c r="F39" s="229" t="n">
        <x:v>334119</x:v>
      </x:c>
      <x:c r="G39" s="229" t="s">
        <x:v>42</x:v>
      </x:c>
      <x:c r="H39" s="230" t="n">
        <x:v>0</x:v>
      </x:c>
      <x:c r="I39" s="231" t="n">
        <x:v>10</x:v>
      </x:c>
      <x:c r="J39" s="232" t="n">
        <x:v>0</x:v>
      </x:c>
      <x:c r="K39" s="233" t="s"/>
      <x:c r="L39" s="231" t="n">
        <x:v>0</x:v>
      </x:c>
      <x:c r="M39" s="231" t="n">
        <x:v>0</x:v>
      </x:c>
      <x:c r="N39" s="234">
        <x:f>ROUND(((I39*J39)-((I39*J39)*L39/100))+(((I39*J39)-((I39*J39)*L39/100))*M39/100), 2)</x:f>
      </x:c>
      <x:c r="O39" s="230">
        <x:f>M11</x:f>
      </x:c>
      <x:c r="P39" s="235" t="s"/>
      <x:c r="Q39" s="236" t="s"/>
      <x:c r="R39" s="237" t="s"/>
      <x:c r="S39" s="238" t="s"/>
      <x:c r="T39" s="239" t="s"/>
    </x:row>
    <x:row r="40" spans="1:24" customFormat="1" ht="24" customHeight="1" x14ac:dyDescent="0.2">
      <x:c r="A40" s="226" t="n">
        <x:v>21</x:v>
      </x:c>
      <x:c r="B40" s="226" t="n">
        <x:v>99990008177435</x:v>
      </x:c>
      <x:c r="C40" s="227" t="n">
        <x:v>334118</x:v>
      </x:c>
      <x:c r="D40" s="228" t="s">
        <x:v>62</x:v>
      </x:c>
      <x:c r="E40" s="229" t="s"/>
      <x:c r="F40" s="229" t="n">
        <x:v>334118</x:v>
      </x:c>
      <x:c r="G40" s="229" t="s">
        <x:v>42</x:v>
      </x:c>
      <x:c r="H40" s="230" t="n">
        <x:v>0</x:v>
      </x:c>
      <x:c r="I40" s="231" t="n">
        <x:v>5</x:v>
      </x:c>
      <x:c r="J40" s="232" t="n">
        <x:v>0</x:v>
      </x:c>
      <x:c r="K40" s="233" t="s"/>
      <x:c r="L40" s="231" t="n">
        <x:v>0</x:v>
      </x:c>
      <x:c r="M40" s="231" t="n">
        <x:v>0</x:v>
      </x:c>
      <x:c r="N40" s="234">
        <x:f>ROUND(((I40*J40)-((I40*J40)*L40/100))+(((I40*J40)-((I40*J40)*L40/100))*M40/100), 2)</x:f>
      </x:c>
      <x:c r="O40" s="230">
        <x:f>M11</x:f>
      </x:c>
      <x:c r="P40" s="235" t="s"/>
      <x:c r="Q40" s="236" t="s"/>
      <x:c r="R40" s="237" t="s"/>
      <x:c r="S40" s="238" t="s"/>
      <x:c r="T40" s="239" t="s"/>
    </x:row>
    <x:row r="41" spans="1:24" customFormat="1" ht="24" customHeight="1" x14ac:dyDescent="0.2">
      <x:c r="A41" s="226" t="n">
        <x:v>22</x:v>
      </x:c>
      <x:c r="B41" s="226" t="n">
        <x:v>99990008177434</x:v>
      </x:c>
      <x:c r="C41" s="227" t="n">
        <x:v>334117</x:v>
      </x:c>
      <x:c r="D41" s="228" t="s">
        <x:v>63</x:v>
      </x:c>
      <x:c r="E41" s="229" t="s"/>
      <x:c r="F41" s="229" t="n">
        <x:v>334117</x:v>
      </x:c>
      <x:c r="G41" s="229" t="s">
        <x:v>42</x:v>
      </x:c>
      <x:c r="H41" s="230" t="n">
        <x:v>0</x:v>
      </x:c>
      <x:c r="I41" s="231" t="n">
        <x:v>5</x:v>
      </x:c>
      <x:c r="J41" s="232" t="n">
        <x:v>0</x:v>
      </x:c>
      <x:c r="K41" s="233" t="s"/>
      <x:c r="L41" s="231" t="n">
        <x:v>0</x:v>
      </x:c>
      <x:c r="M41" s="231" t="n">
        <x:v>0</x:v>
      </x:c>
      <x:c r="N41" s="234">
        <x:f>ROUND(((I41*J41)-((I41*J41)*L41/100))+(((I41*J41)-((I41*J41)*L41/100))*M41/100), 2)</x:f>
      </x:c>
      <x:c r="O41" s="230">
        <x:f>M11</x:f>
      </x:c>
      <x:c r="P41" s="235" t="s"/>
      <x:c r="Q41" s="236" t="s"/>
      <x:c r="R41" s="237" t="s"/>
      <x:c r="S41" s="238" t="s"/>
      <x:c r="T41" s="239" t="s"/>
    </x:row>
    <x:row r="42" spans="1:24" customFormat="1" ht="24" customHeight="1" x14ac:dyDescent="0.2">
      <x:c r="A42" s="226" t="n">
        <x:v>23</x:v>
      </x:c>
      <x:c r="B42" s="226" t="n">
        <x:v>99990008177433</x:v>
      </x:c>
      <x:c r="C42" s="227" t="n">
        <x:v>334116</x:v>
      </x:c>
      <x:c r="D42" s="228" t="s">
        <x:v>64</x:v>
      </x:c>
      <x:c r="E42" s="229" t="s"/>
      <x:c r="F42" s="229" t="n">
        <x:v>334116</x:v>
      </x:c>
      <x:c r="G42" s="229" t="s">
        <x:v>42</x:v>
      </x:c>
      <x:c r="H42" s="230" t="n">
        <x:v>0</x:v>
      </x:c>
      <x:c r="I42" s="231" t="n">
        <x:v>5</x:v>
      </x:c>
      <x:c r="J42" s="232" t="n">
        <x:v>0</x:v>
      </x:c>
      <x:c r="K42" s="233" t="s"/>
      <x:c r="L42" s="231" t="n">
        <x:v>0</x:v>
      </x:c>
      <x:c r="M42" s="231" t="n">
        <x:v>0</x:v>
      </x:c>
      <x:c r="N42" s="234">
        <x:f>ROUND(((I42*J42)-((I42*J42)*L42/100))+(((I42*J42)-((I42*J42)*L42/100))*M42/100), 2)</x:f>
      </x:c>
      <x:c r="O42" s="230">
        <x:f>M11</x:f>
      </x:c>
      <x:c r="P42" s="235" t="s"/>
      <x:c r="Q42" s="236" t="s"/>
      <x:c r="R42" s="237" t="s"/>
      <x:c r="S42" s="238" t="s"/>
      <x:c r="T42" s="239" t="s"/>
    </x:row>
    <x:row r="43" spans="1:24" customFormat="1" ht="24" customHeight="1" x14ac:dyDescent="0.2">
      <x:c r="A43" s="226" t="n">
        <x:v>24</x:v>
      </x:c>
      <x:c r="B43" s="226" t="n">
        <x:v>99990008177432</x:v>
      </x:c>
      <x:c r="C43" s="227" t="n">
        <x:v>334115</x:v>
      </x:c>
      <x:c r="D43" s="228" t="s">
        <x:v>65</x:v>
      </x:c>
      <x:c r="E43" s="229" t="s"/>
      <x:c r="F43" s="229" t="n">
        <x:v>334115</x:v>
      </x:c>
      <x:c r="G43" s="229" t="s">
        <x:v>42</x:v>
      </x:c>
      <x:c r="H43" s="230" t="n">
        <x:v>0</x:v>
      </x:c>
      <x:c r="I43" s="231" t="n">
        <x:v>5</x:v>
      </x:c>
      <x:c r="J43" s="232" t="n">
        <x:v>0</x:v>
      </x:c>
      <x:c r="K43" s="233" t="s"/>
      <x:c r="L43" s="231" t="n">
        <x:v>0</x:v>
      </x:c>
      <x:c r="M43" s="231" t="n">
        <x:v>0</x:v>
      </x:c>
      <x:c r="N43" s="234">
        <x:f>ROUND(((I43*J43)-((I43*J43)*L43/100))+(((I43*J43)-((I43*J43)*L43/100))*M43/100), 2)</x:f>
      </x:c>
      <x:c r="O43" s="230">
        <x:f>M11</x:f>
      </x:c>
      <x:c r="P43" s="235" t="s"/>
      <x:c r="Q43" s="236" t="s"/>
      <x:c r="R43" s="237" t="s"/>
      <x:c r="S43" s="238" t="s"/>
      <x:c r="T43" s="239" t="s"/>
    </x:row>
    <x:row r="44" spans="1:24" customFormat="1" ht="24" customHeight="1" x14ac:dyDescent="0.2">
      <x:c r="A44" s="226" t="n">
        <x:v>25</x:v>
      </x:c>
      <x:c r="B44" s="226" t="n">
        <x:v>99990008177431</x:v>
      </x:c>
      <x:c r="C44" s="227" t="n">
        <x:v>334114</x:v>
      </x:c>
      <x:c r="D44" s="228" t="s">
        <x:v>66</x:v>
      </x:c>
      <x:c r="E44" s="229" t="s"/>
      <x:c r="F44" s="229" t="n">
        <x:v>334114</x:v>
      </x:c>
      <x:c r="G44" s="229" t="s">
        <x:v>42</x:v>
      </x:c>
      <x:c r="H44" s="230" t="n">
        <x:v>0</x:v>
      </x:c>
      <x:c r="I44" s="231" t="n">
        <x:v>5</x:v>
      </x:c>
      <x:c r="J44" s="232" t="n">
        <x:v>0</x:v>
      </x:c>
      <x:c r="K44" s="233" t="s"/>
      <x:c r="L44" s="231" t="n">
        <x:v>0</x:v>
      </x:c>
      <x:c r="M44" s="231" t="n">
        <x:v>0</x:v>
      </x:c>
      <x:c r="N44" s="234">
        <x:f>ROUND(((I44*J44)-((I44*J44)*L44/100))+(((I44*J44)-((I44*J44)*L44/100))*M44/100), 2)</x:f>
      </x:c>
      <x:c r="O44" s="230">
        <x:f>M11</x:f>
      </x:c>
      <x:c r="P44" s="235" t="s"/>
      <x:c r="Q44" s="236" t="s"/>
      <x:c r="R44" s="237" t="s"/>
      <x:c r="S44" s="238" t="s"/>
      <x:c r="T44" s="239" t="s"/>
    </x:row>
    <x:row r="45" spans="1:24" customFormat="1" ht="24" customHeight="1" x14ac:dyDescent="0.2">
      <x:c r="A45" s="226" t="n">
        <x:v>26</x:v>
      </x:c>
      <x:c r="B45" s="226" t="n">
        <x:v>99990008177430</x:v>
      </x:c>
      <x:c r="C45" s="227" t="n">
        <x:v>334113</x:v>
      </x:c>
      <x:c r="D45" s="228" t="s">
        <x:v>67</x:v>
      </x:c>
      <x:c r="E45" s="229" t="s"/>
      <x:c r="F45" s="229" t="n">
        <x:v>334113</x:v>
      </x:c>
      <x:c r="G45" s="229" t="s">
        <x:v>42</x:v>
      </x:c>
      <x:c r="H45" s="230" t="n">
        <x:v>0</x:v>
      </x:c>
      <x:c r="I45" s="231" t="n">
        <x:v>5</x:v>
      </x:c>
      <x:c r="J45" s="232" t="n">
        <x:v>0</x:v>
      </x:c>
      <x:c r="K45" s="233" t="s"/>
      <x:c r="L45" s="231" t="n">
        <x:v>0</x:v>
      </x:c>
      <x:c r="M45" s="231" t="n">
        <x:v>0</x:v>
      </x:c>
      <x:c r="N45" s="234">
        <x:f>ROUND(((I45*J45)-((I45*J45)*L45/100))+(((I45*J45)-((I45*J45)*L45/100))*M45/100), 2)</x:f>
      </x:c>
      <x:c r="O45" s="230">
        <x:f>M11</x:f>
      </x:c>
      <x:c r="P45" s="235" t="s"/>
      <x:c r="Q45" s="236" t="s"/>
      <x:c r="R45" s="237" t="s"/>
      <x:c r="S45" s="238" t="s"/>
      <x:c r="T45" s="239" t="s"/>
    </x:row>
    <x:row r="46" spans="1:24" customFormat="1" ht="24" customHeight="1" x14ac:dyDescent="0.2">
      <x:c r="A46" s="226" t="n">
        <x:v>27</x:v>
      </x:c>
      <x:c r="B46" s="226" t="n">
        <x:v>99990008177429</x:v>
      </x:c>
      <x:c r="C46" s="227" t="n">
        <x:v>334112</x:v>
      </x:c>
      <x:c r="D46" s="228" t="s">
        <x:v>68</x:v>
      </x:c>
      <x:c r="E46" s="229" t="s"/>
      <x:c r="F46" s="229" t="n">
        <x:v>334112</x:v>
      </x:c>
      <x:c r="G46" s="229" t="s">
        <x:v>42</x:v>
      </x:c>
      <x:c r="H46" s="230" t="n">
        <x:v>0</x:v>
      </x:c>
      <x:c r="I46" s="231" t="n">
        <x:v>10</x:v>
      </x:c>
      <x:c r="J46" s="232" t="n">
        <x:v>0</x:v>
      </x:c>
      <x:c r="K46" s="233" t="s"/>
      <x:c r="L46" s="231" t="n">
        <x:v>0</x:v>
      </x:c>
      <x:c r="M46" s="231" t="n">
        <x:v>0</x:v>
      </x:c>
      <x:c r="N46" s="234">
        <x:f>ROUND(((I46*J46)-((I46*J46)*L46/100))+(((I46*J46)-((I46*J46)*L46/100))*M46/100), 2)</x:f>
      </x:c>
      <x:c r="O46" s="230">
        <x:f>M11</x:f>
      </x:c>
      <x:c r="P46" s="235" t="s"/>
      <x:c r="Q46" s="236" t="s"/>
      <x:c r="R46" s="237" t="s"/>
      <x:c r="S46" s="238" t="s"/>
      <x:c r="T46" s="239" t="s"/>
    </x:row>
    <x:row r="47" spans="1:24" customFormat="1" ht="24" customHeight="1" x14ac:dyDescent="0.2">
      <x:c r="A47" s="226" t="n">
        <x:v>28</x:v>
      </x:c>
      <x:c r="B47" s="226" t="n">
        <x:v>99990008177425</x:v>
      </x:c>
      <x:c r="C47" s="227" t="n">
        <x:v>334110</x:v>
      </x:c>
      <x:c r="D47" s="228" t="s">
        <x:v>69</x:v>
      </x:c>
      <x:c r="E47" s="229" t="s"/>
      <x:c r="F47" s="229" t="n">
        <x:v>334110</x:v>
      </x:c>
      <x:c r="G47" s="229" t="s">
        <x:v>42</x:v>
      </x:c>
      <x:c r="H47" s="230" t="n">
        <x:v>0</x:v>
      </x:c>
      <x:c r="I47" s="231" t="n">
        <x:v>10</x:v>
      </x:c>
      <x:c r="J47" s="232" t="n">
        <x:v>0</x:v>
      </x:c>
      <x:c r="K47" s="233" t="s"/>
      <x:c r="L47" s="231" t="n">
        <x:v>0</x:v>
      </x:c>
      <x:c r="M47" s="231" t="n">
        <x:v>0</x:v>
      </x:c>
      <x:c r="N47" s="234">
        <x:f>ROUND(((I47*J47)-((I47*J47)*L47/100))+(((I47*J47)-((I47*J47)*L47/100))*M47/100), 2)</x:f>
      </x:c>
      <x:c r="O47" s="230">
        <x:f>M11</x:f>
      </x:c>
      <x:c r="P47" s="235" t="s"/>
      <x:c r="Q47" s="236" t="s"/>
      <x:c r="R47" s="237" t="s"/>
      <x:c r="S47" s="238" t="s"/>
      <x:c r="T47" s="239" t="s"/>
    </x:row>
    <x:row r="48" spans="1:24" customFormat="1" ht="24" customHeight="1" x14ac:dyDescent="0.2">
      <x:c r="A48" s="226" t="n">
        <x:v>29</x:v>
      </x:c>
      <x:c r="B48" s="226" t="n">
        <x:v>99990008177424</x:v>
      </x:c>
      <x:c r="C48" s="227" t="n">
        <x:v>334109</x:v>
      </x:c>
      <x:c r="D48" s="228" t="s">
        <x:v>70</x:v>
      </x:c>
      <x:c r="E48" s="229" t="s"/>
      <x:c r="F48" s="229" t="n">
        <x:v>334109</x:v>
      </x:c>
      <x:c r="G48" s="229" t="s">
        <x:v>42</x:v>
      </x:c>
      <x:c r="H48" s="230" t="n">
        <x:v>0</x:v>
      </x:c>
      <x:c r="I48" s="231" t="n">
        <x:v>10</x:v>
      </x:c>
      <x:c r="J48" s="232" t="n">
        <x:v>0</x:v>
      </x:c>
      <x:c r="K48" s="233" t="s"/>
      <x:c r="L48" s="231" t="n">
        <x:v>0</x:v>
      </x:c>
      <x:c r="M48" s="231" t="n">
        <x:v>0</x:v>
      </x:c>
      <x:c r="N48" s="234">
        <x:f>ROUND(((I48*J48)-((I48*J48)*L48/100))+(((I48*J48)-((I48*J48)*L48/100))*M48/100), 2)</x:f>
      </x:c>
      <x:c r="O48" s="230">
        <x:f>M11</x:f>
      </x:c>
      <x:c r="P48" s="235" t="s"/>
      <x:c r="Q48" s="236" t="s"/>
      <x:c r="R48" s="237" t="s"/>
      <x:c r="S48" s="238" t="s"/>
      <x:c r="T48" s="239" t="s"/>
    </x:row>
    <x:row r="49" spans="1:24" customFormat="1" ht="24" customHeight="1" x14ac:dyDescent="0.2">
      <x:c r="A49" s="226" t="n">
        <x:v>30</x:v>
      </x:c>
      <x:c r="B49" s="226" t="n">
        <x:v>99990008177423</x:v>
      </x:c>
      <x:c r="C49" s="227" t="n">
        <x:v>334108</x:v>
      </x:c>
      <x:c r="D49" s="228" t="s">
        <x:v>71</x:v>
      </x:c>
      <x:c r="E49" s="229" t="s"/>
      <x:c r="F49" s="229" t="n">
        <x:v>334108</x:v>
      </x:c>
      <x:c r="G49" s="229" t="s">
        <x:v>42</x:v>
      </x:c>
      <x:c r="H49" s="230" t="n">
        <x:v>0</x:v>
      </x:c>
      <x:c r="I49" s="231" t="n">
        <x:v>20</x:v>
      </x:c>
      <x:c r="J49" s="232" t="n">
        <x:v>0</x:v>
      </x:c>
      <x:c r="K49" s="233" t="s"/>
      <x:c r="L49" s="231" t="n">
        <x:v>0</x:v>
      </x:c>
      <x:c r="M49" s="231" t="n">
        <x:v>0</x:v>
      </x:c>
      <x:c r="N49" s="234">
        <x:f>ROUND(((I49*J49)-((I49*J49)*L49/100))+(((I49*J49)-((I49*J49)*L49/100))*M49/100), 2)</x:f>
      </x:c>
      <x:c r="O49" s="230">
        <x:f>M11</x:f>
      </x:c>
      <x:c r="P49" s="235" t="s"/>
      <x:c r="Q49" s="236" t="s"/>
      <x:c r="R49" s="237" t="s"/>
      <x:c r="S49" s="238" t="s"/>
      <x:c r="T49" s="239" t="s"/>
    </x:row>
    <x:row r="50" spans="1:24" customFormat="1" ht="24" customHeight="1" x14ac:dyDescent="0.2">
      <x:c r="A50" s="226" t="n">
        <x:v>31</x:v>
      </x:c>
      <x:c r="B50" s="226" t="n">
        <x:v>99990008177421</x:v>
      </x:c>
      <x:c r="C50" s="227" t="n">
        <x:v>334106</x:v>
      </x:c>
      <x:c r="D50" s="228" t="s">
        <x:v>72</x:v>
      </x:c>
      <x:c r="E50" s="229" t="s"/>
      <x:c r="F50" s="229" t="n">
        <x:v>334106</x:v>
      </x:c>
      <x:c r="G50" s="229" t="s">
        <x:v>42</x:v>
      </x:c>
      <x:c r="H50" s="230" t="n">
        <x:v>0</x:v>
      </x:c>
      <x:c r="I50" s="231" t="n">
        <x:v>10</x:v>
      </x:c>
      <x:c r="J50" s="232" t="n">
        <x:v>0</x:v>
      </x:c>
      <x:c r="K50" s="233" t="s"/>
      <x:c r="L50" s="231" t="n">
        <x:v>0</x:v>
      </x:c>
      <x:c r="M50" s="231" t="n">
        <x:v>0</x:v>
      </x:c>
      <x:c r="N50" s="234">
        <x:f>ROUND(((I50*J50)-((I50*J50)*L50/100))+(((I50*J50)-((I50*J50)*L50/100))*M50/100), 2)</x:f>
      </x:c>
      <x:c r="O50" s="230">
        <x:f>M11</x:f>
      </x:c>
      <x:c r="P50" s="235" t="s"/>
      <x:c r="Q50" s="236" t="s"/>
      <x:c r="R50" s="237" t="s"/>
      <x:c r="S50" s="238" t="s"/>
      <x:c r="T50" s="239" t="s"/>
    </x:row>
    <x:row r="51" spans="1:24" customFormat="1" ht="24" customHeight="1" x14ac:dyDescent="0.2">
      <x:c r="A51" s="226" t="n">
        <x:v>32</x:v>
      </x:c>
      <x:c r="B51" s="226" t="n">
        <x:v>99990008177422</x:v>
      </x:c>
      <x:c r="C51" s="227" t="n">
        <x:v>334107</x:v>
      </x:c>
      <x:c r="D51" s="228" t="s">
        <x:v>73</x:v>
      </x:c>
      <x:c r="E51" s="229" t="s"/>
      <x:c r="F51" s="229" t="n">
        <x:v>334107</x:v>
      </x:c>
      <x:c r="G51" s="229" t="s">
        <x:v>42</x:v>
      </x:c>
      <x:c r="H51" s="230" t="n">
        <x:v>0</x:v>
      </x:c>
      <x:c r="I51" s="231" t="n">
        <x:v>10</x:v>
      </x:c>
      <x:c r="J51" s="232" t="n">
        <x:v>0</x:v>
      </x:c>
      <x:c r="K51" s="233" t="s"/>
      <x:c r="L51" s="231" t="n">
        <x:v>0</x:v>
      </x:c>
      <x:c r="M51" s="231" t="n">
        <x:v>0</x:v>
      </x:c>
      <x:c r="N51" s="234">
        <x:f>ROUND(((I51*J51)-((I51*J51)*L51/100))+(((I51*J51)-((I51*J51)*L51/100))*M51/100), 2)</x:f>
      </x:c>
      <x:c r="O51" s="230">
        <x:f>M11</x:f>
      </x:c>
      <x:c r="P51" s="235" t="s"/>
      <x:c r="Q51" s="236" t="s"/>
      <x:c r="R51" s="237" t="s"/>
      <x:c r="S51" s="238" t="s"/>
      <x:c r="T51" s="239" t="s"/>
    </x:row>
    <x:row r="52" spans="1:24" customFormat="1" ht="24" customHeight="1" x14ac:dyDescent="0.2">
      <x:c r="A52" s="226" t="n">
        <x:v>33</x:v>
      </x:c>
      <x:c r="B52" s="226" t="n">
        <x:v>99990008177419</x:v>
      </x:c>
      <x:c r="C52" s="227" t="n">
        <x:v>334104</x:v>
      </x:c>
      <x:c r="D52" s="228" t="s">
        <x:v>74</x:v>
      </x:c>
      <x:c r="E52" s="229" t="s"/>
      <x:c r="F52" s="229" t="n">
        <x:v>334104</x:v>
      </x:c>
      <x:c r="G52" s="229" t="s">
        <x:v>42</x:v>
      </x:c>
      <x:c r="H52" s="230" t="n">
        <x:v>0</x:v>
      </x:c>
      <x:c r="I52" s="231" t="n">
        <x:v>10</x:v>
      </x:c>
      <x:c r="J52" s="232" t="n">
        <x:v>0</x:v>
      </x:c>
      <x:c r="K52" s="233" t="s"/>
      <x:c r="L52" s="231" t="n">
        <x:v>0</x:v>
      </x:c>
      <x:c r="M52" s="231" t="n">
        <x:v>0</x:v>
      </x:c>
      <x:c r="N52" s="234">
        <x:f>ROUND(((I52*J52)-((I52*J52)*L52/100))+(((I52*J52)-((I52*J52)*L52/100))*M52/100), 2)</x:f>
      </x:c>
      <x:c r="O52" s="230">
        <x:f>M11</x:f>
      </x:c>
      <x:c r="P52" s="235" t="s"/>
      <x:c r="Q52" s="236" t="s"/>
      <x:c r="R52" s="237" t="s"/>
      <x:c r="S52" s="238" t="s"/>
      <x:c r="T52" s="239" t="s"/>
    </x:row>
    <x:row r="53" spans="1:24" customFormat="1" ht="24" customHeight="1" x14ac:dyDescent="0.2">
      <x:c r="A53" s="226" t="n">
        <x:v>34</x:v>
      </x:c>
      <x:c r="B53" s="226" t="n">
        <x:v>99990008177418</x:v>
      </x:c>
      <x:c r="C53" s="227" t="n">
        <x:v>334103</x:v>
      </x:c>
      <x:c r="D53" s="228" t="s">
        <x:v>75</x:v>
      </x:c>
      <x:c r="E53" s="229" t="s"/>
      <x:c r="F53" s="229" t="n">
        <x:v>334103</x:v>
      </x:c>
      <x:c r="G53" s="229" t="s">
        <x:v>42</x:v>
      </x:c>
      <x:c r="H53" s="230" t="n">
        <x:v>0</x:v>
      </x:c>
      <x:c r="I53" s="231" t="n">
        <x:v>10</x:v>
      </x:c>
      <x:c r="J53" s="232" t="n">
        <x:v>0</x:v>
      </x:c>
      <x:c r="K53" s="233" t="s"/>
      <x:c r="L53" s="231" t="n">
        <x:v>0</x:v>
      </x:c>
      <x:c r="M53" s="231" t="n">
        <x:v>0</x:v>
      </x:c>
      <x:c r="N53" s="234">
        <x:f>ROUND(((I53*J53)-((I53*J53)*L53/100))+(((I53*J53)-((I53*J53)*L53/100))*M53/100), 2)</x:f>
      </x:c>
      <x:c r="O53" s="230">
        <x:f>M11</x:f>
      </x:c>
      <x:c r="P53" s="235" t="s"/>
      <x:c r="Q53" s="236" t="s"/>
      <x:c r="R53" s="237" t="s"/>
      <x:c r="S53" s="238" t="s"/>
      <x:c r="T53" s="239" t="s"/>
    </x:row>
    <x:row r="54" spans="1:24" customFormat="1" ht="24" customHeight="1" x14ac:dyDescent="0.2">
      <x:c r="A54" s="226" t="n">
        <x:v>35</x:v>
      </x:c>
      <x:c r="B54" s="226" t="n">
        <x:v>99990008177417</x:v>
      </x:c>
      <x:c r="C54" s="227" t="n">
        <x:v>334102</x:v>
      </x:c>
      <x:c r="D54" s="228" t="s">
        <x:v>76</x:v>
      </x:c>
      <x:c r="E54" s="229" t="s"/>
      <x:c r="F54" s="229" t="n">
        <x:v>334102</x:v>
      </x:c>
      <x:c r="G54" s="229" t="s">
        <x:v>42</x:v>
      </x:c>
      <x:c r="H54" s="230" t="n">
        <x:v>0</x:v>
      </x:c>
      <x:c r="I54" s="231" t="n">
        <x:v>10</x:v>
      </x:c>
      <x:c r="J54" s="232" t="n">
        <x:v>0</x:v>
      </x:c>
      <x:c r="K54" s="233" t="s"/>
      <x:c r="L54" s="231" t="n">
        <x:v>0</x:v>
      </x:c>
      <x:c r="M54" s="231" t="n">
        <x:v>0</x:v>
      </x:c>
      <x:c r="N54" s="234">
        <x:f>ROUND(((I54*J54)-((I54*J54)*L54/100))+(((I54*J54)-((I54*J54)*L54/100))*M54/100), 2)</x:f>
      </x:c>
      <x:c r="O54" s="230">
        <x:f>M11</x:f>
      </x:c>
      <x:c r="P54" s="235" t="s"/>
      <x:c r="Q54" s="236" t="s"/>
      <x:c r="R54" s="237" t="s"/>
      <x:c r="S54" s="238" t="s"/>
      <x:c r="T54" s="239" t="s"/>
    </x:row>
    <x:row r="55" spans="1:24" customFormat="1" ht="24" customHeight="1" x14ac:dyDescent="0.2">
      <x:c r="A55" s="226" t="n">
        <x:v>36</x:v>
      </x:c>
      <x:c r="B55" s="226" t="n">
        <x:v>99990008177416</x:v>
      </x:c>
      <x:c r="C55" s="227" t="n">
        <x:v>334101</x:v>
      </x:c>
      <x:c r="D55" s="228" t="s">
        <x:v>77</x:v>
      </x:c>
      <x:c r="E55" s="229" t="s"/>
      <x:c r="F55" s="229" t="n">
        <x:v>334101</x:v>
      </x:c>
      <x:c r="G55" s="229" t="s">
        <x:v>42</x:v>
      </x:c>
      <x:c r="H55" s="230" t="n">
        <x:v>0</x:v>
      </x:c>
      <x:c r="I55" s="231" t="n">
        <x:v>10</x:v>
      </x:c>
      <x:c r="J55" s="232" t="n">
        <x:v>0</x:v>
      </x:c>
      <x:c r="K55" s="233" t="s"/>
      <x:c r="L55" s="231" t="n">
        <x:v>0</x:v>
      </x:c>
      <x:c r="M55" s="231" t="n">
        <x:v>0</x:v>
      </x:c>
      <x:c r="N55" s="234">
        <x:f>ROUND(((I55*J55)-((I55*J55)*L55/100))+(((I55*J55)-((I55*J55)*L55/100))*M55/100), 2)</x:f>
      </x:c>
      <x:c r="O55" s="230">
        <x:f>M11</x:f>
      </x:c>
      <x:c r="P55" s="235" t="s"/>
      <x:c r="Q55" s="236" t="s"/>
      <x:c r="R55" s="237" t="s"/>
      <x:c r="S55" s="238" t="s"/>
      <x:c r="T55" s="239" t="s"/>
    </x:row>
    <x:row r="56" spans="1:24" customFormat="1" ht="24" customHeight="1" x14ac:dyDescent="0.2">
      <x:c r="A56" s="226" t="n">
        <x:v>37</x:v>
      </x:c>
      <x:c r="B56" s="226" t="n">
        <x:v>99990008177414</x:v>
      </x:c>
      <x:c r="C56" s="227" t="n">
        <x:v>334100</x:v>
      </x:c>
      <x:c r="D56" s="228" t="s">
        <x:v>78</x:v>
      </x:c>
      <x:c r="E56" s="229" t="s"/>
      <x:c r="F56" s="229" t="n">
        <x:v>334100</x:v>
      </x:c>
      <x:c r="G56" s="229" t="s">
        <x:v>42</x:v>
      </x:c>
      <x:c r="H56" s="230" t="n">
        <x:v>0</x:v>
      </x:c>
      <x:c r="I56" s="231" t="n">
        <x:v>10</x:v>
      </x:c>
      <x:c r="J56" s="232" t="n">
        <x:v>0</x:v>
      </x:c>
      <x:c r="K56" s="233" t="s"/>
      <x:c r="L56" s="231" t="n">
        <x:v>0</x:v>
      </x:c>
      <x:c r="M56" s="231" t="n">
        <x:v>0</x:v>
      </x:c>
      <x:c r="N56" s="234">
        <x:f>ROUND(((I56*J56)-((I56*J56)*L56/100))+(((I56*J56)-((I56*J56)*L56/100))*M56/100), 2)</x:f>
      </x:c>
      <x:c r="O56" s="230">
        <x:f>M11</x:f>
      </x:c>
      <x:c r="P56" s="235" t="s"/>
      <x:c r="Q56" s="236" t="s"/>
      <x:c r="R56" s="237" t="s"/>
      <x:c r="S56" s="238" t="s"/>
      <x:c r="T56" s="239" t="s"/>
    </x:row>
    <x:row r="57" spans="1:24" customFormat="1" ht="24" customHeight="1" x14ac:dyDescent="0.2">
      <x:c r="A57" s="226" t="n">
        <x:v>38</x:v>
      </x:c>
      <x:c r="B57" s="226" t="n">
        <x:v>99990008183539</x:v>
      </x:c>
      <x:c r="C57" s="227" t="n">
        <x:v>391092</x:v>
      </x:c>
      <x:c r="D57" s="228" t="s">
        <x:v>79</x:v>
      </x:c>
      <x:c r="E57" s="229" t="s"/>
      <x:c r="F57" s="229" t="n">
        <x:v>391092</x:v>
      </x:c>
      <x:c r="G57" s="229" t="s">
        <x:v>80</x:v>
      </x:c>
      <x:c r="H57" s="230" t="n">
        <x:v>0</x:v>
      </x:c>
      <x:c r="I57" s="231" t="n">
        <x:v>1</x:v>
      </x:c>
      <x:c r="J57" s="232" t="n">
        <x:v>0</x:v>
      </x:c>
      <x:c r="K57" s="233" t="s"/>
      <x:c r="L57" s="231" t="n">
        <x:v>0</x:v>
      </x:c>
      <x:c r="M57" s="231" t="n">
        <x:v>0</x:v>
      </x:c>
      <x:c r="N57" s="234">
        <x:f>ROUND(((I57*J57)-((I57*J57)*L57/100))+(((I57*J57)-((I57*J57)*L57/100))*M57/100), 2)</x:f>
      </x:c>
      <x:c r="O57" s="230">
        <x:f>M11</x:f>
      </x:c>
      <x:c r="P57" s="235" t="s"/>
      <x:c r="Q57" s="236" t="s"/>
      <x:c r="R57" s="237" t="s"/>
      <x:c r="S57" s="238" t="s"/>
      <x:c r="T57" s="239" t="s"/>
    </x:row>
    <x:row r="58" spans="1:24" customFormat="1" ht="24" customHeight="1" x14ac:dyDescent="0.2">
      <x:c r="A58" s="226" t="n">
        <x:v>39</x:v>
      </x:c>
      <x:c r="B58" s="226" t="n">
        <x:v>99990008177385</x:v>
      </x:c>
      <x:c r="C58" s="227" t="n">
        <x:v>330247</x:v>
      </x:c>
      <x:c r="D58" s="228" t="s">
        <x:v>81</x:v>
      </x:c>
      <x:c r="E58" s="229" t="s"/>
      <x:c r="F58" s="229" t="n">
        <x:v>330247</x:v>
      </x:c>
      <x:c r="G58" s="229" t="s">
        <x:v>82</x:v>
      </x:c>
      <x:c r="H58" s="230" t="n">
        <x:v>0</x:v>
      </x:c>
      <x:c r="I58" s="231" t="n">
        <x:v>360</x:v>
      </x:c>
      <x:c r="J58" s="232" t="n">
        <x:v>0</x:v>
      </x:c>
      <x:c r="K58" s="233" t="s"/>
      <x:c r="L58" s="231" t="n">
        <x:v>0</x:v>
      </x:c>
      <x:c r="M58" s="231" t="n">
        <x:v>0</x:v>
      </x:c>
      <x:c r="N58" s="234">
        <x:f>ROUND(((I58*J58)-((I58*J58)*L58/100))+(((I58*J58)-((I58*J58)*L58/100))*M58/100), 2)</x:f>
      </x:c>
      <x:c r="O58" s="230">
        <x:f>M11</x:f>
      </x:c>
      <x:c r="P58" s="235" t="s"/>
      <x:c r="Q58" s="236" t="s"/>
      <x:c r="R58" s="237" t="s"/>
      <x:c r="S58" s="238" t="s"/>
      <x:c r="T58" s="239" t="s"/>
    </x:row>
    <x:row r="59" spans="1:24" customFormat="1" ht="24" customHeight="1">
      <x:c r="A59" s="226" t="n">
        <x:v>40</x:v>
      </x:c>
      <x:c r="B59" s="226" t="n">
        <x:v>99990008178486</x:v>
      </x:c>
      <x:c r="C59" s="227" t="n">
        <x:v>331515</x:v>
      </x:c>
      <x:c r="D59" s="228" t="s">
        <x:v>83</x:v>
      </x:c>
      <x:c r="E59" s="229" t="s"/>
      <x:c r="F59" s="229" t="n">
        <x:v>331515</x:v>
      </x:c>
      <x:c r="G59" s="229" t="s">
        <x:v>42</x:v>
      </x:c>
      <x:c r="H59" s="230" t="n">
        <x:v>0</x:v>
      </x:c>
      <x:c r="I59" s="231" t="n">
        <x:v>2</x:v>
      </x:c>
      <x:c r="J59" s="232" t="n">
        <x:v>0</x:v>
      </x:c>
      <x:c r="K59" s="233" t="s"/>
      <x:c r="L59" s="231" t="n">
        <x:v>0</x:v>
      </x:c>
      <x:c r="M59" s="231" t="n">
        <x:v>0</x:v>
      </x:c>
      <x:c r="N59" s="234">
        <x:f>ROUND(((I59*J59)-((I59*J59)*L59/100))+(((I59*J59)-((I59*J59)*L59/100))*M59/100), 2)</x:f>
      </x:c>
      <x:c r="O59" s="230">
        <x:f>M11</x:f>
      </x:c>
      <x:c r="P59" s="235" t="s"/>
      <x:c r="Q59" s="236" t="s"/>
      <x:c r="R59" s="237" t="s"/>
      <x:c r="S59" s="238" t="s"/>
      <x:c r="T59" s="239" t="s"/>
    </x:row>
    <x:row r="60" spans="1:24" customFormat="1" ht="24" customHeight="1">
      <x:c r="A60" s="226" t="n">
        <x:v>41</x:v>
      </x:c>
      <x:c r="B60" s="226" t="n">
        <x:v>99990008178488</x:v>
      </x:c>
      <x:c r="C60" s="227" t="n">
        <x:v>331517</x:v>
      </x:c>
      <x:c r="D60" s="228" t="s">
        <x:v>84</x:v>
      </x:c>
      <x:c r="E60" s="229" t="s"/>
      <x:c r="F60" s="229" t="n">
        <x:v>331517</x:v>
      </x:c>
      <x:c r="G60" s="229" t="s">
        <x:v>42</x:v>
      </x:c>
      <x:c r="H60" s="230" t="n">
        <x:v>0</x:v>
      </x:c>
      <x:c r="I60" s="231" t="n">
        <x:v>2</x:v>
      </x:c>
      <x:c r="J60" s="232" t="n">
        <x:v>0</x:v>
      </x:c>
      <x:c r="K60" s="233" t="s"/>
      <x:c r="L60" s="231" t="n">
        <x:v>0</x:v>
      </x:c>
      <x:c r="M60" s="231" t="n">
        <x:v>0</x:v>
      </x:c>
      <x:c r="N60" s="234">
        <x:f>ROUND(((I60*J60)-((I60*J60)*L60/100))+(((I60*J60)-((I60*J60)*L60/100))*M60/100), 2)</x:f>
      </x:c>
      <x:c r="O60" s="230">
        <x:f>M11</x:f>
      </x:c>
      <x:c r="P60" s="235" t="s"/>
      <x:c r="Q60" s="236" t="s"/>
      <x:c r="R60" s="237" t="s"/>
      <x:c r="S60" s="238" t="s"/>
      <x:c r="T60" s="239" t="s"/>
    </x:row>
    <x:row r="61" spans="1:24" customFormat="1" ht="24" customHeight="1">
      <x:c r="A61" s="226" t="n">
        <x:v>42</x:v>
      </x:c>
      <x:c r="B61" s="226" t="n">
        <x:v>99990008178532</x:v>
      </x:c>
      <x:c r="C61" s="227" t="n">
        <x:v>331573</x:v>
      </x:c>
      <x:c r="D61" s="228" t="s">
        <x:v>85</x:v>
      </x:c>
      <x:c r="E61" s="229" t="s"/>
      <x:c r="F61" s="229" t="n">
        <x:v>331573</x:v>
      </x:c>
      <x:c r="G61" s="229" t="s">
        <x:v>42</x:v>
      </x:c>
      <x:c r="H61" s="230" t="n">
        <x:v>0</x:v>
      </x:c>
      <x:c r="I61" s="231" t="n">
        <x:v>2</x:v>
      </x:c>
      <x:c r="J61" s="232" t="n">
        <x:v>0</x:v>
      </x:c>
      <x:c r="K61" s="233" t="s"/>
      <x:c r="L61" s="231" t="n">
        <x:v>0</x:v>
      </x:c>
      <x:c r="M61" s="231" t="n">
        <x:v>0</x:v>
      </x:c>
      <x:c r="N61" s="234">
        <x:f>ROUND(((I61*J61)-((I61*J61)*L61/100))+(((I61*J61)-((I61*J61)*L61/100))*M61/100), 2)</x:f>
      </x:c>
      <x:c r="O61" s="230">
        <x:f>M11</x:f>
      </x:c>
      <x:c r="P61" s="235" t="s"/>
      <x:c r="Q61" s="236" t="s"/>
      <x:c r="R61" s="237" t="s"/>
      <x:c r="S61" s="238" t="s"/>
      <x:c r="T61" s="239" t="s"/>
    </x:row>
    <x:row r="62" spans="1:24" customFormat="1" ht="24" customHeight="1">
      <x:c r="A62" s="226" t="n">
        <x:v>43</x:v>
      </x:c>
      <x:c r="B62" s="226" t="n">
        <x:v>99990008178479</x:v>
      </x:c>
      <x:c r="C62" s="227" t="n">
        <x:v>331508</x:v>
      </x:c>
      <x:c r="D62" s="228" t="s">
        <x:v>86</x:v>
      </x:c>
      <x:c r="E62" s="229" t="s"/>
      <x:c r="F62" s="229" t="n">
        <x:v>331508</x:v>
      </x:c>
      <x:c r="G62" s="229" t="s">
        <x:v>42</x:v>
      </x:c>
      <x:c r="H62" s="230" t="n">
        <x:v>0</x:v>
      </x:c>
      <x:c r="I62" s="231" t="n">
        <x:v>3</x:v>
      </x:c>
      <x:c r="J62" s="232" t="n">
        <x:v>0</x:v>
      </x:c>
      <x:c r="K62" s="233" t="s"/>
      <x:c r="L62" s="231" t="n">
        <x:v>0</x:v>
      </x:c>
      <x:c r="M62" s="231" t="n">
        <x:v>0</x:v>
      </x:c>
      <x:c r="N62" s="234">
        <x:f>ROUND(((I62*J62)-((I62*J62)*L62/100))+(((I62*J62)-((I62*J62)*L62/100))*M62/100), 2)</x:f>
      </x:c>
      <x:c r="O62" s="230">
        <x:f>M11</x:f>
      </x:c>
      <x:c r="P62" s="235" t="s"/>
      <x:c r="Q62" s="236" t="s"/>
      <x:c r="R62" s="237" t="s"/>
      <x:c r="S62" s="238" t="s"/>
      <x:c r="T62" s="239" t="s"/>
    </x:row>
    <x:row r="63" spans="1:24" customFormat="1" ht="24" customHeight="1">
      <x:c r="A63" s="226" t="n">
        <x:v>44</x:v>
      </x:c>
      <x:c r="B63" s="226" t="n">
        <x:v>99990008178511</x:v>
      </x:c>
      <x:c r="C63" s="227" t="n">
        <x:v>331542</x:v>
      </x:c>
      <x:c r="D63" s="228" t="s">
        <x:v>87</x:v>
      </x:c>
      <x:c r="E63" s="229" t="s"/>
      <x:c r="F63" s="229" t="n">
        <x:v>331542</x:v>
      </x:c>
      <x:c r="G63" s="229" t="s">
        <x:v>42</x:v>
      </x:c>
      <x:c r="H63" s="230" t="n">
        <x:v>0</x:v>
      </x:c>
      <x:c r="I63" s="231" t="n">
        <x:v>5</x:v>
      </x:c>
      <x:c r="J63" s="232" t="n">
        <x:v>0</x:v>
      </x:c>
      <x:c r="K63" s="233" t="s"/>
      <x:c r="L63" s="231" t="n">
        <x:v>0</x:v>
      </x:c>
      <x:c r="M63" s="231" t="n">
        <x:v>0</x:v>
      </x:c>
      <x:c r="N63" s="234">
        <x:f>ROUND(((I63*J63)-((I63*J63)*L63/100))+(((I63*J63)-((I63*J63)*L63/100))*M63/100), 2)</x:f>
      </x:c>
      <x:c r="O63" s="230">
        <x:f>M11</x:f>
      </x:c>
      <x:c r="P63" s="235" t="s"/>
      <x:c r="Q63" s="236" t="s"/>
      <x:c r="R63" s="237" t="s"/>
      <x:c r="S63" s="238" t="s"/>
      <x:c r="T63" s="239" t="s"/>
    </x:row>
    <x:row r="64" spans="1:24" customFormat="1" ht="24" customHeight="1">
      <x:c r="A64" s="226" t="n">
        <x:v>45</x:v>
      </x:c>
      <x:c r="B64" s="226" t="n">
        <x:v>99990008178506</x:v>
      </x:c>
      <x:c r="C64" s="227" t="n">
        <x:v>331537</x:v>
      </x:c>
      <x:c r="D64" s="228" t="s">
        <x:v>88</x:v>
      </x:c>
      <x:c r="E64" s="229" t="s"/>
      <x:c r="F64" s="229" t="n">
        <x:v>331537</x:v>
      </x:c>
      <x:c r="G64" s="229" t="s">
        <x:v>42</x:v>
      </x:c>
      <x:c r="H64" s="230" t="n">
        <x:v>0</x:v>
      </x:c>
      <x:c r="I64" s="231" t="n">
        <x:v>5</x:v>
      </x:c>
      <x:c r="J64" s="232" t="n">
        <x:v>0</x:v>
      </x:c>
      <x:c r="K64" s="233" t="s"/>
      <x:c r="L64" s="231" t="n">
        <x:v>0</x:v>
      </x:c>
      <x:c r="M64" s="231" t="n">
        <x:v>0</x:v>
      </x:c>
      <x:c r="N64" s="234">
        <x:f>ROUND(((I64*J64)-((I64*J64)*L64/100))+(((I64*J64)-((I64*J64)*L64/100))*M64/100), 2)</x:f>
      </x:c>
      <x:c r="O64" s="230">
        <x:f>M11</x:f>
      </x:c>
      <x:c r="P64" s="235" t="s"/>
      <x:c r="Q64" s="236" t="s"/>
      <x:c r="R64" s="237" t="s"/>
      <x:c r="S64" s="238" t="s"/>
      <x:c r="T64" s="239" t="s"/>
    </x:row>
    <x:row r="65" spans="1:24" customFormat="1" ht="24" customHeight="1">
      <x:c r="A65" s="226" t="n">
        <x:v>46</x:v>
      </x:c>
      <x:c r="B65" s="226" t="n">
        <x:v>99990008178496</x:v>
      </x:c>
      <x:c r="C65" s="227" t="n">
        <x:v>331527</x:v>
      </x:c>
      <x:c r="D65" s="228" t="s">
        <x:v>89</x:v>
      </x:c>
      <x:c r="E65" s="229" t="s"/>
      <x:c r="F65" s="229" t="n">
        <x:v>331527</x:v>
      </x:c>
      <x:c r="G65" s="229" t="s">
        <x:v>42</x:v>
      </x:c>
      <x:c r="H65" s="230" t="n">
        <x:v>0</x:v>
      </x:c>
      <x:c r="I65" s="231" t="n">
        <x:v>5</x:v>
      </x:c>
      <x:c r="J65" s="232" t="n">
        <x:v>0</x:v>
      </x:c>
      <x:c r="K65" s="233" t="s"/>
      <x:c r="L65" s="231" t="n">
        <x:v>0</x:v>
      </x:c>
      <x:c r="M65" s="231" t="n">
        <x:v>0</x:v>
      </x:c>
      <x:c r="N65" s="234">
        <x:f>ROUND(((I65*J65)-((I65*J65)*L65/100))+(((I65*J65)-((I65*J65)*L65/100))*M65/100), 2)</x:f>
      </x:c>
      <x:c r="O65" s="230">
        <x:f>M11</x:f>
      </x:c>
      <x:c r="P65" s="235" t="s"/>
      <x:c r="Q65" s="236" t="s"/>
      <x:c r="R65" s="237" t="s"/>
      <x:c r="S65" s="238" t="s"/>
      <x:c r="T65" s="239" t="s"/>
    </x:row>
    <x:row r="66" spans="1:24" customFormat="1" ht="24" customHeight="1">
      <x:c r="A66" s="226" t="n">
        <x:v>47</x:v>
      </x:c>
      <x:c r="B66" s="226" t="n">
        <x:v>99990008178163</x:v>
      </x:c>
      <x:c r="C66" s="227" t="n">
        <x:v>338570</x:v>
      </x:c>
      <x:c r="D66" s="228" t="s">
        <x:v>90</x:v>
      </x:c>
      <x:c r="E66" s="229" t="s"/>
      <x:c r="F66" s="229" t="n">
        <x:v>338570</x:v>
      </x:c>
      <x:c r="G66" s="229" t="s">
        <x:v>42</x:v>
      </x:c>
      <x:c r="H66" s="230" t="n">
        <x:v>0</x:v>
      </x:c>
      <x:c r="I66" s="231" t="n">
        <x:v>5</x:v>
      </x:c>
      <x:c r="J66" s="232" t="n">
        <x:v>0</x:v>
      </x:c>
      <x:c r="K66" s="233" t="s"/>
      <x:c r="L66" s="231" t="n">
        <x:v>0</x:v>
      </x:c>
      <x:c r="M66" s="231" t="n">
        <x:v>0</x:v>
      </x:c>
      <x:c r="N66" s="234">
        <x:f>ROUND(((I66*J66)-((I66*J66)*L66/100))+(((I66*J66)-((I66*J66)*L66/100))*M66/100), 2)</x:f>
      </x:c>
      <x:c r="O66" s="230">
        <x:f>M11</x:f>
      </x:c>
      <x:c r="P66" s="235" t="s"/>
      <x:c r="Q66" s="236" t="s"/>
      <x:c r="R66" s="237" t="s"/>
      <x:c r="S66" s="238" t="s"/>
      <x:c r="T66" s="239" t="s"/>
    </x:row>
    <x:row r="67" spans="1:24" customFormat="1" ht="24" customHeight="1">
      <x:c r="A67" s="226" t="n">
        <x:v>48</x:v>
      </x:c>
      <x:c r="B67" s="226" t="n">
        <x:v>99990008178136</x:v>
      </x:c>
      <x:c r="C67" s="227" t="n">
        <x:v>338530</x:v>
      </x:c>
      <x:c r="D67" s="228" t="s">
        <x:v>91</x:v>
      </x:c>
      <x:c r="E67" s="229" t="s"/>
      <x:c r="F67" s="229" t="n">
        <x:v>338530</x:v>
      </x:c>
      <x:c r="G67" s="229" t="s">
        <x:v>42</x:v>
      </x:c>
      <x:c r="H67" s="230" t="n">
        <x:v>0</x:v>
      </x:c>
      <x:c r="I67" s="231" t="n">
        <x:v>10</x:v>
      </x:c>
      <x:c r="J67" s="232" t="n">
        <x:v>0</x:v>
      </x:c>
      <x:c r="K67" s="233" t="s"/>
      <x:c r="L67" s="231" t="n">
        <x:v>0</x:v>
      </x:c>
      <x:c r="M67" s="231" t="n">
        <x:v>0</x:v>
      </x:c>
      <x:c r="N67" s="234">
        <x:f>ROUND(((I67*J67)-((I67*J67)*L67/100))+(((I67*J67)-((I67*J67)*L67/100))*M67/100), 2)</x:f>
      </x:c>
      <x:c r="O67" s="230">
        <x:f>M11</x:f>
      </x:c>
      <x:c r="P67" s="235" t="s"/>
      <x:c r="Q67" s="236" t="s"/>
      <x:c r="R67" s="237" t="s"/>
      <x:c r="S67" s="238" t="s"/>
      <x:c r="T67" s="239" t="s"/>
    </x:row>
    <x:row r="68" spans="1:24" customFormat="1" ht="24" customHeight="1">
      <x:c r="A68" s="226" t="n">
        <x:v>49</x:v>
      </x:c>
      <x:c r="B68" s="226" t="n">
        <x:v>99990008177695</x:v>
      </x:c>
      <x:c r="C68" s="227" t="n">
        <x:v>336048</x:v>
      </x:c>
      <x:c r="D68" s="228" t="s">
        <x:v>92</x:v>
      </x:c>
      <x:c r="E68" s="229" t="s"/>
      <x:c r="F68" s="229" t="n">
        <x:v>336048</x:v>
      </x:c>
      <x:c r="G68" s="229" t="s">
        <x:v>42</x:v>
      </x:c>
      <x:c r="H68" s="230" t="n">
        <x:v>0</x:v>
      </x:c>
      <x:c r="I68" s="231" t="n">
        <x:v>5</x:v>
      </x:c>
      <x:c r="J68" s="232" t="n">
        <x:v>0</x:v>
      </x:c>
      <x:c r="K68" s="233" t="s"/>
      <x:c r="L68" s="231" t="n">
        <x:v>0</x:v>
      </x:c>
      <x:c r="M68" s="231" t="n">
        <x:v>0</x:v>
      </x:c>
      <x:c r="N68" s="234">
        <x:f>ROUND(((I68*J68)-((I68*J68)*L68/100))+(((I68*J68)-((I68*J68)*L68/100))*M68/100), 2)</x:f>
      </x:c>
      <x:c r="O68" s="230">
        <x:f>M11</x:f>
      </x:c>
      <x:c r="P68" s="235" t="s"/>
      <x:c r="Q68" s="236" t="s"/>
      <x:c r="R68" s="237" t="s"/>
      <x:c r="S68" s="238" t="s"/>
      <x:c r="T68" s="239" t="s"/>
    </x:row>
    <x:row r="69" spans="1:24" customFormat="1" ht="24" customHeight="1">
      <x:c r="A69" s="226" t="n">
        <x:v>50</x:v>
      </x:c>
      <x:c r="B69" s="226" t="n">
        <x:v>99990008178120</x:v>
      </x:c>
      <x:c r="C69" s="227" t="n">
        <x:v>337701</x:v>
      </x:c>
      <x:c r="D69" s="228" t="s">
        <x:v>93</x:v>
      </x:c>
      <x:c r="E69" s="229" t="s"/>
      <x:c r="F69" s="229" t="n">
        <x:v>337701</x:v>
      </x:c>
      <x:c r="G69" s="229" t="s">
        <x:v>42</x:v>
      </x:c>
      <x:c r="H69" s="230" t="n">
        <x:v>0</x:v>
      </x:c>
      <x:c r="I69" s="231" t="n">
        <x:v>5</x:v>
      </x:c>
      <x:c r="J69" s="232" t="n">
        <x:v>0</x:v>
      </x:c>
      <x:c r="K69" s="233" t="s"/>
      <x:c r="L69" s="231" t="n">
        <x:v>0</x:v>
      </x:c>
      <x:c r="M69" s="231" t="n">
        <x:v>0</x:v>
      </x:c>
      <x:c r="N69" s="234">
        <x:f>ROUND(((I69*J69)-((I69*J69)*L69/100))+(((I69*J69)-((I69*J69)*L69/100))*M69/100), 2)</x:f>
      </x:c>
      <x:c r="O69" s="230">
        <x:f>M11</x:f>
      </x:c>
      <x:c r="P69" s="235" t="s"/>
      <x:c r="Q69" s="236" t="s"/>
      <x:c r="R69" s="237" t="s"/>
      <x:c r="S69" s="238" t="s"/>
      <x:c r="T69" s="239" t="s"/>
    </x:row>
    <x:row r="70" spans="1:24" customFormat="1" ht="24" customHeight="1">
      <x:c r="A70" s="226" t="n">
        <x:v>51</x:v>
      </x:c>
      <x:c r="B70" s="226" t="n">
        <x:v>99990008178119</x:v>
      </x:c>
      <x:c r="C70" s="227" t="n">
        <x:v>337700</x:v>
      </x:c>
      <x:c r="D70" s="228" t="s">
        <x:v>94</x:v>
      </x:c>
      <x:c r="E70" s="229" t="s"/>
      <x:c r="F70" s="229" t="n">
        <x:v>337700</x:v>
      </x:c>
      <x:c r="G70" s="229" t="s">
        <x:v>42</x:v>
      </x:c>
      <x:c r="H70" s="230" t="n">
        <x:v>0</x:v>
      </x:c>
      <x:c r="I70" s="231" t="n">
        <x:v>5</x:v>
      </x:c>
      <x:c r="J70" s="232" t="n">
        <x:v>0</x:v>
      </x:c>
      <x:c r="K70" s="233" t="s"/>
      <x:c r="L70" s="231" t="n">
        <x:v>0</x:v>
      </x:c>
      <x:c r="M70" s="231" t="n">
        <x:v>0</x:v>
      </x:c>
      <x:c r="N70" s="234">
        <x:f>ROUND(((I70*J70)-((I70*J70)*L70/100))+(((I70*J70)-((I70*J70)*L70/100))*M70/100), 2)</x:f>
      </x:c>
      <x:c r="O70" s="230">
        <x:f>M11</x:f>
      </x:c>
      <x:c r="P70" s="235" t="s"/>
      <x:c r="Q70" s="236" t="s"/>
      <x:c r="R70" s="237" t="s"/>
      <x:c r="S70" s="238" t="s"/>
      <x:c r="T70" s="239" t="s"/>
    </x:row>
    <x:row r="71" spans="1:24" customFormat="1" ht="24" customHeight="1">
      <x:c r="A71" s="226" t="n">
        <x:v>52</x:v>
      </x:c>
      <x:c r="B71" s="226" t="n">
        <x:v>99990008178235</x:v>
      </x:c>
      <x:c r="C71" s="227" t="n">
        <x:v>332896</x:v>
      </x:c>
      <x:c r="D71" s="228" t="s">
        <x:v>95</x:v>
      </x:c>
      <x:c r="E71" s="229" t="s"/>
      <x:c r="F71" s="229" t="n">
        <x:v>332896</x:v>
      </x:c>
      <x:c r="G71" s="229" t="s">
        <x:v>42</x:v>
      </x:c>
      <x:c r="H71" s="230" t="n">
        <x:v>0</x:v>
      </x:c>
      <x:c r="I71" s="231" t="n">
        <x:v>10</x:v>
      </x:c>
      <x:c r="J71" s="232" t="n">
        <x:v>0</x:v>
      </x:c>
      <x:c r="K71" s="233" t="s"/>
      <x:c r="L71" s="231" t="n">
        <x:v>0</x:v>
      </x:c>
      <x:c r="M71" s="231" t="n">
        <x:v>0</x:v>
      </x:c>
      <x:c r="N71" s="234">
        <x:f>ROUND(((I71*J71)-((I71*J71)*L71/100))+(((I71*J71)-((I71*J71)*L71/100))*M71/100), 2)</x:f>
      </x:c>
      <x:c r="O71" s="230">
        <x:f>M11</x:f>
      </x:c>
      <x:c r="P71" s="235" t="s"/>
      <x:c r="Q71" s="236" t="s"/>
      <x:c r="R71" s="237" t="s"/>
      <x:c r="S71" s="238" t="s"/>
      <x:c r="T71" s="239" t="s"/>
    </x:row>
    <x:row r="72" spans="1:24" customFormat="1" ht="24" customHeight="1">
      <x:c r="A72" s="226" t="n">
        <x:v>53</x:v>
      </x:c>
      <x:c r="B72" s="226" t="n">
        <x:v>99990008178239</x:v>
      </x:c>
      <x:c r="C72" s="227" t="n">
        <x:v>333140</x:v>
      </x:c>
      <x:c r="D72" s="228" t="s">
        <x:v>96</x:v>
      </x:c>
      <x:c r="E72" s="229" t="s"/>
      <x:c r="F72" s="229" t="n">
        <x:v>333140</x:v>
      </x:c>
      <x:c r="G72" s="229" t="s">
        <x:v>42</x:v>
      </x:c>
      <x:c r="H72" s="230" t="n">
        <x:v>0</x:v>
      </x:c>
      <x:c r="I72" s="231" t="n">
        <x:v>6</x:v>
      </x:c>
      <x:c r="J72" s="232" t="n">
        <x:v>0</x:v>
      </x:c>
      <x:c r="K72" s="233" t="s"/>
      <x:c r="L72" s="231" t="n">
        <x:v>0</x:v>
      </x:c>
      <x:c r="M72" s="231" t="n">
        <x:v>0</x:v>
      </x:c>
      <x:c r="N72" s="234">
        <x:f>ROUND(((I72*J72)-((I72*J72)*L72/100))+(((I72*J72)-((I72*J72)*L72/100))*M72/100), 2)</x:f>
      </x:c>
      <x:c r="O72" s="230">
        <x:f>M11</x:f>
      </x:c>
      <x:c r="P72" s="235" t="s"/>
      <x:c r="Q72" s="236" t="s"/>
      <x:c r="R72" s="237" t="s"/>
      <x:c r="S72" s="238" t="s"/>
      <x:c r="T72" s="239" t="s"/>
    </x:row>
    <x:row r="73" spans="1:24" customFormat="1" ht="24" customHeight="1">
      <x:c r="A73" s="226" t="n">
        <x:v>54</x:v>
      </x:c>
      <x:c r="B73" s="226" t="n">
        <x:v>99990008178215</x:v>
      </x:c>
      <x:c r="C73" s="227" t="n">
        <x:v>333138</x:v>
      </x:c>
      <x:c r="D73" s="228" t="s">
        <x:v>97</x:v>
      </x:c>
      <x:c r="E73" s="229" t="s"/>
      <x:c r="F73" s="229" t="n">
        <x:v>333138</x:v>
      </x:c>
      <x:c r="G73" s="229" t="s">
        <x:v>42</x:v>
      </x:c>
      <x:c r="H73" s="230" t="n">
        <x:v>0</x:v>
      </x:c>
      <x:c r="I73" s="231" t="n">
        <x:v>6</x:v>
      </x:c>
      <x:c r="J73" s="232" t="n">
        <x:v>0</x:v>
      </x:c>
      <x:c r="K73" s="233" t="s"/>
      <x:c r="L73" s="231" t="n">
        <x:v>0</x:v>
      </x:c>
      <x:c r="M73" s="231" t="n">
        <x:v>0</x:v>
      </x:c>
      <x:c r="N73" s="234">
        <x:f>ROUND(((I73*J73)-((I73*J73)*L73/100))+(((I73*J73)-((I73*J73)*L73/100))*M73/100), 2)</x:f>
      </x:c>
      <x:c r="O73" s="230">
        <x:f>M11</x:f>
      </x:c>
      <x:c r="P73" s="235" t="s"/>
      <x:c r="Q73" s="236" t="s"/>
      <x:c r="R73" s="237" t="s"/>
      <x:c r="S73" s="238" t="s"/>
      <x:c r="T73" s="239" t="s"/>
    </x:row>
    <x:row r="74" spans="1:24" customFormat="1" ht="24" customHeight="1">
      <x:c r="A74" s="226" t="n">
        <x:v>55</x:v>
      </x:c>
      <x:c r="B74" s="226" t="n">
        <x:v>99990008178211</x:v>
      </x:c>
      <x:c r="C74" s="227" t="n">
        <x:v>333135</x:v>
      </x:c>
      <x:c r="D74" s="228" t="s">
        <x:v>98</x:v>
      </x:c>
      <x:c r="E74" s="229" t="s"/>
      <x:c r="F74" s="229" t="n">
        <x:v>333135</x:v>
      </x:c>
      <x:c r="G74" s="229" t="s">
        <x:v>42</x:v>
      </x:c>
      <x:c r="H74" s="230" t="n">
        <x:v>0</x:v>
      </x:c>
      <x:c r="I74" s="231" t="n">
        <x:v>5</x:v>
      </x:c>
      <x:c r="J74" s="232" t="n">
        <x:v>0</x:v>
      </x:c>
      <x:c r="K74" s="233" t="s"/>
      <x:c r="L74" s="231" t="n">
        <x:v>0</x:v>
      </x:c>
      <x:c r="M74" s="231" t="n">
        <x:v>0</x:v>
      </x:c>
      <x:c r="N74" s="234">
        <x:f>ROUND(((I74*J74)-((I74*J74)*L74/100))+(((I74*J74)-((I74*J74)*L74/100))*M74/100), 2)</x:f>
      </x:c>
      <x:c r="O74" s="230">
        <x:f>M11</x:f>
      </x:c>
      <x:c r="P74" s="235" t="s"/>
      <x:c r="Q74" s="236" t="s"/>
      <x:c r="R74" s="237" t="s"/>
      <x:c r="S74" s="238" t="s"/>
      <x:c r="T74" s="239" t="s"/>
    </x:row>
    <x:row r="75" spans="1:24" customFormat="1" ht="24" customHeight="1">
      <x:c r="A75" s="226" t="n">
        <x:v>56</x:v>
      </x:c>
      <x:c r="B75" s="226" t="n">
        <x:v>99990008178208</x:v>
      </x:c>
      <x:c r="C75" s="227" t="n">
        <x:v>333126</x:v>
      </x:c>
      <x:c r="D75" s="228" t="s">
        <x:v>99</x:v>
      </x:c>
      <x:c r="E75" s="229" t="s"/>
      <x:c r="F75" s="229" t="n">
        <x:v>333126</x:v>
      </x:c>
      <x:c r="G75" s="229" t="s">
        <x:v>42</x:v>
      </x:c>
      <x:c r="H75" s="230" t="n">
        <x:v>0</x:v>
      </x:c>
      <x:c r="I75" s="231" t="n">
        <x:v>5</x:v>
      </x:c>
      <x:c r="J75" s="232" t="n">
        <x:v>0</x:v>
      </x:c>
      <x:c r="K75" s="233" t="s"/>
      <x:c r="L75" s="231" t="n">
        <x:v>0</x:v>
      </x:c>
      <x:c r="M75" s="231" t="n">
        <x:v>0</x:v>
      </x:c>
      <x:c r="N75" s="234">
        <x:f>ROUND(((I75*J75)-((I75*J75)*L75/100))+(((I75*J75)-((I75*J75)*L75/100))*M75/100), 2)</x:f>
      </x:c>
      <x:c r="O75" s="230">
        <x:f>M11</x:f>
      </x:c>
      <x:c r="P75" s="235" t="s"/>
      <x:c r="Q75" s="236" t="s"/>
      <x:c r="R75" s="237" t="s"/>
      <x:c r="S75" s="238" t="s"/>
      <x:c r="T75" s="239" t="s"/>
    </x:row>
    <x:row r="76" spans="1:24" customFormat="1" ht="24" customHeight="1">
      <x:c r="A76" s="226" t="n">
        <x:v>57</x:v>
      </x:c>
      <x:c r="B76" s="226" t="n">
        <x:v>99990008178207</x:v>
      </x:c>
      <x:c r="C76" s="227" t="n">
        <x:v>333125</x:v>
      </x:c>
      <x:c r="D76" s="228" t="s">
        <x:v>100</x:v>
      </x:c>
      <x:c r="E76" s="229" t="s"/>
      <x:c r="F76" s="229" t="n">
        <x:v>333125</x:v>
      </x:c>
      <x:c r="G76" s="229" t="s">
        <x:v>42</x:v>
      </x:c>
      <x:c r="H76" s="230" t="n">
        <x:v>0</x:v>
      </x:c>
      <x:c r="I76" s="231" t="n">
        <x:v>5</x:v>
      </x:c>
      <x:c r="J76" s="232" t="n">
        <x:v>0</x:v>
      </x:c>
      <x:c r="K76" s="233" t="s"/>
      <x:c r="L76" s="231" t="n">
        <x:v>0</x:v>
      </x:c>
      <x:c r="M76" s="231" t="n">
        <x:v>0</x:v>
      </x:c>
      <x:c r="N76" s="234">
        <x:f>ROUND(((I76*J76)-((I76*J76)*L76/100))+(((I76*J76)-((I76*J76)*L76/100))*M76/100), 2)</x:f>
      </x:c>
      <x:c r="O76" s="230">
        <x:f>M11</x:f>
      </x:c>
      <x:c r="P76" s="235" t="s"/>
      <x:c r="Q76" s="236" t="s"/>
      <x:c r="R76" s="237" t="s"/>
      <x:c r="S76" s="238" t="s"/>
      <x:c r="T76" s="239" t="s"/>
    </x:row>
    <x:row r="77" spans="1:24" customFormat="1" ht="24" customHeight="1">
      <x:c r="A77" s="226" t="n">
        <x:v>58</x:v>
      </x:c>
      <x:c r="B77" s="226" t="n">
        <x:v>99990008178206</x:v>
      </x:c>
      <x:c r="C77" s="227" t="n">
        <x:v>333123</x:v>
      </x:c>
      <x:c r="D77" s="228" t="s">
        <x:v>101</x:v>
      </x:c>
      <x:c r="E77" s="229" t="s"/>
      <x:c r="F77" s="229" t="n">
        <x:v>333123</x:v>
      </x:c>
      <x:c r="G77" s="229" t="s">
        <x:v>42</x:v>
      </x:c>
      <x:c r="H77" s="230" t="n">
        <x:v>0</x:v>
      </x:c>
      <x:c r="I77" s="231" t="n">
        <x:v>5</x:v>
      </x:c>
      <x:c r="J77" s="232" t="n">
        <x:v>0</x:v>
      </x:c>
      <x:c r="K77" s="233" t="s"/>
      <x:c r="L77" s="231" t="n">
        <x:v>0</x:v>
      </x:c>
      <x:c r="M77" s="231" t="n">
        <x:v>0</x:v>
      </x:c>
      <x:c r="N77" s="234">
        <x:f>ROUND(((I77*J77)-((I77*J77)*L77/100))+(((I77*J77)-((I77*J77)*L77/100))*M77/100), 2)</x:f>
      </x:c>
      <x:c r="O77" s="230">
        <x:f>M11</x:f>
      </x:c>
      <x:c r="P77" s="235" t="s"/>
      <x:c r="Q77" s="236" t="s"/>
      <x:c r="R77" s="237" t="s"/>
      <x:c r="S77" s="238" t="s"/>
      <x:c r="T77" s="239" t="s"/>
    </x:row>
    <x:row r="78" spans="1:24" customFormat="1" ht="24" customHeight="1">
      <x:c r="A78" s="226" t="n">
        <x:v>59</x:v>
      </x:c>
      <x:c r="B78" s="226" t="n">
        <x:v>99990008178205</x:v>
      </x:c>
      <x:c r="C78" s="227" t="n">
        <x:v>333111</x:v>
      </x:c>
      <x:c r="D78" s="228" t="s">
        <x:v>102</x:v>
      </x:c>
      <x:c r="E78" s="229" t="s"/>
      <x:c r="F78" s="229" t="n">
        <x:v>333111</x:v>
      </x:c>
      <x:c r="G78" s="229" t="s">
        <x:v>42</x:v>
      </x:c>
      <x:c r="H78" s="230" t="n">
        <x:v>0</x:v>
      </x:c>
      <x:c r="I78" s="231" t="n">
        <x:v>5</x:v>
      </x:c>
      <x:c r="J78" s="232" t="n">
        <x:v>0</x:v>
      </x:c>
      <x:c r="K78" s="233" t="s"/>
      <x:c r="L78" s="231" t="n">
        <x:v>0</x:v>
      </x:c>
      <x:c r="M78" s="231" t="n">
        <x:v>0</x:v>
      </x:c>
      <x:c r="N78" s="234">
        <x:f>ROUND(((I78*J78)-((I78*J78)*L78/100))+(((I78*J78)-((I78*J78)*L78/100))*M78/100), 2)</x:f>
      </x:c>
      <x:c r="O78" s="230">
        <x:f>M11</x:f>
      </x:c>
      <x:c r="P78" s="235" t="s"/>
      <x:c r="Q78" s="236" t="s"/>
      <x:c r="R78" s="237" t="s"/>
      <x:c r="S78" s="238" t="s"/>
      <x:c r="T78" s="239" t="s"/>
    </x:row>
    <x:row r="79" spans="1:24" customFormat="1" ht="24" customHeight="1">
      <x:c r="A79" s="226" t="n">
        <x:v>60</x:v>
      </x:c>
      <x:c r="B79" s="226" t="n">
        <x:v>99990008178203</x:v>
      </x:c>
      <x:c r="C79" s="227" t="n">
        <x:v>333136</x:v>
      </x:c>
      <x:c r="D79" s="228" t="s">
        <x:v>103</x:v>
      </x:c>
      <x:c r="E79" s="229" t="s"/>
      <x:c r="F79" s="229" t="n">
        <x:v>333136</x:v>
      </x:c>
      <x:c r="G79" s="229" t="s">
        <x:v>42</x:v>
      </x:c>
      <x:c r="H79" s="230" t="n">
        <x:v>0</x:v>
      </x:c>
      <x:c r="I79" s="231" t="n">
        <x:v>5</x:v>
      </x:c>
      <x:c r="J79" s="232" t="n">
        <x:v>0</x:v>
      </x:c>
      <x:c r="K79" s="233" t="s"/>
      <x:c r="L79" s="231" t="n">
        <x:v>0</x:v>
      </x:c>
      <x:c r="M79" s="231" t="n">
        <x:v>0</x:v>
      </x:c>
      <x:c r="N79" s="234">
        <x:f>ROUND(((I79*J79)-((I79*J79)*L79/100))+(((I79*J79)-((I79*J79)*L79/100))*M79/100), 2)</x:f>
      </x:c>
      <x:c r="O79" s="230">
        <x:f>M11</x:f>
      </x:c>
      <x:c r="P79" s="235" t="s"/>
      <x:c r="Q79" s="236" t="s"/>
      <x:c r="R79" s="237" t="s"/>
      <x:c r="S79" s="238" t="s"/>
      <x:c r="T79" s="239" t="s"/>
    </x:row>
    <x:row r="80" spans="1:24" customFormat="1" ht="24" customHeight="1">
      <x:c r="A80" s="226" t="n">
        <x:v>61</x:v>
      </x:c>
      <x:c r="B80" s="226" t="n">
        <x:v>99990008178193</x:v>
      </x:c>
      <x:c r="C80" s="227" t="n">
        <x:v>333107</x:v>
      </x:c>
      <x:c r="D80" s="228" t="s">
        <x:v>104</x:v>
      </x:c>
      <x:c r="E80" s="229" t="s"/>
      <x:c r="F80" s="229" t="n">
        <x:v>333107</x:v>
      </x:c>
      <x:c r="G80" s="229" t="s">
        <x:v>42</x:v>
      </x:c>
      <x:c r="H80" s="230" t="n">
        <x:v>0</x:v>
      </x:c>
      <x:c r="I80" s="231" t="n">
        <x:v>5</x:v>
      </x:c>
      <x:c r="J80" s="232" t="n">
        <x:v>0</x:v>
      </x:c>
      <x:c r="K80" s="233" t="s"/>
      <x:c r="L80" s="231" t="n">
        <x:v>0</x:v>
      </x:c>
      <x:c r="M80" s="231" t="n">
        <x:v>0</x:v>
      </x:c>
      <x:c r="N80" s="234">
        <x:f>ROUND(((I80*J80)-((I80*J80)*L80/100))+(((I80*J80)-((I80*J80)*L80/100))*M80/100), 2)</x:f>
      </x:c>
      <x:c r="O80" s="230">
        <x:f>M11</x:f>
      </x:c>
      <x:c r="P80" s="235" t="s"/>
      <x:c r="Q80" s="236" t="s"/>
      <x:c r="R80" s="237" t="s"/>
      <x:c r="S80" s="238" t="s"/>
      <x:c r="T80" s="239" t="s"/>
    </x:row>
    <x:row r="81" spans="1:24" customFormat="1" ht="24" customHeight="1">
      <x:c r="A81" s="226" t="n">
        <x:v>62</x:v>
      </x:c>
      <x:c r="B81" s="226" t="n">
        <x:v>99990008178189</x:v>
      </x:c>
      <x:c r="C81" s="227" t="n">
        <x:v>333115</x:v>
      </x:c>
      <x:c r="D81" s="228" t="s">
        <x:v>105</x:v>
      </x:c>
      <x:c r="E81" s="229" t="s"/>
      <x:c r="F81" s="229" t="n">
        <x:v>333115</x:v>
      </x:c>
      <x:c r="G81" s="229" t="s">
        <x:v>42</x:v>
      </x:c>
      <x:c r="H81" s="230" t="n">
        <x:v>0</x:v>
      </x:c>
      <x:c r="I81" s="231" t="n">
        <x:v>5</x:v>
      </x:c>
      <x:c r="J81" s="232" t="n">
        <x:v>0</x:v>
      </x:c>
      <x:c r="K81" s="233" t="s"/>
      <x:c r="L81" s="231" t="n">
        <x:v>0</x:v>
      </x:c>
      <x:c r="M81" s="231" t="n">
        <x:v>0</x:v>
      </x:c>
      <x:c r="N81" s="234">
        <x:f>ROUND(((I81*J81)-((I81*J81)*L81/100))+(((I81*J81)-((I81*J81)*L81/100))*M81/100), 2)</x:f>
      </x:c>
      <x:c r="O81" s="230">
        <x:f>M11</x:f>
      </x:c>
      <x:c r="P81" s="235" t="s"/>
      <x:c r="Q81" s="236" t="s"/>
      <x:c r="R81" s="237" t="s"/>
      <x:c r="S81" s="238" t="s"/>
      <x:c r="T81" s="239" t="s"/>
    </x:row>
    <x:row r="82" spans="1:24" customFormat="1" ht="24" customHeight="1">
      <x:c r="A82" s="226" t="n">
        <x:v>63</x:v>
      </x:c>
      <x:c r="B82" s="226" t="n">
        <x:v>99990008178181</x:v>
      </x:c>
      <x:c r="C82" s="227" t="n">
        <x:v>333101</x:v>
      </x:c>
      <x:c r="D82" s="228" t="s">
        <x:v>106</x:v>
      </x:c>
      <x:c r="E82" s="229" t="s"/>
      <x:c r="F82" s="229" t="n">
        <x:v>333101</x:v>
      </x:c>
      <x:c r="G82" s="229" t="s">
        <x:v>42</x:v>
      </x:c>
      <x:c r="H82" s="230" t="n">
        <x:v>0</x:v>
      </x:c>
      <x:c r="I82" s="231" t="n">
        <x:v>5</x:v>
      </x:c>
      <x:c r="J82" s="232" t="n">
        <x:v>0</x:v>
      </x:c>
      <x:c r="K82" s="233" t="s"/>
      <x:c r="L82" s="231" t="n">
        <x:v>0</x:v>
      </x:c>
      <x:c r="M82" s="231" t="n">
        <x:v>0</x:v>
      </x:c>
      <x:c r="N82" s="234">
        <x:f>ROUND(((I82*J82)-((I82*J82)*L82/100))+(((I82*J82)-((I82*J82)*L82/100))*M82/100), 2)</x:f>
      </x:c>
      <x:c r="O82" s="230">
        <x:f>M11</x:f>
      </x:c>
      <x:c r="P82" s="235" t="s"/>
      <x:c r="Q82" s="236" t="s"/>
      <x:c r="R82" s="237" t="s"/>
      <x:c r="S82" s="238" t="s"/>
      <x:c r="T82" s="239" t="s"/>
    </x:row>
    <x:row r="83" spans="1:24" customFormat="1" ht="24" customHeight="1">
      <x:c r="A83" s="226" t="n">
        <x:v>64</x:v>
      </x:c>
      <x:c r="B83" s="226" t="n">
        <x:v>99990008178155</x:v>
      </x:c>
      <x:c r="C83" s="227" t="n">
        <x:v>338691</x:v>
      </x:c>
      <x:c r="D83" s="228" t="s">
        <x:v>107</x:v>
      </x:c>
      <x:c r="E83" s="229" t="s"/>
      <x:c r="F83" s="229" t="n">
        <x:v>338691</x:v>
      </x:c>
      <x:c r="G83" s="229" t="s">
        <x:v>42</x:v>
      </x:c>
      <x:c r="H83" s="230" t="n">
        <x:v>0</x:v>
      </x:c>
      <x:c r="I83" s="231" t="n">
        <x:v>20</x:v>
      </x:c>
      <x:c r="J83" s="232" t="n">
        <x:v>0</x:v>
      </x:c>
      <x:c r="K83" s="233" t="s"/>
      <x:c r="L83" s="231" t="n">
        <x:v>0</x:v>
      </x:c>
      <x:c r="M83" s="231" t="n">
        <x:v>0</x:v>
      </x:c>
      <x:c r="N83" s="234">
        <x:f>ROUND(((I83*J83)-((I83*J83)*L83/100))+(((I83*J83)-((I83*J83)*L83/100))*M83/100), 2)</x:f>
      </x:c>
      <x:c r="O83" s="230">
        <x:f>M11</x:f>
      </x:c>
      <x:c r="P83" s="235" t="s"/>
      <x:c r="Q83" s="236" t="s"/>
      <x:c r="R83" s="237" t="s"/>
      <x:c r="S83" s="238" t="s"/>
      <x:c r="T83" s="239" t="s"/>
    </x:row>
    <x:row r="84" spans="1:24" customFormat="1" ht="24" customHeight="1">
      <x:c r="A84" s="226" t="n">
        <x:v>65</x:v>
      </x:c>
      <x:c r="B84" s="226" t="n">
        <x:v>99990008178149</x:v>
      </x:c>
      <x:c r="C84" s="227" t="n">
        <x:v>338545</x:v>
      </x:c>
      <x:c r="D84" s="228" t="s">
        <x:v>108</x:v>
      </x:c>
      <x:c r="E84" s="229" t="s"/>
      <x:c r="F84" s="229" t="n">
        <x:v>338545</x:v>
      </x:c>
      <x:c r="G84" s="229" t="s">
        <x:v>42</x:v>
      </x:c>
      <x:c r="H84" s="230" t="n">
        <x:v>0</x:v>
      </x:c>
      <x:c r="I84" s="231" t="n">
        <x:v>20</x:v>
      </x:c>
      <x:c r="J84" s="232" t="n">
        <x:v>0</x:v>
      </x:c>
      <x:c r="K84" s="233" t="s"/>
      <x:c r="L84" s="231" t="n">
        <x:v>0</x:v>
      </x:c>
      <x:c r="M84" s="231" t="n">
        <x:v>0</x:v>
      </x:c>
      <x:c r="N84" s="234">
        <x:f>ROUND(((I84*J84)-((I84*J84)*L84/100))+(((I84*J84)-((I84*J84)*L84/100))*M84/100), 2)</x:f>
      </x:c>
      <x:c r="O84" s="230">
        <x:f>M11</x:f>
      </x:c>
      <x:c r="P84" s="235" t="s"/>
      <x:c r="Q84" s="236" t="s"/>
      <x:c r="R84" s="237" t="s"/>
      <x:c r="S84" s="238" t="s"/>
      <x:c r="T84" s="239" t="s"/>
    </x:row>
    <x:row r="85" spans="1:24" customFormat="1" ht="24" customHeight="1">
      <x:c r="A85" s="226" t="n">
        <x:v>66</x:v>
      </x:c>
      <x:c r="B85" s="226" t="n">
        <x:v>99990008177967</x:v>
      </x:c>
      <x:c r="C85" s="227" t="n">
        <x:v>335715</x:v>
      </x:c>
      <x:c r="D85" s="228" t="s">
        <x:v>109</x:v>
      </x:c>
      <x:c r="E85" s="229" t="s"/>
      <x:c r="F85" s="229" t="n">
        <x:v>335715</x:v>
      </x:c>
      <x:c r="G85" s="229" t="s">
        <x:v>42</x:v>
      </x:c>
      <x:c r="H85" s="230" t="n">
        <x:v>0</x:v>
      </x:c>
      <x:c r="I85" s="231" t="n">
        <x:v>15</x:v>
      </x:c>
      <x:c r="J85" s="232" t="n">
        <x:v>0</x:v>
      </x:c>
      <x:c r="K85" s="233" t="s"/>
      <x:c r="L85" s="231" t="n">
        <x:v>0</x:v>
      </x:c>
      <x:c r="M85" s="231" t="n">
        <x:v>0</x:v>
      </x:c>
      <x:c r="N85" s="234">
        <x:f>ROUND(((I85*J85)-((I85*J85)*L85/100))+(((I85*J85)-((I85*J85)*L85/100))*M85/100), 2)</x:f>
      </x:c>
      <x:c r="O85" s="230">
        <x:f>M11</x:f>
      </x:c>
      <x:c r="P85" s="235" t="s"/>
      <x:c r="Q85" s="236" t="s"/>
      <x:c r="R85" s="237" t="s"/>
      <x:c r="S85" s="238" t="s"/>
      <x:c r="T85" s="239" t="s"/>
    </x:row>
    <x:row r="86" spans="1:24" customFormat="1" ht="24" customHeight="1">
      <x:c r="A86" s="226" t="n">
        <x:v>67</x:v>
      </x:c>
      <x:c r="B86" s="226" t="n">
        <x:v>99990008177978</x:v>
      </x:c>
      <x:c r="C86" s="227" t="n">
        <x:v>335726</x:v>
      </x:c>
      <x:c r="D86" s="228" t="s">
        <x:v>110</x:v>
      </x:c>
      <x:c r="E86" s="229" t="s"/>
      <x:c r="F86" s="229" t="n">
        <x:v>335726</x:v>
      </x:c>
      <x:c r="G86" s="229" t="s">
        <x:v>42</x:v>
      </x:c>
      <x:c r="H86" s="230" t="n">
        <x:v>0</x:v>
      </x:c>
      <x:c r="I86" s="231" t="n">
        <x:v>15</x:v>
      </x:c>
      <x:c r="J86" s="232" t="n">
        <x:v>0</x:v>
      </x:c>
      <x:c r="K86" s="233" t="s"/>
      <x:c r="L86" s="231" t="n">
        <x:v>0</x:v>
      </x:c>
      <x:c r="M86" s="231" t="n">
        <x:v>0</x:v>
      </x:c>
      <x:c r="N86" s="234">
        <x:f>ROUND(((I86*J86)-((I86*J86)*L86/100))+(((I86*J86)-((I86*J86)*L86/100))*M86/100), 2)</x:f>
      </x:c>
      <x:c r="O86" s="230">
        <x:f>M11</x:f>
      </x:c>
      <x:c r="P86" s="235" t="s"/>
      <x:c r="Q86" s="236" t="s"/>
      <x:c r="R86" s="237" t="s"/>
      <x:c r="S86" s="238" t="s"/>
      <x:c r="T86" s="239" t="s"/>
    </x:row>
    <x:row r="87" spans="1:24" customFormat="1" ht="24" customHeight="1">
      <x:c r="A87" s="226" t="n">
        <x:v>68</x:v>
      </x:c>
      <x:c r="B87" s="226" t="n">
        <x:v>99990008177977</x:v>
      </x:c>
      <x:c r="C87" s="227" t="n">
        <x:v>335725</x:v>
      </x:c>
      <x:c r="D87" s="228" t="s">
        <x:v>111</x:v>
      </x:c>
      <x:c r="E87" s="229" t="s"/>
      <x:c r="F87" s="229" t="n">
        <x:v>335725</x:v>
      </x:c>
      <x:c r="G87" s="229" t="s">
        <x:v>42</x:v>
      </x:c>
      <x:c r="H87" s="230" t="n">
        <x:v>0</x:v>
      </x:c>
      <x:c r="I87" s="231" t="n">
        <x:v>15</x:v>
      </x:c>
      <x:c r="J87" s="232" t="n">
        <x:v>0</x:v>
      </x:c>
      <x:c r="K87" s="233" t="s"/>
      <x:c r="L87" s="231" t="n">
        <x:v>0</x:v>
      </x:c>
      <x:c r="M87" s="231" t="n">
        <x:v>0</x:v>
      </x:c>
      <x:c r="N87" s="234">
        <x:f>ROUND(((I87*J87)-((I87*J87)*L87/100))+(((I87*J87)-((I87*J87)*L87/100))*M87/100), 2)</x:f>
      </x:c>
      <x:c r="O87" s="230">
        <x:f>M11</x:f>
      </x:c>
      <x:c r="P87" s="235" t="s"/>
      <x:c r="Q87" s="236" t="s"/>
      <x:c r="R87" s="237" t="s"/>
      <x:c r="S87" s="238" t="s"/>
      <x:c r="T87" s="239" t="s"/>
    </x:row>
    <x:row r="88" spans="1:24" customFormat="1" ht="24" customHeight="1">
      <x:c r="A88" s="226" t="n">
        <x:v>69</x:v>
      </x:c>
      <x:c r="B88" s="226" t="n">
        <x:v>99990008177976</x:v>
      </x:c>
      <x:c r="C88" s="227" t="n">
        <x:v>335724</x:v>
      </x:c>
      <x:c r="D88" s="228" t="s">
        <x:v>112</x:v>
      </x:c>
      <x:c r="E88" s="229" t="s"/>
      <x:c r="F88" s="229" t="n">
        <x:v>335724</x:v>
      </x:c>
      <x:c r="G88" s="229" t="s">
        <x:v>42</x:v>
      </x:c>
      <x:c r="H88" s="230" t="n">
        <x:v>0</x:v>
      </x:c>
      <x:c r="I88" s="231" t="n">
        <x:v>15</x:v>
      </x:c>
      <x:c r="J88" s="232" t="n">
        <x:v>0</x:v>
      </x:c>
      <x:c r="K88" s="233" t="s"/>
      <x:c r="L88" s="231" t="n">
        <x:v>0</x:v>
      </x:c>
      <x:c r="M88" s="231" t="n">
        <x:v>0</x:v>
      </x:c>
      <x:c r="N88" s="234">
        <x:f>ROUND(((I88*J88)-((I88*J88)*L88/100))+(((I88*J88)-((I88*J88)*L88/100))*M88/100), 2)</x:f>
      </x:c>
      <x:c r="O88" s="230">
        <x:f>M11</x:f>
      </x:c>
      <x:c r="P88" s="235" t="s"/>
      <x:c r="Q88" s="236" t="s"/>
      <x:c r="R88" s="237" t="s"/>
      <x:c r="S88" s="238" t="s"/>
      <x:c r="T88" s="239" t="s"/>
    </x:row>
    <x:row r="89" spans="1:24" customFormat="1" ht="24" customHeight="1">
      <x:c r="A89" s="226" t="n">
        <x:v>70</x:v>
      </x:c>
      <x:c r="B89" s="226" t="n">
        <x:v>99990008177960</x:v>
      </x:c>
      <x:c r="C89" s="227" t="n">
        <x:v>335709</x:v>
      </x:c>
      <x:c r="D89" s="228" t="s">
        <x:v>113</x:v>
      </x:c>
      <x:c r="E89" s="229" t="s"/>
      <x:c r="F89" s="229" t="n">
        <x:v>335709</x:v>
      </x:c>
      <x:c r="G89" s="229" t="s">
        <x:v>42</x:v>
      </x:c>
      <x:c r="H89" s="230" t="n">
        <x:v>0</x:v>
      </x:c>
      <x:c r="I89" s="231" t="n">
        <x:v>15</x:v>
      </x:c>
      <x:c r="J89" s="232" t="n">
        <x:v>0</x:v>
      </x:c>
      <x:c r="K89" s="233" t="s"/>
      <x:c r="L89" s="231" t="n">
        <x:v>0</x:v>
      </x:c>
      <x:c r="M89" s="231" t="n">
        <x:v>0</x:v>
      </x:c>
      <x:c r="N89" s="234">
        <x:f>ROUND(((I89*J89)-((I89*J89)*L89/100))+(((I89*J89)-((I89*J89)*L89/100))*M89/100), 2)</x:f>
      </x:c>
      <x:c r="O89" s="230">
        <x:f>M11</x:f>
      </x:c>
      <x:c r="P89" s="235" t="s"/>
      <x:c r="Q89" s="236" t="s"/>
      <x:c r="R89" s="237" t="s"/>
      <x:c r="S89" s="238" t="s"/>
      <x:c r="T89" s="239" t="s"/>
    </x:row>
    <x:row r="90" spans="1:24" customFormat="1" ht="24" customHeight="1">
      <x:c r="A90" s="226" t="n">
        <x:v>71</x:v>
      </x:c>
      <x:c r="B90" s="226" t="n">
        <x:v>99990008177975</x:v>
      </x:c>
      <x:c r="C90" s="227" t="n">
        <x:v>335723</x:v>
      </x:c>
      <x:c r="D90" s="228" t="s">
        <x:v>114</x:v>
      </x:c>
      <x:c r="E90" s="229" t="s"/>
      <x:c r="F90" s="229" t="n">
        <x:v>335723</x:v>
      </x:c>
      <x:c r="G90" s="229" t="s">
        <x:v>42</x:v>
      </x:c>
      <x:c r="H90" s="230" t="n">
        <x:v>0</x:v>
      </x:c>
      <x:c r="I90" s="231" t="n">
        <x:v>15</x:v>
      </x:c>
      <x:c r="J90" s="232" t="n">
        <x:v>0</x:v>
      </x:c>
      <x:c r="K90" s="233" t="s"/>
      <x:c r="L90" s="231" t="n">
        <x:v>0</x:v>
      </x:c>
      <x:c r="M90" s="231" t="n">
        <x:v>0</x:v>
      </x:c>
      <x:c r="N90" s="234">
        <x:f>ROUND(((I90*J90)-((I90*J90)*L90/100))+(((I90*J90)-((I90*J90)*L90/100))*M90/100), 2)</x:f>
      </x:c>
      <x:c r="O90" s="230">
        <x:f>M11</x:f>
      </x:c>
      <x:c r="P90" s="235" t="s"/>
      <x:c r="Q90" s="236" t="s"/>
      <x:c r="R90" s="237" t="s"/>
      <x:c r="S90" s="238" t="s"/>
      <x:c r="T90" s="239" t="s"/>
    </x:row>
    <x:row r="91" spans="1:24" customFormat="1" ht="24" customHeight="1">
      <x:c r="A91" s="226" t="n">
        <x:v>72</x:v>
      </x:c>
      <x:c r="B91" s="226" t="n">
        <x:v>99990008177677</x:v>
      </x:c>
      <x:c r="C91" s="227" t="n">
        <x:v>336030</x:v>
      </x:c>
      <x:c r="D91" s="228" t="s">
        <x:v>115</x:v>
      </x:c>
      <x:c r="E91" s="229" t="s"/>
      <x:c r="F91" s="229" t="n">
        <x:v>336030</x:v>
      </x:c>
      <x:c r="G91" s="229" t="s">
        <x:v>42</x:v>
      </x:c>
      <x:c r="H91" s="230" t="n">
        <x:v>0</x:v>
      </x:c>
      <x:c r="I91" s="231" t="n">
        <x:v>3</x:v>
      </x:c>
      <x:c r="J91" s="232" t="n">
        <x:v>0</x:v>
      </x:c>
      <x:c r="K91" s="233" t="s"/>
      <x:c r="L91" s="231" t="n">
        <x:v>0</x:v>
      </x:c>
      <x:c r="M91" s="231" t="n">
        <x:v>0</x:v>
      </x:c>
      <x:c r="N91" s="234">
        <x:f>ROUND(((I91*J91)-((I91*J91)*L91/100))+(((I91*J91)-((I91*J91)*L91/100))*M91/100), 2)</x:f>
      </x:c>
      <x:c r="O91" s="230">
        <x:f>M11</x:f>
      </x:c>
      <x:c r="P91" s="235" t="s"/>
      <x:c r="Q91" s="236" t="s"/>
      <x:c r="R91" s="237" t="s"/>
      <x:c r="S91" s="238" t="s"/>
      <x:c r="T91" s="239" t="s"/>
    </x:row>
    <x:row r="92" spans="1:24" customFormat="1" ht="24" customHeight="1">
      <x:c r="A92" s="226" t="n">
        <x:v>73</x:v>
      </x:c>
      <x:c r="B92" s="226" t="n">
        <x:v>99990008177714</x:v>
      </x:c>
      <x:c r="C92" s="227" t="n">
        <x:v>336067</x:v>
      </x:c>
      <x:c r="D92" s="228" t="s">
        <x:v>116</x:v>
      </x:c>
      <x:c r="E92" s="229" t="s"/>
      <x:c r="F92" s="229" t="n">
        <x:v>336067</x:v>
      </x:c>
      <x:c r="G92" s="229" t="s">
        <x:v>42</x:v>
      </x:c>
      <x:c r="H92" s="230" t="n">
        <x:v>0</x:v>
      </x:c>
      <x:c r="I92" s="231" t="n">
        <x:v>10</x:v>
      </x:c>
      <x:c r="J92" s="232" t="n">
        <x:v>0</x:v>
      </x:c>
      <x:c r="K92" s="233" t="s"/>
      <x:c r="L92" s="231" t="n">
        <x:v>0</x:v>
      </x:c>
      <x:c r="M92" s="231" t="n">
        <x:v>0</x:v>
      </x:c>
      <x:c r="N92" s="234">
        <x:f>ROUND(((I92*J92)-((I92*J92)*L92/100))+(((I92*J92)-((I92*J92)*L92/100))*M92/100), 2)</x:f>
      </x:c>
      <x:c r="O92" s="230">
        <x:f>M11</x:f>
      </x:c>
      <x:c r="P92" s="235" t="s"/>
      <x:c r="Q92" s="236" t="s"/>
      <x:c r="R92" s="237" t="s"/>
      <x:c r="S92" s="238" t="s"/>
      <x:c r="T92" s="239" t="s"/>
    </x:row>
    <x:row r="93" spans="1:24" customFormat="1" ht="24" customHeight="1">
      <x:c r="A93" s="226" t="n">
        <x:v>74</x:v>
      </x:c>
      <x:c r="B93" s="226" t="n">
        <x:v>99990008177856</x:v>
      </x:c>
      <x:c r="C93" s="227" t="n">
        <x:v>336878</x:v>
      </x:c>
      <x:c r="D93" s="228" t="s">
        <x:v>117</x:v>
      </x:c>
      <x:c r="E93" s="229" t="s"/>
      <x:c r="F93" s="229" t="n">
        <x:v>336878</x:v>
      </x:c>
      <x:c r="G93" s="229" t="s">
        <x:v>42</x:v>
      </x:c>
      <x:c r="H93" s="230" t="n">
        <x:v>0</x:v>
      </x:c>
      <x:c r="I93" s="231" t="n">
        <x:v>3</x:v>
      </x:c>
      <x:c r="J93" s="232" t="n">
        <x:v>0</x:v>
      </x:c>
      <x:c r="K93" s="233" t="s"/>
      <x:c r="L93" s="231" t="n">
        <x:v>0</x:v>
      </x:c>
      <x:c r="M93" s="231" t="n">
        <x:v>0</x:v>
      </x:c>
      <x:c r="N93" s="234">
        <x:f>ROUND(((I93*J93)-((I93*J93)*L93/100))+(((I93*J93)-((I93*J93)*L93/100))*M93/100), 2)</x:f>
      </x:c>
      <x:c r="O93" s="230">
        <x:f>M11</x:f>
      </x:c>
      <x:c r="P93" s="235" t="s"/>
      <x:c r="Q93" s="236" t="s"/>
      <x:c r="R93" s="237" t="s"/>
      <x:c r="S93" s="238" t="s"/>
      <x:c r="T93" s="239" t="s"/>
    </x:row>
    <x:row r="94" spans="1:24" customFormat="1" ht="24" customHeight="1">
      <x:c r="A94" s="226" t="n">
        <x:v>75</x:v>
      </x:c>
      <x:c r="B94" s="226" t="n">
        <x:v>99990008177841</x:v>
      </x:c>
      <x:c r="C94" s="227" t="n">
        <x:v>336857</x:v>
      </x:c>
      <x:c r="D94" s="228" t="s">
        <x:v>118</x:v>
      </x:c>
      <x:c r="E94" s="229" t="s"/>
      <x:c r="F94" s="229" t="n">
        <x:v>336857</x:v>
      </x:c>
      <x:c r="G94" s="229" t="s">
        <x:v>42</x:v>
      </x:c>
      <x:c r="H94" s="230" t="n">
        <x:v>0</x:v>
      </x:c>
      <x:c r="I94" s="231" t="n">
        <x:v>10</x:v>
      </x:c>
      <x:c r="J94" s="232" t="n">
        <x:v>0</x:v>
      </x:c>
      <x:c r="K94" s="233" t="s"/>
      <x:c r="L94" s="231" t="n">
        <x:v>0</x:v>
      </x:c>
      <x:c r="M94" s="231" t="n">
        <x:v>0</x:v>
      </x:c>
      <x:c r="N94" s="234">
        <x:f>ROUND(((I94*J94)-((I94*J94)*L94/100))+(((I94*J94)-((I94*J94)*L94/100))*M94/100), 2)</x:f>
      </x:c>
      <x:c r="O94" s="230">
        <x:f>M11</x:f>
      </x:c>
      <x:c r="P94" s="235" t="s"/>
      <x:c r="Q94" s="236" t="s"/>
      <x:c r="R94" s="237" t="s"/>
      <x:c r="S94" s="238" t="s"/>
      <x:c r="T94" s="239" t="s"/>
    </x:row>
    <x:row r="95" spans="1:24" customFormat="1" ht="24" customHeight="1">
      <x:c r="A95" s="226" t="n">
        <x:v>76</x:v>
      </x:c>
      <x:c r="B95" s="226" t="n">
        <x:v>99990008177649</x:v>
      </x:c>
      <x:c r="C95" s="227" t="n">
        <x:v>336002</x:v>
      </x:c>
      <x:c r="D95" s="228" t="s">
        <x:v>119</x:v>
      </x:c>
      <x:c r="E95" s="229" t="s"/>
      <x:c r="F95" s="229" t="n">
        <x:v>336002</x:v>
      </x:c>
      <x:c r="G95" s="229" t="s">
        <x:v>42</x:v>
      </x:c>
      <x:c r="H95" s="230" t="n">
        <x:v>0</x:v>
      </x:c>
      <x:c r="I95" s="231" t="n">
        <x:v>5</x:v>
      </x:c>
      <x:c r="J95" s="232" t="n">
        <x:v>0</x:v>
      </x:c>
      <x:c r="K95" s="233" t="s"/>
      <x:c r="L95" s="231" t="n">
        <x:v>0</x:v>
      </x:c>
      <x:c r="M95" s="231" t="n">
        <x:v>0</x:v>
      </x:c>
      <x:c r="N95" s="234">
        <x:f>ROUND(((I95*J95)-((I95*J95)*L95/100))+(((I95*J95)-((I95*J95)*L95/100))*M95/100), 2)</x:f>
      </x:c>
      <x:c r="O95" s="230">
        <x:f>M11</x:f>
      </x:c>
      <x:c r="P95" s="235" t="s"/>
      <x:c r="Q95" s="236" t="s"/>
      <x:c r="R95" s="237" t="s"/>
      <x:c r="S95" s="238" t="s"/>
      <x:c r="T95" s="239" t="s"/>
    </x:row>
    <x:row r="96" spans="1:24" customFormat="1" ht="24" customHeight="1">
      <x:c r="A96" s="226" t="n">
        <x:v>77</x:v>
      </x:c>
      <x:c r="B96" s="226" t="n">
        <x:v>99990008177834</x:v>
      </x:c>
      <x:c r="C96" s="227" t="n">
        <x:v>336850</x:v>
      </x:c>
      <x:c r="D96" s="228" t="s">
        <x:v>120</x:v>
      </x:c>
      <x:c r="E96" s="229" t="s"/>
      <x:c r="F96" s="229" t="n">
        <x:v>336850</x:v>
      </x:c>
      <x:c r="G96" s="229" t="s">
        <x:v>42</x:v>
      </x:c>
      <x:c r="H96" s="230" t="n">
        <x:v>0</x:v>
      </x:c>
      <x:c r="I96" s="231" t="n">
        <x:v>10</x:v>
      </x:c>
      <x:c r="J96" s="232" t="n">
        <x:v>0</x:v>
      </x:c>
      <x:c r="K96" s="233" t="s"/>
      <x:c r="L96" s="231" t="n">
        <x:v>0</x:v>
      </x:c>
      <x:c r="M96" s="231" t="n">
        <x:v>0</x:v>
      </x:c>
      <x:c r="N96" s="234">
        <x:f>ROUND(((I96*J96)-((I96*J96)*L96/100))+(((I96*J96)-((I96*J96)*L96/100))*M96/100), 2)</x:f>
      </x:c>
      <x:c r="O96" s="230">
        <x:f>M11</x:f>
      </x:c>
      <x:c r="P96" s="235" t="s"/>
      <x:c r="Q96" s="236" t="s"/>
      <x:c r="R96" s="237" t="s"/>
      <x:c r="S96" s="238" t="s"/>
      <x:c r="T96" s="239" t="s"/>
    </x:row>
    <x:row r="97" spans="1:24" customFormat="1" ht="24" customHeight="1">
      <x:c r="A97" s="226" t="n">
        <x:v>78</x:v>
      </x:c>
      <x:c r="B97" s="226" t="n">
        <x:v>99990008177831</x:v>
      </x:c>
      <x:c r="C97" s="227" t="n">
        <x:v>336847</x:v>
      </x:c>
      <x:c r="D97" s="228" t="s">
        <x:v>121</x:v>
      </x:c>
      <x:c r="E97" s="229" t="s"/>
      <x:c r="F97" s="229" t="n">
        <x:v>336847</x:v>
      </x:c>
      <x:c r="G97" s="229" t="s">
        <x:v>42</x:v>
      </x:c>
      <x:c r="H97" s="230" t="n">
        <x:v>0</x:v>
      </x:c>
      <x:c r="I97" s="231" t="n">
        <x:v>10</x:v>
      </x:c>
      <x:c r="J97" s="232" t="n">
        <x:v>0</x:v>
      </x:c>
      <x:c r="K97" s="233" t="s"/>
      <x:c r="L97" s="231" t="n">
        <x:v>0</x:v>
      </x:c>
      <x:c r="M97" s="231" t="n">
        <x:v>0</x:v>
      </x:c>
      <x:c r="N97" s="234">
        <x:f>ROUND(((I97*J97)-((I97*J97)*L97/100))+(((I97*J97)-((I97*J97)*L97/100))*M97/100), 2)</x:f>
      </x:c>
      <x:c r="O97" s="230">
        <x:f>M11</x:f>
      </x:c>
      <x:c r="P97" s="235" t="s"/>
      <x:c r="Q97" s="236" t="s"/>
      <x:c r="R97" s="237" t="s"/>
      <x:c r="S97" s="238" t="s"/>
      <x:c r="T97" s="239" t="s"/>
    </x:row>
    <x:row r="98" spans="1:24" customFormat="1" ht="24" customHeight="1">
      <x:c r="A98" s="226" t="n">
        <x:v>79</x:v>
      </x:c>
      <x:c r="B98" s="226" t="n">
        <x:v>99990008177830</x:v>
      </x:c>
      <x:c r="C98" s="227" t="n">
        <x:v>336846</x:v>
      </x:c>
      <x:c r="D98" s="228" t="s">
        <x:v>122</x:v>
      </x:c>
      <x:c r="E98" s="229" t="s"/>
      <x:c r="F98" s="229" t="n">
        <x:v>336846</x:v>
      </x:c>
      <x:c r="G98" s="229" t="s">
        <x:v>42</x:v>
      </x:c>
      <x:c r="H98" s="230" t="n">
        <x:v>0</x:v>
      </x:c>
      <x:c r="I98" s="231" t="n">
        <x:v>20</x:v>
      </x:c>
      <x:c r="J98" s="232" t="n">
        <x:v>0</x:v>
      </x:c>
      <x:c r="K98" s="233" t="s"/>
      <x:c r="L98" s="231" t="n">
        <x:v>0</x:v>
      </x:c>
      <x:c r="M98" s="231" t="n">
        <x:v>0</x:v>
      </x:c>
      <x:c r="N98" s="234">
        <x:f>ROUND(((I98*J98)-((I98*J98)*L98/100))+(((I98*J98)-((I98*J98)*L98/100))*M98/100), 2)</x:f>
      </x:c>
      <x:c r="O98" s="230">
        <x:f>M11</x:f>
      </x:c>
      <x:c r="P98" s="235" t="s"/>
      <x:c r="Q98" s="236" t="s"/>
      <x:c r="R98" s="237" t="s"/>
      <x:c r="S98" s="238" t="s"/>
      <x:c r="T98" s="239" t="s"/>
    </x:row>
    <x:row r="99" spans="1:24" customFormat="1" ht="24" customHeight="1">
      <x:c r="A99" s="226" t="n">
        <x:v>80</x:v>
      </x:c>
      <x:c r="B99" s="226" t="n">
        <x:v>99990008177738</x:v>
      </x:c>
      <x:c r="C99" s="227" t="n">
        <x:v>336091</x:v>
      </x:c>
      <x:c r="D99" s="228" t="s">
        <x:v>123</x:v>
      </x:c>
      <x:c r="E99" s="229" t="s"/>
      <x:c r="F99" s="229" t="n">
        <x:v>336091</x:v>
      </x:c>
      <x:c r="G99" s="229" t="s">
        <x:v>42</x:v>
      </x:c>
      <x:c r="H99" s="230" t="n">
        <x:v>0</x:v>
      </x:c>
      <x:c r="I99" s="231" t="n">
        <x:v>10</x:v>
      </x:c>
      <x:c r="J99" s="232" t="n">
        <x:v>0</x:v>
      </x:c>
      <x:c r="K99" s="233" t="s"/>
      <x:c r="L99" s="231" t="n">
        <x:v>0</x:v>
      </x:c>
      <x:c r="M99" s="231" t="n">
        <x:v>0</x:v>
      </x:c>
      <x:c r="N99" s="234">
        <x:f>ROUND(((I99*J99)-((I99*J99)*L99/100))+(((I99*J99)-((I99*J99)*L99/100))*M99/100), 2)</x:f>
      </x:c>
      <x:c r="O99" s="230">
        <x:f>M11</x:f>
      </x:c>
      <x:c r="P99" s="235" t="s"/>
      <x:c r="Q99" s="236" t="s"/>
      <x:c r="R99" s="237" t="s"/>
      <x:c r="S99" s="238" t="s"/>
      <x:c r="T99" s="239" t="s"/>
    </x:row>
    <x:row r="100" spans="1:24" customFormat="1" ht="24" customHeight="1">
      <x:c r="A100" s="226" t="n">
        <x:v>81</x:v>
      </x:c>
      <x:c r="B100" s="226" t="n">
        <x:v>99990008177732</x:v>
      </x:c>
      <x:c r="C100" s="227" t="n">
        <x:v>336085</x:v>
      </x:c>
      <x:c r="D100" s="228" t="s">
        <x:v>124</x:v>
      </x:c>
      <x:c r="E100" s="229" t="s"/>
      <x:c r="F100" s="229" t="n">
        <x:v>336085</x:v>
      </x:c>
      <x:c r="G100" s="229" t="s">
        <x:v>42</x:v>
      </x:c>
      <x:c r="H100" s="230" t="n">
        <x:v>0</x:v>
      </x:c>
      <x:c r="I100" s="231" t="n">
        <x:v>6</x:v>
      </x:c>
      <x:c r="J100" s="232" t="n">
        <x:v>0</x:v>
      </x:c>
      <x:c r="K100" s="233" t="s"/>
      <x:c r="L100" s="231" t="n">
        <x:v>0</x:v>
      </x:c>
      <x:c r="M100" s="231" t="n">
        <x:v>0</x:v>
      </x:c>
      <x:c r="N100" s="234">
        <x:f>ROUND(((I100*J100)-((I100*J100)*L100/100))+(((I100*J100)-((I100*J100)*L100/100))*M100/100), 2)</x:f>
      </x:c>
      <x:c r="O100" s="230">
        <x:f>M11</x:f>
      </x:c>
      <x:c r="P100" s="235" t="s"/>
      <x:c r="Q100" s="236" t="s"/>
      <x:c r="R100" s="237" t="s"/>
      <x:c r="S100" s="238" t="s"/>
      <x:c r="T100" s="239" t="s"/>
    </x:row>
    <x:row r="101" spans="1:24" customFormat="1" ht="24" customHeight="1">
      <x:c r="A101" s="226" t="n">
        <x:v>82</x:v>
      </x:c>
      <x:c r="B101" s="226" t="n">
        <x:v>99990008177723</x:v>
      </x:c>
      <x:c r="C101" s="227" t="n">
        <x:v>336076</x:v>
      </x:c>
      <x:c r="D101" s="228" t="s">
        <x:v>125</x:v>
      </x:c>
      <x:c r="E101" s="229" t="s"/>
      <x:c r="F101" s="229" t="n">
        <x:v>336076</x:v>
      </x:c>
      <x:c r="G101" s="229" t="s">
        <x:v>42</x:v>
      </x:c>
      <x:c r="H101" s="230" t="n">
        <x:v>0</x:v>
      </x:c>
      <x:c r="I101" s="231" t="n">
        <x:v>5</x:v>
      </x:c>
      <x:c r="J101" s="232" t="n">
        <x:v>0</x:v>
      </x:c>
      <x:c r="K101" s="233" t="s"/>
      <x:c r="L101" s="231" t="n">
        <x:v>0</x:v>
      </x:c>
      <x:c r="M101" s="231" t="n">
        <x:v>0</x:v>
      </x:c>
      <x:c r="N101" s="234">
        <x:f>ROUND(((I101*J101)-((I101*J101)*L101/100))+(((I101*J101)-((I101*J101)*L101/100))*M101/100), 2)</x:f>
      </x:c>
      <x:c r="O101" s="230">
        <x:f>M11</x:f>
      </x:c>
      <x:c r="P101" s="235" t="s"/>
      <x:c r="Q101" s="236" t="s"/>
      <x:c r="R101" s="237" t="s"/>
      <x:c r="S101" s="238" t="s"/>
      <x:c r="T101" s="239" t="s"/>
    </x:row>
    <x:row r="102" spans="1:24" customFormat="1" ht="24" customHeight="1">
      <x:c r="A102" s="226" t="n">
        <x:v>83</x:v>
      </x:c>
      <x:c r="B102" s="226" t="n">
        <x:v>99990008177716</x:v>
      </x:c>
      <x:c r="C102" s="227" t="n">
        <x:v>336069</x:v>
      </x:c>
      <x:c r="D102" s="228" t="s">
        <x:v>126</x:v>
      </x:c>
      <x:c r="E102" s="229" t="s"/>
      <x:c r="F102" s="229" t="n">
        <x:v>336069</x:v>
      </x:c>
      <x:c r="G102" s="229" t="s">
        <x:v>42</x:v>
      </x:c>
      <x:c r="H102" s="230" t="n">
        <x:v>0</x:v>
      </x:c>
      <x:c r="I102" s="231" t="n">
        <x:v>5</x:v>
      </x:c>
      <x:c r="J102" s="232" t="n">
        <x:v>0</x:v>
      </x:c>
      <x:c r="K102" s="233" t="s"/>
      <x:c r="L102" s="231" t="n">
        <x:v>0</x:v>
      </x:c>
      <x:c r="M102" s="231" t="n">
        <x:v>0</x:v>
      </x:c>
      <x:c r="N102" s="234">
        <x:f>ROUND(((I102*J102)-((I102*J102)*L102/100))+(((I102*J102)-((I102*J102)*L102/100))*M102/100), 2)</x:f>
      </x:c>
      <x:c r="O102" s="230">
        <x:f>M11</x:f>
      </x:c>
      <x:c r="P102" s="235" t="s"/>
      <x:c r="Q102" s="236" t="s"/>
      <x:c r="R102" s="237" t="s"/>
      <x:c r="S102" s="238" t="s"/>
      <x:c r="T102" s="239" t="s"/>
    </x:row>
    <x:row r="103" spans="1:24" customFormat="1" ht="24" customHeight="1">
      <x:c r="A103" s="226" t="n">
        <x:v>84</x:v>
      </x:c>
      <x:c r="B103" s="226" t="n">
        <x:v>99990008177706</x:v>
      </x:c>
      <x:c r="C103" s="227" t="n">
        <x:v>336059</x:v>
      </x:c>
      <x:c r="D103" s="228" t="s">
        <x:v>127</x:v>
      </x:c>
      <x:c r="E103" s="229" t="s"/>
      <x:c r="F103" s="229" t="n">
        <x:v>336059</x:v>
      </x:c>
      <x:c r="G103" s="229" t="s">
        <x:v>42</x:v>
      </x:c>
      <x:c r="H103" s="230" t="n">
        <x:v>0</x:v>
      </x:c>
      <x:c r="I103" s="231" t="n">
        <x:v>6</x:v>
      </x:c>
      <x:c r="J103" s="232" t="n">
        <x:v>0</x:v>
      </x:c>
      <x:c r="K103" s="233" t="s"/>
      <x:c r="L103" s="231" t="n">
        <x:v>0</x:v>
      </x:c>
      <x:c r="M103" s="231" t="n">
        <x:v>0</x:v>
      </x:c>
      <x:c r="N103" s="234">
        <x:f>ROUND(((I103*J103)-((I103*J103)*L103/100))+(((I103*J103)-((I103*J103)*L103/100))*M103/100), 2)</x:f>
      </x:c>
      <x:c r="O103" s="230">
        <x:f>M11</x:f>
      </x:c>
      <x:c r="P103" s="235" t="s"/>
      <x:c r="Q103" s="236" t="s"/>
      <x:c r="R103" s="237" t="s"/>
      <x:c r="S103" s="238" t="s"/>
      <x:c r="T103" s="239" t="s"/>
    </x:row>
    <x:row r="104" spans="1:24" customFormat="1" ht="24" customHeight="1">
      <x:c r="A104" s="226" t="n">
        <x:v>85</x:v>
      </x:c>
      <x:c r="B104" s="226" t="n">
        <x:v>99990008177703</x:v>
      </x:c>
      <x:c r="C104" s="227" t="n">
        <x:v>336056</x:v>
      </x:c>
      <x:c r="D104" s="228" t="s">
        <x:v>128</x:v>
      </x:c>
      <x:c r="E104" s="229" t="s"/>
      <x:c r="F104" s="229" t="n">
        <x:v>336056</x:v>
      </x:c>
      <x:c r="G104" s="229" t="s">
        <x:v>42</x:v>
      </x:c>
      <x:c r="H104" s="230" t="n">
        <x:v>0</x:v>
      </x:c>
      <x:c r="I104" s="231" t="n">
        <x:v>10</x:v>
      </x:c>
      <x:c r="J104" s="232" t="n">
        <x:v>0</x:v>
      </x:c>
      <x:c r="K104" s="233" t="s"/>
      <x:c r="L104" s="231" t="n">
        <x:v>0</x:v>
      </x:c>
      <x:c r="M104" s="231" t="n">
        <x:v>0</x:v>
      </x:c>
      <x:c r="N104" s="234">
        <x:f>ROUND(((I104*J104)-((I104*J104)*L104/100))+(((I104*J104)-((I104*J104)*L104/100))*M104/100), 2)</x:f>
      </x:c>
      <x:c r="O104" s="230">
        <x:f>M11</x:f>
      </x:c>
      <x:c r="P104" s="235" t="s"/>
      <x:c r="Q104" s="236" t="s"/>
      <x:c r="R104" s="237" t="s"/>
      <x:c r="S104" s="238" t="s"/>
      <x:c r="T104" s="239" t="s"/>
    </x:row>
    <x:row r="105" spans="1:24" customFormat="1" ht="24" customHeight="1">
      <x:c r="A105" s="226" t="n">
        <x:v>86</x:v>
      </x:c>
      <x:c r="B105" s="226" t="n">
        <x:v>99990008177692</x:v>
      </x:c>
      <x:c r="C105" s="227" t="n">
        <x:v>336045</x:v>
      </x:c>
      <x:c r="D105" s="228" t="s">
        <x:v>129</x:v>
      </x:c>
      <x:c r="E105" s="229" t="s"/>
      <x:c r="F105" s="229" t="n">
        <x:v>336045</x:v>
      </x:c>
      <x:c r="G105" s="229" t="s">
        <x:v>42</x:v>
      </x:c>
      <x:c r="H105" s="230" t="n">
        <x:v>0</x:v>
      </x:c>
      <x:c r="I105" s="231" t="n">
        <x:v>10</x:v>
      </x:c>
      <x:c r="J105" s="232" t="n">
        <x:v>0</x:v>
      </x:c>
      <x:c r="K105" s="233" t="s"/>
      <x:c r="L105" s="231" t="n">
        <x:v>0</x:v>
      </x:c>
      <x:c r="M105" s="231" t="n">
        <x:v>0</x:v>
      </x:c>
      <x:c r="N105" s="234">
        <x:f>ROUND(((I105*J105)-((I105*J105)*L105/100))+(((I105*J105)-((I105*J105)*L105/100))*M105/100), 2)</x:f>
      </x:c>
      <x:c r="O105" s="230">
        <x:f>M11</x:f>
      </x:c>
      <x:c r="P105" s="235" t="s"/>
      <x:c r="Q105" s="236" t="s"/>
      <x:c r="R105" s="237" t="s"/>
      <x:c r="S105" s="238" t="s"/>
      <x:c r="T105" s="239" t="s"/>
    </x:row>
    <x:row r="106" spans="1:24" customFormat="1" ht="24" customHeight="1">
      <x:c r="A106" s="226" t="n">
        <x:v>87</x:v>
      </x:c>
      <x:c r="B106" s="226" t="n">
        <x:v>99990008177666</x:v>
      </x:c>
      <x:c r="C106" s="227" t="n">
        <x:v>336019</x:v>
      </x:c>
      <x:c r="D106" s="228" t="s">
        <x:v>130</x:v>
      </x:c>
      <x:c r="E106" s="229" t="s"/>
      <x:c r="F106" s="229" t="n">
        <x:v>336019</x:v>
      </x:c>
      <x:c r="G106" s="229" t="s">
        <x:v>42</x:v>
      </x:c>
      <x:c r="H106" s="230" t="n">
        <x:v>0</x:v>
      </x:c>
      <x:c r="I106" s="231" t="n">
        <x:v>3</x:v>
      </x:c>
      <x:c r="J106" s="232" t="n">
        <x:v>0</x:v>
      </x:c>
      <x:c r="K106" s="233" t="s"/>
      <x:c r="L106" s="231" t="n">
        <x:v>0</x:v>
      </x:c>
      <x:c r="M106" s="231" t="n">
        <x:v>0</x:v>
      </x:c>
      <x:c r="N106" s="234">
        <x:f>ROUND(((I106*J106)-((I106*J106)*L106/100))+(((I106*J106)-((I106*J106)*L106/100))*M106/100), 2)</x:f>
      </x:c>
      <x:c r="O106" s="230">
        <x:f>M11</x:f>
      </x:c>
      <x:c r="P106" s="235" t="s"/>
      <x:c r="Q106" s="236" t="s"/>
      <x:c r="R106" s="237" t="s"/>
      <x:c r="S106" s="238" t="s"/>
      <x:c r="T106" s="239" t="s"/>
    </x:row>
    <x:row r="107" spans="1:24" customFormat="1" ht="24" customHeight="1">
      <x:c r="A107" s="226" t="n">
        <x:v>88</x:v>
      </x:c>
      <x:c r="B107" s="226" t="n">
        <x:v>99990008177648</x:v>
      </x:c>
      <x:c r="C107" s="227" t="n">
        <x:v>336001</x:v>
      </x:c>
      <x:c r="D107" s="228" t="s">
        <x:v>131</x:v>
      </x:c>
      <x:c r="E107" s="229" t="s"/>
      <x:c r="F107" s="229" t="n">
        <x:v>336001</x:v>
      </x:c>
      <x:c r="G107" s="229" t="s">
        <x:v>42</x:v>
      </x:c>
      <x:c r="H107" s="230" t="n">
        <x:v>0</x:v>
      </x:c>
      <x:c r="I107" s="231" t="n">
        <x:v>10</x:v>
      </x:c>
      <x:c r="J107" s="232" t="n">
        <x:v>0</x:v>
      </x:c>
      <x:c r="K107" s="233" t="s"/>
      <x:c r="L107" s="231" t="n">
        <x:v>0</x:v>
      </x:c>
      <x:c r="M107" s="231" t="n">
        <x:v>0</x:v>
      </x:c>
      <x:c r="N107" s="234">
        <x:f>ROUND(((I107*J107)-((I107*J107)*L107/100))+(((I107*J107)-((I107*J107)*L107/100))*M107/100), 2)</x:f>
      </x:c>
      <x:c r="O107" s="230">
        <x:f>M11</x:f>
      </x:c>
      <x:c r="P107" s="235" t="s"/>
      <x:c r="Q107" s="236" t="s"/>
      <x:c r="R107" s="237" t="s"/>
      <x:c r="S107" s="238" t="s"/>
      <x:c r="T107" s="239" t="s"/>
    </x:row>
    <x:row r="108" spans="1:24" customFormat="1" ht="24" customHeight="1">
      <x:c r="A108" s="226" t="n">
        <x:v>89</x:v>
      </x:c>
      <x:c r="B108" s="226" t="n">
        <x:v>99990008177654</x:v>
      </x:c>
      <x:c r="C108" s="227" t="n">
        <x:v>336007</x:v>
      </x:c>
      <x:c r="D108" s="228" t="s">
        <x:v>132</x:v>
      </x:c>
      <x:c r="E108" s="229" t="s"/>
      <x:c r="F108" s="229" t="n">
        <x:v>336007</x:v>
      </x:c>
      <x:c r="G108" s="229" t="s">
        <x:v>42</x:v>
      </x:c>
      <x:c r="H108" s="230" t="n">
        <x:v>0</x:v>
      </x:c>
      <x:c r="I108" s="231" t="n">
        <x:v>5</x:v>
      </x:c>
      <x:c r="J108" s="232" t="n">
        <x:v>0</x:v>
      </x:c>
      <x:c r="K108" s="233" t="s"/>
      <x:c r="L108" s="231" t="n">
        <x:v>0</x:v>
      </x:c>
      <x:c r="M108" s="231" t="n">
        <x:v>0</x:v>
      </x:c>
      <x:c r="N108" s="234">
        <x:f>ROUND(((I108*J108)-((I108*J108)*L108/100))+(((I108*J108)-((I108*J108)*L108/100))*M108/100), 2)</x:f>
      </x:c>
      <x:c r="O108" s="230">
        <x:f>M11</x:f>
      </x:c>
      <x:c r="P108" s="235" t="s"/>
      <x:c r="Q108" s="236" t="s"/>
      <x:c r="R108" s="237" t="s"/>
      <x:c r="S108" s="238" t="s"/>
      <x:c r="T108" s="239" t="s"/>
    </x:row>
    <x:row r="109" spans="1:24" customFormat="1" ht="24" customHeight="1">
      <x:c r="A109" s="226" t="n">
        <x:v>90</x:v>
      </x:c>
      <x:c r="B109" s="226" t="n">
        <x:v>99990008177655</x:v>
      </x:c>
      <x:c r="C109" s="227" t="n">
        <x:v>336008</x:v>
      </x:c>
      <x:c r="D109" s="228" t="s">
        <x:v>133</x:v>
      </x:c>
      <x:c r="E109" s="229" t="s"/>
      <x:c r="F109" s="229" t="n">
        <x:v>336008</x:v>
      </x:c>
      <x:c r="G109" s="229" t="s">
        <x:v>42</x:v>
      </x:c>
      <x:c r="H109" s="230" t="n">
        <x:v>0</x:v>
      </x:c>
      <x:c r="I109" s="231" t="n">
        <x:v>5</x:v>
      </x:c>
      <x:c r="J109" s="232" t="n">
        <x:v>0</x:v>
      </x:c>
      <x:c r="K109" s="233" t="s"/>
      <x:c r="L109" s="231" t="n">
        <x:v>0</x:v>
      </x:c>
      <x:c r="M109" s="231" t="n">
        <x:v>0</x:v>
      </x:c>
      <x:c r="N109" s="234">
        <x:f>ROUND(((I109*J109)-((I109*J109)*L109/100))+(((I109*J109)-((I109*J109)*L109/100))*M109/100), 2)</x:f>
      </x:c>
      <x:c r="O109" s="230">
        <x:f>M11</x:f>
      </x:c>
      <x:c r="P109" s="235" t="s"/>
      <x:c r="Q109" s="236" t="s"/>
      <x:c r="R109" s="237" t="s"/>
      <x:c r="S109" s="238" t="s"/>
      <x:c r="T109" s="239" t="s"/>
    </x:row>
    <x:row r="110" spans="1:24" customFormat="1" ht="24" customHeight="1">
      <x:c r="A110" s="226" t="n">
        <x:v>91</x:v>
      </x:c>
      <x:c r="B110" s="226" t="n">
        <x:v>99990008177656</x:v>
      </x:c>
      <x:c r="C110" s="227" t="n">
        <x:v>336009</x:v>
      </x:c>
      <x:c r="D110" s="228" t="s">
        <x:v>134</x:v>
      </x:c>
      <x:c r="E110" s="229" t="s"/>
      <x:c r="F110" s="229" t="n">
        <x:v>336009</x:v>
      </x:c>
      <x:c r="G110" s="229" t="s">
        <x:v>42</x:v>
      </x:c>
      <x:c r="H110" s="230" t="n">
        <x:v>0</x:v>
      </x:c>
      <x:c r="I110" s="231" t="n">
        <x:v>5</x:v>
      </x:c>
      <x:c r="J110" s="232" t="n">
        <x:v>0</x:v>
      </x:c>
      <x:c r="K110" s="233" t="s"/>
      <x:c r="L110" s="231" t="n">
        <x:v>0</x:v>
      </x:c>
      <x:c r="M110" s="231" t="n">
        <x:v>0</x:v>
      </x:c>
      <x:c r="N110" s="234">
        <x:f>ROUND(((I110*J110)-((I110*J110)*L110/100))+(((I110*J110)-((I110*J110)*L110/100))*M110/100), 2)</x:f>
      </x:c>
      <x:c r="O110" s="230">
        <x:f>M11</x:f>
      </x:c>
      <x:c r="P110" s="235" t="s"/>
      <x:c r="Q110" s="236" t="s"/>
      <x:c r="R110" s="237" t="s"/>
      <x:c r="S110" s="238" t="s"/>
      <x:c r="T110" s="239" t="s"/>
    </x:row>
    <x:row r="111" spans="1:24" customFormat="1" ht="24" customHeight="1">
      <x:c r="A111" s="226" t="n">
        <x:v>92</x:v>
      </x:c>
      <x:c r="B111" s="226" t="n">
        <x:v>99990008177554</x:v>
      </x:c>
      <x:c r="C111" s="227" t="n">
        <x:v>334427</x:v>
      </x:c>
      <x:c r="D111" s="228" t="s">
        <x:v>135</x:v>
      </x:c>
      <x:c r="E111" s="229" t="s"/>
      <x:c r="F111" s="229" t="n">
        <x:v>334427</x:v>
      </x:c>
      <x:c r="G111" s="229" t="s">
        <x:v>42</x:v>
      </x:c>
      <x:c r="H111" s="230" t="n">
        <x:v>0</x:v>
      </x:c>
      <x:c r="I111" s="231" t="n">
        <x:v>20</x:v>
      </x:c>
      <x:c r="J111" s="232" t="n">
        <x:v>0</x:v>
      </x:c>
      <x:c r="K111" s="233" t="s"/>
      <x:c r="L111" s="231" t="n">
        <x:v>0</x:v>
      </x:c>
      <x:c r="M111" s="231" t="n">
        <x:v>0</x:v>
      </x:c>
      <x:c r="N111" s="234">
        <x:f>ROUND(((I111*J111)-((I111*J111)*L111/100))+(((I111*J111)-((I111*J111)*L111/100))*M111/100), 2)</x:f>
      </x:c>
      <x:c r="O111" s="230">
        <x:f>M11</x:f>
      </x:c>
      <x:c r="P111" s="235" t="s"/>
      <x:c r="Q111" s="236" t="s"/>
      <x:c r="R111" s="237" t="s"/>
      <x:c r="S111" s="238" t="s"/>
      <x:c r="T111" s="239" t="s"/>
    </x:row>
    <x:row r="112" spans="1:24" customFormat="1" ht="24" customHeight="1">
      <x:c r="A112" s="226" t="n">
        <x:v>93</x:v>
      </x:c>
      <x:c r="B112" s="226" t="n">
        <x:v>99990008177477</x:v>
      </x:c>
      <x:c r="C112" s="227" t="n">
        <x:v>334421</x:v>
      </x:c>
      <x:c r="D112" s="228" t="s">
        <x:v>136</x:v>
      </x:c>
      <x:c r="E112" s="229" t="s"/>
      <x:c r="F112" s="229" t="n">
        <x:v>334421</x:v>
      </x:c>
      <x:c r="G112" s="229" t="s">
        <x:v>42</x:v>
      </x:c>
      <x:c r="H112" s="230" t="n">
        <x:v>0</x:v>
      </x:c>
      <x:c r="I112" s="231" t="n">
        <x:v>20</x:v>
      </x:c>
      <x:c r="J112" s="232" t="n">
        <x:v>0</x:v>
      </x:c>
      <x:c r="K112" s="233" t="s"/>
      <x:c r="L112" s="231" t="n">
        <x:v>0</x:v>
      </x:c>
      <x:c r="M112" s="231" t="n">
        <x:v>0</x:v>
      </x:c>
      <x:c r="N112" s="234">
        <x:f>ROUND(((I112*J112)-((I112*J112)*L112/100))+(((I112*J112)-((I112*J112)*L112/100))*M112/100), 2)</x:f>
      </x:c>
      <x:c r="O112" s="230">
        <x:f>M11</x:f>
      </x:c>
      <x:c r="P112" s="235" t="s"/>
      <x:c r="Q112" s="236" t="s"/>
      <x:c r="R112" s="237" t="s"/>
      <x:c r="S112" s="238" t="s"/>
      <x:c r="T112" s="239" t="s"/>
    </x:row>
    <x:row r="113" spans="1:24" customFormat="1" ht="24" customHeight="1">
      <x:c r="A113" s="226" t="n">
        <x:v>94</x:v>
      </x:c>
      <x:c r="B113" s="226" t="n">
        <x:v>99990008177476</x:v>
      </x:c>
      <x:c r="C113" s="227" t="n">
        <x:v>334420</x:v>
      </x:c>
      <x:c r="D113" s="228" t="s">
        <x:v>137</x:v>
      </x:c>
      <x:c r="E113" s="229" t="s"/>
      <x:c r="F113" s="229" t="n">
        <x:v>334420</x:v>
      </x:c>
      <x:c r="G113" s="229" t="s">
        <x:v>42</x:v>
      </x:c>
      <x:c r="H113" s="230" t="n">
        <x:v>0</x:v>
      </x:c>
      <x:c r="I113" s="231" t="n">
        <x:v>20</x:v>
      </x:c>
      <x:c r="J113" s="232" t="n">
        <x:v>0</x:v>
      </x:c>
      <x:c r="K113" s="233" t="s"/>
      <x:c r="L113" s="231" t="n">
        <x:v>0</x:v>
      </x:c>
      <x:c r="M113" s="231" t="n">
        <x:v>0</x:v>
      </x:c>
      <x:c r="N113" s="234">
        <x:f>ROUND(((I113*J113)-((I113*J113)*L113/100))+(((I113*J113)-((I113*J113)*L113/100))*M113/100), 2)</x:f>
      </x:c>
      <x:c r="O113" s="230">
        <x:f>M11</x:f>
      </x:c>
      <x:c r="P113" s="235" t="s"/>
      <x:c r="Q113" s="236" t="s"/>
      <x:c r="R113" s="237" t="s"/>
      <x:c r="S113" s="238" t="s"/>
      <x:c r="T113" s="239" t="s"/>
    </x:row>
    <x:row r="114" spans="1:24" customFormat="1" ht="24" customHeight="1">
      <x:c r="A114" s="226" t="n">
        <x:v>95</x:v>
      </x:c>
      <x:c r="B114" s="226" t="n">
        <x:v>99990008177506</x:v>
      </x:c>
      <x:c r="C114" s="227" t="n">
        <x:v>334206</x:v>
      </x:c>
      <x:c r="D114" s="228" t="s">
        <x:v>138</x:v>
      </x:c>
      <x:c r="E114" s="229" t="s"/>
      <x:c r="F114" s="229" t="n">
        <x:v>334206</x:v>
      </x:c>
      <x:c r="G114" s="229" t="s">
        <x:v>42</x:v>
      </x:c>
      <x:c r="H114" s="230" t="n">
        <x:v>0</x:v>
      </x:c>
      <x:c r="I114" s="231" t="n">
        <x:v>5</x:v>
      </x:c>
      <x:c r="J114" s="232" t="n">
        <x:v>0</x:v>
      </x:c>
      <x:c r="K114" s="233" t="s"/>
      <x:c r="L114" s="231" t="n">
        <x:v>0</x:v>
      </x:c>
      <x:c r="M114" s="231" t="n">
        <x:v>0</x:v>
      </x:c>
      <x:c r="N114" s="234">
        <x:f>ROUND(((I114*J114)-((I114*J114)*L114/100))+(((I114*J114)-((I114*J114)*L114/100))*M114/100), 2)</x:f>
      </x:c>
      <x:c r="O114" s="230">
        <x:f>M11</x:f>
      </x:c>
      <x:c r="P114" s="235" t="s"/>
      <x:c r="Q114" s="236" t="s"/>
      <x:c r="R114" s="237" t="s"/>
      <x:c r="S114" s="238" t="s"/>
      <x:c r="T114" s="239" t="s"/>
    </x:row>
    <x:row r="115" spans="1:24" customFormat="1" ht="24" customHeight="1">
      <x:c r="A115" s="226" t="n">
        <x:v>96</x:v>
      </x:c>
      <x:c r="B115" s="226" t="n">
        <x:v>99990008177504</x:v>
      </x:c>
      <x:c r="C115" s="227" t="n">
        <x:v>334204</x:v>
      </x:c>
      <x:c r="D115" s="228" t="s">
        <x:v>139</x:v>
      </x:c>
      <x:c r="E115" s="229" t="s"/>
      <x:c r="F115" s="229" t="n">
        <x:v>334204</x:v>
      </x:c>
      <x:c r="G115" s="229" t="s">
        <x:v>42</x:v>
      </x:c>
      <x:c r="H115" s="230" t="n">
        <x:v>0</x:v>
      </x:c>
      <x:c r="I115" s="231" t="n">
        <x:v>5</x:v>
      </x:c>
      <x:c r="J115" s="232" t="n">
        <x:v>0</x:v>
      </x:c>
      <x:c r="K115" s="233" t="s"/>
      <x:c r="L115" s="231" t="n">
        <x:v>0</x:v>
      </x:c>
      <x:c r="M115" s="231" t="n">
        <x:v>0</x:v>
      </x:c>
      <x:c r="N115" s="234">
        <x:f>ROUND(((I115*J115)-((I115*J115)*L115/100))+(((I115*J115)-((I115*J115)*L115/100))*M115/100), 2)</x:f>
      </x:c>
      <x:c r="O115" s="230">
        <x:f>M11</x:f>
      </x:c>
      <x:c r="P115" s="235" t="s"/>
      <x:c r="Q115" s="236" t="s"/>
      <x:c r="R115" s="237" t="s"/>
      <x:c r="S115" s="238" t="s"/>
      <x:c r="T115" s="239" t="s"/>
    </x:row>
    <x:row r="116" spans="1:24" customFormat="1" ht="24" customHeight="1">
      <x:c r="A116" s="226" t="n">
        <x:v>97</x:v>
      </x:c>
      <x:c r="B116" s="226" t="n">
        <x:v>99990008177503</x:v>
      </x:c>
      <x:c r="C116" s="227" t="n">
        <x:v>334203</x:v>
      </x:c>
      <x:c r="D116" s="228" t="s">
        <x:v>140</x:v>
      </x:c>
      <x:c r="E116" s="229" t="s"/>
      <x:c r="F116" s="229" t="n">
        <x:v>334203</x:v>
      </x:c>
      <x:c r="G116" s="229" t="s">
        <x:v>42</x:v>
      </x:c>
      <x:c r="H116" s="230" t="n">
        <x:v>0</x:v>
      </x:c>
      <x:c r="I116" s="231" t="n">
        <x:v>5</x:v>
      </x:c>
      <x:c r="J116" s="232" t="n">
        <x:v>0</x:v>
      </x:c>
      <x:c r="K116" s="233" t="s"/>
      <x:c r="L116" s="231" t="n">
        <x:v>0</x:v>
      </x:c>
      <x:c r="M116" s="231" t="n">
        <x:v>0</x:v>
      </x:c>
      <x:c r="N116" s="234">
        <x:f>ROUND(((I116*J116)-((I116*J116)*L116/100))+(((I116*J116)-((I116*J116)*L116/100))*M116/100), 2)</x:f>
      </x:c>
      <x:c r="O116" s="230">
        <x:f>M11</x:f>
      </x:c>
      <x:c r="P116" s="235" t="s"/>
      <x:c r="Q116" s="236" t="s"/>
      <x:c r="R116" s="237" t="s"/>
      <x:c r="S116" s="238" t="s"/>
      <x:c r="T116" s="239" t="s"/>
    </x:row>
    <x:row r="117" spans="1:24" customFormat="1" ht="24" customHeight="1">
      <x:c r="A117" s="226" t="n">
        <x:v>98</x:v>
      </x:c>
      <x:c r="B117" s="226" t="n">
        <x:v>99990008177505</x:v>
      </x:c>
      <x:c r="C117" s="227" t="n">
        <x:v>334205</x:v>
      </x:c>
      <x:c r="D117" s="228" t="s">
        <x:v>141</x:v>
      </x:c>
      <x:c r="E117" s="229" t="s"/>
      <x:c r="F117" s="229" t="n">
        <x:v>334205</x:v>
      </x:c>
      <x:c r="G117" s="229" t="s">
        <x:v>42</x:v>
      </x:c>
      <x:c r="H117" s="230" t="n">
        <x:v>0</x:v>
      </x:c>
      <x:c r="I117" s="231" t="n">
        <x:v>5</x:v>
      </x:c>
      <x:c r="J117" s="232" t="n">
        <x:v>0</x:v>
      </x:c>
      <x:c r="K117" s="233" t="s"/>
      <x:c r="L117" s="231" t="n">
        <x:v>0</x:v>
      </x:c>
      <x:c r="M117" s="231" t="n">
        <x:v>0</x:v>
      </x:c>
      <x:c r="N117" s="234">
        <x:f>ROUND(((I117*J117)-((I117*J117)*L117/100))+(((I117*J117)-((I117*J117)*L117/100))*M117/100), 2)</x:f>
      </x:c>
      <x:c r="O117" s="230">
        <x:f>M11</x:f>
      </x:c>
      <x:c r="P117" s="235" t="s"/>
      <x:c r="Q117" s="236" t="s"/>
      <x:c r="R117" s="237" t="s"/>
      <x:c r="S117" s="238" t="s"/>
      <x:c r="T117" s="239" t="s"/>
    </x:row>
    <x:row r="118" spans="1:24" customFormat="1" ht="24" customHeight="1">
      <x:c r="A118" s="226" t="n">
        <x:v>99</x:v>
      </x:c>
      <x:c r="B118" s="226" t="n">
        <x:v>99990008177502</x:v>
      </x:c>
      <x:c r="C118" s="227" t="n">
        <x:v>334202</x:v>
      </x:c>
      <x:c r="D118" s="228" t="s">
        <x:v>142</x:v>
      </x:c>
      <x:c r="E118" s="229" t="s"/>
      <x:c r="F118" s="229" t="n">
        <x:v>334202</x:v>
      </x:c>
      <x:c r="G118" s="229" t="s">
        <x:v>42</x:v>
      </x:c>
      <x:c r="H118" s="230" t="n">
        <x:v>0</x:v>
      </x:c>
      <x:c r="I118" s="231" t="n">
        <x:v>5</x:v>
      </x:c>
      <x:c r="J118" s="232" t="n">
        <x:v>0</x:v>
      </x:c>
      <x:c r="K118" s="233" t="s"/>
      <x:c r="L118" s="231" t="n">
        <x:v>0</x:v>
      </x:c>
      <x:c r="M118" s="231" t="n">
        <x:v>0</x:v>
      </x:c>
      <x:c r="N118" s="234">
        <x:f>ROUND(((I118*J118)-((I118*J118)*L118/100))+(((I118*J118)-((I118*J118)*L118/100))*M118/100), 2)</x:f>
      </x:c>
      <x:c r="O118" s="230">
        <x:f>M11</x:f>
      </x:c>
      <x:c r="P118" s="235" t="s"/>
      <x:c r="Q118" s="236" t="s"/>
      <x:c r="R118" s="237" t="s"/>
      <x:c r="S118" s="238" t="s"/>
      <x:c r="T118" s="239" t="s"/>
    </x:row>
    <x:row r="119" spans="1:24" customFormat="1" ht="15" customHeight="1">
      <x:c r="A119" s="32" t="s"/>
      <x:c r="B119" s="295" t="s"/>
      <x:c r="C119" s="296" t="s"/>
      <x:c r="D119" s="296" t="s"/>
      <x:c r="E119" s="296" t="s"/>
      <x:c r="F119" s="296" t="s"/>
      <x:c r="G119" s="296" t="s"/>
      <x:c r="H119" s="297" t="s"/>
      <x:c r="I119" s="297" t="s"/>
      <x:c r="J119" s="297" t="s"/>
      <x:c r="K119" s="297" t="s"/>
      <x:c r="L119" s="297" t="s"/>
      <x:c r="M119" s="297" t="s"/>
      <x:c r="N119" s="297" t="s"/>
      <x:c r="O119" s="297" t="s"/>
      <x:c r="P119" s="297" t="s"/>
      <x:c r="Q119" s="297" t="s"/>
      <x:c r="R119" s="297" t="s"/>
      <x:c r="S119" s="297" t="s"/>
      <x:c r="T119" s="298" t="s"/>
    </x:row>
    <x:row r="120" spans="1:24" customFormat="1" ht="12.75" customHeight="1">
      <x:c r="A120" s="289" t="s">
        <x:v>29</x:v>
      </x:c>
      <x:c r="B120" s="289" t="s"/>
      <x:c r="C120" s="290" t="s">
        <x:v>143</x:v>
      </x:c>
      <x:c r="D120" s="291" t="s"/>
      <x:c r="E120" s="291" t="s"/>
      <x:c r="F120" s="291" t="s"/>
      <x:c r="G120" s="291" t="s"/>
      <x:c r="H120" s="291" t="s"/>
      <x:c r="I120" s="292" t="s"/>
      <x:c r="J120" s="292" t="s">
        <x:v>144</x:v>
      </x:c>
      <x:c r="K120" s="292" t="s"/>
      <x:c r="L120" s="292" t="s">
        <x:v>36</x:v>
      </x:c>
      <x:c r="M120" s="292" t="s">
        <x:v>37</x:v>
      </x:c>
      <x:c r="N120" s="293" t="s">
        <x:v>145</x:v>
      </x:c>
      <x:c r="O120" s="294" t="s">
        <x:v>39</x:v>
      </x:c>
      <x:c r="P120" s="294" t="s"/>
      <x:c r="Q120" s="294" t="s"/>
      <x:c r="R120" s="294" t="s"/>
      <x:c r="S120" s="294" t="s"/>
      <x:c r="T120" s="225" t="s"/>
    </x:row>
    <x:row r="121" spans="1:24" customFormat="1" ht="15" customHeight="1">
      <x:c r="A121" s="269" t="n">
        <x:v>1</x:v>
      </x:c>
      <x:c r="B121" s="270" t="s"/>
      <x:c r="C121" s="271" t="s">
        <x:v>146</x:v>
      </x:c>
      <x:c r="D121" s="272" t="s">
        <x:v>146</x:v>
      </x:c>
      <x:c r="E121" s="272" t="s">
        <x:v>146</x:v>
      </x:c>
      <x:c r="F121" s="272" t="s">
        <x:v>146</x:v>
      </x:c>
      <x:c r="G121" s="272" t="s">
        <x:v>146</x:v>
      </x:c>
      <x:c r="H121" s="273" t="s">
        <x:v>146</x:v>
      </x:c>
      <x:c r="I121" s="274" t="s"/>
      <x:c r="J121" s="275" t="n">
        <x:v>0</x:v>
      </x:c>
      <x:c r="K121" s="276" t="s"/>
      <x:c r="L121" s="277" t="n">
        <x:v>0</x:v>
      </x:c>
      <x:c r="M121" s="277" t="n">
        <x:v>0</x:v>
      </x:c>
      <x:c r="N121" s="285">
        <x:f>(J121 -(J121 *L121 /100)+((J121 -(J121 *L121 /100))*M121 /100))</x:f>
      </x:c>
      <x:c r="O121" s="286" t="s"/>
      <x:c r="P121" s="287" t="s"/>
      <x:c r="Q121" s="287" t="s"/>
      <x:c r="R121" s="287" t="s"/>
      <x:c r="S121" s="288" t="s"/>
      <x:c r="T121" s="283" t="s"/>
    </x:row>
    <x:row r="122" spans="1:24" customFormat="1" ht="15" customHeight="1">
      <x:c r="A122" s="269" t="n">
        <x:v>2</x:v>
      </x:c>
      <x:c r="B122" s="270" t="s"/>
      <x:c r="C122" s="271" t="s">
        <x:v>147</x:v>
      </x:c>
      <x:c r="D122" s="272" t="s">
        <x:v>147</x:v>
      </x:c>
      <x:c r="E122" s="272" t="s">
        <x:v>147</x:v>
      </x:c>
      <x:c r="F122" s="272" t="s">
        <x:v>147</x:v>
      </x:c>
      <x:c r="G122" s="272" t="s">
        <x:v>147</x:v>
      </x:c>
      <x:c r="H122" s="273" t="s">
        <x:v>147</x:v>
      </x:c>
      <x:c r="I122" s="284" t="s"/>
      <x:c r="J122" s="275" t="n">
        <x:v>0</x:v>
      </x:c>
      <x:c r="K122" s="276" t="s"/>
      <x:c r="L122" s="277" t="n">
        <x:v>0</x:v>
      </x:c>
      <x:c r="M122" s="277" t="n">
        <x:v>0</x:v>
      </x:c>
      <x:c r="N122" s="279">
        <x:f>(J122 -(J122 *L122 /100)+((J122 -(J122 *L122 /100))*M122 /100))</x:f>
      </x:c>
      <x:c r="O122" s="280" t="s"/>
      <x:c r="P122" s="281" t="s"/>
      <x:c r="Q122" s="281" t="s"/>
      <x:c r="R122" s="281" t="s"/>
      <x:c r="S122" s="282" t="s"/>
      <x:c r="T122" s="283" t="s"/>
    </x:row>
    <x:row r="123" spans="1:24" customFormat="1" ht="15" customHeight="1">
      <x:c r="A123" s="269" t="n">
        <x:v>3</x:v>
      </x:c>
      <x:c r="B123" s="270" t="s"/>
      <x:c r="C123" s="271" t="s"/>
      <x:c r="D123" s="272" t="s"/>
      <x:c r="E123" s="272" t="s"/>
      <x:c r="F123" s="272" t="s"/>
      <x:c r="G123" s="272" t="s"/>
      <x:c r="H123" s="273" t="s"/>
      <x:c r="I123" s="274" t="s"/>
      <x:c r="J123" s="275" t="n">
        <x:v>0</x:v>
      </x:c>
      <x:c r="K123" s="276" t="s"/>
      <x:c r="L123" s="277" t="n">
        <x:v>0</x:v>
      </x:c>
      <x:c r="M123" s="277" t="n">
        <x:v>0</x:v>
      </x:c>
      <x:c r="N123" s="279">
        <x:f>(J123 -(J123 *L123 /100)+((J123 -(J123 *L123 /100))*M123 /100))</x:f>
      </x:c>
      <x:c r="O123" s="280" t="s"/>
      <x:c r="P123" s="281" t="s"/>
      <x:c r="Q123" s="281" t="s"/>
      <x:c r="R123" s="281" t="s"/>
      <x:c r="S123" s="282" t="s"/>
      <x:c r="T123" s="283" t="s"/>
    </x:row>
    <x:row r="124" spans="1:24" customFormat="1" ht="15.75" customHeight="1">
      <x:c r="A124" s="269" t="n">
        <x:v>4</x:v>
      </x:c>
      <x:c r="B124" s="270" t="s"/>
      <x:c r="C124" s="271" t="s"/>
      <x:c r="D124" s="272" t="s"/>
      <x:c r="E124" s="272" t="s"/>
      <x:c r="F124" s="272" t="s"/>
      <x:c r="G124" s="272" t="s"/>
      <x:c r="H124" s="273" t="s"/>
      <x:c r="I124" s="274" t="s"/>
      <x:c r="J124" s="275" t="n">
        <x:v>0</x:v>
      </x:c>
      <x:c r="K124" s="276" t="s"/>
      <x:c r="L124" s="277" t="n">
        <x:v>0</x:v>
      </x:c>
      <x:c r="M124" s="278" t="n">
        <x:v>0</x:v>
      </x:c>
      <x:c r="N124" s="279">
        <x:f>(J124 -(J124 *L124 /100)+((J124 -(J124 *L124 /100))*M124 /100))</x:f>
      </x:c>
      <x:c r="O124" s="280" t="s"/>
      <x:c r="P124" s="281" t="s"/>
      <x:c r="Q124" s="281" t="s"/>
      <x:c r="R124" s="281" t="s"/>
      <x:c r="S124" s="282" t="s"/>
      <x:c r="T124" s="283" t="s"/>
    </x:row>
    <x:row r="125" spans="1:24" customFormat="1" ht="15.95" customHeight="1">
      <x:c r="A125" s="247" t="s"/>
      <x:c r="B125" s="247" t="s"/>
      <x:c r="C125" s="248" t="s"/>
      <x:c r="D125" s="248" t="s"/>
      <x:c r="J125" s="58" t="s">
        <x:v>148</x:v>
      </x:c>
      <x:c r="K125" s="59" t="s"/>
      <x:c r="L125" s="58" t="s"/>
      <x:c r="M125" s="59" t="s"/>
      <x:c r="N125" s="264">
        <x:f>SUM(ItmPrice)</x:f>
      </x:c>
      <x:c r="O125" s="267" t="s"/>
      <x:c r="P125" s="268" t="s"/>
    </x:row>
    <x:row r="126" spans="1:24" customFormat="1" ht="15" customHeight="1">
      <x:c r="A126" s="247" t="s"/>
      <x:c r="B126" s="247" t="s"/>
      <x:c r="C126" s="248" t="s"/>
      <x:c r="D126" s="248" t="s"/>
      <x:c r="J126" s="123" t="s">
        <x:v>149</x:v>
      </x:c>
      <x:c r="K126" s="124" t="s"/>
      <x:c r="L126" s="124" t="s"/>
      <x:c r="M126" s="125" t="s"/>
      <x:c r="N126" s="264">
        <x:f>SUM(N121:N125)</x:f>
      </x:c>
      <x:c r="O126" s="265" t="s"/>
      <x:c r="P126" s="266" t="s"/>
    </x:row>
    <x:row r="127" spans="1:24" customFormat="1" ht="2.25" hidden="1" customHeight="1">
      <x:c r="A127" s="258" t="n">
        <x:v>0</x:v>
      </x:c>
      <x:c r="B127" s="258" t="n">
        <x:v>0</x:v>
      </x:c>
      <x:c r="C127" s="259" t="n">
        <x:v>0</x:v>
      </x:c>
      <x:c r="D127" s="248" t="s"/>
      <x:c r="E127" s="248" t="s"/>
      <x:c r="F127" s="260" t="n">
        <x:v>1</x:v>
      </x:c>
      <x:c r="G127" s="248" t="s"/>
      <x:c r="H127" s="248" t="s"/>
      <x:c r="I127" s="248" t="s"/>
      <x:c r="J127" s="248" t="s"/>
      <x:c r="K127" s="261" t="s"/>
      <x:c r="L127" s="262" t="n">
        <x:v>0</x:v>
      </x:c>
      <x:c r="M127" s="263" t="n">
        <x:v>0</x:v>
      </x:c>
      <x:c r="N127" s="162" t="s">
        <x:v>150</x:v>
      </x:c>
      <x:c r="O127" s="257" t="s"/>
      <x:c r="P127" s="263" t="n">
        <x:v>995</x:v>
      </x:c>
      <x:c r="Q127" s="248" t="s">
        <x:v>151</x:v>
      </x:c>
      <x:c r="R127" s="248" t="s"/>
      <x:c r="S127" s="248" t="s"/>
    </x:row>
    <x:row r="128" spans="1:24" customFormat="1" ht="18.75" customHeight="1">
      <x:c r="A128" s="247" t="s"/>
      <x:c r="B128" s="247" t="s"/>
      <x:c r="C128" s="247" t="s"/>
      <x:c r="H128" s="257" t="s"/>
      <x:c r="J128" s="248" t="s"/>
      <x:c r="K128" s="248" t="s"/>
      <x:c r="L128" s="248" t="s"/>
      <x:c r="M128" s="248" t="s"/>
      <x:c r="N128" s="248" t="s"/>
      <x:c r="O128" s="248" t="s"/>
      <x:c r="P128" s="248" t="s"/>
      <x:c r="R128" s="248" t="s"/>
      <x:c r="S128" s="248" t="s"/>
    </x:row>
    <x:row r="129" spans="1:24" customFormat="1" ht="127.5" customHeight="1">
      <x:c r="A129" s="249" t="s">
        <x:v>152</x:v>
      </x:c>
      <x:c r="B129" s="249" t="s"/>
      <x:c r="C129" s="249" t="s"/>
      <x:c r="D129" s="250" t="s"/>
      <x:c r="E129" s="254" t="s">
        <x:v>153</x:v>
      </x:c>
      <x:c r="F129" s="255" t="s"/>
      <x:c r="G129" s="255" t="s"/>
      <x:c r="H129" s="255" t="s"/>
      <x:c r="I129" s="255" t="s"/>
      <x:c r="J129" s="255" t="s"/>
      <x:c r="K129" s="255" t="s"/>
      <x:c r="L129" s="255" t="s"/>
      <x:c r="M129" s="255" t="s"/>
      <x:c r="N129" s="255" t="s"/>
      <x:c r="O129" s="255" t="s"/>
      <x:c r="P129" s="255" t="s"/>
      <x:c r="Q129" s="255" t="s"/>
      <x:c r="R129" s="255" t="s"/>
      <x:c r="S129" s="255" t="s"/>
      <x:c r="T129" s="256" t="s"/>
    </x:row>
    <x:row r="130" spans="1:24" customFormat="1" ht="129.75" customHeight="1">
      <x:c r="A130" s="249" t="s">
        <x:v>39</x:v>
      </x:c>
      <x:c r="B130" s="249" t="s"/>
      <x:c r="C130" s="249" t="s"/>
      <x:c r="D130" s="250" t="s"/>
      <x:c r="E130" s="251" t="s"/>
      <x:c r="F130" s="252" t="s"/>
      <x:c r="G130" s="252" t="s"/>
      <x:c r="H130" s="252" t="s"/>
      <x:c r="I130" s="252" t="s"/>
      <x:c r="J130" s="252" t="s"/>
      <x:c r="K130" s="252" t="s"/>
      <x:c r="L130" s="252" t="s"/>
      <x:c r="M130" s="252" t="s"/>
      <x:c r="N130" s="252" t="s"/>
      <x:c r="O130" s="252" t="s"/>
      <x:c r="P130" s="252" t="s"/>
      <x:c r="Q130" s="252" t="s"/>
      <x:c r="R130" s="252" t="s"/>
      <x:c r="S130" s="252" t="s"/>
      <x:c r="T130" s="253" t="s"/>
    </x:row>
    <x:row r="131" spans="1:24" customFormat="1" ht="15.95" customHeight="1">
      <x:c r="A131" s="247" t="s"/>
      <x:c r="B131" s="247" t="s"/>
      <x:c r="C131" s="247" t="s"/>
      <x:c r="H131" s="248" t="s"/>
      <x:c r="I131" s="248" t="s"/>
      <x:c r="J131" s="248" t="s"/>
      <x:c r="K131" s="248" t="s"/>
      <x:c r="L131" s="248" t="s"/>
      <x:c r="M131" s="248" t="s"/>
      <x:c r="N131" s="248" t="s"/>
      <x:c r="O131" s="248" t="s"/>
      <x:c r="P131" s="248" t="s"/>
      <x:c r="Q131" s="248" t="s"/>
      <x:c r="R131" s="248" t="s"/>
      <x:c r="S131" s="248" t="s"/>
    </x:row>
    <x:row r="132" spans="1:24" customFormat="1" ht="15.95" customHeight="1">
      <x:c r="A132" s="245" t="s">
        <x:v>154</x:v>
      </x:c>
      <x:c r="B132" s="245" t="s"/>
      <x:c r="C132" s="245" t="s"/>
      <x:c r="D132" s="245" t="s"/>
      <x:c r="E132" s="245" t="s"/>
      <x:c r="F132" s="245" t="s"/>
      <x:c r="G132" s="245" t="s"/>
      <x:c r="H132" s="245" t="s"/>
      <x:c r="I132" s="245" t="s"/>
      <x:c r="J132" s="245" t="s"/>
      <x:c r="K132" s="245" t="s"/>
      <x:c r="L132" s="245" t="s"/>
      <x:c r="M132" s="245" t="s"/>
      <x:c r="N132" s="245" t="s"/>
      <x:c r="O132" s="245" t="s"/>
      <x:c r="P132" s="245" t="s"/>
      <x:c r="Q132" s="245" t="s"/>
      <x:c r="R132" s="245" t="s"/>
      <x:c r="S132" s="245" t="s"/>
      <x:c r="T132" s="246" t="s"/>
    </x:row>
    <x:row r="133" spans="1:24" customFormat="1" ht="12.75" customHeight="1">
      <x:c r="A133" s="243" t="s"/>
      <x:c r="B133" s="243" t="s"/>
      <x:c r="C133" s="243" t="s"/>
      <x:c r="D133" s="243" t="s"/>
      <x:c r="E133" s="243" t="s"/>
      <x:c r="F133" s="243" t="s"/>
      <x:c r="G133" s="243" t="s"/>
      <x:c r="H133" s="243" t="s"/>
      <x:c r="I133" s="243" t="s"/>
      <x:c r="J133" s="243" t="s"/>
      <x:c r="K133" s="243" t="s"/>
      <x:c r="L133" s="243" t="s"/>
      <x:c r="M133" s="243" t="s"/>
      <x:c r="N133" s="243" t="s"/>
      <x:c r="O133" s="243" t="s"/>
      <x:c r="P133" s="243" t="s"/>
      <x:c r="Q133" s="243" t="s"/>
      <x:c r="R133" s="243" t="s"/>
      <x:c r="S133" s="243" t="s"/>
      <x:c r="T133" s="244" t="s"/>
    </x:row>
    <x:row r="134" spans="1:24" customFormat="1" ht="12.75" customHeight="1">
      <x:c r="A134" s="243" t="s"/>
      <x:c r="B134" s="243" t="s"/>
      <x:c r="C134" s="243" t="s"/>
      <x:c r="D134" s="243" t="s"/>
      <x:c r="E134" s="243" t="s"/>
      <x:c r="F134" s="243" t="s"/>
      <x:c r="G134" s="243" t="s"/>
      <x:c r="H134" s="243" t="s"/>
      <x:c r="I134" s="243" t="s"/>
      <x:c r="J134" s="243" t="s"/>
      <x:c r="K134" s="243" t="s"/>
      <x:c r="L134" s="243" t="s"/>
      <x:c r="M134" s="243" t="s"/>
      <x:c r="N134" s="243" t="s"/>
      <x:c r="O134" s="243" t="s"/>
      <x:c r="P134" s="243" t="s"/>
      <x:c r="Q134" s="243" t="s"/>
      <x:c r="R134" s="243" t="s"/>
      <x:c r="S134" s="243" t="s"/>
      <x:c r="T134" s="244" t="s"/>
    </x:row>
    <x:row r="135" spans="1:24" customFormat="1" ht="7.5" customHeight="1">
      <x:c r="A135" s="243" t="s"/>
      <x:c r="B135" s="243" t="s"/>
      <x:c r="C135" s="243" t="s"/>
      <x:c r="D135" s="243" t="s"/>
      <x:c r="E135" s="243" t="s"/>
      <x:c r="F135" s="243" t="s"/>
      <x:c r="G135" s="243" t="s"/>
      <x:c r="H135" s="243" t="s"/>
      <x:c r="I135" s="243" t="s"/>
      <x:c r="J135" s="243" t="s"/>
      <x:c r="K135" s="243" t="s"/>
      <x:c r="L135" s="243" t="s"/>
      <x:c r="M135" s="243" t="s"/>
      <x:c r="N135" s="243" t="s"/>
      <x:c r="O135" s="243" t="s"/>
      <x:c r="P135" s="243" t="s"/>
      <x:c r="Q135" s="243" t="s"/>
      <x:c r="R135" s="243" t="s"/>
      <x:c r="S135" s="243" t="s"/>
      <x:c r="T135" s="244" t="s"/>
    </x:row>
    <x:row r="136" spans="1:24" customFormat="1" ht="12.75" customHeight="1">
      <x:c r="A136" s="243" t="s"/>
      <x:c r="B136" s="243" t="s"/>
      <x:c r="C136" s="243" t="s"/>
      <x:c r="D136" s="243" t="s"/>
      <x:c r="E136" s="243" t="s"/>
      <x:c r="F136" s="243" t="s"/>
      <x:c r="G136" s="243" t="s"/>
      <x:c r="H136" s="243" t="s"/>
      <x:c r="I136" s="243" t="s"/>
      <x:c r="J136" s="243" t="s"/>
      <x:c r="K136" s="243" t="s"/>
      <x:c r="L136" s="243" t="s"/>
      <x:c r="M136" s="243" t="s"/>
      <x:c r="N136" s="243" t="s"/>
      <x:c r="O136" s="243" t="s"/>
      <x:c r="P136" s="243" t="s"/>
      <x:c r="Q136" s="243" t="s"/>
      <x:c r="R136" s="243" t="s"/>
      <x:c r="S136" s="243" t="s"/>
      <x:c r="T136" s="244" t="s"/>
    </x:row>
    <x:row r="137" spans="1:24" customFormat="1" ht="12.75" customHeight="1">
      <x:c r="A137" s="243" t="s"/>
      <x:c r="B137" s="243" t="s"/>
      <x:c r="C137" s="243" t="s"/>
      <x:c r="D137" s="243" t="s"/>
      <x:c r="E137" s="243" t="s"/>
      <x:c r="F137" s="243" t="s"/>
      <x:c r="G137" s="243" t="s"/>
      <x:c r="H137" s="243" t="s"/>
      <x:c r="I137" s="243" t="s"/>
      <x:c r="J137" s="243" t="s"/>
      <x:c r="K137" s="243" t="s"/>
      <x:c r="L137" s="243" t="s"/>
      <x:c r="M137" s="243" t="s"/>
      <x:c r="N137" s="243" t="s"/>
      <x:c r="O137" s="243" t="s"/>
      <x:c r="P137" s="243" t="s"/>
      <x:c r="Q137" s="243" t="s"/>
      <x:c r="R137" s="243" t="s"/>
      <x:c r="S137" s="243" t="s"/>
      <x:c r="T137" s="244" t="s"/>
    </x:row>
    <x:row r="138" spans="1:24" customFormat="1" ht="12.75" customHeight="1">
      <x:c r="A138" s="243" t="s"/>
      <x:c r="B138" s="243" t="s"/>
      <x:c r="C138" s="243" t="s"/>
      <x:c r="D138" s="243" t="s"/>
      <x:c r="E138" s="243" t="s"/>
      <x:c r="F138" s="243" t="s"/>
      <x:c r="G138" s="243" t="s"/>
      <x:c r="H138" s="243" t="s"/>
      <x:c r="I138" s="243" t="s"/>
      <x:c r="J138" s="243" t="s"/>
      <x:c r="K138" s="243" t="s"/>
      <x:c r="L138" s="243" t="s"/>
      <x:c r="M138" s="243" t="s"/>
      <x:c r="N138" s="243" t="s"/>
      <x:c r="O138" s="243" t="s"/>
      <x:c r="P138" s="243" t="s"/>
      <x:c r="Q138" s="243" t="s"/>
      <x:c r="R138" s="243" t="s"/>
      <x:c r="S138" s="243" t="s"/>
      <x:c r="T138" s="244" t="s"/>
    </x:row>
    <x:row r="139" spans="1:24" customFormat="1" ht="7.5" customHeight="1">
      <x:c r="A139" s="243" t="s"/>
      <x:c r="B139" s="243" t="s"/>
      <x:c r="C139" s="243" t="s"/>
      <x:c r="D139" s="243" t="s"/>
      <x:c r="E139" s="243" t="s"/>
      <x:c r="F139" s="243" t="s"/>
      <x:c r="G139" s="243" t="s"/>
      <x:c r="H139" s="243" t="s"/>
      <x:c r="I139" s="243" t="s"/>
      <x:c r="J139" s="243" t="s"/>
      <x:c r="K139" s="243" t="s"/>
      <x:c r="L139" s="243" t="s"/>
      <x:c r="M139" s="243" t="s"/>
      <x:c r="N139" s="243" t="s"/>
      <x:c r="O139" s="243" t="s"/>
      <x:c r="P139" s="243" t="s"/>
      <x:c r="Q139" s="243" t="s"/>
      <x:c r="R139" s="243" t="s"/>
      <x:c r="S139" s="243" t="s"/>
      <x:c r="T139" s="244" t="s"/>
    </x:row>
    <x:row r="140" spans="1:24" customFormat="1" ht="12.75" customHeight="1">
      <x:c r="A140" s="243" t="s"/>
      <x:c r="B140" s="243" t="s"/>
      <x:c r="C140" s="243" t="s"/>
      <x:c r="D140" s="243" t="s"/>
      <x:c r="E140" s="243" t="s"/>
      <x:c r="F140" s="243" t="s"/>
      <x:c r="G140" s="243" t="s"/>
      <x:c r="H140" s="243" t="s"/>
      <x:c r="I140" s="243" t="s"/>
      <x:c r="J140" s="243" t="s"/>
      <x:c r="K140" s="243" t="s"/>
      <x:c r="L140" s="243" t="s"/>
      <x:c r="M140" s="243" t="s"/>
      <x:c r="N140" s="243" t="s"/>
      <x:c r="O140" s="243" t="s"/>
      <x:c r="P140" s="243" t="s"/>
      <x:c r="Q140" s="243" t="s"/>
      <x:c r="R140" s="243" t="s"/>
      <x:c r="S140" s="243" t="s"/>
      <x:c r="T140" s="244" t="s"/>
    </x:row>
    <x:row r="141" spans="1:24" customFormat="1" ht="12.75" customHeight="1">
      <x:c r="A141" s="243" t="s"/>
      <x:c r="B141" s="243" t="s"/>
      <x:c r="C141" s="243" t="s"/>
      <x:c r="D141" s="243" t="s"/>
      <x:c r="E141" s="243" t="s"/>
      <x:c r="F141" s="243" t="s"/>
      <x:c r="G141" s="243" t="s"/>
      <x:c r="H141" s="243" t="s"/>
      <x:c r="I141" s="243" t="s"/>
      <x:c r="J141" s="243" t="s"/>
      <x:c r="K141" s="243" t="s"/>
      <x:c r="L141" s="243" t="s"/>
      <x:c r="M141" s="243" t="s"/>
      <x:c r="N141" s="243" t="s"/>
      <x:c r="O141" s="243" t="s"/>
      <x:c r="P141" s="243" t="s"/>
      <x:c r="Q141" s="243" t="s"/>
      <x:c r="R141" s="243" t="s"/>
      <x:c r="S141" s="243" t="s"/>
      <x:c r="T141" s="244" t="s"/>
    </x:row>
    <x:row r="142" spans="1:24" customFormat="1" ht="12.75" customHeight="1">
      <x:c r="A142" s="243" t="s"/>
      <x:c r="B142" s="243" t="s"/>
      <x:c r="C142" s="243" t="s"/>
      <x:c r="D142" s="243" t="s"/>
      <x:c r="E142" s="243" t="s"/>
      <x:c r="F142" s="243" t="s"/>
      <x:c r="G142" s="243" t="s"/>
      <x:c r="H142" s="243" t="s"/>
      <x:c r="I142" s="243" t="s"/>
      <x:c r="J142" s="243" t="s"/>
      <x:c r="K142" s="243" t="s"/>
      <x:c r="L142" s="243" t="s"/>
      <x:c r="M142" s="243" t="s"/>
      <x:c r="N142" s="243" t="s"/>
      <x:c r="O142" s="243" t="s"/>
      <x:c r="P142" s="243" t="s"/>
      <x:c r="Q142" s="243" t="s"/>
      <x:c r="R142" s="243" t="s"/>
      <x:c r="S142" s="243" t="s"/>
      <x:c r="T142" s="244" t="s"/>
    </x:row>
    <x:row r="143" spans="1:24" customFormat="1" ht="12.75" customHeight="1">
      <x:c r="A143" s="243" t="s"/>
      <x:c r="B143" s="243" t="s"/>
      <x:c r="C143" s="243" t="s"/>
      <x:c r="D143" s="243" t="s"/>
      <x:c r="E143" s="243" t="s"/>
      <x:c r="F143" s="243" t="s"/>
      <x:c r="G143" s="243" t="s"/>
      <x:c r="H143" s="243" t="s"/>
      <x:c r="I143" s="243" t="s"/>
      <x:c r="J143" s="243" t="s"/>
      <x:c r="K143" s="243" t="s"/>
      <x:c r="L143" s="243" t="s"/>
      <x:c r="M143" s="243" t="s"/>
      <x:c r="N143" s="243" t="s"/>
      <x:c r="O143" s="243" t="s"/>
      <x:c r="P143" s="243" t="s"/>
      <x:c r="Q143" s="243" t="s"/>
      <x:c r="R143" s="243" t="s"/>
      <x:c r="S143" s="243" t="s"/>
      <x:c r="T143" s="244" t="s"/>
    </x:row>
    <x:row r="144" spans="1:24" customFormat="1" ht="12.75" customHeight="1">
      <x:c r="A144" s="243" t="s"/>
      <x:c r="B144" s="243" t="s"/>
      <x:c r="C144" s="243" t="s"/>
      <x:c r="D144" s="243" t="s"/>
      <x:c r="E144" s="243" t="s"/>
      <x:c r="F144" s="243" t="s"/>
      <x:c r="G144" s="243" t="s"/>
      <x:c r="H144" s="243" t="s"/>
      <x:c r="I144" s="243" t="s"/>
      <x:c r="J144" s="243" t="s"/>
      <x:c r="K144" s="243" t="s"/>
      <x:c r="L144" s="243" t="s"/>
      <x:c r="M144" s="243" t="s"/>
      <x:c r="N144" s="243" t="s"/>
      <x:c r="O144" s="243" t="s"/>
      <x:c r="P144" s="243" t="s"/>
      <x:c r="Q144" s="243" t="s"/>
      <x:c r="R144" s="243" t="s"/>
      <x:c r="S144" s="243" t="s"/>
      <x:c r="T144" s="244" t="s"/>
    </x:row>
    <x:row r="145" spans="1:24" customFormat="1" ht="12.75" customHeight="1">
      <x:c r="A145" s="243" t="s"/>
      <x:c r="B145" s="243" t="s"/>
      <x:c r="C145" s="243" t="s"/>
      <x:c r="D145" s="243" t="s"/>
      <x:c r="E145" s="243" t="s"/>
      <x:c r="F145" s="243" t="s"/>
      <x:c r="G145" s="243" t="s"/>
      <x:c r="H145" s="243" t="s"/>
      <x:c r="I145" s="243" t="s"/>
      <x:c r="J145" s="243" t="s"/>
      <x:c r="K145" s="243" t="s"/>
      <x:c r="L145" s="243" t="s"/>
      <x:c r="M145" s="243" t="s"/>
      <x:c r="N145" s="243" t="s"/>
      <x:c r="O145" s="243" t="s"/>
      <x:c r="P145" s="243" t="s"/>
      <x:c r="Q145" s="243" t="s"/>
      <x:c r="R145" s="243" t="s"/>
      <x:c r="S145" s="243" t="s"/>
      <x:c r="T145" s="244" t="s"/>
    </x:row>
    <x:row r="146" spans="1:24" customFormat="1" ht="7.5" customHeight="1">
      <x:c r="A146" s="243" t="s"/>
      <x:c r="B146" s="243" t="s"/>
      <x:c r="C146" s="243" t="s"/>
      <x:c r="D146" s="243" t="s"/>
      <x:c r="E146" s="243" t="s"/>
      <x:c r="F146" s="243" t="s"/>
      <x:c r="G146" s="243" t="s"/>
      <x:c r="H146" s="243" t="s"/>
      <x:c r="I146" s="243" t="s"/>
      <x:c r="J146" s="243" t="s"/>
      <x:c r="K146" s="243" t="s"/>
      <x:c r="L146" s="243" t="s"/>
      <x:c r="M146" s="243" t="s"/>
      <x:c r="N146" s="243" t="s"/>
      <x:c r="O146" s="243" t="s"/>
      <x:c r="P146" s="243" t="s"/>
      <x:c r="Q146" s="243" t="s"/>
      <x:c r="R146" s="243" t="s"/>
      <x:c r="S146" s="243" t="s"/>
      <x:c r="T146" s="244" t="s"/>
    </x:row>
    <x:row r="147" spans="1:24" customFormat="1" ht="12.75" customHeight="1">
      <x:c r="A147" s="243" t="s"/>
      <x:c r="B147" s="243" t="s"/>
      <x:c r="C147" s="243" t="s"/>
      <x:c r="D147" s="243" t="s"/>
      <x:c r="E147" s="243" t="s"/>
      <x:c r="F147" s="243" t="s"/>
      <x:c r="G147" s="243" t="s"/>
      <x:c r="H147" s="243" t="s"/>
      <x:c r="I147" s="243" t="s"/>
      <x:c r="J147" s="243" t="s"/>
      <x:c r="K147" s="243" t="s"/>
      <x:c r="L147" s="243" t="s"/>
      <x:c r="M147" s="243" t="s"/>
      <x:c r="N147" s="243" t="s"/>
      <x:c r="O147" s="243" t="s"/>
      <x:c r="P147" s="243" t="s"/>
      <x:c r="Q147" s="243" t="s"/>
      <x:c r="R147" s="243" t="s"/>
      <x:c r="S147" s="243" t="s"/>
      <x:c r="T147" s="244" t="s"/>
    </x:row>
    <x:row r="148" spans="1:24" customFormat="1" ht="12.75" customHeight="1">
      <x:c r="A148" s="243" t="s"/>
      <x:c r="B148" s="243" t="s"/>
      <x:c r="C148" s="243" t="s"/>
      <x:c r="D148" s="243" t="s"/>
      <x:c r="E148" s="243" t="s"/>
      <x:c r="F148" s="243" t="s"/>
      <x:c r="G148" s="243" t="s"/>
      <x:c r="H148" s="243" t="s"/>
      <x:c r="I148" s="243" t="s"/>
      <x:c r="J148" s="243" t="s"/>
      <x:c r="K148" s="243" t="s"/>
      <x:c r="L148" s="243" t="s"/>
      <x:c r="M148" s="243" t="s"/>
      <x:c r="N148" s="243" t="s"/>
      <x:c r="O148" s="243" t="s"/>
      <x:c r="P148" s="243" t="s"/>
      <x:c r="Q148" s="243" t="s"/>
      <x:c r="R148" s="243" t="s"/>
      <x:c r="S148" s="243" t="s"/>
      <x:c r="T148" s="244" t="s"/>
    </x:row>
    <x:row r="149" spans="1:24" customFormat="1" ht="12.75" customHeight="1">
      <x:c r="A149" s="243" t="s"/>
      <x:c r="B149" s="243" t="s"/>
      <x:c r="C149" s="243" t="s"/>
      <x:c r="D149" s="243" t="s"/>
      <x:c r="E149" s="243" t="s"/>
      <x:c r="F149" s="243" t="s"/>
      <x:c r="G149" s="243" t="s"/>
      <x:c r="H149" s="243" t="s"/>
      <x:c r="I149" s="243" t="s"/>
      <x:c r="J149" s="243" t="s"/>
      <x:c r="K149" s="243" t="s"/>
      <x:c r="L149" s="243" t="s"/>
      <x:c r="M149" s="243" t="s"/>
      <x:c r="N149" s="243" t="s"/>
      <x:c r="O149" s="243" t="s"/>
      <x:c r="P149" s="243" t="s"/>
      <x:c r="Q149" s="243" t="s"/>
      <x:c r="R149" s="243" t="s"/>
      <x:c r="S149" s="243" t="s"/>
      <x:c r="T149" s="244" t="s"/>
    </x:row>
    <x:row r="150" spans="1:24" customFormat="1" ht="12.75" customHeight="1">
      <x:c r="A150" s="243" t="s"/>
      <x:c r="B150" s="243" t="s"/>
      <x:c r="C150" s="243" t="s"/>
      <x:c r="D150" s="243" t="s"/>
      <x:c r="E150" s="243" t="s"/>
      <x:c r="F150" s="243" t="s"/>
      <x:c r="G150" s="243" t="s"/>
      <x:c r="H150" s="243" t="s"/>
      <x:c r="I150" s="243" t="s"/>
      <x:c r="J150" s="243" t="s"/>
      <x:c r="K150" s="243" t="s"/>
      <x:c r="L150" s="243" t="s"/>
      <x:c r="M150" s="243" t="s"/>
      <x:c r="N150" s="243" t="s"/>
      <x:c r="O150" s="243" t="s"/>
      <x:c r="P150" s="243" t="s"/>
      <x:c r="Q150" s="243" t="s"/>
      <x:c r="R150" s="243" t="s"/>
      <x:c r="S150" s="243" t="s"/>
      <x:c r="T150" s="244" t="s"/>
    </x:row>
    <x:row r="151" spans="1:24" customFormat="1" ht="12.75" customHeight="1">
      <x:c r="A151" s="243" t="s"/>
      <x:c r="B151" s="243" t="s"/>
      <x:c r="C151" s="243" t="s"/>
      <x:c r="D151" s="243" t="s"/>
      <x:c r="E151" s="243" t="s"/>
      <x:c r="F151" s="243" t="s"/>
      <x:c r="G151" s="243" t="s"/>
      <x:c r="H151" s="243" t="s"/>
      <x:c r="I151" s="243" t="s"/>
      <x:c r="J151" s="243" t="s"/>
      <x:c r="K151" s="243" t="s"/>
      <x:c r="L151" s="243" t="s"/>
      <x:c r="M151" s="243" t="s"/>
      <x:c r="N151" s="243" t="s"/>
      <x:c r="O151" s="243" t="s"/>
      <x:c r="P151" s="243" t="s"/>
      <x:c r="Q151" s="243" t="s"/>
      <x:c r="R151" s="243" t="s"/>
      <x:c r="S151" s="243" t="s"/>
      <x:c r="T151" s="244" t="s"/>
    </x:row>
    <x:row r="152" spans="1:24" customFormat="1" ht="7.5" customHeight="1">
      <x:c r="A152" s="243" t="s"/>
      <x:c r="B152" s="243" t="s"/>
      <x:c r="C152" s="243" t="s"/>
      <x:c r="D152" s="243" t="s"/>
      <x:c r="E152" s="243" t="s"/>
      <x:c r="F152" s="243" t="s"/>
      <x:c r="G152" s="243" t="s"/>
      <x:c r="H152" s="243" t="s"/>
      <x:c r="I152" s="243" t="s"/>
      <x:c r="J152" s="243" t="s"/>
      <x:c r="K152" s="243" t="s"/>
      <x:c r="L152" s="243" t="s"/>
      <x:c r="M152" s="243" t="s"/>
      <x:c r="N152" s="243" t="s"/>
      <x:c r="O152" s="243" t="s"/>
      <x:c r="P152" s="243" t="s"/>
      <x:c r="Q152" s="243" t="s"/>
      <x:c r="R152" s="243" t="s"/>
      <x:c r="S152" s="243" t="s"/>
      <x:c r="T152" s="244" t="s"/>
    </x:row>
    <x:row r="153" spans="1:24" customFormat="1" ht="12.75" customHeight="1">
      <x:c r="A153" s="243" t="s"/>
      <x:c r="B153" s="243" t="s"/>
      <x:c r="C153" s="243" t="s"/>
      <x:c r="D153" s="243" t="s"/>
      <x:c r="E153" s="243" t="s"/>
      <x:c r="F153" s="243" t="s"/>
      <x:c r="G153" s="243" t="s"/>
      <x:c r="H153" s="243" t="s"/>
      <x:c r="I153" s="243" t="s"/>
      <x:c r="J153" s="243" t="s"/>
      <x:c r="K153" s="243" t="s"/>
      <x:c r="L153" s="243" t="s"/>
      <x:c r="M153" s="243" t="s"/>
      <x:c r="N153" s="243" t="s"/>
      <x:c r="O153" s="243" t="s"/>
      <x:c r="P153" s="243" t="s"/>
      <x:c r="Q153" s="243" t="s"/>
      <x:c r="R153" s="243" t="s"/>
      <x:c r="S153" s="243" t="s"/>
      <x:c r="T153" s="244" t="s"/>
    </x:row>
    <x:row r="154" spans="1:24" customFormat="1" ht="12.75" customHeight="1">
      <x:c r="A154" s="243" t="s"/>
      <x:c r="B154" s="243" t="s"/>
      <x:c r="C154" s="243" t="s"/>
      <x:c r="D154" s="243" t="s"/>
      <x:c r="E154" s="243" t="s"/>
      <x:c r="F154" s="243" t="s"/>
      <x:c r="G154" s="243" t="s"/>
      <x:c r="H154" s="243" t="s"/>
      <x:c r="I154" s="243" t="s"/>
      <x:c r="J154" s="243" t="s"/>
      <x:c r="K154" s="243" t="s"/>
      <x:c r="L154" s="243" t="s"/>
      <x:c r="M154" s="243" t="s"/>
      <x:c r="N154" s="243" t="s"/>
      <x:c r="O154" s="243" t="s"/>
      <x:c r="P154" s="243" t="s"/>
      <x:c r="Q154" s="243" t="s"/>
      <x:c r="R154" s="243" t="s"/>
      <x:c r="S154" s="243" t="s"/>
      <x:c r="T154" s="244" t="s"/>
    </x:row>
    <x:row r="155" spans="1:24" customFormat="1" ht="12.75" customHeight="1">
      <x:c r="A155" s="241" t="s"/>
      <x:c r="B155" s="241" t="s"/>
      <x:c r="C155" s="241" t="s"/>
      <x:c r="D155" s="241" t="s"/>
      <x:c r="E155" s="241" t="s"/>
      <x:c r="F155" s="241" t="s"/>
      <x:c r="G155" s="241" t="s"/>
      <x:c r="H155" s="241" t="s"/>
      <x:c r="I155" s="241" t="s"/>
      <x:c r="J155" s="241" t="s"/>
      <x:c r="K155" s="241" t="s"/>
      <x:c r="L155" s="241" t="s"/>
      <x:c r="M155" s="241" t="s"/>
      <x:c r="N155" s="241" t="s"/>
      <x:c r="O155" s="241" t="s"/>
      <x:c r="P155" s="241" t="s"/>
      <x:c r="Q155" s="241" t="s"/>
      <x:c r="R155" s="241" t="s"/>
      <x:c r="S155" s="241" t="s"/>
      <x:c r="T155" s="242" t="s"/>
    </x:row>
    <x:row r="156" spans="1:24">
      <x:c r="A156" s="240" t="s">
        <x:v>155</x:v>
      </x:c>
      <x:c r="B156" s="240" t="s"/>
      <x:c r="C156" s="240" t="s"/>
      <x:c r="D156" s="240" t="s"/>
      <x:c r="E156" s="240" t="s"/>
      <x:c r="F156" s="240" t="s"/>
      <x:c r="G156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263">
    <x:mergeCell ref="E129:S129"/>
    <x:mergeCell ref="E130:S130"/>
    <x:mergeCell ref="E132:S132"/>
    <x:mergeCell ref="A133:S154"/>
    <x:mergeCell ref="A155:S155"/>
    <x:mergeCell ref="A129:D129"/>
    <x:mergeCell ref="A130:D130"/>
    <x:mergeCell ref="K1:R1"/>
    <x:mergeCell ref="R19:S19"/>
    <x:mergeCell ref="R20:S20"/>
    <x:mergeCell ref="O121:S121"/>
    <x:mergeCell ref="O122:S122"/>
    <x:mergeCell ref="O120:S120"/>
    <x:mergeCell ref="J120:K120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125:P125"/>
    <x:mergeCell ref="O126:P126"/>
    <x:mergeCell ref="J126:M126"/>
    <x:mergeCell ref="O123:S123"/>
    <x:mergeCell ref="O124:S124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120:H120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D27:E27"/>
    <x:mergeCell ref="J27:K27"/>
    <x:mergeCell ref="D28:E28"/>
    <x:mergeCell ref="J28:K28"/>
    <x:mergeCell ref="D29:E29"/>
    <x:mergeCell ref="J29:K29"/>
    <x:mergeCell ref="D30:E30"/>
    <x:mergeCell ref="J30:K30"/>
    <x:mergeCell ref="D31:E31"/>
    <x:mergeCell ref="J31:K31"/>
    <x:mergeCell ref="D32:E32"/>
    <x:mergeCell ref="J32:K32"/>
    <x:mergeCell ref="D33:E33"/>
    <x:mergeCell ref="J33:K33"/>
    <x:mergeCell ref="D34:E34"/>
    <x:mergeCell ref="J34:K34"/>
    <x:mergeCell ref="D35:E35"/>
    <x:mergeCell ref="J35:K35"/>
    <x:mergeCell ref="D36:E36"/>
    <x:mergeCell ref="J36:K36"/>
    <x:mergeCell ref="D37:E37"/>
    <x:mergeCell ref="J37:K37"/>
    <x:mergeCell ref="D38:E38"/>
    <x:mergeCell ref="J38:K38"/>
    <x:mergeCell ref="D39:E39"/>
    <x:mergeCell ref="J39:K39"/>
    <x:mergeCell ref="D40:E40"/>
    <x:mergeCell ref="J40:K40"/>
    <x:mergeCell ref="D41:E41"/>
    <x:mergeCell ref="J41:K41"/>
    <x:mergeCell ref="D42:E42"/>
    <x:mergeCell ref="J42:K42"/>
    <x:mergeCell ref="D43:E43"/>
    <x:mergeCell ref="J43:K43"/>
    <x:mergeCell ref="D44:E44"/>
    <x:mergeCell ref="J44:K44"/>
    <x:mergeCell ref="D45:E45"/>
    <x:mergeCell ref="J45:K45"/>
    <x:mergeCell ref="D46:E46"/>
    <x:mergeCell ref="J46:K46"/>
    <x:mergeCell ref="D47:E47"/>
    <x:mergeCell ref="J47:K47"/>
    <x:mergeCell ref="D48:E48"/>
    <x:mergeCell ref="J48:K48"/>
    <x:mergeCell ref="D49:E49"/>
    <x:mergeCell ref="J49:K49"/>
    <x:mergeCell ref="D50:E50"/>
    <x:mergeCell ref="J50:K50"/>
    <x:mergeCell ref="D51:E51"/>
    <x:mergeCell ref="J51:K51"/>
    <x:mergeCell ref="D52:E52"/>
    <x:mergeCell ref="J52:K52"/>
    <x:mergeCell ref="D53:E53"/>
    <x:mergeCell ref="J53:K53"/>
    <x:mergeCell ref="D54:E54"/>
    <x:mergeCell ref="J54:K54"/>
    <x:mergeCell ref="D55:E55"/>
    <x:mergeCell ref="J55:K55"/>
    <x:mergeCell ref="D56:E56"/>
    <x:mergeCell ref="J56:K56"/>
    <x:mergeCell ref="D57:E57"/>
    <x:mergeCell ref="J57:K57"/>
    <x:mergeCell ref="D58:E58"/>
    <x:mergeCell ref="J58:K58"/>
    <x:mergeCell ref="D59:E59"/>
    <x:mergeCell ref="J59:K59"/>
    <x:mergeCell ref="D60:E60"/>
    <x:mergeCell ref="J60:K60"/>
    <x:mergeCell ref="D61:E61"/>
    <x:mergeCell ref="J61:K61"/>
    <x:mergeCell ref="D62:E62"/>
    <x:mergeCell ref="J62:K62"/>
    <x:mergeCell ref="D63:E63"/>
    <x:mergeCell ref="J63:K63"/>
    <x:mergeCell ref="D64:E64"/>
    <x:mergeCell ref="J64:K64"/>
    <x:mergeCell ref="D65:E65"/>
    <x:mergeCell ref="J65:K65"/>
    <x:mergeCell ref="D66:E66"/>
    <x:mergeCell ref="J66:K66"/>
    <x:mergeCell ref="D67:E67"/>
    <x:mergeCell ref="J67:K67"/>
    <x:mergeCell ref="D68:E68"/>
    <x:mergeCell ref="J68:K68"/>
    <x:mergeCell ref="D69:E69"/>
    <x:mergeCell ref="J69:K69"/>
    <x:mergeCell ref="D70:E70"/>
    <x:mergeCell ref="J70:K70"/>
    <x:mergeCell ref="D71:E71"/>
    <x:mergeCell ref="J71:K71"/>
    <x:mergeCell ref="D72:E72"/>
    <x:mergeCell ref="J72:K72"/>
    <x:mergeCell ref="D73:E73"/>
    <x:mergeCell ref="J73:K73"/>
    <x:mergeCell ref="D74:E74"/>
    <x:mergeCell ref="J74:K74"/>
    <x:mergeCell ref="D75:E75"/>
    <x:mergeCell ref="J75:K75"/>
    <x:mergeCell ref="D76:E76"/>
    <x:mergeCell ref="J76:K76"/>
    <x:mergeCell ref="D77:E77"/>
    <x:mergeCell ref="J77:K77"/>
    <x:mergeCell ref="D78:E78"/>
    <x:mergeCell ref="J78:K78"/>
    <x:mergeCell ref="D79:E79"/>
    <x:mergeCell ref="J79:K79"/>
    <x:mergeCell ref="D80:E80"/>
    <x:mergeCell ref="J80:K80"/>
    <x:mergeCell ref="D81:E81"/>
    <x:mergeCell ref="J81:K81"/>
    <x:mergeCell ref="D82:E82"/>
    <x:mergeCell ref="J82:K82"/>
    <x:mergeCell ref="D83:E83"/>
    <x:mergeCell ref="J83:K83"/>
    <x:mergeCell ref="D84:E84"/>
    <x:mergeCell ref="J84:K84"/>
    <x:mergeCell ref="D85:E85"/>
    <x:mergeCell ref="J85:K85"/>
    <x:mergeCell ref="D86:E86"/>
    <x:mergeCell ref="J86:K86"/>
    <x:mergeCell ref="D87:E87"/>
    <x:mergeCell ref="J87:K87"/>
    <x:mergeCell ref="D88:E88"/>
    <x:mergeCell ref="J88:K88"/>
    <x:mergeCell ref="D89:E89"/>
    <x:mergeCell ref="J89:K89"/>
    <x:mergeCell ref="D90:E90"/>
    <x:mergeCell ref="J90:K90"/>
    <x:mergeCell ref="D91:E91"/>
    <x:mergeCell ref="J91:K91"/>
    <x:mergeCell ref="D92:E92"/>
    <x:mergeCell ref="J92:K92"/>
    <x:mergeCell ref="D93:E93"/>
    <x:mergeCell ref="J93:K93"/>
    <x:mergeCell ref="D94:E94"/>
    <x:mergeCell ref="J94:K94"/>
    <x:mergeCell ref="D95:E95"/>
    <x:mergeCell ref="J95:K95"/>
    <x:mergeCell ref="D96:E96"/>
    <x:mergeCell ref="J96:K96"/>
    <x:mergeCell ref="D97:E97"/>
    <x:mergeCell ref="J97:K97"/>
    <x:mergeCell ref="D98:E98"/>
    <x:mergeCell ref="J98:K98"/>
    <x:mergeCell ref="D99:E99"/>
    <x:mergeCell ref="J99:K99"/>
    <x:mergeCell ref="D100:E100"/>
    <x:mergeCell ref="J100:K100"/>
    <x:mergeCell ref="D101:E101"/>
    <x:mergeCell ref="J101:K101"/>
    <x:mergeCell ref="D102:E102"/>
    <x:mergeCell ref="J102:K102"/>
    <x:mergeCell ref="D103:E103"/>
    <x:mergeCell ref="J103:K103"/>
    <x:mergeCell ref="D104:E104"/>
    <x:mergeCell ref="J104:K104"/>
    <x:mergeCell ref="D105:E105"/>
    <x:mergeCell ref="J105:K105"/>
    <x:mergeCell ref="D106:E106"/>
    <x:mergeCell ref="J106:K106"/>
    <x:mergeCell ref="D107:E107"/>
    <x:mergeCell ref="J107:K107"/>
    <x:mergeCell ref="D108:E108"/>
    <x:mergeCell ref="J108:K108"/>
    <x:mergeCell ref="D109:E109"/>
    <x:mergeCell ref="J109:K109"/>
    <x:mergeCell ref="D110:E110"/>
    <x:mergeCell ref="J110:K110"/>
    <x:mergeCell ref="D111:E111"/>
    <x:mergeCell ref="J111:K111"/>
    <x:mergeCell ref="D112:E112"/>
    <x:mergeCell ref="J112:K112"/>
    <x:mergeCell ref="D113:E113"/>
    <x:mergeCell ref="J113:K113"/>
    <x:mergeCell ref="D114:E114"/>
    <x:mergeCell ref="J114:K114"/>
    <x:mergeCell ref="D115:E115"/>
    <x:mergeCell ref="J115:K115"/>
    <x:mergeCell ref="D116:E116"/>
    <x:mergeCell ref="J116:K116"/>
    <x:mergeCell ref="D117:E117"/>
    <x:mergeCell ref="J117:K117"/>
    <x:mergeCell ref="D118:E118"/>
    <x:mergeCell ref="J118:K118"/>
    <x:mergeCell ref="C121:H121"/>
    <x:mergeCell ref="J121:K121"/>
    <x:mergeCell ref="C122:H122"/>
    <x:mergeCell ref="J122:K122"/>
    <x:mergeCell ref="C123:H123"/>
    <x:mergeCell ref="J123:K123"/>
    <x:mergeCell ref="C124:H124"/>
    <x:mergeCell ref="J124:K124"/>
  </x:mergeCells>
  <x:phoneticPr fontId="3" type="noConversion"/>
  <x:dataValidations count="405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7:I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7:J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7:L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7:M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8:I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8:J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8:L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8:M2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0:I3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0:J3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0:L3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0:M3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1:I3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1:J3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1:L3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1:M3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3:I3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3:J3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3:L3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3:M3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4:I3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4:J3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4:L3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4:M3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6:I3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6:J3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6:L3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6:M3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7:I3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7:J3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7:L3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7:M3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9:I3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9:J3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9:L3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9:M3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0:I4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0:J4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0:L4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0:M4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1:I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1:J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1:L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1:M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2:I4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2:J4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2:L4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2:M4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3:I4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3:J4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3:L4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3:M4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4:I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4:J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4:L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4:M4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5:I4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5:J4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5:L4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5:M4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6:I4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6:J4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6:L4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6:M4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7:I4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7:J4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7:L4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7:M4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8:I4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8:J4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8:L4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8:M4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9:I4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9:J4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9:L4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9:M4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0:I5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0:J5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0:L5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0:M5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1:I5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1:J5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1:L5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1:M5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2:I5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2:J5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2:L5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2:M5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3:I5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3:J5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3:L5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3:M5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4:I5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4:J5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4:L5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4:M5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5:I5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5:J5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5:L5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5:M5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6:I5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6:J5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6:L5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6:M5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7:I5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7:J5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7:L5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7:M5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8:I5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8:J5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8:L5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8:M5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9:I5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9:J5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9:L5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9:M5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0:I6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0:J6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0:L6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0:M6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1:I6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1:J6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1:L6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1:M6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2:I6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2:J6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2:L6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2:M6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3:I6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3:J6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3:L6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3:M6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4:I6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4:J6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4:L6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4:M6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5:I6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5:J6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5:L6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5:M6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6:I6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6:J6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6:L6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6:M6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7:I6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7:J6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7:L6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7:M6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8:I6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8:J6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8:L6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8:M6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9:I6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9:J6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9:L6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9:M6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0:I7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0:J7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0:L7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0:M7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1:I7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1:J7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1:L7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1:M7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2:I7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2:J7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2:L7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2:M7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3:I7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3:J7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3:L7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3:M7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4:I7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4:J7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4:L7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4:M7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5:I7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5:J7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5:L7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5:M7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6:I7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6:J7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6:L7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6:M7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7:I7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7:J7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7:L7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7:M7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8:I7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8:J7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8:L7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8:M7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9:I7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9:J7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9:L7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9:M7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0:I8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0:J8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0:L8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0:M8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1:I8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1:J8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1:L8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1:M8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2:I8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2:J8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2:L8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2:M8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3:I8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3:J8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3:L8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3:M8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4:I8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4:J8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4:L8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4:M8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5:I8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5:J8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5:L8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5:M8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6:I8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6:J8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6:L8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6:M8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7:I8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7:J8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7:L8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7:M8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8:I8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8:J8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8:L8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8:M8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9:I8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9:J8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9:L8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9:M8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0:I9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0:J9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0:L9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0:M9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1:I9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1:J9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1:L9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1:M9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2:I9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2:J9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2:L9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2:M9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3:I9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3:J9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3:L9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3:M9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4:I9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4:J9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4:L9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4:M9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5:I9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5:J9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5:L9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5:M9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6:I9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6:J9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6:L9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6:M9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7:I9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7:J9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7:L9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7:M9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8:I9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8:J9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8:L9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8:M9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99:I9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99:J9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99:L9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99:M9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0:I10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0:J10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0:L10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0:M10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1:I10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1:J10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1:L10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1:M10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2:I10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2:J10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2:L10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2:M10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3:I10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3:J10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3:L10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3:M10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4:I10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4:J10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4:L10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4:M10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5:I10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5:J10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5:L10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5:M10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6:I10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6:J10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6:L10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6:M10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7:I10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7:J10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7:L10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7:M10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8:I10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8:J10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8:L10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8:M10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09:I10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09:J10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09:L10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09:M10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0:I11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0:J11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0:L11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0:M11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1:I11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1:J11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1:L11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1:M11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2:I11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2:J11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2:L11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2:M11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3:I11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3:J11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3:L11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3:M11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4:I11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4:J11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4:L11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4:M11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5:I11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5:J11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5:L11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5:M11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6:I11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6:J11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6:L1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6:M11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7:I11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7:J11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7:L11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7:M11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118:I11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118:J11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118:L11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118:M118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121:H12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122:H122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123:H12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124:H124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146</x:v>
      </x:c>
      <x:c r="M1" s="300" t="s">
        <x:v>156</x:v>
      </x:c>
      <x:c r="N1" s="301" t="s">
        <x:v>0</x:v>
      </x:c>
      <x:c r="O1" s="162" t="s">
        <x:v>157</x:v>
      </x:c>
    </x:row>
    <x:row r="2" spans="1:15" x14ac:dyDescent="0.2">
      <x:c r="G2" s="162" t="n">
        <x:v>1001310</x:v>
      </x:c>
      <x:c r="H2" s="162" t="s">
        <x:v>147</x:v>
      </x:c>
      <x:c r="M2" s="300" t="s">
        <x:v>158</x:v>
      </x:c>
      <x:c r="N2" s="301" t="n">
        <x:v>1020117388</x:v>
      </x:c>
      <x:c r="O2" s="162" t="s">
        <x:v>159</x:v>
      </x:c>
    </x:row>
    <x:row r="3" spans="1:15" x14ac:dyDescent="0.2">
      <x:c r="G3" s="162" t="n">
        <x:v>1001352</x:v>
      </x:c>
      <x:c r="H3" s="162" t="s">
        <x:v>143</x:v>
      </x:c>
      <x:c r="M3" s="300" t="s">
        <x:v>160</x:v>
      </x:c>
      <x:c r="N3" s="301" t="n">
        <x:v>99990000271258</x:v>
      </x:c>
      <x:c r="O3" s="162" t="s">
        <x:v>161</x:v>
      </x:c>
    </x:row>
    <x:row r="4" spans="1:15" x14ac:dyDescent="0.2">
      <x:c r="G4" s="162" t="n">
        <x:v>1012729</x:v>
      </x:c>
      <x:c r="H4" s="162" t="s">
        <x:v>162</x:v>
      </x:c>
      <x:c r="M4" s="300" t="s">
        <x:v>163</x:v>
      </x:c>
      <x:c r="N4" s="301" t="n">
        <x:v>1020272461</x:v>
      </x:c>
      <x:c r="O4" s="162" t="s">
        <x:v>164</x:v>
      </x:c>
    </x:row>
    <x:row r="5" spans="1:15" x14ac:dyDescent="0.2">
      <x:c r="G5" s="162" t="n">
        <x:v>1012730</x:v>
      </x:c>
      <x:c r="H5" s="162" t="s">
        <x:v>165</x:v>
      </x:c>
      <x:c r="M5" s="300" t="s">
        <x:v>166</x:v>
      </x:c>
      <x:c r="N5" s="301" t="s"/>
      <x:c r="O5" s="162" t="s">
        <x:v>167</x:v>
      </x:c>
    </x:row>
    <x:row r="6" spans="1:15" x14ac:dyDescent="0.2">
      <x:c r="G6" s="162" t="n">
        <x:v>1012731</x:v>
      </x:c>
      <x:c r="H6" s="162" t="s">
        <x:v>168</x:v>
      </x:c>
      <x:c r="M6" s="300" t="s">
        <x:v>169</x:v>
      </x:c>
      <x:c r="N6" s="301" t="s">
        <x:v>170</x:v>
      </x:c>
      <x:c r="O6" s="162" t="s">
        <x:v>171</x:v>
      </x:c>
    </x:row>
    <x:row r="7" spans="1:15" x14ac:dyDescent="0.2">
      <x:c r="G7" s="162" t="n">
        <x:v>1012732</x:v>
      </x:c>
      <x:c r="H7" s="162" t="s">
        <x:v>172</x:v>
      </x:c>
      <x:c r="M7" s="300" t="s">
        <x:v>173</x:v>
      </x:c>
      <x:c r="N7" s="301" t="n">
        <x:v>0</x:v>
      </x:c>
      <x:c r="O7" s="162" t="s">
        <x:v>174</x:v>
      </x:c>
    </x:row>
    <x:row r="8" spans="1:15" x14ac:dyDescent="0.2">
      <x:c r="G8" s="162" t="n">
        <x:v>1012733</x:v>
      </x:c>
      <x:c r="H8" s="162" t="s">
        <x:v>175</x:v>
      </x:c>
      <x:c r="O8" s="162" t="s">
        <x:v>176</x:v>
      </x:c>
    </x:row>
    <x:row r="9" spans="1:15" x14ac:dyDescent="0.2">
      <x:c r="G9" s="162" t="n">
        <x:v>1012734</x:v>
      </x:c>
      <x:c r="H9" s="162" t="s">
        <x:v>177</x:v>
      </x:c>
      <x:c r="O9" s="162" t="s">
        <x:v>178</x:v>
      </x:c>
    </x:row>
    <x:row r="10" spans="1:15" x14ac:dyDescent="0.2">
      <x:c r="G10" s="162" t="n">
        <x:v>1012735</x:v>
      </x:c>
      <x:c r="H10" s="162" t="s">
        <x:v>179</x:v>
      </x:c>
      <x:c r="O10" s="162" t="s">
        <x:v>180</x:v>
      </x:c>
    </x:row>
    <x:row r="11" spans="1:15" x14ac:dyDescent="0.2">
      <x:c r="G11" s="162" t="n">
        <x:v>1012736</x:v>
      </x:c>
      <x:c r="H11" s="162" t="s">
        <x:v>181</x:v>
      </x:c>
      <x:c r="O11" s="162" t="s">
        <x:v>182</x:v>
      </x:c>
    </x:row>
    <x:row r="12" spans="1:15" x14ac:dyDescent="0.2">
      <x:c r="G12" s="162" t="n">
        <x:v>1012737</x:v>
      </x:c>
      <x:c r="H12" s="162" t="s">
        <x:v>183</x:v>
      </x:c>
      <x:c r="O12" s="162" t="s">
        <x:v>184</x:v>
      </x:c>
    </x:row>
    <x:row r="13" spans="1:15" x14ac:dyDescent="0.2">
      <x:c r="G13" s="162" t="n">
        <x:v>1012738</x:v>
      </x:c>
      <x:c r="H13" s="162" t="s">
        <x:v>185</x:v>
      </x:c>
      <x:c r="O13" s="162" t="s">
        <x:v>186</x:v>
      </x:c>
    </x:row>
    <x:row r="14" spans="1:15" x14ac:dyDescent="0.2">
      <x:c r="G14" s="162" t="n">
        <x:v>1012739</x:v>
      </x:c>
      <x:c r="H14" s="162" t="s">
        <x:v>187</x:v>
      </x:c>
      <x:c r="O14" s="162" t="s">
        <x:v>188</x:v>
      </x:c>
    </x:row>
    <x:row r="15" spans="1:15" x14ac:dyDescent="0.2">
      <x:c r="G15" s="162" t="n">
        <x:v>1012740</x:v>
      </x:c>
      <x:c r="H15" s="162" t="s">
        <x:v>189</x:v>
      </x:c>
      <x:c r="O15" s="162" t="s">
        <x:v>190</x:v>
      </x:c>
    </x:row>
    <x:row r="16" spans="1:15" x14ac:dyDescent="0.2">
      <x:c r="G16" s="162" t="n">
        <x:v>1012741</x:v>
      </x:c>
      <x:c r="H16" s="162" t="s">
        <x:v>191</x:v>
      </x:c>
      <x:c r="O16" s="162" t="s">
        <x:v>192</x:v>
      </x:c>
    </x:row>
    <x:row r="17" spans="1:15" x14ac:dyDescent="0.2">
      <x:c r="G17" s="162" t="n">
        <x:v>1012742</x:v>
      </x:c>
      <x:c r="H17" s="162" t="s">
        <x:v>193</x:v>
      </x:c>
      <x:c r="O17" s="162" t="s">
        <x:v>194</x:v>
      </x:c>
    </x:row>
    <x:row r="18" spans="1:15" x14ac:dyDescent="0.2">
      <x:c r="G18" s="162" t="n">
        <x:v>1012743</x:v>
      </x:c>
      <x:c r="H18" s="162" t="s">
        <x:v>195</x:v>
      </x:c>
      <x:c r="O18" s="162" t="s">
        <x:v>196</x:v>
      </x:c>
    </x:row>
    <x:row r="19" spans="1:15" x14ac:dyDescent="0.2">
      <x:c r="G19" s="162" t="n">
        <x:v>1012744</x:v>
      </x:c>
      <x:c r="H19" s="162" t="s">
        <x:v>197</x:v>
      </x:c>
      <x:c r="O19" s="162" t="s">
        <x:v>198</x:v>
      </x:c>
    </x:row>
    <x:row r="20" spans="1:15" x14ac:dyDescent="0.2">
      <x:c r="G20" s="162" t="n">
        <x:v>1012745</x:v>
      </x:c>
      <x:c r="H20" s="162" t="s">
        <x:v>199</x:v>
      </x:c>
      <x:c r="O20" s="162" t="s">
        <x:v>200</x:v>
      </x:c>
    </x:row>
    <x:row r="21" spans="1:15" x14ac:dyDescent="0.2">
      <x:c r="O21" s="162" t="s">
        <x:v>201</x:v>
      </x:c>
    </x:row>
    <x:row r="22" spans="1:15" x14ac:dyDescent="0.2">
      <x:c r="O22" s="162" t="s">
        <x:v>202</x:v>
      </x:c>
    </x:row>
    <x:row r="23" spans="1:15" x14ac:dyDescent="0.2">
      <x:c r="O23" s="162" t="s">
        <x:v>203</x:v>
      </x:c>
    </x:row>
    <x:row r="24" spans="1:15" x14ac:dyDescent="0.2">
      <x:c r="O24" s="162" t="s">
        <x:v>204</x:v>
      </x:c>
    </x:row>
    <x:row r="25" spans="1:15" x14ac:dyDescent="0.2">
      <x:c r="O25" s="162" t="s">
        <x:v>205</x:v>
      </x:c>
    </x:row>
    <x:row r="26" spans="1:15" x14ac:dyDescent="0.2">
      <x:c r="O26" s="162" t="s">
        <x:v>206</x:v>
      </x:c>
    </x:row>
    <x:row r="27" spans="1:15" x14ac:dyDescent="0.2">
      <x:c r="O27" s="162" t="s">
        <x:v>207</x:v>
      </x:c>
    </x:row>
    <x:row r="28" spans="1:15" x14ac:dyDescent="0.2">
      <x:c r="O28" s="162" t="s">
        <x:v>208</x:v>
      </x:c>
    </x:row>
    <x:row r="29" spans="1:15" x14ac:dyDescent="0.2">
      <x:c r="O29" s="162" t="s">
        <x:v>209</x:v>
      </x:c>
    </x:row>
    <x:row r="30" spans="1:15" x14ac:dyDescent="0.2">
      <x:c r="O30" s="162" t="s">
        <x:v>210</x:v>
      </x:c>
    </x:row>
    <x:row r="31" spans="1:15" x14ac:dyDescent="0.2">
      <x:c r="O31" s="162" t="s">
        <x:v>211</x:v>
      </x:c>
    </x:row>
    <x:row r="32" spans="1:15" x14ac:dyDescent="0.2">
      <x:c r="O32" s="162" t="s">
        <x:v>212</x:v>
      </x:c>
    </x:row>
    <x:row r="33" spans="1:15" x14ac:dyDescent="0.2">
      <x:c r="O33" s="162" t="s">
        <x:v>213</x:v>
      </x:c>
    </x:row>
    <x:row r="34" spans="1:15" x14ac:dyDescent="0.2">
      <x:c r="O34" s="162" t="s">
        <x:v>214</x:v>
      </x:c>
    </x:row>
    <x:row r="35" spans="1:15" x14ac:dyDescent="0.2">
      <x:c r="O35" s="162" t="s">
        <x:v>215</x:v>
      </x:c>
    </x:row>
    <x:row r="36" spans="1:15" x14ac:dyDescent="0.2">
      <x:c r="O36" s="162" t="s">
        <x:v>216</x:v>
      </x:c>
    </x:row>
    <x:row r="37" spans="1:15" x14ac:dyDescent="0.2">
      <x:c r="O37" s="162" t="s">
        <x:v>217</x:v>
      </x:c>
    </x:row>
    <x:row r="38" spans="1:15" x14ac:dyDescent="0.2">
      <x:c r="O38" s="162" t="s">
        <x:v>218</x:v>
      </x:c>
    </x:row>
    <x:row r="39" spans="1:15" x14ac:dyDescent="0.2">
      <x:c r="O39" s="162" t="s">
        <x:v>219</x:v>
      </x:c>
    </x:row>
    <x:row r="40" spans="1:15" x14ac:dyDescent="0.2">
      <x:c r="O40" s="162" t="s">
        <x:v>220</x:v>
      </x:c>
    </x:row>
    <x:row r="41" spans="1:15" x14ac:dyDescent="0.2">
      <x:c r="O41" s="162" t="s">
        <x:v>221</x:v>
      </x:c>
    </x:row>
    <x:row r="42" spans="1:15" x14ac:dyDescent="0.2">
      <x:c r="O42" s="162" t="s">
        <x:v>222</x:v>
      </x:c>
    </x:row>
    <x:row r="43" spans="1:15" x14ac:dyDescent="0.2">
      <x:c r="O43" s="162" t="s">
        <x:v>223</x:v>
      </x:c>
    </x:row>
    <x:row r="44" spans="1:15" x14ac:dyDescent="0.2">
      <x:c r="O44" s="162" t="s">
        <x:v>224</x:v>
      </x:c>
    </x:row>
    <x:row r="45" spans="1:15" x14ac:dyDescent="0.2">
      <x:c r="O45" s="162" t="s">
        <x:v>225</x:v>
      </x:c>
    </x:row>
    <x:row r="46" spans="1:15" x14ac:dyDescent="0.2">
      <x:c r="O46" s="162" t="s">
        <x:v>226</x:v>
      </x:c>
    </x:row>
    <x:row r="47" spans="1:15" x14ac:dyDescent="0.2">
      <x:c r="O47" s="162" t="s">
        <x:v>227</x:v>
      </x:c>
    </x:row>
    <x:row r="48" spans="1:15" x14ac:dyDescent="0.2">
      <x:c r="O48" s="162" t="s">
        <x:v>228</x:v>
      </x:c>
    </x:row>
    <x:row r="49" spans="1:15" x14ac:dyDescent="0.2">
      <x:c r="O49" s="162" t="s">
        <x:v>229</x:v>
      </x:c>
    </x:row>
    <x:row r="50" spans="1:15" x14ac:dyDescent="0.2">
      <x:c r="O50" s="162" t="s">
        <x:v>230</x:v>
      </x:c>
    </x:row>
    <x:row r="51" spans="1:15" x14ac:dyDescent="0.2">
      <x:c r="O51" s="162" t="s">
        <x:v>231</x:v>
      </x:c>
    </x:row>
    <x:row r="52" spans="1:15" x14ac:dyDescent="0.2">
      <x:c r="O52" s="162" t="s">
        <x:v>232</x:v>
      </x:c>
    </x:row>
    <x:row r="53" spans="1:15" x14ac:dyDescent="0.2">
      <x:c r="O53" s="162" t="s">
        <x:v>233</x:v>
      </x:c>
    </x:row>
    <x:row r="54" spans="1:15" x14ac:dyDescent="0.2">
      <x:c r="O54" s="162" t="s">
        <x:v>234</x:v>
      </x:c>
    </x:row>
    <x:row r="55" spans="1:15" x14ac:dyDescent="0.2">
      <x:c r="O55" s="162" t="s">
        <x:v>235</x:v>
      </x:c>
    </x:row>
    <x:row r="56" spans="1:15" x14ac:dyDescent="0.2">
      <x:c r="O56" s="162" t="s">
        <x:v>236</x:v>
      </x:c>
    </x:row>
    <x:row r="57" spans="1:15" x14ac:dyDescent="0.2">
      <x:c r="O57" s="162" t="s">
        <x:v>237</x:v>
      </x:c>
    </x:row>
    <x:row r="58" spans="1:15" x14ac:dyDescent="0.2">
      <x:c r="O58" s="162" t="s">
        <x:v>238</x:v>
      </x:c>
    </x:row>
    <x:row r="59" spans="1:15" x14ac:dyDescent="0.2">
      <x:c r="O59" s="162" t="s">
        <x:v>239</x:v>
      </x:c>
    </x:row>
    <x:row r="60" spans="1:15" x14ac:dyDescent="0.2">
      <x:c r="O60" s="162" t="s">
        <x:v>240</x:v>
      </x:c>
    </x:row>
    <x:row r="61" spans="1:15" x14ac:dyDescent="0.2">
      <x:c r="O61" s="162" t="s">
        <x:v>241</x:v>
      </x:c>
    </x:row>
    <x:row r="62" spans="1:15" x14ac:dyDescent="0.2">
      <x:c r="O62" s="162" t="s">
        <x:v>242</x:v>
      </x:c>
    </x:row>
    <x:row r="63" spans="1:15" x14ac:dyDescent="0.2">
      <x:c r="O63" s="162" t="s">
        <x:v>243</x:v>
      </x:c>
    </x:row>
    <x:row r="64" spans="1:15" x14ac:dyDescent="0.2">
      <x:c r="O64" s="162" t="s">
        <x:v>244</x:v>
      </x:c>
    </x:row>
    <x:row r="65" spans="1:15" x14ac:dyDescent="0.2">
      <x:c r="O65" s="162" t="s">
        <x:v>245</x:v>
      </x:c>
    </x:row>
    <x:row r="66" spans="1:15" x14ac:dyDescent="0.2">
      <x:c r="O66" s="162" t="s">
        <x:v>246</x:v>
      </x:c>
    </x:row>
    <x:row r="67" spans="1:15" x14ac:dyDescent="0.2">
      <x:c r="O67" s="162" t="s">
        <x:v>247</x:v>
      </x:c>
    </x:row>
    <x:row r="68" spans="1:15" x14ac:dyDescent="0.2">
      <x:c r="O68" s="162" t="s">
        <x:v>248</x:v>
      </x:c>
    </x:row>
    <x:row r="69" spans="1:15" x14ac:dyDescent="0.2">
      <x:c r="O69" s="162" t="s">
        <x:v>249</x:v>
      </x:c>
    </x:row>
    <x:row r="70" spans="1:15" x14ac:dyDescent="0.2">
      <x:c r="O70" s="162" t="s">
        <x:v>250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2017-07-27T06:37:49.1249119Z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