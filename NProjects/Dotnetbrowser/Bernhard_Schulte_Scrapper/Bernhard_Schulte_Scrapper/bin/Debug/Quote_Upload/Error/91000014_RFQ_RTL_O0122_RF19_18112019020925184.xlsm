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xl/vbaProject.bin" ContentType="application/vnd.ms-office.vbaProject"/>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ac="http://schemas.microsoft.com/office/spreadsheetml/2010/11/ac" xmlns:mc="http://schemas.openxmlformats.org/markup-compatibility/2006" xmlns:x15="http://schemas.microsoft.com/office/spreadsheetml/2010/11/main" xmlns:x="http://schemas.openxmlformats.org/spreadsheetml/2006/main" mc:Ignorable="x15">
  <fileVersion appName="xl" lastEdited="7" lowestEdited="5" rupBuild="18431" codeName="{7A2D7E96-6E34-419A-AE5F-296B3A7E7977}"/>
  <workbookPr codeName="ThisWorkbook" defaultThemeVersion="124226"/>
  <bookViews>
    <workbookView xWindow="65521" yWindow="7245" windowWidth="15570" windowHeight="5145" activeTab="0"/>
  </bookViews>
  <sheets>
    <sheet name="Quote" sheetId="1" r:id="rId1"/>
    <sheet name="MasterData" sheetId="2" state="hidden" r:id="rId2"/>
  </sheets>
  <definedNames>
    <definedName name="_xlnm.Print_Area" localSheetId="0">Quote!$A$1:$R$48</definedName>
    <definedName name="CompanyName" comment="Company Name">Quote!$A$4</definedName>
    <definedName name="Currency" comment="Currency">Quote!$M$14</definedName>
    <definedName name="Days">Quote!$M$11</definedName>
    <definedName name="Daysa">Quote!$M$11</definedName>
    <definedName name="Discount_All">Quote!$M$15</definedName>
    <definedName name="Enquiry_ID" comment="Enquiry_ID">Quote!$A$29</definedName>
    <definedName name="Enquiry_To_Vendor_ID" comment="Enquiry to Vendor ID">Quote!$C$29</definedName>
    <definedName name="GrandTotal">Quote!$N$28</definedName>
    <definedName name="HeaderID">MasterData!$N$4</definedName>
    <definedName name="InvoiceTo">Quote!$A$4:$E$11</definedName>
    <definedName name="ItemID" comment="Item ID">Quote!$B$19</definedName>
    <definedName name="ItemListEndRow" comment="Item List End Row">Quote!$A$21</definedName>
    <definedName name="ItemListStartupRow" comment="Item List Start Up Row">Quote!$A$19</definedName>
    <definedName name="ItemSubTotal">Quote!$N$27</definedName>
    <definedName name="ItemSubTotalTitle">Quote!$J$27</definedName>
    <definedName name="LeadDay">Quote!$M$11</definedName>
    <definedName name="Lock">Quote!$M$29</definedName>
    <definedName name="LoggedInEmailID">Quote!$N$29</definedName>
    <definedName name="LoggedInPwd">Quote!$O$29</definedName>
    <definedName name="OtherCharges">Quote!$C$23</definedName>
    <definedName name="OtherChargesLastRow">Quote!$A$27</definedName>
    <definedName name="OtherChargesStartRow">Quote!$A$22</definedName>
    <definedName name="Port">Quote!$P$29</definedName>
    <definedName name="PortOfDelivery" comment="Port of Delivery">Quote!$M$9</definedName>
    <definedName name="PurchaserName">Quote!$J$29</definedName>
    <definedName name="QuoteBefore">Quote!$M$8</definedName>
    <definedName name="QuoteID">MasterData!$N$7</definedName>
    <definedName name="QuoteSubject">Quote!$E$29</definedName>
    <definedName name="Remarks">Quote!$E$31</definedName>
    <definedName name="ReqNumber" comment="Requisition Number">Quote!$M$7</definedName>
    <definedName name="RequestForQuoteID">MasterData!$N$3</definedName>
    <definedName name="RFQ_ID">MasterData!$N$2</definedName>
    <definedName name="RFQCategory">MasterData!$N$6</definedName>
    <definedName name="RFQDate" comment="RFQ Date">Quote!$M$6</definedName>
    <definedName name="RFQFileType">MasterData!$N$1</definedName>
    <definedName name="RFQNumber" comment="RFQ Number">Quote!$M$5</definedName>
    <definedName name="SentDate">Quote!$K$29</definedName>
    <definedName name="SentIndex">Quote!$L$29</definedName>
    <definedName name="Server">Quote!$Q$29</definedName>
    <definedName name="Terms">Quote!$A$35:$T$56</definedName>
    <definedName name="ToEmailID">Quote!$I$29</definedName>
    <definedName name="ToEmailPwd">Quote!$H$29</definedName>
    <definedName name="VAL">Quote!$F$29</definedName>
    <definedName name="VAT_All">Quote!$M$16</definedName>
    <definedName name="Vendor_ID" comment="Vendor ID">Quote!$B$29</definedName>
    <definedName name="VendorAddress" comment="Vendor Address">Quote!$D$14</definedName>
    <definedName name="VendorAddressCity" comment="Vendor Address City">Quote!$D$15</definedName>
    <definedName name="VendorAddressEmail" comment="Vendor Address Email">Quote!$D$17</definedName>
    <definedName name="VendorAddressPhone" comment="Vendor Address Phone">Quote!$D$16</definedName>
    <definedName name="VendorEmailID">Quote!$D$29</definedName>
    <definedName name="VendorID">MasterData!$N$5</definedName>
    <definedName name="VendorName" comment="Vendor Name">Quote!$D$13</definedName>
    <definedName name="VendorReference" comment="Vendor Reference">Quote!$M$12</definedName>
    <definedName name="VendorRemarks" comment="VendorRemarks">Quote!$E$32</definedName>
    <definedName name="VesselETA" comment="Vessel ETA">Quote!$M$10</definedName>
    <definedName name="VesselName" comment="Vessel Name">Quote!$M$4</definedName>
    <definedName name="ItmPrice">Quote!$N$20:$N$20</definedName>
  </definedNames>
  <calcPr fullCalcOnLoad="1"/>
</workbook>
</file>

<file path=xl/sharedStrings.xml><?xml version="1.0" encoding="utf-8"?>
<sst xmlns="http://schemas.openxmlformats.org/spreadsheetml/2006/main" count="168" uniqueCount="148">
  <si>
    <t>RFQ</t>
  </si>
  <si>
    <t>Request for Quote</t>
  </si>
  <si>
    <t>Invoice To</t>
  </si>
  <si>
    <t>Bernhard Schulte Shipmanagement (Singapore) Pte. Ltd.
Invoice To:  MASTER  &amp; OWNER OF ROSTELLA,
              REGD. OWNER: ROSTELLA SHIPPING PTE LTD
              AS AGENTS: BERNHARD SCHULTE SHIPMANAGEMENT (SINGAPORE) PTE LTD
              108 MIDDLE ROAD, #08-00 BERNHARD SCHULTE HOUSE, SINGAPORE 188967
              ATTN:- ACCOUNTS DEPARTMENT
              PLEASE SEND SOFT COPY TO:- sg-smc-acct@bs-shipmanagement.com</t>
  </si>
  <si>
    <t>Vessel</t>
  </si>
  <si>
    <t>Rostella</t>
  </si>
  <si>
    <t>RFQ No.</t>
  </si>
  <si>
    <t>RTL/O0122/RF19</t>
  </si>
  <si>
    <t>RFQ Date</t>
  </si>
  <si>
    <t>Submit Quote Before:</t>
  </si>
  <si>
    <t>Port of Delivery</t>
  </si>
  <si>
    <t>Singapore</t>
  </si>
  <si>
    <t>Vessel ETA</t>
  </si>
  <si>
    <t>Lead Days</t>
  </si>
  <si>
    <t>Vendor Details</t>
  </si>
  <si>
    <t>Vendor Reference</t>
  </si>
  <si>
    <t>Name</t>
  </si>
  <si>
    <t>AMOS INTERNATIONAL (S) PTE LTD</t>
  </si>
  <si>
    <t>Address</t>
  </si>
  <si>
    <t>156 Gul Circle, Singapore 629613</t>
  </si>
  <si>
    <r>
      <rPr>
        <b/>
        <sz val="10"/>
        <color theme="3"/>
        <rFont val="Calibri"/>
        <family val="2"/>
      </rPr>
      <t xml:space="preserve">Select Currency </t>
    </r>
    <r>
      <rPr>
        <b/>
        <sz val="10"/>
        <color rgb="FFFF0000"/>
        <rFont val="Calibri"/>
        <family val="2"/>
      </rPr>
      <t>*</t>
    </r>
  </si>
  <si>
    <t>City</t>
  </si>
  <si>
    <t>Discount (%) for all items</t>
  </si>
  <si>
    <t>0</t>
  </si>
  <si>
    <t>Phone</t>
  </si>
  <si>
    <t>VAT(%) for all items</t>
  </si>
  <si>
    <t>Email</t>
  </si>
  <si>
    <t>sales.ms.sg@amosgroup.com,sales.ms.sg@amosgroup.com</t>
  </si>
  <si>
    <t>No</t>
  </si>
  <si>
    <t>Product Code</t>
  </si>
  <si>
    <t>Description</t>
  </si>
  <si>
    <t>Part No</t>
  </si>
  <si>
    <t>Unit</t>
  </si>
  <si>
    <t>Contract Price</t>
  </si>
  <si>
    <t>Quantity</t>
  </si>
  <si>
    <t>Discount %</t>
  </si>
  <si>
    <t>VAT %</t>
  </si>
  <si>
    <t>Total Price</t>
  </si>
  <si>
    <t>Vendor Remarks</t>
  </si>
  <si>
    <t>Office Remarks</t>
  </si>
  <si>
    <t>FREE MAINTENANCE BATTERY      
 SW1290  
12V-9AH; 150X65X95MM</t>
  </si>
  <si>
    <t>PCS</t>
  </si>
  <si>
    <t>Other Charges</t>
  </si>
  <si>
    <t>Amount</t>
  </si>
  <si>
    <t>Price</t>
  </si>
  <si>
    <t>Packing cost</t>
  </si>
  <si>
    <t>Freight charge</t>
  </si>
  <si>
    <t>Item Sub Total :</t>
  </si>
  <si>
    <t>Grand Total :</t>
  </si>
  <si>
    <t>Pal-pms-quotations@bs-shipmanagement.com</t>
  </si>
  <si>
    <t>194.42.133.180</t>
  </si>
  <si>
    <t>Buyer Remarks</t>
  </si>
  <si>
    <t xml:space="preserve">Battery information
Type: SW1290
Voltage/Capacity : 12V/9AH
Size:  L=150 MM; W= 65 MM; H= 95 MM
Supplier: SUNNYWAY BATTERY TECH CO., LTD
</t>
  </si>
  <si>
    <t>Your Quotation is subjected to :</t>
  </si>
  <si>
    <t>“This order is placed for and on behalf of the Owners as Agents only.”</t>
  </si>
  <si>
    <t>RFQFileType</t>
  </si>
  <si>
    <t>ADP</t>
  </si>
  <si>
    <t>RFQ_ID</t>
  </si>
  <si>
    <t>AED</t>
  </si>
  <si>
    <t>ADDITIONAL JOBS</t>
  </si>
  <si>
    <t>RequestForQuoteID</t>
  </si>
  <si>
    <t>AFA</t>
  </si>
  <si>
    <t>AGENCY FEE</t>
  </si>
  <si>
    <t>HeaderID</t>
  </si>
  <si>
    <t>AUD</t>
  </si>
  <si>
    <t>HANDLING CHARGE</t>
  </si>
  <si>
    <t>VendorID</t>
  </si>
  <si>
    <t>BAD</t>
  </si>
  <si>
    <t>PACKING CHARGE</t>
  </si>
  <si>
    <t>RFQCategory</t>
  </si>
  <si>
    <t>SMC-SPARES</t>
  </si>
  <si>
    <t>BAM</t>
  </si>
  <si>
    <t>SPARE USED</t>
  </si>
  <si>
    <t>QuoteID</t>
  </si>
  <si>
    <t>BBD</t>
  </si>
  <si>
    <t>WAREHOUSING</t>
  </si>
  <si>
    <t>BHD</t>
  </si>
  <si>
    <t>CRANAGE</t>
  </si>
  <si>
    <t>BMD</t>
  </si>
  <si>
    <t>CUSTOMS</t>
  </si>
  <si>
    <t>BOL</t>
  </si>
  <si>
    <t>LAUNCH HIRE CHARGE</t>
  </si>
  <si>
    <t>BRL</t>
  </si>
  <si>
    <t>ROUNDING ADJUSTMENT</t>
  </si>
  <si>
    <t>BSD</t>
  </si>
  <si>
    <t>BOAT CHARGES</t>
  </si>
  <si>
    <t>CAD</t>
  </si>
  <si>
    <t>MINIMUM QUANTITY CHARGE</t>
  </si>
  <si>
    <t>CDZ</t>
  </si>
  <si>
    <t>CHF</t>
  </si>
  <si>
    <t>CLP</t>
  </si>
  <si>
    <t>CNY</t>
  </si>
  <si>
    <t>CYP</t>
  </si>
  <si>
    <t>CZK</t>
  </si>
  <si>
    <t>DEM</t>
  </si>
  <si>
    <t>DKK</t>
  </si>
  <si>
    <t>EGP</t>
  </si>
  <si>
    <t>ESP</t>
  </si>
  <si>
    <t>ETB</t>
  </si>
  <si>
    <t>EUR</t>
  </si>
  <si>
    <t>FKP</t>
  </si>
  <si>
    <t>GBP</t>
  </si>
  <si>
    <t>GEK</t>
  </si>
  <si>
    <t>GEL</t>
  </si>
  <si>
    <t>GRD</t>
  </si>
  <si>
    <t>HKD</t>
  </si>
  <si>
    <t>HRK</t>
  </si>
  <si>
    <t>IDR</t>
  </si>
  <si>
    <t>INR</t>
  </si>
  <si>
    <t>JPY</t>
  </si>
  <si>
    <t>KRW</t>
  </si>
  <si>
    <t>KWD</t>
  </si>
  <si>
    <t>MAD</t>
  </si>
  <si>
    <t>MDL</t>
  </si>
  <si>
    <t>MXN</t>
  </si>
  <si>
    <t>MYR</t>
  </si>
  <si>
    <t>NAD</t>
  </si>
  <si>
    <t>NOK</t>
  </si>
  <si>
    <t>NZD</t>
  </si>
  <si>
    <t>OMR</t>
  </si>
  <si>
    <t>PGK</t>
  </si>
  <si>
    <t>PHP</t>
  </si>
  <si>
    <t>PLN</t>
  </si>
  <si>
    <t>QAR</t>
  </si>
  <si>
    <t>RON</t>
  </si>
  <si>
    <t>RUB</t>
  </si>
  <si>
    <t>SAR</t>
  </si>
  <si>
    <t>SDG</t>
  </si>
  <si>
    <t>SEK</t>
  </si>
  <si>
    <t>SGD</t>
  </si>
  <si>
    <t>SLL</t>
  </si>
  <si>
    <t>STD</t>
  </si>
  <si>
    <t>THB</t>
  </si>
  <si>
    <t>TRY</t>
  </si>
  <si>
    <t>TWD</t>
  </si>
  <si>
    <t>UAH</t>
  </si>
  <si>
    <t>UAK</t>
  </si>
  <si>
    <t>UGS</t>
  </si>
  <si>
    <t>USD</t>
  </si>
  <si>
    <t>UYU</t>
  </si>
  <si>
    <t>VEF</t>
  </si>
  <si>
    <t>VND</t>
  </si>
  <si>
    <t>ZAR</t>
  </si>
  <si>
    <t>ZRZ</t>
  </si>
  <si>
    <t>ZWD</t>
  </si>
  <si>
    <t>T-SQ-191104264</t>
  </si>
  <si>
    <t>OFFER DAY LIGHT SIGNAL LAMP BATTERY
AGM VRLA DRY FIT BATTERY
HIGH PERFORMANCE AND LONG LIFE BATTERY
MAINTENANCE FREE SEALED AGM VALVE REGULATED RECHARGEABLE BATTERY
NON SPILLABLE AND LEAK PROOF FOR DRY FIT
VRLA1290 12V 9.0AH/20HR
L150XW65XH95MM</t>
  </si>
  <si>
    <t xml:space="preserve">
</t>
  </si>
</sst>
</file>

<file path=xl/styles.xml><?xml version="1.0" encoding="utf-8"?>
<styleSheet xmlns="http://schemas.openxmlformats.org/spreadsheetml/2006/main" xmlns:x14="http://schemas.microsoft.com/office/spreadsheetml/2009/9/main" xmlns:x15="http://schemas.microsoft.com/office/spreadsheetml/2010/11/main" xmlns:mc="http://schemas.openxmlformats.org/markup-compatibility/2006" xmlns:x14ac="http://schemas.microsoft.com/office/spreadsheetml/2009/9/ac" xmlns:x16r2="http://schemas.microsoft.com/office/spreadsheetml/2015/02/main" xmlns:x="http://schemas.openxmlformats.org/spreadsheetml/2006/main" mc:Ignorable="x14ac x16r2">
  <numFmts count="12">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409]mmmm\ d\,\ yyyy;@"/>
    <numFmt numFmtId="165" formatCode="m/d/yy;@"/>
    <numFmt numFmtId="166" formatCode="[$-409]d/mmm/yyyy;@"/>
    <numFmt numFmtId="167" formatCode=";;;"/>
    <numFmt numFmtId="168" formatCode="#,##0.000"/>
    <numFmt numFmtId="169" formatCode="0.000"/>
    <numFmt numFmtId="170" formatCode="[$-409]d\-mmm\-yyyy;@"/>
    <numFmt numFmtId="175" formatCode="#,##0.00"/>
  </numFmts>
  <fonts count="45">
    <font>
      <sz val="10"/>
      <name val="Arial"/>
      <family val="2"/>
    </font>
    <font>
      <sz val="11"/>
      <color theme="1"/>
      <name val="Calibri"/>
      <family val="2"/>
      <scheme val="minor"/>
    </font>
    <font>
      <sz val="8"/>
      <name val="Arial"/>
      <family val="2"/>
    </font>
    <font>
      <b/>
      <sz val="15"/>
      <color theme="3"/>
      <name val="Calibri"/>
      <family val="2"/>
      <scheme val="minor"/>
    </font>
    <font>
      <b/>
      <sz val="11"/>
      <color theme="3"/>
      <name val="Calibri"/>
      <family val="2"/>
      <scheme val="minor"/>
    </font>
    <font>
      <b/>
      <sz val="11"/>
      <color rgb="FFFA7D00"/>
      <name val="Calibri"/>
      <family val="2"/>
      <scheme val="minor"/>
    </font>
    <font>
      <sz val="8"/>
      <color indexed="61"/>
      <name val="Calibri"/>
      <family val="2"/>
      <scheme val="minor"/>
    </font>
    <font>
      <sz val="12"/>
      <name val="Calibri"/>
      <family val="2"/>
      <scheme val="minor"/>
    </font>
    <font>
      <sz val="10"/>
      <name val="Calibri"/>
      <family val="2"/>
      <scheme val="minor"/>
    </font>
    <font>
      <i/>
      <sz val="38"/>
      <color indexed="41"/>
      <name val="Calibri"/>
      <family val="2"/>
      <scheme val="minor"/>
    </font>
    <font>
      <sz val="8"/>
      <name val="Calibri"/>
      <family val="2"/>
      <scheme val="minor"/>
    </font>
    <font>
      <b/>
      <sz val="8"/>
      <color indexed="61"/>
      <name val="Calibri"/>
      <family val="2"/>
      <scheme val="minor"/>
    </font>
    <font>
      <i/>
      <sz val="8"/>
      <name val="Calibri"/>
      <family val="2"/>
      <scheme val="minor"/>
    </font>
    <font>
      <b/>
      <sz val="9"/>
      <name val="Calibri"/>
      <family val="2"/>
      <scheme val="minor"/>
    </font>
    <font>
      <b/>
      <sz val="10"/>
      <color theme="3"/>
      <name val="Calibri"/>
      <family val="2"/>
      <scheme val="minor"/>
    </font>
    <font>
      <b/>
      <sz val="8"/>
      <color theme="3" tint="-0.499969989061356"/>
      <name val="Calibri"/>
      <family val="2"/>
      <scheme val="minor"/>
    </font>
    <font>
      <b/>
      <sz val="10"/>
      <color theme="3" tint="-0.499969989061356"/>
      <name val="Calibri"/>
      <family val="2"/>
      <scheme val="minor"/>
    </font>
    <font>
      <sz val="8"/>
      <color theme="3" tint="-0.499969989061356"/>
      <name val="Calibri"/>
      <family val="2"/>
      <scheme val="minor"/>
    </font>
    <font>
      <b/>
      <sz val="9"/>
      <color theme="3" tint="-0.499969989061356"/>
      <name val="Calibri"/>
      <family val="2"/>
      <scheme val="minor"/>
    </font>
    <font>
      <sz val="10"/>
      <color theme="3" tint="-0.499969989061356"/>
      <name val="Calibri"/>
      <family val="2"/>
      <scheme val="minor"/>
    </font>
    <font>
      <b/>
      <i/>
      <sz val="36"/>
      <color indexed="41"/>
      <name val="Calibri"/>
      <family val="2"/>
      <scheme val="minor"/>
    </font>
    <font>
      <b/>
      <sz val="14"/>
      <color theme="3"/>
      <name val="Calibri"/>
      <family val="2"/>
      <scheme val="minor"/>
    </font>
    <font>
      <sz val="9"/>
      <color theme="3" tint="-0.499969989061356"/>
      <name val="Calibri"/>
      <family val="2"/>
      <scheme val="minor"/>
    </font>
    <font>
      <sz val="9"/>
      <name val="Calibri"/>
      <family val="2"/>
      <scheme val="minor"/>
    </font>
    <font>
      <b/>
      <sz val="9"/>
      <color theme="1"/>
      <name val="Calibri"/>
      <family val="2"/>
      <scheme val="minor"/>
    </font>
    <font>
      <b/>
      <sz val="8"/>
      <name val="Calibri"/>
      <family val="2"/>
      <scheme val="minor"/>
    </font>
    <font>
      <b/>
      <sz val="11"/>
      <name val="Calibri"/>
      <family val="2"/>
      <scheme val="minor"/>
    </font>
    <font>
      <b/>
      <sz val="10"/>
      <name val="Calibri"/>
      <family val="2"/>
      <scheme val="minor"/>
    </font>
    <font>
      <b/>
      <sz val="18"/>
      <color theme="3"/>
      <name val="Cambria"/>
      <family val="2"/>
      <scheme val="major"/>
    </font>
    <font>
      <b/>
      <sz val="13"/>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0"/>
      <color rgb="FFFF0000"/>
      <name val="Calibri"/>
      <family val="2"/>
      <scheme val="minor"/>
    </font>
    <font>
      <sz val="11"/>
      <color rgb="FF000000"/>
      <name val="Calibri"/>
      <family val="2"/>
    </font>
    <font>
      <b/>
      <sz val="10"/>
      <color theme="3"/>
      <name val="Calibri"/>
      <family val="2"/>
    </font>
    <font>
      <b/>
      <sz val="10"/>
      <color rgb="FFFF0000"/>
      <name val="Calibri"/>
      <family val="2"/>
    </font>
  </fonts>
  <fills count="38">
    <fill>
      <patternFill/>
    </fill>
    <fill>
      <patternFill patternType="gray125"/>
    </fill>
    <fill>
      <patternFill patternType="solid">
        <fgColor rgb="FFF2F2F2"/>
        <bgColor indexed="64"/>
      </patternFill>
    </fill>
    <fill>
      <patternFill patternType="solid">
        <fgColor theme="4" tint="0.599990010261536"/>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rgb="FFFFCC99"/>
        <bgColor indexed="64"/>
      </patternFill>
    </fill>
    <fill>
      <patternFill patternType="solid">
        <fgColor rgb="FFA5A5A5"/>
        <bgColor indexed="64"/>
      </patternFill>
    </fill>
    <fill>
      <patternFill patternType="solid">
        <fgColor rgb="FFFFFFCC"/>
        <bgColor indexed="64"/>
      </patternFill>
    </fill>
    <fill>
      <patternFill patternType="solid">
        <fgColor theme="4"/>
        <bgColor indexed="64"/>
      </patternFill>
    </fill>
    <fill>
      <patternFill patternType="solid">
        <fgColor theme="4" tint="0.799979984760284"/>
        <bgColor indexed="64"/>
      </patternFill>
    </fill>
    <fill>
      <patternFill patternType="solid">
        <fgColor theme="4" tint="0.399980008602142"/>
        <bgColor indexed="64"/>
      </patternFill>
    </fill>
    <fill>
      <patternFill patternType="solid">
        <fgColor theme="5"/>
        <bgColor indexed="64"/>
      </patternFill>
    </fill>
    <fill>
      <patternFill patternType="solid">
        <fgColor theme="5" tint="0.799979984760284"/>
        <bgColor indexed="64"/>
      </patternFill>
    </fill>
    <fill>
      <patternFill patternType="solid">
        <fgColor theme="5" tint="0.599990010261536"/>
        <bgColor indexed="64"/>
      </patternFill>
    </fill>
    <fill>
      <patternFill patternType="solid">
        <fgColor theme="5" tint="0.399980008602142"/>
        <bgColor indexed="64"/>
      </patternFill>
    </fill>
    <fill>
      <patternFill patternType="solid">
        <fgColor theme="6"/>
        <bgColor indexed="64"/>
      </patternFill>
    </fill>
    <fill>
      <patternFill patternType="solid">
        <fgColor theme="6" tint="0.799979984760284"/>
        <bgColor indexed="64"/>
      </patternFill>
    </fill>
    <fill>
      <patternFill patternType="solid">
        <fgColor theme="6" tint="0.599990010261536"/>
        <bgColor indexed="64"/>
      </patternFill>
    </fill>
    <fill>
      <patternFill patternType="solid">
        <fgColor theme="6" tint="0.399980008602142"/>
        <bgColor indexed="64"/>
      </patternFill>
    </fill>
    <fill>
      <patternFill patternType="solid">
        <fgColor theme="7"/>
        <bgColor indexed="64"/>
      </patternFill>
    </fill>
    <fill>
      <patternFill patternType="solid">
        <fgColor theme="7" tint="0.799979984760284"/>
        <bgColor indexed="64"/>
      </patternFill>
    </fill>
    <fill>
      <patternFill patternType="solid">
        <fgColor theme="7" tint="0.599990010261536"/>
        <bgColor indexed="64"/>
      </patternFill>
    </fill>
    <fill>
      <patternFill patternType="solid">
        <fgColor theme="7" tint="0.399980008602142"/>
        <bgColor indexed="64"/>
      </patternFill>
    </fill>
    <fill>
      <patternFill patternType="solid">
        <fgColor theme="8"/>
        <bgColor indexed="64"/>
      </patternFill>
    </fill>
    <fill>
      <patternFill patternType="solid">
        <fgColor theme="8" tint="0.799979984760284"/>
        <bgColor indexed="64"/>
      </patternFill>
    </fill>
    <fill>
      <patternFill patternType="solid">
        <fgColor theme="8" tint="0.599990010261536"/>
        <bgColor indexed="64"/>
      </patternFill>
    </fill>
    <fill>
      <patternFill patternType="solid">
        <fgColor theme="8" tint="0.399980008602142"/>
        <bgColor indexed="64"/>
      </patternFill>
    </fill>
    <fill>
      <patternFill patternType="solid">
        <fgColor theme="9"/>
        <bgColor indexed="64"/>
      </patternFill>
    </fill>
    <fill>
      <patternFill patternType="solid">
        <fgColor theme="9" tint="0.799979984760284"/>
        <bgColor indexed="64"/>
      </patternFill>
    </fill>
    <fill>
      <patternFill patternType="solid">
        <fgColor theme="9" tint="0.599990010261536"/>
        <bgColor indexed="64"/>
      </patternFill>
    </fill>
    <fill>
      <patternFill patternType="solid">
        <fgColor theme="9" tint="0.399980008602142"/>
        <bgColor indexed="64"/>
      </patternFill>
    </fill>
    <fill>
      <patternFill patternType="solid">
        <fgColor indexed="9"/>
        <bgColor indexed="64"/>
      </patternFill>
    </fill>
    <fill>
      <patternFill patternType="solid">
        <fgColor indexed="46"/>
        <bgColor indexed="64"/>
      </patternFill>
    </fill>
    <fill>
      <patternFill patternType="solid">
        <fgColor indexed="44"/>
        <bgColor indexed="64"/>
      </patternFill>
    </fill>
    <fill>
      <patternFill patternType="solid">
        <fgColor theme="0"/>
        <bgColor indexed="64"/>
      </patternFill>
    </fill>
    <fill>
      <patternFill patternType="solid">
        <fgColor theme="4" tint="0.599960029125214"/>
        <bgColor indexed="64"/>
      </patternFill>
    </fill>
  </fills>
  <borders count="32">
    <border>
      <left/>
      <right/>
      <top/>
      <bottom/>
      <diagonal/>
    </border>
    <border>
      <left/>
      <right/>
      <top/>
      <bottom style="thick">
        <color theme="4"/>
      </bottom>
    </border>
    <border>
      <left/>
      <right/>
      <top/>
      <bottom style="medium">
        <color theme="4" tint="0.399980008602142"/>
      </bottom>
    </border>
    <border>
      <left style="thin">
        <color rgb="FF7F7F7F"/>
      </left>
      <right style="thin">
        <color rgb="FF7F7F7F"/>
      </right>
      <top style="thin">
        <color rgb="FF7F7F7F"/>
      </top>
      <bottom style="thin">
        <color rgb="FF7F7F7F"/>
      </bottom>
    </border>
    <border>
      <left/>
      <right/>
      <top/>
      <bottom style="thick">
        <color theme="4" tint="0.499980002641678"/>
      </bottom>
    </border>
    <border>
      <left style="thin">
        <color rgb="FF3F3F3F"/>
      </left>
      <right style="thin">
        <color rgb="FF3F3F3F"/>
      </right>
      <top style="thin">
        <color rgb="FF3F3F3F"/>
      </top>
      <bottom style="thin">
        <color rgb="FF3F3F3F"/>
      </bottom>
    </border>
    <border>
      <left/>
      <right/>
      <top/>
      <bottom style="double">
        <color rgb="FFFF8001"/>
      </bottom>
    </border>
    <border>
      <left style="double">
        <color rgb="FF3F3F3F"/>
      </left>
      <right style="double">
        <color rgb="FF3F3F3F"/>
      </right>
      <top style="double">
        <color rgb="FF3F3F3F"/>
      </top>
      <bottom style="double">
        <color rgb="FF3F3F3F"/>
      </bottom>
    </border>
    <border>
      <left style="thin">
        <color rgb="FFB2B2B2"/>
      </left>
      <right style="thin">
        <color rgb="FFB2B2B2"/>
      </right>
      <top style="thin">
        <color rgb="FFB2B2B2"/>
      </top>
      <bottom style="thin">
        <color rgb="FFB2B2B2"/>
      </bottom>
    </border>
    <border>
      <left/>
      <right/>
      <top style="thin">
        <color theme="4"/>
      </top>
      <bottom style="double">
        <color theme="4"/>
      </bottom>
    </border>
    <border>
      <left/>
      <right/>
      <top style="medium">
        <color theme="4" tint="0.399980008602142"/>
      </top>
      <bottom style="medium">
        <color theme="4" tint="0.399980008602142"/>
      </bottom>
    </border>
    <border>
      <left style="thin">
        <color indexed="41"/>
      </left>
      <right style="thin">
        <color indexed="41"/>
      </right>
      <top style="thin">
        <color indexed="41"/>
      </top>
      <bottom style="thin">
        <color indexed="41"/>
      </bottom>
    </border>
    <border>
      <left style="thin">
        <color indexed="41"/>
      </left>
      <right/>
      <top style="thin">
        <color indexed="41"/>
      </top>
      <bottom style="thin">
        <color indexed="41"/>
      </bottom>
    </border>
    <border>
      <left style="thin">
        <color indexed="41"/>
      </left>
      <right style="thin">
        <color indexed="41"/>
      </right>
      <top/>
      <bottom style="thin">
        <color indexed="41"/>
      </bottom>
    </border>
    <border>
      <left style="thin"/>
      <right style="thin"/>
      <top style="thin"/>
      <bottom style="thin"/>
    </border>
    <border>
      <left style="thin">
        <color indexed="44"/>
      </left>
      <right/>
      <top/>
      <bottom/>
    </border>
    <border>
      <left/>
      <right/>
      <top/>
      <bottom style="thin"/>
    </border>
    <border>
      <left style="thin">
        <color rgb="FF7F7F7F"/>
      </left>
      <right style="thin">
        <color rgb="FF7F7F7F"/>
      </right>
      <top style="medium">
        <color theme="4" tint="0.399980008602142"/>
      </top>
      <bottom/>
    </border>
    <border>
      <left/>
      <right/>
      <top style="medium">
        <color theme="4" tint="0.399949997663498"/>
      </top>
      <bottom style="medium">
        <color theme="4" tint="0.399980008602142"/>
      </bottom>
    </border>
    <border>
      <left/>
      <right style="thin"/>
      <top style="thin"/>
      <bottom style="thin"/>
    </border>
    <border>
      <left style="thin"/>
      <right/>
      <top style="thin"/>
      <bottom style="thin"/>
    </border>
    <border>
      <left/>
      <right style="thin"/>
      <top/>
      <bottom style="thin"/>
    </border>
    <border>
      <left style="thin"/>
      <right/>
      <top/>
      <bottom/>
    </border>
    <border>
      <left/>
      <right style="thin">
        <color rgb="FF7F7F7F"/>
      </right>
      <top style="medium">
        <color theme="4" tint="0.399980008602142"/>
      </top>
      <bottom style="medium">
        <color theme="4" tint="0.399980008602142"/>
      </bottom>
    </border>
    <border>
      <left style="thin">
        <color indexed="44"/>
      </left>
      <right/>
      <top/>
      <bottom style="thin"/>
    </border>
    <border>
      <left/>
      <right/>
      <top style="thin"/>
      <bottom style="thin"/>
    </border>
    <border>
      <left/>
      <right/>
      <top style="thick">
        <color theme="4"/>
      </top>
      <bottom/>
    </border>
    <border>
      <left/>
      <right/>
      <top/>
      <bottom style="medium">
        <color theme="4" tint="0.399949997663498"/>
      </bottom>
    </border>
    <border>
      <left style="thin"/>
      <right/>
      <top style="thin"/>
      <bottom/>
    </border>
    <border>
      <left/>
      <right/>
      <top style="thin"/>
      <bottom/>
    </border>
    <border>
      <left/>
      <right style="thin"/>
      <top style="medium">
        <color theme="4" tint="0.399980008602142"/>
      </top>
      <bottom style="medium">
        <color theme="4" tint="0.399980008602142"/>
      </bottom>
    </border>
    <border>
      <left/>
      <right style="thin">
        <color indexed="44"/>
      </right>
      <top/>
      <bottom/>
    </border>
  </borders>
  <cellStyleXfs count="61">
    <xf numFmtId="0" fontId="0" fillId="0" borderId="0">
      <alignment/>
      <protection/>
    </xf>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9" fontId="0" fillId="0" borderId="0" applyFont="0" applyFill="0" applyBorder="0" applyAlignment="0" applyProtection="0"/>
    <xf numFmtId="44" fontId="0" fillId="0" borderId="0" applyFont="0" applyFill="0" applyBorder="0" applyAlignment="0" applyProtection="0"/>
    <xf numFmtId="42" fontId="0" fillId="0" borderId="0" applyFont="0" applyFill="0" applyBorder="0" applyAlignment="0" applyProtection="0"/>
    <xf numFmtId="43" fontId="0" fillId="0" borderId="0" applyFont="0" applyFill="0" applyBorder="0" applyAlignment="0" applyProtection="0"/>
    <xf numFmtId="41" fontId="0" fillId="0" borderId="0" applyFon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2" borderId="3" applyNumberFormat="0" applyAlignment="0" applyProtection="0"/>
    <xf numFmtId="0" fontId="1" fillId="3" borderId="0" applyNumberFormat="0" applyBorder="0" applyAlignment="0" applyProtection="0"/>
    <xf numFmtId="0" fontId="28" fillId="0" borderId="0" applyNumberFormat="0" applyFill="0" applyBorder="0" applyAlignment="0" applyProtection="0"/>
    <xf numFmtId="0" fontId="29" fillId="0" borderId="4" applyNumberFormat="0" applyFill="0" applyAlignment="0" applyProtection="0"/>
    <xf numFmtId="0" fontId="4" fillId="0" borderId="0" applyNumberFormat="0" applyFill="0" applyBorder="0" applyAlignment="0" applyProtection="0"/>
    <xf numFmtId="0" fontId="30" fillId="4" borderId="0" applyNumberFormat="0" applyBorder="0" applyAlignment="0" applyProtection="0"/>
    <xf numFmtId="0" fontId="31" fillId="5" borderId="0" applyNumberFormat="0" applyBorder="0" applyAlignment="0" applyProtection="0"/>
    <xf numFmtId="0" fontId="32" fillId="6" borderId="0" applyNumberFormat="0" applyBorder="0" applyAlignment="0" applyProtection="0"/>
    <xf numFmtId="0" fontId="33" fillId="7" borderId="3" applyNumberFormat="0" applyAlignment="0" applyProtection="0"/>
    <xf numFmtId="0" fontId="34" fillId="2" borderId="5" applyNumberFormat="0" applyAlignment="0" applyProtection="0"/>
    <xf numFmtId="0" fontId="35" fillId="0" borderId="6" applyNumberFormat="0" applyFill="0" applyAlignment="0" applyProtection="0"/>
    <xf numFmtId="0" fontId="36" fillId="8" borderId="7" applyNumberFormat="0" applyAlignment="0" applyProtection="0"/>
    <xf numFmtId="0" fontId="37" fillId="0" borderId="0" applyNumberFormat="0" applyFill="0" applyBorder="0" applyAlignment="0" applyProtection="0"/>
    <xf numFmtId="0" fontId="0" fillId="9" borderId="8" applyNumberFormat="0" applyFont="0" applyAlignment="0" applyProtection="0"/>
    <xf numFmtId="0" fontId="38" fillId="0" borderId="0" applyNumberFormat="0" applyFill="0" applyBorder="0" applyAlignment="0" applyProtection="0"/>
    <xf numFmtId="0" fontId="39" fillId="0" borderId="9" applyNumberFormat="0" applyFill="0" applyAlignment="0" applyProtection="0"/>
    <xf numFmtId="0" fontId="40" fillId="10" borderId="0" applyNumberFormat="0" applyBorder="0" applyAlignment="0" applyProtection="0"/>
    <xf numFmtId="0" fontId="1" fillId="11" borderId="0" applyNumberFormat="0" applyBorder="0" applyAlignment="0" applyProtection="0"/>
    <xf numFmtId="0" fontId="40" fillId="12" borderId="0" applyNumberFormat="0" applyBorder="0" applyAlignment="0" applyProtection="0"/>
    <xf numFmtId="0" fontId="40"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40" fillId="16" borderId="0" applyNumberFormat="0" applyBorder="0" applyAlignment="0" applyProtection="0"/>
    <xf numFmtId="0" fontId="40"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40" fillId="20" borderId="0" applyNumberFormat="0" applyBorder="0" applyAlignment="0" applyProtection="0"/>
    <xf numFmtId="0" fontId="40"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40" fillId="24" borderId="0" applyNumberFormat="0" applyBorder="0" applyAlignment="0" applyProtection="0"/>
    <xf numFmtId="0" fontId="40"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40" fillId="28" borderId="0" applyNumberFormat="0" applyBorder="0" applyAlignment="0" applyProtection="0"/>
    <xf numFmtId="0" fontId="40"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40" fillId="32" borderId="0" applyNumberFormat="0" applyBorder="0" applyAlignment="0" applyProtection="0"/>
  </cellStyleXfs>
  <cellXfs count="302">
    <xf numFmtId="0" fontId="0" fillId="0" borderId="0" xfId="0"/>
    <xf numFmtId="0" fontId="7" fillId="33" borderId="0" xfId="0" applyFont="1" applyFill="1" applyBorder="1" applyAlignment="1" applyProtection="1">
      <alignment horizontal="left" indent="1"/>
      <protection/>
    </xf>
    <xf numFmtId="0" fontId="8" fillId="0" borderId="0" xfId="0" applyFont="1" applyProtection="1">
      <protection/>
    </xf>
    <xf numFmtId="0" fontId="9" fillId="33" borderId="0" xfId="0" applyFont="1" applyFill="1" applyBorder="1" applyAlignment="1" applyProtection="1">
      <alignment/>
      <protection/>
    </xf>
    <xf numFmtId="0" fontId="7" fillId="33" borderId="0" xfId="0" applyFont="1" applyFill="1" applyBorder="1" applyAlignment="1" applyProtection="1">
      <alignment horizontal="left"/>
      <protection/>
    </xf>
    <xf numFmtId="164" fontId="10" fillId="33" borderId="0" xfId="0" applyNumberFormat="1" applyFont="1" applyFill="1" applyAlignment="1" applyProtection="1">
      <alignment horizontal="left"/>
      <protection/>
    </xf>
    <xf numFmtId="0" fontId="6" fillId="33" borderId="0" xfId="0" applyFont="1" applyFill="1" applyAlignment="1" applyProtection="1">
      <alignment horizontal="left"/>
      <protection/>
    </xf>
    <xf numFmtId="0" fontId="10" fillId="0" borderId="0" xfId="0" applyFont="1" applyProtection="1">
      <protection/>
    </xf>
    <xf numFmtId="0" fontId="6" fillId="33" borderId="0" xfId="0" applyFont="1" applyFill="1" applyAlignment="1" applyProtection="1">
      <alignment vertical="top"/>
      <protection/>
    </xf>
    <xf numFmtId="0" fontId="10" fillId="33" borderId="0" xfId="0" applyFont="1" applyFill="1" applyBorder="1" applyAlignment="1" applyProtection="1">
      <alignment/>
      <protection/>
    </xf>
    <xf numFmtId="0" fontId="6" fillId="33" borderId="0" xfId="0" applyFont="1" applyFill="1" applyAlignment="1" applyProtection="1">
      <alignment/>
      <protection/>
    </xf>
    <xf numFmtId="166" fontId="11" fillId="33" borderId="0" xfId="0" applyNumberFormat="1" applyFont="1" applyFill="1" applyAlignment="1" applyProtection="1">
      <alignment/>
      <protection/>
    </xf>
    <xf numFmtId="166" fontId="11" fillId="33" borderId="0" xfId="0" applyNumberFormat="1" applyFont="1" applyFill="1" applyAlignment="1" applyProtection="1">
      <alignment horizontal="left"/>
      <protection/>
    </xf>
    <xf numFmtId="0" fontId="8" fillId="0" borderId="0" xfId="0" applyFont="1" applyAlignment="1" applyProtection="1">
      <alignment wrapText="1"/>
      <protection/>
    </xf>
    <xf numFmtId="0" fontId="10" fillId="0" borderId="0" xfId="0" applyNumberFormat="1" applyFont="1" applyBorder="1" applyAlignment="1" applyProtection="1">
      <alignment horizontal="left"/>
      <protection/>
    </xf>
    <xf numFmtId="0" fontId="10" fillId="0" borderId="0" xfId="0" applyFont="1" applyBorder="1" applyAlignment="1" applyProtection="1">
      <alignment horizontal="left"/>
      <protection/>
    </xf>
    <xf numFmtId="0" fontId="6" fillId="0" borderId="0" xfId="0" applyFont="1" applyBorder="1" applyAlignment="1" applyProtection="1">
      <alignment horizontal="right"/>
      <protection/>
    </xf>
    <xf numFmtId="0" fontId="12" fillId="33" borderId="0" xfId="0" applyFont="1" applyFill="1" applyBorder="1" applyProtection="1">
      <protection/>
    </xf>
    <xf numFmtId="44" fontId="13" fillId="33" borderId="0" xfId="0" applyNumberFormat="1" applyFont="1" applyFill="1" applyBorder="1" applyAlignment="1" applyProtection="1">
      <alignment/>
      <protection/>
    </xf>
    <xf numFmtId="0" fontId="10" fillId="0" borderId="0" xfId="0" applyFont="1" applyAlignment="1" applyProtection="1">
      <alignment/>
      <protection/>
    </xf>
    <xf numFmtId="1" fontId="6" fillId="0" borderId="0" xfId="0" applyNumberFormat="1" applyFont="1" applyFill="1" applyBorder="1" applyAlignment="1">
      <alignment horizontal="right" vertical="center"/>
    </xf>
    <xf numFmtId="1" fontId="12" fillId="33" borderId="0" xfId="0" applyNumberFormat="1" applyFont="1" applyFill="1" applyBorder="1" applyProtection="1">
      <protection/>
    </xf>
    <xf numFmtId="1" fontId="13" fillId="33" borderId="0" xfId="0" applyNumberFormat="1" applyFont="1" applyFill="1" applyBorder="1" applyAlignment="1" applyProtection="1">
      <alignment/>
      <protection/>
    </xf>
    <xf numFmtId="0" fontId="14" fillId="33" borderId="0" xfId="0" applyFont="1" applyFill="1" applyAlignment="1" applyProtection="1">
      <alignment/>
      <protection/>
    </xf>
    <xf numFmtId="0" fontId="14" fillId="0" borderId="0" xfId="0" applyFont="1" applyProtection="1">
      <protection/>
    </xf>
    <xf numFmtId="0" fontId="14" fillId="33" borderId="0" xfId="0" applyFont="1" applyFill="1" applyAlignment="1" applyProtection="1">
      <alignment vertical="top"/>
      <protection/>
    </xf>
    <xf numFmtId="166" fontId="14" fillId="33" borderId="10" xfId="0" applyNumberFormat="1" applyFont="1" applyFill="1" applyBorder="1" applyAlignment="1" applyProtection="1">
      <alignment/>
      <protection/>
    </xf>
    <xf numFmtId="1" fontId="17" fillId="34" borderId="11" xfId="0" applyNumberFormat="1" applyFont="1" applyFill="1" applyBorder="1" applyAlignment="1" applyProtection="1">
      <alignment horizontal="right" vertical="center"/>
      <protection/>
    </xf>
    <xf numFmtId="1" fontId="17" fillId="34" borderId="12" xfId="0" applyNumberFormat="1" applyFont="1" applyFill="1" applyBorder="1" applyAlignment="1" applyProtection="1">
      <alignment horizontal="right" vertical="center"/>
      <protection/>
    </xf>
    <xf numFmtId="49" fontId="13" fillId="33" borderId="0" xfId="0" applyNumberFormat="1" applyFont="1" applyFill="1" applyBorder="1" applyAlignment="1" applyProtection="1">
      <alignment/>
      <protection/>
    </xf>
    <xf numFmtId="166" fontId="14" fillId="33" borderId="2" xfId="0" applyNumberFormat="1" applyFont="1" applyFill="1" applyBorder="1" applyAlignment="1" applyProtection="1">
      <alignment/>
      <protection/>
    </xf>
    <xf numFmtId="0" fontId="14" fillId="0" borderId="0" xfId="0" applyFont="1" applyBorder="1" applyAlignment="1" applyProtection="1">
      <alignment horizontal="right"/>
      <protection/>
    </xf>
    <xf numFmtId="1" fontId="6" fillId="0" borderId="13" xfId="0" applyNumberFormat="1" applyFont="1" applyFill="1" applyBorder="1" applyAlignment="1">
      <alignment horizontal="right" vertical="center"/>
    </xf>
    <xf numFmtId="1" fontId="17" fillId="34" borderId="14" xfId="0" applyNumberFormat="1" applyFont="1" applyFill="1" applyBorder="1" applyAlignment="1" applyProtection="1">
      <alignment horizontal="right" vertical="center"/>
      <protection/>
    </xf>
    <xf numFmtId="4" fontId="17" fillId="3" borderId="14" xfId="0" applyNumberFormat="1" applyFont="1" applyFill="1" applyBorder="1" applyAlignment="1" applyProtection="1">
      <alignment vertical="center"/>
      <protection locked="0"/>
    </xf>
    <xf numFmtId="165" fontId="18" fillId="35" borderId="14" xfId="0" applyNumberFormat="1" applyFont="1" applyFill="1" applyBorder="1" applyAlignment="1" applyProtection="1">
      <alignment horizontal="left" wrapText="1"/>
      <protection/>
    </xf>
    <xf numFmtId="49" fontId="17" fillId="34" borderId="14" xfId="0" applyNumberFormat="1" applyFont="1" applyFill="1" applyBorder="1" applyAlignment="1" applyProtection="1">
      <alignment horizontal="left" vertical="center"/>
      <protection/>
    </xf>
    <xf numFmtId="165" fontId="18" fillId="35" borderId="15" xfId="0" applyNumberFormat="1" applyFont="1" applyFill="1" applyBorder="1" applyAlignment="1" applyProtection="1">
      <alignment horizontal="left" wrapText="1"/>
      <protection/>
    </xf>
    <xf numFmtId="165" fontId="18" fillId="35" borderId="0" xfId="0" applyNumberFormat="1" applyFont="1" applyFill="1" applyBorder="1" applyAlignment="1" applyProtection="1">
      <alignment horizontal="left" wrapText="1"/>
      <protection/>
    </xf>
    <xf numFmtId="0" fontId="11" fillId="33" borderId="0" xfId="0" applyFont="1" applyFill="1" applyAlignment="1" applyProtection="1">
      <alignment horizontal="left"/>
      <protection/>
    </xf>
    <xf numFmtId="166" fontId="14" fillId="33" borderId="0" xfId="0" applyNumberFormat="1" applyFont="1" applyFill="1" applyAlignment="1" applyProtection="1">
      <alignment horizontal="left"/>
      <protection/>
    </xf>
    <xf numFmtId="0" fontId="14" fillId="33" borderId="0" xfId="0" applyFont="1" applyFill="1" applyAlignment="1" applyProtection="1">
      <alignment horizontal="left"/>
      <protection/>
    </xf>
    <xf numFmtId="49" fontId="14" fillId="33" borderId="0" xfId="0" applyNumberFormat="1" applyFont="1" applyFill="1" applyAlignment="1" applyProtection="1">
      <alignment horizontal="left"/>
      <protection/>
    </xf>
    <xf numFmtId="0" fontId="18" fillId="35" borderId="14" xfId="0" applyFont="1" applyFill="1" applyBorder="1" applyAlignment="1" applyProtection="1">
      <alignment horizontal="left" wrapText="1"/>
      <protection/>
    </xf>
    <xf numFmtId="0" fontId="4" fillId="33" borderId="0" xfId="0" applyFont="1" applyFill="1" applyAlignment="1" applyProtection="1">
      <alignment horizontal="left"/>
      <protection/>
    </xf>
    <xf numFmtId="0" fontId="18" fillId="35" borderId="16" xfId="0" applyFont="1" applyFill="1" applyBorder="1" applyAlignment="1" applyProtection="1">
      <alignment/>
      <protection/>
    </xf>
    <xf numFmtId="44" fontId="13" fillId="33" borderId="0" xfId="0" applyNumberFormat="1" applyFont="1" applyFill="1" applyBorder="1" applyAlignment="1" applyProtection="1">
      <alignment/>
      <protection locked="0"/>
    </xf>
    <xf numFmtId="4" fontId="27" fillId="3" borderId="17" xfId="0" applyNumberFormat="1" applyFont="1" applyFill="1" applyBorder="1" applyAlignment="1" applyProtection="1">
      <alignment horizontal="right"/>
      <protection locked="0"/>
    </xf>
    <xf numFmtId="3" fontId="13" fillId="33" borderId="0" xfId="0" applyNumberFormat="1" applyFont="1" applyFill="1" applyProtection="1">
      <protection locked="0"/>
    </xf>
    <xf numFmtId="44" fontId="13" fillId="33" borderId="0" xfId="0" applyNumberFormat="1" applyFont="1" applyFill="1" applyProtection="1">
      <protection locked="0"/>
    </xf>
    <xf numFmtId="37" fontId="13" fillId="33" borderId="0" xfId="0" applyNumberFormat="1" applyFont="1" applyFill="1" applyBorder="1" applyAlignment="1" applyProtection="1">
      <alignment/>
      <protection/>
    </xf>
    <xf numFmtId="0" fontId="27" fillId="0" borderId="0" xfId="0" applyFont="1" applyProtection="1">
      <protection/>
    </xf>
    <xf numFmtId="0" fontId="4" fillId="33" borderId="18" xfId="0" applyFont="1" applyFill="1" applyBorder="1" applyAlignment="1" applyProtection="1">
      <alignment/>
      <protection/>
    </xf>
    <xf numFmtId="165" fontId="18" fillId="35" borderId="19" xfId="0" applyNumberFormat="1" applyFont="1" applyFill="1" applyBorder="1" applyAlignment="1" applyProtection="1">
      <alignment horizontal="left" wrapText="1"/>
      <protection/>
    </xf>
    <xf numFmtId="49" fontId="17" fillId="34" borderId="19" xfId="0" applyNumberFormat="1" applyFont="1" applyFill="1" applyBorder="1" applyAlignment="1" applyProtection="1">
      <alignment horizontal="left" vertical="center"/>
      <protection/>
    </xf>
    <xf numFmtId="0" fontId="3" fillId="33" borderId="0" xfId="0" applyFont="1" applyFill="1" applyAlignment="1" applyProtection="1">
      <alignment horizontal="left"/>
      <protection/>
    </xf>
    <xf numFmtId="37" fontId="13" fillId="33" borderId="0" xfId="0" applyNumberFormat="1" applyFont="1" applyFill="1" applyBorder="1" applyAlignment="1" applyProtection="1">
      <alignment/>
      <protection locked="0"/>
    </xf>
    <xf numFmtId="0" fontId="10" fillId="0" borderId="0" xfId="0" applyFont="1" applyProtection="1">
      <protection locked="0"/>
    </xf>
    <xf numFmtId="0" fontId="15" fillId="0" borderId="20" xfId="0" applyNumberFormat="1" applyFont="1" applyFill="1" applyBorder="1" applyAlignment="1" applyProtection="1">
      <alignment vertical="center"/>
      <protection/>
    </xf>
    <xf numFmtId="0" fontId="15" fillId="0" borderId="19" xfId="0" applyNumberFormat="1" applyFont="1" applyFill="1" applyBorder="1" applyAlignment="1" applyProtection="1">
      <alignment vertical="center"/>
      <protection/>
    </xf>
    <xf numFmtId="167" fontId="14" fillId="0" borderId="0" xfId="0" applyNumberFormat="1" applyFont="1" applyProtection="1">
      <protection/>
    </xf>
    <xf numFmtId="168" fontId="17" fillId="3" borderId="14" xfId="0" applyNumberFormat="1" applyFont="1" applyFill="1" applyBorder="1" applyAlignment="1" applyProtection="1">
      <alignment vertical="center"/>
      <protection locked="0"/>
    </xf>
    <xf numFmtId="168" fontId="17" fillId="34" borderId="14" xfId="0" applyNumberFormat="1" applyFont="1" applyFill="1" applyBorder="1" applyAlignment="1" applyProtection="1">
      <alignment vertical="center"/>
      <protection/>
    </xf>
    <xf numFmtId="168" fontId="15" fillId="34" borderId="14" xfId="0" applyNumberFormat="1" applyFont="1" applyFill="1" applyBorder="1" applyAlignment="1" applyProtection="1">
      <alignment vertical="center"/>
      <protection/>
    </xf>
    <xf numFmtId="169" fontId="25" fillId="3" borderId="0" xfId="0" applyNumberFormat="1" applyFont="1" applyFill="1" applyAlignment="1" applyProtection="1">
      <alignment horizontal="right"/>
      <protection locked="0"/>
    </xf>
    <xf numFmtId="167" fontId="14" fillId="33" borderId="0" xfId="0" applyNumberFormat="1" applyFont="1" applyFill="1" applyAlignment="1" applyProtection="1">
      <alignment horizontal="left"/>
      <protection/>
    </xf>
    <xf numFmtId="165" fontId="16" fillId="35" borderId="0" xfId="0" applyNumberFormat="1" applyFont="1" applyFill="1" applyBorder="1" applyAlignment="1" applyProtection="1">
      <alignment horizontal="left" wrapText="1"/>
      <protection/>
    </xf>
    <xf numFmtId="0" fontId="8" fillId="36" borderId="0" xfId="0" applyFont="1" applyFill="1" applyProtection="1">
      <protection/>
    </xf>
    <xf numFmtId="0" fontId="10" fillId="36" borderId="0" xfId="0" applyFont="1" applyFill="1" applyAlignment="1" applyProtection="1">
      <alignment/>
      <protection/>
    </xf>
    <xf numFmtId="169" fontId="25" fillId="3" borderId="14" xfId="0" applyNumberFormat="1" applyFont="1" applyFill="1" applyBorder="1" applyAlignment="1" applyProtection="1">
      <alignment horizontal="right"/>
      <protection/>
    </xf>
    <xf numFmtId="168" fontId="25" fillId="3" borderId="14" xfId="0" applyNumberFormat="1" applyFont="1" applyFill="1" applyBorder="1" applyAlignment="1" applyProtection="1">
      <alignment horizontal="right"/>
      <protection/>
    </xf>
    <xf numFmtId="169" fontId="8" fillId="37" borderId="14" xfId="0" applyNumberFormat="1" applyFont="1" applyFill="1" applyBorder="1" applyProtection="1">
      <protection locked="0"/>
    </xf>
    <xf numFmtId="169" fontId="8" fillId="37" borderId="21" xfId="0" applyNumberFormat="1" applyFont="1" applyFill="1" applyBorder="1" applyProtection="1">
      <protection locked="0"/>
    </xf>
    <xf numFmtId="0" fontId="20" fillId="33" borderId="0" xfId="0" applyFont="1" applyFill="1" applyBorder="1" applyAlignment="1" applyProtection="1">
      <alignment horizontal="center"/>
      <protection/>
    </xf>
    <xf numFmtId="167" fontId="20" fillId="33" borderId="0" xfId="0" applyNumberFormat="1" applyFont="1" applyFill="1" applyBorder="1" applyAlignment="1" applyProtection="1">
      <alignment horizontal="right"/>
      <protection/>
    </xf>
    <xf numFmtId="167" fontId="8" fillId="0" borderId="0" xfId="0" applyNumberFormat="1" applyFont="1" applyBorder="1" applyProtection="1">
      <protection/>
    </xf>
    <xf numFmtId="167" fontId="14" fillId="33" borderId="0" xfId="0" applyNumberFormat="1" applyFont="1" applyFill="1" applyBorder="1" applyAlignment="1" applyProtection="1">
      <alignment horizontal="left"/>
      <protection/>
    </xf>
    <xf numFmtId="167" fontId="14" fillId="33" borderId="0" xfId="0" applyNumberFormat="1" applyFont="1" applyFill="1" applyBorder="1" applyAlignment="1" applyProtection="1">
      <alignment vertical="top"/>
      <protection/>
    </xf>
    <xf numFmtId="167" fontId="10" fillId="0" borderId="0" xfId="0" applyNumberFormat="1" applyFont="1" applyBorder="1" applyProtection="1">
      <protection/>
    </xf>
    <xf numFmtId="167" fontId="18" fillId="36" borderId="0" xfId="0" applyNumberFormat="1" applyFont="1" applyFill="1" applyBorder="1" applyAlignment="1" applyProtection="1">
      <alignment horizontal="left" wrapText="1"/>
      <protection/>
    </xf>
    <xf numFmtId="167" fontId="23" fillId="36" borderId="0" xfId="0" applyNumberFormat="1" applyFont="1" applyFill="1" applyBorder="1" applyAlignment="1" applyProtection="1">
      <alignment horizontal="left"/>
      <protection/>
    </xf>
    <xf numFmtId="167" fontId="8" fillId="36" borderId="0" xfId="0" applyNumberFormat="1" applyFont="1" applyFill="1" applyBorder="1" applyProtection="1">
      <protection/>
    </xf>
    <xf numFmtId="167" fontId="13" fillId="36" borderId="0" xfId="0" applyNumberFormat="1" applyFont="1" applyFill="1" applyBorder="1" applyAlignment="1" applyProtection="1">
      <alignment horizontal="left"/>
      <protection locked="0"/>
    </xf>
    <xf numFmtId="167" fontId="8" fillId="0" borderId="0" xfId="0" applyNumberFormat="1" applyFont="1" applyProtection="1">
      <protection/>
    </xf>
    <xf numFmtId="167" fontId="17" fillId="36" borderId="0" xfId="0" applyNumberFormat="1" applyFont="1" applyFill="1" applyBorder="1" applyAlignment="1" applyProtection="1">
      <alignment horizontal="left" vertical="center" wrapText="1"/>
      <protection/>
    </xf>
    <xf numFmtId="167" fontId="19" fillId="36" borderId="0" xfId="0" applyNumberFormat="1" applyFont="1" applyFill="1" applyBorder="1" applyAlignment="1" applyProtection="1">
      <alignment horizontal="left" vertical="center" wrapText="1"/>
      <protection locked="0"/>
    </xf>
    <xf numFmtId="167" fontId="16" fillId="36" borderId="0" xfId="0" applyNumberFormat="1" applyFont="1" applyFill="1" applyBorder="1" applyAlignment="1" applyProtection="1">
      <alignment horizontal="left" wrapText="1"/>
      <protection/>
    </xf>
    <xf numFmtId="167" fontId="15" fillId="36" borderId="0" xfId="0" applyNumberFormat="1" applyFont="1" applyFill="1" applyBorder="1" applyAlignment="1" applyProtection="1">
      <alignment horizontal="left" vertical="top" wrapText="1"/>
      <protection/>
    </xf>
    <xf numFmtId="167" fontId="17" fillId="36" borderId="0" xfId="0" applyNumberFormat="1" applyFont="1" applyFill="1" applyBorder="1" applyAlignment="1" applyProtection="1">
      <alignment horizontal="center" vertical="top" wrapText="1"/>
      <protection/>
    </xf>
    <xf numFmtId="165" fontId="18" fillId="35" borderId="19" xfId="0" applyNumberFormat="1" applyFont="1" applyFill="1" applyBorder="1" applyAlignment="1" applyProtection="1">
      <alignment horizontal="left" wrapText="1"/>
      <protection/>
    </xf>
    <xf numFmtId="168" fontId="17" fillId="3" borderId="14" xfId="0" applyNumberFormat="1" applyFont="1" applyFill="1" applyBorder="1" applyAlignment="1" applyProtection="1">
      <alignment vertical="center"/>
      <protection/>
    </xf>
    <xf numFmtId="4" fontId="17" fillId="3" borderId="14" xfId="0" applyNumberFormat="1" applyFont="1" applyFill="1" applyBorder="1" applyAlignment="1" applyProtection="1">
      <alignment vertical="center"/>
      <protection/>
    </xf>
    <xf numFmtId="0" fontId="25" fillId="3" borderId="0" xfId="0" applyFont="1" applyFill="1" applyAlignment="1" applyProtection="1">
      <alignment horizontal="left"/>
      <protection locked="0"/>
    </xf>
    <xf numFmtId="0" fontId="0" fillId="0" borderId="22" xfId="0" applyBorder="1"/>
    <xf numFmtId="49" fontId="0" fillId="0" borderId="0" xfId="0" applyNumberFormat="1" applyBorder="1"/>
    <xf numFmtId="0" fontId="14" fillId="33" borderId="10" xfId="0" applyFont="1" applyFill="1" applyBorder="1" applyAlignment="1" applyProtection="1">
      <alignment horizontal="left"/>
      <protection/>
    </xf>
    <xf numFmtId="0" fontId="14" fillId="33" borderId="23" xfId="0" applyFont="1" applyFill="1" applyBorder="1" applyAlignment="1" applyProtection="1">
      <alignment horizontal="left"/>
      <protection/>
    </xf>
    <xf numFmtId="0" fontId="18" fillId="35" borderId="20" xfId="0" applyFont="1" applyFill="1" applyBorder="1" applyAlignment="1" applyProtection="1">
      <alignment horizontal="left" wrapText="1"/>
      <protection/>
    </xf>
    <xf numFmtId="0" fontId="18" fillId="35" borderId="19" xfId="0" applyFont="1" applyFill="1" applyBorder="1" applyAlignment="1" applyProtection="1">
      <alignment horizontal="left" wrapText="1"/>
      <protection/>
    </xf>
    <xf numFmtId="49" fontId="14" fillId="33" borderId="0" xfId="0" applyNumberFormat="1" applyFont="1" applyFill="1" applyAlignment="1" applyProtection="1">
      <alignment horizontal="left"/>
      <protection locked="0"/>
    </xf>
    <xf numFmtId="0" fontId="4" fillId="33" borderId="10" xfId="0" applyFont="1" applyFill="1" applyBorder="1" applyAlignment="1" applyProtection="1">
      <alignment horizontal="left"/>
      <protection/>
    </xf>
    <xf numFmtId="0" fontId="3" fillId="33" borderId="0" xfId="0" applyFont="1" applyFill="1" applyAlignment="1" applyProtection="1">
      <alignment horizontal="left"/>
      <protection/>
    </xf>
    <xf numFmtId="165" fontId="18" fillId="35" borderId="24" xfId="0" applyNumberFormat="1" applyFont="1" applyFill="1" applyBorder="1" applyAlignment="1" applyProtection="1">
      <alignment horizontal="left" wrapText="1"/>
      <protection/>
    </xf>
    <xf numFmtId="165" fontId="18" fillId="35" borderId="16" xfId="0" applyNumberFormat="1" applyFont="1" applyFill="1" applyBorder="1" applyAlignment="1" applyProtection="1">
      <alignment horizontal="left" wrapText="1"/>
      <protection/>
    </xf>
    <xf numFmtId="0" fontId="24" fillId="3" borderId="20" xfId="0" applyFont="1" applyFill="1" applyBorder="1" applyAlignment="1" applyProtection="1">
      <alignment horizontal="left"/>
      <protection locked="0"/>
    </xf>
    <xf numFmtId="0" fontId="24" fillId="3" borderId="25" xfId="0" applyFont="1" applyFill="1" applyBorder="1" applyAlignment="1" applyProtection="1">
      <alignment horizontal="left"/>
      <protection locked="0"/>
    </xf>
    <xf numFmtId="0" fontId="24" fillId="3" borderId="19" xfId="0" applyFont="1" applyFill="1" applyBorder="1" applyAlignment="1" applyProtection="1">
      <alignment horizontal="left"/>
      <protection locked="0"/>
    </xf>
    <xf numFmtId="170" fontId="14" fillId="33" borderId="10" xfId="0" applyNumberFormat="1" applyFont="1" applyFill="1" applyBorder="1" applyAlignment="1" applyProtection="1">
      <alignment horizontal="left"/>
      <protection/>
    </xf>
    <xf numFmtId="49" fontId="14" fillId="33" borderId="10" xfId="0" applyNumberFormat="1" applyFont="1" applyFill="1" applyBorder="1" applyAlignment="1" applyProtection="1">
      <alignment horizontal="left"/>
      <protection/>
    </xf>
    <xf numFmtId="0" fontId="11" fillId="33" borderId="16" xfId="0" applyFont="1" applyFill="1" applyBorder="1" applyAlignment="1" applyProtection="1">
      <alignment horizontal="left"/>
      <protection/>
    </xf>
    <xf numFmtId="166" fontId="14" fillId="33" borderId="10" xfId="0" applyNumberFormat="1" applyFont="1" applyFill="1" applyBorder="1" applyAlignment="1" applyProtection="1">
      <alignment horizontal="left"/>
      <protection/>
    </xf>
    <xf numFmtId="49" fontId="4" fillId="33" borderId="26" xfId="0" applyNumberFormat="1" applyFont="1" applyFill="1" applyBorder="1" applyAlignment="1" applyProtection="1">
      <alignment horizontal="left" vertical="top" wrapText="1"/>
      <protection/>
    </xf>
    <xf numFmtId="49" fontId="4" fillId="33" borderId="0" xfId="0" applyNumberFormat="1" applyFont="1" applyFill="1" applyBorder="1" applyAlignment="1" applyProtection="1">
      <alignment horizontal="left" vertical="top" wrapText="1"/>
      <protection/>
    </xf>
    <xf numFmtId="49" fontId="4" fillId="33" borderId="27" xfId="0" applyNumberFormat="1" applyFont="1" applyFill="1" applyBorder="1" applyAlignment="1" applyProtection="1">
      <alignment horizontal="left" vertical="top" wrapText="1"/>
      <protection/>
    </xf>
    <xf numFmtId="0" fontId="4" fillId="33" borderId="18" xfId="0" applyFont="1" applyFill="1" applyBorder="1" applyAlignment="1" applyProtection="1">
      <alignment horizontal="left"/>
      <protection/>
    </xf>
    <xf numFmtId="165" fontId="18" fillId="35" borderId="20" xfId="0" applyNumberFormat="1" applyFont="1" applyFill="1" applyBorder="1" applyAlignment="1" applyProtection="1">
      <alignment horizontal="left" wrapText="1"/>
      <protection/>
    </xf>
    <xf numFmtId="165" fontId="18" fillId="35" borderId="19" xfId="0" applyNumberFormat="1" applyFont="1" applyFill="1" applyBorder="1" applyAlignment="1" applyProtection="1">
      <alignment horizontal="left" wrapText="1"/>
      <protection/>
    </xf>
    <xf numFmtId="49" fontId="17" fillId="34" borderId="20" xfId="0" applyNumberFormat="1" applyFont="1" applyFill="1" applyBorder="1" applyAlignment="1" applyProtection="1">
      <alignment horizontal="left" vertical="center"/>
      <protection/>
    </xf>
    <xf numFmtId="49" fontId="17" fillId="34" borderId="19" xfId="0" applyNumberFormat="1" applyFont="1" applyFill="1" applyBorder="1" applyAlignment="1" applyProtection="1">
      <alignment horizontal="left" vertical="center"/>
      <protection/>
    </xf>
    <xf numFmtId="4" fontId="17" fillId="34" borderId="28" xfId="0" applyNumberFormat="1" applyFont="1" applyFill="1" applyBorder="1" applyAlignment="1" applyProtection="1">
      <alignment horizontal="center" vertical="center"/>
      <protection/>
    </xf>
    <xf numFmtId="4" fontId="17" fillId="34" borderId="29" xfId="0" applyNumberFormat="1" applyFont="1" applyFill="1" applyBorder="1" applyAlignment="1" applyProtection="1">
      <alignment horizontal="center" vertical="center"/>
      <protection/>
    </xf>
    <xf numFmtId="4" fontId="17" fillId="34" borderId="22" xfId="0" applyNumberFormat="1" applyFont="1" applyFill="1" applyBorder="1" applyAlignment="1" applyProtection="1">
      <alignment horizontal="center" vertical="center"/>
      <protection/>
    </xf>
    <xf numFmtId="4" fontId="17" fillId="34" borderId="0" xfId="0" applyNumberFormat="1" applyFont="1" applyFill="1" applyBorder="1" applyAlignment="1" applyProtection="1">
      <alignment horizontal="center" vertical="center"/>
      <protection/>
    </xf>
    <xf numFmtId="0" fontId="15" fillId="0" borderId="20" xfId="0" applyNumberFormat="1" applyFont="1" applyFill="1" applyBorder="1" applyAlignment="1" applyProtection="1">
      <alignment horizontal="left" vertical="center"/>
      <protection/>
    </xf>
    <xf numFmtId="0" fontId="15" fillId="0" borderId="25" xfId="0" applyNumberFormat="1" applyFont="1" applyFill="1" applyBorder="1" applyAlignment="1" applyProtection="1">
      <alignment horizontal="left" vertical="center"/>
      <protection/>
    </xf>
    <xf numFmtId="0" fontId="15" fillId="0" borderId="19" xfId="0" applyNumberFormat="1" applyFont="1" applyFill="1" applyBorder="1" applyAlignment="1" applyProtection="1">
      <alignment horizontal="left" vertical="center"/>
      <protection/>
    </xf>
    <xf numFmtId="169" fontId="8" fillId="37" borderId="20" xfId="0" applyNumberFormat="1" applyFont="1" applyFill="1" applyBorder="1" applyProtection="1">
      <protection locked="0"/>
    </xf>
    <xf numFmtId="169" fontId="8" fillId="37" borderId="19" xfId="0" applyNumberFormat="1" applyFont="1" applyFill="1" applyBorder="1" applyProtection="1">
      <protection locked="0"/>
    </xf>
    <xf numFmtId="4" fontId="13" fillId="3" borderId="20" xfId="0" applyNumberFormat="1" applyFont="1" applyFill="1" applyBorder="1" applyAlignment="1" applyProtection="1">
      <alignment horizontal="left"/>
      <protection locked="0"/>
    </xf>
    <xf numFmtId="4" fontId="13" fillId="3" borderId="25" xfId="0" applyNumberFormat="1" applyFont="1" applyFill="1" applyBorder="1" applyAlignment="1" applyProtection="1">
      <alignment horizontal="left"/>
      <protection locked="0"/>
    </xf>
    <xf numFmtId="4" fontId="13" fillId="3" borderId="19" xfId="0" applyNumberFormat="1" applyFont="1" applyFill="1" applyBorder="1" applyAlignment="1" applyProtection="1">
      <alignment horizontal="left"/>
      <protection locked="0"/>
    </xf>
    <xf numFmtId="0" fontId="20" fillId="33" borderId="0" xfId="0" applyFont="1" applyFill="1" applyBorder="1" applyAlignment="1" applyProtection="1">
      <alignment horizontal="center"/>
      <protection/>
    </xf>
    <xf numFmtId="0" fontId="18" fillId="35" borderId="20" xfId="0" applyFont="1" applyFill="1" applyBorder="1" applyAlignment="1" applyProtection="1">
      <alignment horizontal="left" wrapText="1"/>
      <protection/>
    </xf>
    <xf numFmtId="0" fontId="18" fillId="35" borderId="19" xfId="0" applyFont="1" applyFill="1" applyBorder="1" applyAlignment="1" applyProtection="1">
      <alignment horizontal="left" wrapText="1"/>
      <protection/>
    </xf>
    <xf numFmtId="0" fontId="23" fillId="0" borderId="20" xfId="0" applyFont="1" applyBorder="1" applyAlignment="1" applyProtection="1">
      <alignment horizontal="left"/>
      <protection/>
    </xf>
    <xf numFmtId="0" fontId="23" fillId="0" borderId="19" xfId="0" applyFont="1" applyBorder="1" applyAlignment="1" applyProtection="1">
      <alignment horizontal="left"/>
      <protection/>
    </xf>
    <xf numFmtId="0" fontId="13" fillId="3" borderId="20" xfId="0" applyFont="1" applyFill="1" applyBorder="1" applyAlignment="1" applyProtection="1">
      <alignment horizontal="left"/>
      <protection locked="0"/>
    </xf>
    <xf numFmtId="0" fontId="13" fillId="3" borderId="25" xfId="0" applyFont="1" applyFill="1" applyBorder="1" applyAlignment="1" applyProtection="1">
      <alignment horizontal="left"/>
      <protection locked="0"/>
    </xf>
    <xf numFmtId="0" fontId="13" fillId="3" borderId="19" xfId="0" applyFont="1" applyFill="1" applyBorder="1" applyAlignment="1" applyProtection="1">
      <alignment horizontal="left"/>
      <protection locked="0"/>
    </xf>
    <xf numFmtId="0" fontId="18" fillId="35" borderId="16" xfId="0" applyFont="1" applyFill="1" applyBorder="1" applyAlignment="1" applyProtection="1">
      <alignment horizontal="left" wrapText="1"/>
      <protection/>
    </xf>
    <xf numFmtId="165" fontId="18" fillId="35" borderId="0" xfId="0" applyNumberFormat="1" applyFont="1" applyFill="1" applyBorder="1" applyAlignment="1" applyProtection="1">
      <alignment horizontal="left" wrapText="1"/>
      <protection/>
    </xf>
    <xf numFmtId="0" fontId="21" fillId="33" borderId="0" xfId="0" applyFont="1" applyFill="1" applyAlignment="1" applyProtection="1">
      <alignment horizontal="left"/>
      <protection/>
    </xf>
    <xf numFmtId="49" fontId="21" fillId="33" borderId="0" xfId="0" applyNumberFormat="1" applyFont="1" applyFill="1" applyAlignment="1" applyProtection="1">
      <alignment horizontal="left"/>
      <protection/>
    </xf>
    <xf numFmtId="0" fontId="21" fillId="33" borderId="10" xfId="0" applyFont="1" applyFill="1" applyBorder="1" applyAlignment="1" applyProtection="1">
      <alignment horizontal="left"/>
      <protection/>
    </xf>
    <xf numFmtId="49" fontId="21" fillId="33" borderId="10" xfId="0" applyNumberFormat="1" applyFont="1" applyFill="1" applyBorder="1" applyAlignment="1" applyProtection="1">
      <alignment horizontal="left"/>
      <protection/>
    </xf>
    <xf numFmtId="49" fontId="22" fillId="3" borderId="20" xfId="0" applyNumberFormat="1" applyFont="1" applyFill="1" applyBorder="1" applyAlignment="1" applyProtection="1">
      <alignment horizontal="left" vertical="center"/>
      <protection locked="0"/>
    </xf>
    <xf numFmtId="49" fontId="22" fillId="3" borderId="19" xfId="0" applyNumberFormat="1" applyFont="1" applyFill="1" applyBorder="1" applyAlignment="1" applyProtection="1">
      <alignment horizontal="left" vertical="center"/>
      <protection locked="0"/>
    </xf>
    <xf numFmtId="4" fontId="26" fillId="3" borderId="20" xfId="0" applyNumberFormat="1" applyFont="1" applyFill="1" applyBorder="1" applyAlignment="1" applyProtection="1">
      <alignment horizontal="left"/>
      <protection locked="0"/>
    </xf>
    <xf numFmtId="4" fontId="26" fillId="3" borderId="25" xfId="0" applyNumberFormat="1" applyFont="1" applyFill="1" applyBorder="1" applyAlignment="1" applyProtection="1">
      <alignment horizontal="left"/>
      <protection locked="0"/>
    </xf>
    <xf numFmtId="4" fontId="26" fillId="3" borderId="19" xfId="0" applyNumberFormat="1" applyFont="1" applyFill="1" applyBorder="1" applyAlignment="1" applyProtection="1">
      <alignment horizontal="left"/>
      <protection locked="0"/>
    </xf>
    <xf numFmtId="168" fontId="17" fillId="3" borderId="20" xfId="0" applyNumberFormat="1" applyFont="1" applyFill="1" applyBorder="1" applyAlignment="1" applyProtection="1">
      <alignment horizontal="right" vertical="center"/>
      <protection locked="0"/>
    </xf>
    <xf numFmtId="168" fontId="17" fillId="3" borderId="19" xfId="0" applyNumberFormat="1" applyFont="1" applyFill="1" applyBorder="1" applyAlignment="1" applyProtection="1">
      <alignment horizontal="right" vertical="center"/>
      <protection locked="0"/>
    </xf>
    <xf numFmtId="0" fontId="14" fillId="33" borderId="30" xfId="0" applyFont="1" applyFill="1" applyBorder="1" applyAlignment="1" applyProtection="1">
      <alignment horizontal="left"/>
      <protection/>
    </xf>
    <xf numFmtId="1" fontId="17" fillId="34" borderId="15" xfId="0" applyNumberFormat="1" applyFont="1" applyFill="1" applyBorder="1" applyAlignment="1" applyProtection="1">
      <alignment horizontal="left" vertical="center" wrapText="1"/>
      <protection/>
    </xf>
    <xf numFmtId="1" fontId="17" fillId="34" borderId="0" xfId="0" applyNumberFormat="1" applyFont="1" applyFill="1" applyBorder="1" applyAlignment="1" applyProtection="1">
      <alignment horizontal="left" vertical="center" wrapText="1"/>
      <protection/>
    </xf>
    <xf numFmtId="1" fontId="19" fillId="3" borderId="15" xfId="0" applyNumberFormat="1" applyFont="1" applyFill="1" applyBorder="1" applyAlignment="1" applyProtection="1">
      <alignment vertical="center" wrapText="1"/>
      <protection locked="0"/>
    </xf>
    <xf numFmtId="1" fontId="19" fillId="3" borderId="0" xfId="0" applyNumberFormat="1" applyFont="1" applyFill="1" applyBorder="1" applyAlignment="1" applyProtection="1">
      <alignment vertical="center" wrapText="1"/>
      <protection locked="0"/>
    </xf>
    <xf numFmtId="165" fontId="16" fillId="35" borderId="0" xfId="0" applyNumberFormat="1" applyFont="1" applyFill="1" applyBorder="1" applyAlignment="1" applyProtection="1">
      <alignment horizontal="left" wrapText="1"/>
      <protection/>
    </xf>
    <xf numFmtId="1" fontId="15" fillId="34" borderId="0" xfId="0" applyNumberFormat="1" applyFont="1" applyFill="1" applyBorder="1" applyAlignment="1" applyProtection="1">
      <alignment horizontal="left" vertical="top" wrapText="1"/>
      <protection/>
    </xf>
    <xf numFmtId="1" fontId="17" fillId="34" borderId="0" xfId="0" applyNumberFormat="1" applyFont="1" applyFill="1" applyBorder="1" applyAlignment="1" applyProtection="1">
      <alignment horizontal="center" vertical="top" wrapText="1"/>
      <protection/>
    </xf>
    <xf numFmtId="165" fontId="15" fillId="35" borderId="0" xfId="0" applyNumberFormat="1" applyFont="1" applyFill="1" applyBorder="1" applyAlignment="1" applyProtection="1">
      <alignment horizontal="left" vertical="center" wrapText="1"/>
      <protection/>
    </xf>
    <xf numFmtId="165" fontId="15" fillId="35" borderId="31" xfId="0" applyNumberFormat="1" applyFont="1" applyFill="1" applyBorder="1" applyAlignment="1" applyProtection="1">
      <alignment horizontal="left" vertical="center" wrapText="1"/>
      <protection/>
    </xf>
    <xf numFmtId="0" fontId="0" fillId="0" borderId="0" xfId="0" applyNumberFormat="1" applyFill="1" applyAlignment="1" applyProtection="1">
      <alignment horizontal="left"/>
      <protection/>
    </xf>
    <xf numFmtId="0" fontId="8" fillId="0" borderId="0" xfId="0" applyNumberFormat="1" applyFill="1" applyAlignment="1" applyProtection="1">
      <alignment horizontal="left"/>
      <protection/>
    </xf>
    <xf numFmtId="0" fontId="14" fillId="33" borderId="0" xfId="0" applyNumberFormat="1" applyAlignment="1" applyProtection="1">
      <alignment horizontal="left" vertical="top"/>
      <protection/>
    </xf>
    <xf numFmtId="49" fontId="4" fillId="33" borderId="27" xfId="0" applyNumberFormat="1" applyBorder="1" applyAlignment="1" applyProtection="1">
      <alignment horizontal="left" vertical="top" wrapText="1"/>
      <protection/>
    </xf>
    <xf numFmtId="0" fontId="6" fillId="33" borderId="0" xfId="0" applyNumberFormat="1" applyAlignment="1" applyProtection="1">
      <alignment horizontal="left" vertical="top"/>
      <protection/>
    </xf>
    <xf numFmtId="0" fontId="14" fillId="33" borderId="0" xfId="0" applyNumberFormat="1" applyAlignment="1" applyProtection="1">
      <alignment horizontal="left"/>
      <protection/>
    </xf>
    <xf numFmtId="0" fontId="14" fillId="0" borderId="0" xfId="0" applyNumberFormat="1" applyFill="1" applyAlignment="1" applyProtection="1">
      <alignment horizontal="left"/>
      <protection/>
    </xf>
    <xf numFmtId="4" fontId="27" fillId="3" borderId="17" xfId="0" applyNumberFormat="1" applyBorder="1" applyAlignment="1" applyProtection="1">
      <alignment horizontal="right"/>
      <protection locked="0"/>
    </xf>
    <xf numFmtId="0" fontId="14" fillId="0" borderId="0" xfId="0" applyNumberFormat="1" applyFill="1" applyAlignment="1" applyProtection="1">
      <alignment horizontal="right"/>
      <protection/>
    </xf>
    <xf numFmtId="0" fontId="10" fillId="0" borderId="0" xfId="0" applyNumberFormat="1" applyFill="1" applyAlignment="1" applyProtection="1">
      <alignment horizontal="left"/>
      <protection locked="0"/>
    </xf>
    <xf numFmtId="167" fontId="14" fillId="33" borderId="0" xfId="0" applyNumberFormat="1" applyAlignment="1" applyProtection="1">
      <alignment horizontal="left" vertical="top"/>
      <protection/>
    </xf>
    <xf numFmtId="0" fontId="7" fillId="33" borderId="0" xfId="0" applyNumberFormat="1" applyAlignment="1" applyProtection="1">
      <alignment horizontal="left" indent="1"/>
      <protection/>
    </xf>
    <xf numFmtId="0" fontId="9" fillId="33" borderId="0" xfId="0" applyNumberFormat="1" applyAlignment="1" applyProtection="1">
      <alignment horizontal="left"/>
      <protection/>
    </xf>
    <xf numFmtId="0" fontId="20" fillId="33" borderId="0" xfId="0" applyNumberFormat="1" applyAlignment="1" applyProtection="1">
      <alignment horizontal="left"/>
      <protection/>
    </xf>
    <xf numFmtId="167" fontId="20" fillId="33" borderId="0" xfId="0" applyNumberFormat="1" applyAlignment="1" applyProtection="1">
      <alignment horizontal="right"/>
      <protection/>
    </xf>
    <xf numFmtId="0" fontId="7" fillId="33" borderId="0" xfId="0" applyNumberFormat="1" applyAlignment="1" applyProtection="1">
      <alignment horizontal="left"/>
      <protection/>
    </xf>
    <xf numFmtId="164" fontId="10" fillId="33" borderId="0" xfId="0" applyNumberFormat="1" applyAlignment="1" applyProtection="1">
      <alignment horizontal="left"/>
      <protection/>
    </xf>
    <xf numFmtId="167" fontId="8" fillId="0" borderId="0" xfId="0" applyNumberFormat="1" applyFill="1" applyAlignment="1" applyProtection="1">
      <alignment horizontal="left"/>
      <protection/>
    </xf>
    <xf numFmtId="0" fontId="3" fillId="33" borderId="0" xfId="0" applyNumberFormat="1" applyAlignment="1" applyProtection="1">
      <alignment horizontal="left"/>
      <protection/>
    </xf>
    <xf numFmtId="0" fontId="6" fillId="33" borderId="0" xfId="0" applyNumberFormat="1" applyAlignment="1" applyProtection="1">
      <alignment horizontal="left"/>
      <protection/>
    </xf>
    <xf numFmtId="49" fontId="4" fillId="33" borderId="26" xfId="0" applyNumberFormat="1" applyBorder="1" applyAlignment="1" applyProtection="1">
      <alignment horizontal="left" vertical="top" wrapText="1"/>
      <protection/>
    </xf>
    <xf numFmtId="0" fontId="21" fillId="33" borderId="0" xfId="0" applyNumberFormat="1" applyAlignment="1" applyProtection="1">
      <alignment horizontal="left"/>
      <protection/>
    </xf>
    <xf numFmtId="49" fontId="21" fillId="33" borderId="0" xfId="0" applyNumberFormat="1" applyAlignment="1" applyProtection="1">
      <alignment horizontal="left"/>
      <protection/>
    </xf>
    <xf numFmtId="0" fontId="14" fillId="33" borderId="0" xfId="0" applyNumberFormat="1" applyAlignment="1" applyProtection="1">
      <alignment horizontal="left"/>
      <protection/>
    </xf>
    <xf numFmtId="167" fontId="14" fillId="33" borderId="0" xfId="0" applyNumberFormat="1" applyAlignment="1" applyProtection="1">
      <alignment horizontal="left"/>
      <protection/>
    </xf>
    <xf numFmtId="49" fontId="4" fillId="33" borderId="0" xfId="0" applyNumberFormat="1" applyAlignment="1" applyProtection="1">
      <alignment horizontal="left" vertical="top" wrapText="1"/>
      <protection/>
    </xf>
    <xf numFmtId="0" fontId="21" fillId="33" borderId="10" xfId="0" applyNumberFormat="1" applyBorder="1" applyAlignment="1" applyProtection="1">
      <alignment horizontal="left"/>
      <protection/>
    </xf>
    <xf numFmtId="49" fontId="21" fillId="33" borderId="10" xfId="0" applyNumberFormat="1" applyBorder="1" applyAlignment="1" applyProtection="1">
      <alignment horizontal="left"/>
      <protection/>
    </xf>
    <xf numFmtId="0" fontId="14" fillId="33" borderId="10" xfId="0" applyNumberFormat="1" applyBorder="1" applyAlignment="1" applyProtection="1">
      <alignment horizontal="left"/>
      <protection/>
    </xf>
    <xf numFmtId="170" fontId="14" fillId="33" borderId="10" xfId="0" applyNumberFormat="1" applyBorder="1" applyAlignment="1" applyProtection="1">
      <alignment horizontal="left"/>
      <protection/>
    </xf>
    <xf numFmtId="49" fontId="14" fillId="33" borderId="10" xfId="0" applyNumberFormat="1" applyBorder="1" applyAlignment="1" applyProtection="1">
      <alignment horizontal="left"/>
      <protection/>
    </xf>
    <xf numFmtId="0" fontId="10" fillId="0" borderId="0" xfId="0" applyNumberFormat="1" applyFill="1" applyAlignment="1" applyProtection="1">
      <alignment horizontal="left"/>
      <protection/>
    </xf>
    <xf numFmtId="166" fontId="14" fillId="33" borderId="10" xfId="0" applyNumberFormat="1" applyBorder="1" applyAlignment="1" applyProtection="1">
      <alignment horizontal="left"/>
      <protection/>
    </xf>
    <xf numFmtId="166" fontId="14" fillId="33" borderId="0" xfId="0" applyNumberFormat="1" applyAlignment="1" applyProtection="1">
      <alignment horizontal="left"/>
      <protection/>
    </xf>
    <xf numFmtId="0" fontId="4" fillId="33" borderId="18" xfId="0" applyNumberFormat="1" applyBorder="1" applyAlignment="1" applyProtection="1">
      <alignment horizontal="left"/>
      <protection/>
    </xf>
    <xf numFmtId="0" fontId="4" fillId="33" borderId="18" xfId="0" applyNumberFormat="1" applyBorder="1" applyAlignment="1" applyProtection="1">
      <alignment horizontal="left"/>
      <protection/>
    </xf>
    <xf numFmtId="0" fontId="4" fillId="33" borderId="0" xfId="0" applyNumberFormat="1" applyAlignment="1" applyProtection="1">
      <alignment horizontal="left"/>
      <protection/>
    </xf>
    <xf numFmtId="0" fontId="14" fillId="33" borderId="30" xfId="0" applyNumberFormat="1" applyBorder="1" applyAlignment="1" applyProtection="1">
      <alignment horizontal="left"/>
      <protection/>
    </xf>
    <xf numFmtId="4" fontId="26" fillId="3" borderId="20" xfId="0" applyNumberFormat="1" applyBorder="1" applyAlignment="1" applyProtection="1">
      <alignment horizontal="left"/>
      <protection locked="0"/>
    </xf>
    <xf numFmtId="4" fontId="26" fillId="3" borderId="25" xfId="0" applyNumberFormat="1" applyBorder="1" applyAlignment="1" applyProtection="1">
      <alignment horizontal="left"/>
      <protection locked="0"/>
    </xf>
    <xf numFmtId="4" fontId="26" fillId="3" borderId="19" xfId="0" applyNumberFormat="1" applyBorder="1" applyAlignment="1" applyProtection="1">
      <alignment horizontal="left"/>
      <protection locked="0"/>
    </xf>
    <xf numFmtId="49" fontId="14" fillId="33" borderId="0" xfId="0" applyNumberFormat="1" applyAlignment="1" applyProtection="1">
      <alignment horizontal="left"/>
      <protection/>
    </xf>
    <xf numFmtId="0" fontId="4" fillId="33" borderId="10" xfId="0" applyNumberFormat="1" applyBorder="1" applyAlignment="1" applyProtection="1">
      <alignment horizontal="left"/>
      <protection/>
    </xf>
    <xf numFmtId="49" fontId="14" fillId="33" borderId="0" xfId="0" applyNumberFormat="1" applyAlignment="1" applyProtection="1">
      <alignment horizontal="left"/>
      <protection locked="0"/>
    </xf>
    <xf numFmtId="0" fontId="14" fillId="33" borderId="23" xfId="0" applyNumberFormat="1" applyBorder="1" applyAlignment="1" applyProtection="1">
      <alignment horizontal="left"/>
      <protection/>
    </xf>
    <xf numFmtId="0" fontId="25" fillId="3" borderId="0" xfId="0" applyNumberFormat="1" applyAlignment="1" applyProtection="1">
      <alignment horizontal="left"/>
      <protection locked="0"/>
    </xf>
    <xf numFmtId="167" fontId="14" fillId="0" borderId="0" xfId="0" applyNumberFormat="1" applyFill="1" applyAlignment="1" applyProtection="1">
      <alignment horizontal="left"/>
      <protection/>
    </xf>
    <xf numFmtId="169" fontId="25" fillId="3" borderId="0" xfId="0" applyNumberFormat="1" applyAlignment="1" applyProtection="1">
      <alignment horizontal="right"/>
      <protection locked="0"/>
    </xf>
    <xf numFmtId="166" fontId="14" fillId="33" borderId="10" xfId="0" applyNumberFormat="1" applyBorder="1" applyAlignment="1" applyProtection="1">
      <alignment horizontal="left"/>
      <protection/>
    </xf>
    <xf numFmtId="166" fontId="14" fillId="33" borderId="2" xfId="0" applyNumberFormat="1" applyBorder="1" applyAlignment="1" applyProtection="1">
      <alignment horizontal="left"/>
      <protection/>
    </xf>
    <xf numFmtId="167" fontId="10" fillId="0" borderId="0" xfId="0" applyNumberFormat="1" applyFill="1" applyAlignment="1" applyProtection="1">
      <alignment horizontal="left"/>
      <protection/>
    </xf>
    <xf numFmtId="0" fontId="10" fillId="33" borderId="0" xfId="0" applyNumberFormat="1" applyAlignment="1" applyProtection="1">
      <alignment horizontal="left"/>
      <protection/>
    </xf>
    <xf numFmtId="0" fontId="6" fillId="33" borderId="0" xfId="0" applyNumberFormat="1" applyAlignment="1" applyProtection="1">
      <alignment horizontal="left"/>
      <protection/>
    </xf>
    <xf numFmtId="0" fontId="11" fillId="33" borderId="0" xfId="0" applyNumberFormat="1" applyAlignment="1" applyProtection="1">
      <alignment horizontal="left"/>
      <protection/>
    </xf>
    <xf numFmtId="0" fontId="11" fillId="33" borderId="16" xfId="0" applyNumberFormat="1" applyBorder="1" applyAlignment="1" applyProtection="1">
      <alignment horizontal="left"/>
      <protection/>
    </xf>
    <xf numFmtId="166" fontId="11" fillId="33" borderId="0" xfId="0" applyNumberFormat="1" applyAlignment="1" applyProtection="1">
      <alignment horizontal="left"/>
      <protection/>
    </xf>
    <xf numFmtId="166" fontId="11" fillId="33" borderId="0" xfId="0" applyNumberFormat="1" applyAlignment="1" applyProtection="1">
      <alignment horizontal="left"/>
      <protection/>
    </xf>
    <xf numFmtId="165" fontId="18" fillId="35" borderId="14" xfId="0" applyNumberFormat="1" applyBorder="1" applyAlignment="1" applyProtection="1">
      <alignment horizontal="left" wrapText="1"/>
      <protection/>
    </xf>
    <xf numFmtId="165" fontId="18" fillId="35" borderId="20" xfId="0" applyNumberFormat="1" applyBorder="1" applyAlignment="1" applyProtection="1">
      <alignment horizontal="left" wrapText="1"/>
      <protection/>
    </xf>
    <xf numFmtId="165" fontId="18" fillId="35" borderId="19" xfId="0" applyNumberFormat="1" applyBorder="1" applyAlignment="1" applyProtection="1">
      <alignment horizontal="left" wrapText="1"/>
      <protection/>
    </xf>
    <xf numFmtId="0" fontId="18" fillId="35" borderId="14" xfId="0" applyNumberFormat="1" applyBorder="1" applyAlignment="1" applyProtection="1">
      <alignment horizontal="left" wrapText="1"/>
      <protection/>
    </xf>
    <xf numFmtId="0" fontId="18" fillId="35" borderId="20" xfId="0" applyNumberFormat="1" applyBorder="1" applyAlignment="1" applyProtection="1">
      <alignment horizontal="left" wrapText="1"/>
      <protection/>
    </xf>
    <xf numFmtId="0" fontId="18" fillId="35" borderId="19" xfId="0" applyNumberFormat="1" applyBorder="1" applyAlignment="1" applyProtection="1">
      <alignment horizontal="left" wrapText="1"/>
      <protection/>
    </xf>
    <xf numFmtId="167" fontId="18" fillId="36" borderId="0" xfId="0" applyNumberFormat="1" applyAlignment="1" applyProtection="1">
      <alignment horizontal="left" wrapText="1"/>
      <protection/>
    </xf>
    <xf numFmtId="1" fontId="17" fillId="34" borderId="14" xfId="0" applyNumberFormat="1" applyBorder="1" applyAlignment="1" applyProtection="1">
      <alignment horizontal="right" vertical="center"/>
      <protection/>
    </xf>
    <xf numFmtId="49" fontId="17" fillId="34" borderId="14" xfId="0" applyNumberFormat="1" applyBorder="1" applyAlignment="1" applyProtection="1">
      <alignment horizontal="left" vertical="center"/>
      <protection/>
    </xf>
    <xf numFmtId="49" fontId="17" fillId="34" borderId="20" xfId="0" applyNumberFormat="1" applyBorder="1" applyAlignment="1" applyProtection="1">
      <alignment horizontal="left" vertical="center"/>
      <protection/>
    </xf>
    <xf numFmtId="49" fontId="17" fillId="34" borderId="19" xfId="0" applyNumberFormat="1" applyBorder="1" applyAlignment="1" applyProtection="1">
      <alignment horizontal="left" vertical="center"/>
      <protection/>
    </xf>
    <xf numFmtId="4" fontId="17" fillId="3" borderId="14" xfId="0" applyNumberFormat="1" applyBorder="1" applyAlignment="1" applyProtection="1">
      <alignment horizontal="left" vertical="center"/>
      <protection/>
    </xf>
    <xf numFmtId="175" fontId="17" fillId="3" borderId="14" xfId="0" applyNumberFormat="1" applyBorder="1" applyAlignment="1" applyProtection="1">
      <alignment horizontal="left" vertical="center"/>
      <protection locked="0"/>
    </xf>
    <xf numFmtId="175" fontId="17" fillId="3" borderId="20" xfId="0" applyNumberFormat="1" applyBorder="1" applyAlignment="1" applyProtection="1">
      <alignment horizontal="right" vertical="center"/>
      <protection locked="0"/>
    </xf>
    <xf numFmtId="168" fontId="17" fillId="3" borderId="19" xfId="0" applyNumberFormat="1" applyBorder="1" applyAlignment="1" applyProtection="1">
      <alignment horizontal="right" vertical="center"/>
      <protection locked="0"/>
    </xf>
    <xf numFmtId="168" fontId="17" fillId="34" borderId="14" xfId="0" applyNumberFormat="1" applyBorder="1" applyAlignment="1" applyProtection="1">
      <alignment horizontal="left" vertical="center"/>
      <protection/>
    </xf>
    <xf numFmtId="49" fontId="22" fillId="3" borderId="20" xfId="0" applyNumberFormat="1" applyBorder="1" applyAlignment="1" applyProtection="1">
      <alignment horizontal="left" vertical="center"/>
      <protection locked="0"/>
    </xf>
    <xf numFmtId="49" fontId="22" fillId="3" borderId="19" xfId="0" applyNumberFormat="1" applyBorder="1" applyAlignment="1" applyProtection="1">
      <alignment horizontal="left" vertical="center"/>
      <protection locked="0"/>
    </xf>
    <xf numFmtId="0" fontId="23" fillId="0" borderId="20" xfId="0" applyNumberFormat="1" applyFill="1" applyBorder="1" applyAlignment="1" applyProtection="1">
      <alignment horizontal="left"/>
      <protection/>
    </xf>
    <xf numFmtId="0" fontId="23" fillId="0" borderId="19" xfId="0" applyNumberFormat="1" applyFill="1" applyBorder="1" applyAlignment="1" applyProtection="1">
      <alignment horizontal="left"/>
      <protection/>
    </xf>
    <xf numFmtId="167" fontId="23" fillId="36" borderId="0" xfId="0" applyNumberFormat="1" applyAlignment="1" applyProtection="1">
      <alignment horizontal="left"/>
      <protection/>
    </xf>
    <xf numFmtId="1" fontId="6" fillId="0" borderId="0" xfId="0" applyNumberFormat="1" applyFill="1" applyAlignment="1" applyProtection="1">
      <alignment horizontal="right" vertical="center"/>
      <protection/>
    </xf>
    <xf numFmtId="0" fontId="10" fillId="0" borderId="0" xfId="0" applyNumberFormat="1" applyFill="1" applyAlignment="1" applyProtection="1">
      <alignment horizontal="left"/>
      <protection/>
    </xf>
    <xf numFmtId="0" fontId="6" fillId="0" borderId="0" xfId="0" applyNumberFormat="1" applyFill="1" applyAlignment="1" applyProtection="1">
      <alignment horizontal="right"/>
      <protection/>
    </xf>
    <xf numFmtId="167" fontId="8" fillId="36" borderId="0" xfId="0" applyNumberFormat="1" applyAlignment="1" applyProtection="1">
      <alignment horizontal="left"/>
      <protection/>
    </xf>
    <xf numFmtId="165" fontId="18" fillId="35" borderId="15" xfId="0" applyNumberFormat="1" applyBorder="1" applyAlignment="1" applyProtection="1">
      <alignment horizontal="left" wrapText="1"/>
      <protection/>
    </xf>
    <xf numFmtId="165" fontId="18" fillId="35" borderId="24" xfId="0" applyNumberFormat="1" applyBorder="1" applyAlignment="1" applyProtection="1">
      <alignment horizontal="left" wrapText="1"/>
      <protection/>
    </xf>
    <xf numFmtId="165" fontId="18" fillId="35" borderId="16" xfId="0" applyNumberFormat="1" applyBorder="1" applyAlignment="1" applyProtection="1">
      <alignment horizontal="left" wrapText="1"/>
      <protection/>
    </xf>
    <xf numFmtId="165" fontId="18" fillId="35" borderId="0" xfId="0" applyNumberFormat="1" applyAlignment="1" applyProtection="1">
      <alignment horizontal="left" wrapText="1"/>
      <protection/>
    </xf>
    <xf numFmtId="0" fontId="18" fillId="35" borderId="16" xfId="0" applyNumberFormat="1" applyBorder="1" applyAlignment="1" applyProtection="1">
      <alignment horizontal="left"/>
      <protection/>
    </xf>
    <xf numFmtId="0" fontId="18" fillId="35" borderId="16" xfId="0" applyNumberFormat="1" applyBorder="1" applyAlignment="1" applyProtection="1">
      <alignment horizontal="left" wrapText="1"/>
      <protection/>
    </xf>
    <xf numFmtId="1" fontId="17" fillId="34" borderId="11" xfId="0" applyNumberFormat="1" applyBorder="1" applyAlignment="1" applyProtection="1">
      <alignment horizontal="right" vertical="center"/>
      <protection/>
    </xf>
    <xf numFmtId="1" fontId="17" fillId="34" borderId="12" xfId="0" applyNumberFormat="1" applyBorder="1" applyAlignment="1" applyProtection="1">
      <alignment horizontal="right" vertical="center"/>
      <protection/>
    </xf>
    <xf numFmtId="0" fontId="24" fillId="3" borderId="20" xfId="0" applyNumberFormat="1" applyBorder="1" applyAlignment="1" applyProtection="1">
      <alignment horizontal="left"/>
      <protection locked="0"/>
    </xf>
    <xf numFmtId="0" fontId="24" fillId="3" borderId="25" xfId="0" applyNumberFormat="1" applyBorder="1" applyAlignment="1" applyProtection="1">
      <alignment horizontal="left"/>
      <protection locked="0"/>
    </xf>
    <xf numFmtId="0" fontId="24" fillId="3" borderId="19" xfId="0" applyNumberFormat="1" applyBorder="1" applyAlignment="1" applyProtection="1">
      <alignment horizontal="left"/>
      <protection locked="0"/>
    </xf>
    <xf numFmtId="0" fontId="8" fillId="36" borderId="0" xfId="0" applyNumberFormat="1" applyAlignment="1" applyProtection="1">
      <alignment horizontal="left"/>
      <protection/>
    </xf>
    <xf numFmtId="175" fontId="8" fillId="37" borderId="20" xfId="0" applyNumberFormat="1" applyBorder="1" applyAlignment="1" applyProtection="1">
      <alignment horizontal="left"/>
      <protection locked="0"/>
    </xf>
    <xf numFmtId="169" fontId="8" fillId="37" borderId="19" xfId="0" applyNumberFormat="1" applyBorder="1" applyAlignment="1" applyProtection="1">
      <alignment horizontal="left"/>
      <protection locked="0"/>
    </xf>
    <xf numFmtId="175" fontId="8" fillId="37" borderId="14" xfId="0" applyNumberFormat="1" applyBorder="1" applyAlignment="1" applyProtection="1">
      <alignment horizontal="left"/>
      <protection locked="0"/>
    </xf>
    <xf numFmtId="169" fontId="25" fillId="3" borderId="14" xfId="0" applyNumberFormat="1" applyBorder="1" applyAlignment="1" applyProtection="1">
      <alignment horizontal="right"/>
      <protection/>
    </xf>
    <xf numFmtId="0" fontId="13" fillId="3" borderId="20" xfId="0" applyNumberFormat="1" applyBorder="1" applyAlignment="1" applyProtection="1">
      <alignment horizontal="left"/>
      <protection locked="0"/>
    </xf>
    <xf numFmtId="0" fontId="13" fillId="3" borderId="25" xfId="0" applyNumberFormat="1" applyBorder="1" applyAlignment="1" applyProtection="1">
      <alignment horizontal="left"/>
      <protection locked="0"/>
    </xf>
    <xf numFmtId="0" fontId="13" fillId="3" borderId="19" xfId="0" applyNumberFormat="1" applyBorder="1" applyAlignment="1" applyProtection="1">
      <alignment horizontal="left"/>
      <protection locked="0"/>
    </xf>
    <xf numFmtId="167" fontId="13" fillId="36" borderId="0" xfId="0" applyNumberFormat="1" applyAlignment="1" applyProtection="1">
      <alignment horizontal="left"/>
      <protection locked="0"/>
    </xf>
    <xf numFmtId="0" fontId="10" fillId="36" borderId="0" xfId="0" applyNumberFormat="1" applyAlignment="1" applyProtection="1">
      <alignment horizontal="left"/>
      <protection/>
    </xf>
    <xf numFmtId="168" fontId="25" fillId="3" borderId="14" xfId="0" applyNumberFormat="1" applyBorder="1" applyAlignment="1" applyProtection="1">
      <alignment horizontal="right"/>
      <protection/>
    </xf>
    <xf numFmtId="4" fontId="13" fillId="3" borderId="20" xfId="0" applyNumberFormat="1" applyBorder="1" applyAlignment="1" applyProtection="1">
      <alignment horizontal="left"/>
      <protection locked="0"/>
    </xf>
    <xf numFmtId="4" fontId="13" fillId="3" borderId="25" xfId="0" applyNumberFormat="1" applyBorder="1" applyAlignment="1" applyProtection="1">
      <alignment horizontal="left"/>
      <protection locked="0"/>
    </xf>
    <xf numFmtId="4" fontId="13" fillId="3" borderId="19" xfId="0" applyNumberFormat="1" applyBorder="1" applyAlignment="1" applyProtection="1">
      <alignment horizontal="left"/>
      <protection locked="0"/>
    </xf>
    <xf numFmtId="175" fontId="8" fillId="37" borderId="21" xfId="0" applyNumberFormat="1" applyBorder="1" applyAlignment="1" applyProtection="1">
      <alignment horizontal="left"/>
      <protection locked="0"/>
    </xf>
    <xf numFmtId="0" fontId="12" fillId="33" borderId="0" xfId="0" applyNumberFormat="1" applyAlignment="1" applyProtection="1">
      <alignment horizontal="left"/>
      <protection/>
    </xf>
    <xf numFmtId="44" fontId="13" fillId="33" borderId="0" xfId="0" applyNumberFormat="1" applyAlignment="1" applyProtection="1">
      <alignment horizontal="left"/>
      <protection/>
    </xf>
    <xf numFmtId="168" fontId="15" fillId="34" borderId="14" xfId="0" applyNumberFormat="1" applyBorder="1" applyAlignment="1" applyProtection="1">
      <alignment horizontal="left" vertical="center"/>
      <protection/>
    </xf>
    <xf numFmtId="4" fontId="17" fillId="34" borderId="28" xfId="0" applyNumberFormat="1" applyBorder="1" applyAlignment="1" applyProtection="1">
      <alignment horizontal="left" vertical="center"/>
      <protection/>
    </xf>
    <xf numFmtId="4" fontId="17" fillId="34" borderId="29" xfId="0" applyNumberFormat="1" applyBorder="1" applyAlignment="1" applyProtection="1">
      <alignment horizontal="left" vertical="center"/>
      <protection/>
    </xf>
    <xf numFmtId="4" fontId="17" fillId="34" borderId="22" xfId="0" applyNumberFormat="1" applyBorder="1" applyAlignment="1" applyProtection="1">
      <alignment horizontal="left" vertical="center"/>
      <protection/>
    </xf>
    <xf numFmtId="4" fontId="17" fillId="34" borderId="0" xfId="0" applyNumberFormat="1" applyAlignment="1" applyProtection="1">
      <alignment horizontal="left" vertical="center"/>
      <protection/>
    </xf>
    <xf numFmtId="1" fontId="12" fillId="33" borderId="0" xfId="0" applyNumberFormat="1" applyAlignment="1" applyProtection="1">
      <alignment horizontal="left"/>
      <protection/>
    </xf>
    <xf numFmtId="1" fontId="13" fillId="33" borderId="0" xfId="0" applyNumberFormat="1" applyAlignment="1" applyProtection="1">
      <alignment horizontal="left"/>
      <protection/>
    </xf>
    <xf numFmtId="37" fontId="13" fillId="33" borderId="0" xfId="0" applyNumberFormat="1" applyAlignment="1" applyProtection="1">
      <alignment horizontal="left"/>
      <protection locked="0"/>
    </xf>
    <xf numFmtId="49" fontId="13" fillId="33" borderId="0" xfId="0" applyNumberFormat="1" applyAlignment="1" applyProtection="1">
      <alignment horizontal="left"/>
      <protection/>
    </xf>
    <xf numFmtId="3" fontId="13" fillId="33" borderId="0" xfId="0" applyNumberFormat="1" applyAlignment="1" applyProtection="1">
      <alignment horizontal="left"/>
      <protection locked="0"/>
    </xf>
    <xf numFmtId="37" fontId="13" fillId="33" borderId="0" xfId="0" applyNumberFormat="1" applyAlignment="1" applyProtection="1">
      <alignment horizontal="left"/>
      <protection/>
    </xf>
    <xf numFmtId="44" fontId="13" fillId="33" borderId="0" xfId="0" applyNumberFormat="1" applyAlignment="1" applyProtection="1">
      <alignment horizontal="left"/>
      <protection locked="0"/>
    </xf>
    <xf numFmtId="165" fontId="15" fillId="35" borderId="0" xfId="0" applyNumberFormat="1" applyAlignment="1" applyProtection="1">
      <alignment horizontal="left" vertical="center" wrapText="1"/>
      <protection/>
    </xf>
    <xf numFmtId="165" fontId="15" fillId="35" borderId="31" xfId="0" applyNumberFormat="1" applyBorder="1" applyAlignment="1" applyProtection="1">
      <alignment horizontal="left" vertical="center" wrapText="1"/>
      <protection/>
    </xf>
    <xf numFmtId="1" fontId="17" fillId="34" borderId="15" xfId="0" applyNumberFormat="1" applyBorder="1" applyAlignment="1" applyProtection="1">
      <alignment horizontal="left" vertical="center" wrapText="1"/>
      <protection/>
    </xf>
    <xf numFmtId="1" fontId="17" fillId="34" borderId="0" xfId="0" applyNumberFormat="1" applyAlignment="1" applyProtection="1">
      <alignment horizontal="left" vertical="center" wrapText="1"/>
      <protection/>
    </xf>
    <xf numFmtId="167" fontId="17" fillId="36" borderId="0" xfId="0" applyNumberFormat="1" applyAlignment="1" applyProtection="1">
      <alignment horizontal="left" vertical="center" wrapText="1"/>
      <protection/>
    </xf>
    <xf numFmtId="1" fontId="19" fillId="3" borderId="15" xfId="0" applyNumberFormat="1" applyBorder="1" applyAlignment="1" applyProtection="1">
      <alignment horizontal="left" vertical="center" wrapText="1"/>
      <protection locked="0"/>
    </xf>
    <xf numFmtId="1" fontId="19" fillId="3" borderId="0" xfId="0" applyNumberFormat="1" applyAlignment="1" applyProtection="1">
      <alignment horizontal="left" vertical="center" wrapText="1"/>
      <protection locked="0"/>
    </xf>
    <xf numFmtId="167" fontId="19" fillId="36" borderId="0" xfId="0" applyNumberFormat="1" applyAlignment="1" applyProtection="1">
      <alignment horizontal="left" vertical="center" wrapText="1"/>
      <protection locked="0"/>
    </xf>
    <xf numFmtId="165" fontId="16" fillId="35" borderId="0" xfId="0" applyNumberFormat="1" applyAlignment="1" applyProtection="1">
      <alignment horizontal="left" wrapText="1"/>
      <protection/>
    </xf>
    <xf numFmtId="167" fontId="16" fillId="36" borderId="0" xfId="0" applyNumberFormat="1" applyAlignment="1" applyProtection="1">
      <alignment horizontal="left" wrapText="1"/>
      <protection/>
    </xf>
    <xf numFmtId="1" fontId="15" fillId="34" borderId="0" xfId="0" applyNumberFormat="1" applyAlignment="1" applyProtection="1">
      <alignment horizontal="left" vertical="top" wrapText="1"/>
      <protection/>
    </xf>
    <xf numFmtId="167" fontId="15" fillId="36" borderId="0" xfId="0" applyNumberFormat="1" applyAlignment="1" applyProtection="1">
      <alignment horizontal="left" vertical="top" wrapText="1"/>
      <protection/>
    </xf>
    <xf numFmtId="1" fontId="17" fillId="34" borderId="0" xfId="0" applyNumberFormat="1" applyAlignment="1" applyProtection="1">
      <alignment horizontal="left" vertical="top" wrapText="1"/>
      <protection/>
    </xf>
    <xf numFmtId="167" fontId="17" fillId="36" borderId="0" xfId="0" applyNumberFormat="1" applyAlignment="1" applyProtection="1">
      <alignment horizontal="left" vertical="top" wrapText="1"/>
      <protection/>
    </xf>
    <xf numFmtId="0" fontId="27" fillId="0" borderId="0" xfId="0" applyNumberFormat="1" applyFill="1" applyAlignment="1" applyProtection="1">
      <alignment horizontal="left"/>
      <protection/>
    </xf>
    <xf numFmtId="0" fontId="8" fillId="0" borderId="0" xfId="0" applyNumberFormat="1" applyFill="1" applyAlignment="1" applyProtection="1">
      <alignment horizontal="left" wrapText="1"/>
      <protection/>
    </xf>
    <xf numFmtId="0" fontId="0" fillId="0" borderId="22" xfId="0" applyNumberFormat="1" applyFill="1" applyBorder="1" applyAlignment="1" applyProtection="1">
      <alignment horizontal="left"/>
      <protection/>
    </xf>
    <xf numFmtId="49" fontId="0" fillId="0" borderId="0" xfId="0" applyNumberFormat="1" applyFill="1" applyAlignment="1" applyProtection="1">
      <alignment horizontal="left"/>
      <protection/>
    </xf>
  </cellXfs>
  <cellStyles count="47">
    <cellStyle name="Normal" xfId="0"/>
    <cellStyle name="Percent" xfId="15"/>
    <cellStyle name="Currency" xfId="16"/>
    <cellStyle name="Currency [0]" xfId="17"/>
    <cellStyle name="Comma" xfId="18"/>
    <cellStyle name="Comma [0]" xfId="19"/>
    <cellStyle name="Heading 1" xfId="20"/>
    <cellStyle name="Heading 3" xfId="21"/>
    <cellStyle name="Calculation" xfId="22"/>
    <cellStyle name="40% - Accent1" xfId="23"/>
    <cellStyle name="Title" xfId="24"/>
    <cellStyle name="Heading 2" xfId="25"/>
    <cellStyle name="Heading 4" xfId="26"/>
    <cellStyle name="Good" xfId="27"/>
    <cellStyle name="Bad" xfId="28"/>
    <cellStyle name="Neutral" xfId="29"/>
    <cellStyle name="Input" xfId="30"/>
    <cellStyle name="Output" xfId="31"/>
    <cellStyle name="Linked Cell" xfId="32"/>
    <cellStyle name="Check Cell" xfId="33"/>
    <cellStyle name="Warning Text" xfId="34"/>
    <cellStyle name="Note" xfId="35"/>
    <cellStyle name="Explanatory Text" xfId="36"/>
    <cellStyle name="Total" xfId="37"/>
    <cellStyle name="Accent1" xfId="38"/>
    <cellStyle name="20% - Accent1" xfId="39"/>
    <cellStyle name="60% - Accent1" xfId="40"/>
    <cellStyle name="Accent2" xfId="41"/>
    <cellStyle name="20% - Accent2" xfId="42"/>
    <cellStyle name="40% - Accent2" xfId="43"/>
    <cellStyle name="60% - Accent2" xfId="44"/>
    <cellStyle name="Accent3" xfId="45"/>
    <cellStyle name="20% - Accent3" xfId="46"/>
    <cellStyle name="40% - Accent3" xfId="47"/>
    <cellStyle name="60% - Accent3" xfId="48"/>
    <cellStyle name="Accent4" xfId="49"/>
    <cellStyle name="20% - Accent4" xfId="50"/>
    <cellStyle name="40% - Accent4" xfId="51"/>
    <cellStyle name="60% - Accent4" xfId="52"/>
    <cellStyle name="Accent5" xfId="53"/>
    <cellStyle name="20% - Accent5" xfId="54"/>
    <cellStyle name="40% - Accent5" xfId="55"/>
    <cellStyle name="60% - Accent5" xfId="56"/>
    <cellStyle name="Accent6" xfId="57"/>
    <cellStyle name="20% - Accent6" xfId="58"/>
    <cellStyle name="40% - Accent6" xfId="59"/>
    <cellStyle name="60% - Accent6" xfId="6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C0C0C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E3EDED"/>
      <rgbColor rgb="00D6DCE0"/>
      <rgbColor rgb="00CCFFCC"/>
      <rgbColor rgb="00FFFF99"/>
      <rgbColor rgb="009DBEC3"/>
      <rgbColor rgb="00FF99CC"/>
      <rgbColor rgb="00EDF3F3"/>
      <rgbColor rgb="00FFCC99"/>
      <rgbColor rgb="003366FF"/>
      <rgbColor rgb="0033CCCC"/>
      <rgbColor rgb="0099CC00"/>
      <rgbColor rgb="00FFCC00"/>
      <rgbColor rgb="00FF9900"/>
      <rgbColor rgb="00FF6600"/>
      <rgbColor rgb="00969696"/>
      <rgbColor rgb="00969696"/>
      <rgbColor rgb="00003366"/>
      <rgbColor rgb="00339966"/>
      <rgbColor rgb="00003300"/>
      <rgbColor rgb="00333300"/>
      <rgbColor rgb="00993300"/>
      <rgbColor rgb="004B7279"/>
      <rgbColor rgb="00969696"/>
      <rgbColor rgb="00333333"/>
    </indexedColors>
  </colors>
  <extLst>
    <x:ext xmlns:x15="http://schemas.microsoft.com/office/spreadsheetml/2010/11/main" uri="{9260A510-F301-46a8-8635-F512D64BE5F5}">
      <x15:timelineStyles defaultTimelineStyle="TimeSlicerStyleLight1"/>
    </x: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microsoft.com/office/2006/relationships/vbaProject" Target="vbaProject.bin" /><Relationship Id="rId4" Type="http://schemas.openxmlformats.org/officeDocument/2006/relationships/styles" Target="styles.xml" /><Relationship Id="rId5" Type="http://schemas.openxmlformats.org/officeDocument/2006/relationships/sharedStrings" Target="sharedStrings.xml" /><Relationship Id="rId6" Type="http://schemas.openxmlformats.org/officeDocument/2006/relationships/theme" Target="theme/theme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114300</xdr:colOff>
      <xdr:row>0</xdr:row>
      <xdr:rowOff>200025</xdr:rowOff>
    </xdr:from>
    <xdr:to>
      <xdr:col>2</xdr:col>
      <xdr:colOff>408453</xdr:colOff>
      <xdr:row>1</xdr:row>
      <xdr:rowOff>263</xdr:rowOff>
    </xdr:to>
    <xdr:pic>
      <xdr:nvPicPr>
        <xdr:cNvPr id="11" name="Picture 10"/>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114300" y="200025"/>
          <a:ext cx="676275" cy="44767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14="http://schemas.microsoft.com/office/spreadsheetml/2009/9/main" xmlns:xm="http://schemas.microsoft.com/office/excel/2006/main" xmlns:mc="http://schemas.openxmlformats.org/markup-compatibility/2006" xmlns:x14ac="http://schemas.microsoft.com/office/spreadsheetml/2009/9/ac" xmlns:x="http://schemas.openxmlformats.org/spreadsheetml/2006/main" mc:Ignorable="x14ac">
  <sheetPr codeName="Sheet1"/>
  <dimension ref="A1:X58"/>
  <sheetViews>
    <sheetView showGridLines="0" tabSelected="1" workbookViewId="0" topLeftCell="G4">
      <selection pane="topLeft" activeCell="S11" sqref="S11 S11"/>
    </sheetView>
  </sheetViews>
  <sheetFormatPr defaultColWidth="9.140625" defaultRowHeight="12.75"/>
  <cols>
    <col min="1" max="1" width="5.71428571428571" style="163" customWidth="1"/>
    <col min="2" max="2" width="13" style="163" hidden="1" customWidth="1"/>
    <col min="3" max="3" width="11.1428571428571" style="163" customWidth="1"/>
    <col min="4" max="4" width="14.4285714285714" style="163" customWidth="1"/>
    <col min="5" max="5" width="31.2857142857143" style="163" customWidth="1"/>
    <col min="6" max="6" width="15.8571428571429" style="163" customWidth="1"/>
    <col min="7" max="7" width="19.2857142857143" style="163" customWidth="1"/>
    <col min="8" max="9" width="13.5714285714286" style="163" customWidth="1"/>
    <col min="10" max="10" width="5.71428571428571" style="163" customWidth="1"/>
    <col min="11" max="11" width="10.2857142857143" style="163" customWidth="1"/>
    <col min="12" max="12" width="9.57142857142857" style="163" customWidth="1"/>
    <col min="13" max="13" width="9.42857142857143" style="163" customWidth="1"/>
    <col min="14" max="14" width="18.1428571428571" style="163" customWidth="1"/>
    <col min="15" max="15" width="15.2857142857143" style="163" customWidth="1"/>
    <col min="16" max="16" width="13.5714285714286" style="163" customWidth="1"/>
    <col min="17" max="17" width="8.85714285714286" style="163" bestFit="1" customWidth="1"/>
    <col min="18" max="19" width="9.57142857142857" style="163" customWidth="1"/>
    <col min="20" max="20" width="12" style="179" customWidth="1"/>
    <col min="21" max="21" width="9.14285714285714" style="163" hidden="1" customWidth="1"/>
    <col min="22" max="22" width="9.14285714285714" style="163" hidden="1" customWidth="1"/>
    <col min="23" max="23" width="9.14285714285714" style="163" hidden="1" customWidth="1"/>
    <col min="24" max="16384" width="9.14285714285714" style="163" customWidth="1"/>
  </cols>
  <sheetData>
    <row r="1" spans="1:20" ht="51" customHeight="1">
      <c r="A1" s="173"/>
      <c r="B1" s="173" t="s">
        <v>0</v>
      </c>
      <c r="C1" s="173"/>
      <c r="E1" s="174"/>
      <c r="F1" s="174"/>
      <c r="G1" s="174"/>
      <c r="J1" s="174"/>
      <c r="K1" s="175" t="s">
        <v>1</v>
      </c>
      <c r="L1" s="175"/>
      <c r="M1" s="175"/>
      <c r="N1" s="175"/>
      <c r="O1" s="175"/>
      <c r="P1" s="175"/>
      <c r="Q1" s="175"/>
      <c r="R1" s="175"/>
      <c r="S1" s="175"/>
      <c r="T1" s="176"/>
    </row>
    <row r="2" spans="1:20" ht="5.25" customHeight="1">
      <c r="A2" s="177"/>
      <c r="B2" s="177"/>
      <c r="C2" s="177"/>
      <c r="D2" s="177"/>
      <c r="E2" s="177"/>
      <c r="F2" s="177"/>
      <c r="G2" s="177"/>
      <c r="H2" s="178"/>
      <c r="I2" s="178"/>
      <c r="J2" s="178"/>
      <c r="K2" s="178"/>
      <c r="L2" s="178"/>
      <c r="M2" s="178"/>
      <c r="N2" s="178"/>
      <c r="O2" s="178"/>
      <c r="P2" s="178"/>
      <c r="Q2" s="178"/>
      <c r="R2" s="178"/>
      <c r="S2" s="178"/>
      <c r="T2" s="179"/>
    </row>
    <row r="3" spans="1:20" ht="15" customHeight="1">
      <c r="A3" s="180" t="s">
        <v>2</v>
      </c>
      <c r="B3" s="180"/>
      <c r="C3" s="180"/>
      <c r="D3" s="180"/>
      <c r="E3" s="180"/>
      <c r="F3" s="180"/>
      <c r="G3" s="180"/>
      <c r="Q3" s="181"/>
      <c r="R3" s="181"/>
      <c r="S3" s="181"/>
      <c r="T3" s="179"/>
    </row>
    <row r="4" spans="1:20" ht="22.5" customHeight="1">
      <c r="A4" s="182" t="s">
        <v>3</v>
      </c>
      <c r="B4" s="182"/>
      <c r="C4" s="182"/>
      <c r="D4" s="182"/>
      <c r="E4" s="182"/>
      <c r="F4" s="182"/>
      <c r="G4" s="182"/>
      <c r="H4" s="182"/>
      <c r="I4" s="182"/>
      <c r="K4" s="183" t="s">
        <v>4</v>
      </c>
      <c r="L4" s="183"/>
      <c r="M4" s="184" t="s">
        <v>5</v>
      </c>
      <c r="N4" s="184"/>
      <c r="O4" s="184"/>
      <c r="P4" s="184"/>
      <c r="Q4" s="185"/>
      <c r="R4" s="185"/>
      <c r="S4" s="185"/>
      <c r="T4" s="186"/>
    </row>
    <row r="5" spans="1:20" ht="21" customHeight="1">
      <c r="A5" s="187"/>
      <c r="B5" s="187"/>
      <c r="C5" s="187"/>
      <c r="D5" s="187"/>
      <c r="E5" s="187"/>
      <c r="F5" s="187"/>
      <c r="G5" s="187"/>
      <c r="H5" s="187"/>
      <c r="I5" s="187"/>
      <c r="K5" s="188" t="s">
        <v>6</v>
      </c>
      <c r="L5" s="188"/>
      <c r="M5" s="189" t="s">
        <v>7</v>
      </c>
      <c r="N5" s="189"/>
      <c r="O5" s="189"/>
      <c r="P5" s="189"/>
      <c r="Q5" s="185"/>
      <c r="R5" s="185"/>
      <c r="S5" s="185"/>
      <c r="T5" s="186"/>
    </row>
    <row r="6" spans="1:20" s="193" customFormat="1" ht="14.1" customHeight="1">
      <c r="A6" s="187"/>
      <c r="B6" s="187"/>
      <c r="C6" s="187"/>
      <c r="D6" s="187"/>
      <c r="E6" s="187"/>
      <c r="F6" s="187"/>
      <c r="G6" s="187"/>
      <c r="H6" s="187"/>
      <c r="I6" s="187"/>
      <c r="K6" s="190" t="s">
        <v>8</v>
      </c>
      <c r="L6" s="190"/>
      <c r="M6" s="191">
        <v>43787</v>
      </c>
      <c r="N6" s="191"/>
      <c r="O6" s="191"/>
      <c r="P6" s="191"/>
      <c r="Q6" s="185"/>
      <c r="R6" s="185"/>
      <c r="S6" s="185"/>
      <c r="T6" s="186"/>
    </row>
    <row r="7" spans="1:24" s="193" customFormat="1" ht="14.1" customHeight="1">
      <c r="A7" s="187"/>
      <c r="B7" s="187"/>
      <c r="C7" s="187"/>
      <c r="D7" s="187"/>
      <c r="E7" s="187"/>
      <c r="F7" s="187"/>
      <c r="G7" s="187"/>
      <c r="H7" s="187"/>
      <c r="I7" s="187"/>
      <c r="K7" s="190"/>
      <c r="L7" s="190"/>
      <c r="M7" s="192"/>
      <c r="N7" s="192"/>
      <c r="O7" s="192"/>
      <c r="P7" s="192"/>
      <c r="Q7" s="192"/>
      <c r="R7" s="185"/>
      <c r="S7" s="185"/>
      <c r="T7" s="186"/>
      <c r="U7" s="193"/>
      <c r="V7" s="193"/>
      <c r="W7" s="193"/>
      <c r="X7" s="193"/>
    </row>
    <row r="8" spans="1:20" s="193" customFormat="1" ht="13.5" customHeight="1">
      <c r="A8" s="187"/>
      <c r="B8" s="187"/>
      <c r="C8" s="187"/>
      <c r="D8" s="187"/>
      <c r="E8" s="187"/>
      <c r="F8" s="187"/>
      <c r="G8" s="187"/>
      <c r="H8" s="187"/>
      <c r="I8" s="187"/>
      <c r="J8" s="166"/>
      <c r="K8" s="190" t="s">
        <v>9</v>
      </c>
      <c r="L8" s="190"/>
      <c r="M8" s="194">
        <v>43787</v>
      </c>
      <c r="N8" s="194"/>
      <c r="O8" s="195"/>
      <c r="P8" s="185"/>
      <c r="Q8" s="164"/>
      <c r="R8" s="164"/>
      <c r="S8" s="164"/>
      <c r="T8" s="172"/>
    </row>
    <row r="9" spans="1:20" s="193" customFormat="1" ht="15" customHeight="1">
      <c r="A9" s="187"/>
      <c r="B9" s="187"/>
      <c r="C9" s="187"/>
      <c r="D9" s="187"/>
      <c r="E9" s="187"/>
      <c r="F9" s="187"/>
      <c r="G9" s="187"/>
      <c r="H9" s="187"/>
      <c r="I9" s="187"/>
      <c r="J9" s="166"/>
      <c r="K9" s="167" t="s">
        <v>10</v>
      </c>
      <c r="L9" s="168"/>
      <c r="M9" s="192" t="s">
        <v>11</v>
      </c>
      <c r="N9" s="192"/>
      <c r="O9" s="192"/>
      <c r="P9" s="192"/>
      <c r="Q9" s="192"/>
      <c r="R9" s="164"/>
      <c r="S9" s="164"/>
      <c r="T9" s="172"/>
    </row>
    <row r="10" spans="1:20" s="193" customFormat="1" ht="15" customHeight="1">
      <c r="A10" s="187"/>
      <c r="B10" s="187"/>
      <c r="C10" s="187"/>
      <c r="D10" s="187"/>
      <c r="E10" s="187"/>
      <c r="F10" s="187"/>
      <c r="G10" s="187"/>
      <c r="H10" s="187"/>
      <c r="I10" s="187"/>
      <c r="J10" s="166"/>
      <c r="K10" s="167" t="s">
        <v>12</v>
      </c>
      <c r="L10" s="168"/>
      <c r="M10" s="191"/>
      <c r="N10" s="191"/>
      <c r="O10" s="195"/>
      <c r="P10" s="168"/>
      <c r="Q10" s="164"/>
      <c r="R10" s="164"/>
      <c r="S10" s="164"/>
      <c r="T10" s="172"/>
    </row>
    <row r="11" spans="1:20" s="193" customFormat="1" ht="15" customHeight="1">
      <c r="A11" s="165"/>
      <c r="B11" s="165"/>
      <c r="C11" s="165"/>
      <c r="D11" s="165"/>
      <c r="E11" s="165"/>
      <c r="F11" s="165"/>
      <c r="G11" s="165"/>
      <c r="H11" s="165"/>
      <c r="I11" s="165"/>
      <c r="J11" s="166"/>
      <c r="K11" s="167" t="s">
        <v>13</v>
      </c>
      <c r="L11" s="168"/>
      <c r="M11" s="169">
        <v>10</v>
      </c>
      <c r="N11" s="170"/>
      <c r="O11" s="171"/>
      <c r="P11" s="164"/>
      <c r="Q11" s="164"/>
      <c r="R11" s="164"/>
      <c r="S11" s="164"/>
      <c r="T11" s="172"/>
    </row>
    <row r="12" spans="1:20" s="193" customFormat="1" ht="15.75" customHeight="1">
      <c r="A12" s="196" t="s">
        <v>14</v>
      </c>
      <c r="B12" s="196"/>
      <c r="C12" s="196"/>
      <c r="D12" s="197"/>
      <c r="E12" s="198"/>
      <c r="F12" s="198"/>
      <c r="G12" s="198"/>
      <c r="H12" s="197"/>
      <c r="I12" s="197"/>
      <c r="K12" s="190" t="s">
        <v>15</v>
      </c>
      <c r="L12" s="199"/>
      <c r="M12" s="200" t="s">
        <v>145</v>
      </c>
      <c r="N12" s="201"/>
      <c r="O12" s="202"/>
      <c r="P12" s="164"/>
      <c r="Q12" s="164"/>
      <c r="R12" s="164"/>
      <c r="S12" s="164"/>
      <c r="T12" s="172"/>
    </row>
    <row r="13" spans="1:20" s="193" customFormat="1" ht="12.75" customHeight="1">
      <c r="A13" s="190" t="s">
        <v>16</v>
      </c>
      <c r="B13" s="190"/>
      <c r="C13" s="190"/>
      <c r="D13" s="192" t="s">
        <v>17</v>
      </c>
      <c r="E13" s="192"/>
      <c r="F13" s="192"/>
      <c r="G13" s="192"/>
      <c r="H13" s="192"/>
      <c r="I13" s="203"/>
      <c r="K13" s="204"/>
      <c r="L13" s="204"/>
      <c r="M13" s="205"/>
      <c r="N13" s="205"/>
      <c r="O13" s="205"/>
      <c r="P13" s="205"/>
      <c r="Q13" s="205"/>
      <c r="R13" s="164"/>
      <c r="S13" s="164"/>
      <c r="T13" s="172"/>
    </row>
    <row r="14" spans="1:20" s="193" customFormat="1" ht="12.75" customHeight="1">
      <c r="A14" s="190" t="s">
        <v>18</v>
      </c>
      <c r="B14" s="190"/>
      <c r="C14" s="190"/>
      <c r="D14" s="192" t="s">
        <v>19</v>
      </c>
      <c r="E14" s="192"/>
      <c r="F14" s="192"/>
      <c r="G14" s="192"/>
      <c r="H14" s="192"/>
      <c r="I14" s="203"/>
      <c r="K14" s="190" t="s">
        <v>20</v>
      </c>
      <c r="L14" s="206"/>
      <c r="M14" s="207" t="s">
        <v>129</v>
      </c>
      <c r="N14" s="168"/>
      <c r="O14" s="168"/>
      <c r="P14" s="208"/>
      <c r="Q14" s="186"/>
      <c r="R14" s="164"/>
      <c r="S14" s="164"/>
      <c r="T14" s="172"/>
    </row>
    <row r="15" spans="1:20" s="193" customFormat="1" ht="12.75" customHeight="1">
      <c r="A15" s="190" t="s">
        <v>21</v>
      </c>
      <c r="B15" s="190"/>
      <c r="C15" s="190"/>
      <c r="D15" s="192"/>
      <c r="E15" s="192"/>
      <c r="F15" s="192"/>
      <c r="G15" s="192"/>
      <c r="H15" s="192"/>
      <c r="I15" s="203"/>
      <c r="K15" s="190" t="s">
        <v>22</v>
      </c>
      <c r="L15" s="206"/>
      <c r="M15" s="209">
        <v>0</v>
      </c>
      <c r="N15" s="210"/>
      <c r="O15" s="211"/>
      <c r="P15" s="208" t="s">
        <v>23</v>
      </c>
      <c r="Q15" s="186"/>
      <c r="R15" s="164"/>
      <c r="S15" s="164"/>
      <c r="T15" s="172"/>
    </row>
    <row r="16" spans="1:20" s="193" customFormat="1" ht="12.75" customHeight="1">
      <c r="A16" s="190" t="s">
        <v>24</v>
      </c>
      <c r="B16" s="190"/>
      <c r="C16" s="190"/>
      <c r="D16" s="192">
        <v>6562622323</v>
      </c>
      <c r="E16" s="192"/>
      <c r="F16" s="192"/>
      <c r="G16" s="192"/>
      <c r="H16" s="192"/>
      <c r="I16" s="203"/>
      <c r="K16" s="190" t="s">
        <v>25</v>
      </c>
      <c r="L16" s="206"/>
      <c r="M16" s="209">
        <v>0</v>
      </c>
      <c r="N16" s="210"/>
      <c r="O16" s="211"/>
      <c r="P16" s="168"/>
      <c r="Q16" s="185"/>
      <c r="R16" s="164"/>
      <c r="S16" s="164"/>
      <c r="T16" s="172"/>
    </row>
    <row r="17" spans="1:20" s="193" customFormat="1" ht="12.75" customHeight="1">
      <c r="A17" s="190" t="s">
        <v>26</v>
      </c>
      <c r="B17" s="190"/>
      <c r="C17" s="190"/>
      <c r="D17" s="192" t="s">
        <v>27</v>
      </c>
      <c r="E17" s="192"/>
      <c r="F17" s="192"/>
      <c r="G17" s="192"/>
      <c r="H17" s="192"/>
      <c r="I17" s="203"/>
      <c r="K17" s="181"/>
      <c r="L17" s="181"/>
      <c r="M17" s="181"/>
      <c r="N17" s="181"/>
      <c r="O17" s="181"/>
      <c r="P17" s="181"/>
      <c r="Q17" s="181"/>
      <c r="R17" s="181"/>
      <c r="S17" s="181"/>
      <c r="T17" s="212"/>
    </row>
    <row r="18" spans="1:20" s="193" customFormat="1" ht="30.75" customHeight="1">
      <c r="A18" s="213"/>
      <c r="B18" s="213"/>
      <c r="C18" s="213"/>
      <c r="D18" s="214"/>
      <c r="E18" s="215"/>
      <c r="F18" s="215"/>
      <c r="G18" s="215"/>
      <c r="H18" s="216"/>
      <c r="I18" s="216"/>
      <c r="J18" s="216"/>
      <c r="K18" s="214"/>
      <c r="L18" s="217"/>
      <c r="M18" s="213"/>
      <c r="N18" s="214"/>
      <c r="O18" s="214"/>
      <c r="P18" s="218"/>
      <c r="Q18" s="214"/>
      <c r="R18" s="218"/>
      <c r="S18" s="218"/>
      <c r="T18" s="212"/>
    </row>
    <row r="19" spans="1:20" s="299" customFormat="1" ht="27" customHeight="1">
      <c r="A19" s="219" t="s">
        <v>28</v>
      </c>
      <c r="B19" s="219"/>
      <c r="C19" s="219" t="s">
        <v>29</v>
      </c>
      <c r="D19" s="220" t="s">
        <v>30</v>
      </c>
      <c r="E19" s="221"/>
      <c r="F19" s="221" t="s">
        <v>31</v>
      </c>
      <c r="G19" s="221" t="s">
        <v>32</v>
      </c>
      <c r="H19" s="222" t="s">
        <v>33</v>
      </c>
      <c r="I19" s="222" t="s">
        <v>34</v>
      </c>
      <c r="J19" s="223">
        <f>CONCATENATE("Unit Price ","( ",Currency," )")</f>
      </c>
      <c r="K19" s="224"/>
      <c r="L19" s="222" t="s">
        <v>35</v>
      </c>
      <c r="M19" s="222" t="s">
        <v>36</v>
      </c>
      <c r="N19" s="222" t="s">
        <v>37</v>
      </c>
      <c r="O19" s="222" t="s">
        <v>13</v>
      </c>
      <c r="P19" s="223" t="s">
        <v>38</v>
      </c>
      <c r="Q19" s="224"/>
      <c r="R19" s="223" t="s">
        <v>39</v>
      </c>
      <c r="S19" s="224"/>
      <c r="T19" s="225"/>
    </row>
    <row r="20" spans="1:20" ht="24" customHeight="1">
      <c r="A20" s="226">
        <v>1</v>
      </c>
      <c r="B20" s="226">
        <v>99990014806556</v>
      </c>
      <c r="C20" s="227">
        <v>2972945</v>
      </c>
      <c r="D20" s="228" t="s">
        <v>40</v>
      </c>
      <c r="E20" s="229"/>
      <c r="F20" s="229">
        <v>2972945</v>
      </c>
      <c r="G20" s="229" t="s">
        <v>41</v>
      </c>
      <c r="H20" s="230">
        <v>0</v>
      </c>
      <c r="I20" s="231">
        <v>2</v>
      </c>
      <c r="J20" s="232">
        <v>30.35</v>
      </c>
      <c r="K20" s="233"/>
      <c r="L20" s="231">
        <v>0</v>
      </c>
      <c r="M20" s="231">
        <v>0</v>
      </c>
      <c r="N20" s="234">
        <f>ROUND(((I20*J20)-((I20*J20)*L20/100))+(((I20*J20)-((I20*J20)*L20/100))*M20/100),2)</f>
      </c>
      <c r="O20" s="230">
        <f>M11</f>
      </c>
      <c r="P20" s="235" t="s">
        <v>146</v>
      </c>
      <c r="Q20" s="236"/>
      <c r="R20" s="237"/>
      <c r="S20" s="238"/>
      <c r="T20" s="239"/>
    </row>
    <row r="21" spans="1:20" ht="15" customHeight="1">
      <c r="A21" s="32"/>
      <c r="B21" s="240"/>
      <c r="C21" s="241"/>
      <c r="D21" s="241"/>
      <c r="E21" s="241"/>
      <c r="F21" s="241"/>
      <c r="G21" s="241"/>
      <c r="H21" s="242"/>
      <c r="I21" s="242"/>
      <c r="J21" s="242"/>
      <c r="K21" s="242"/>
      <c r="L21" s="242"/>
      <c r="M21" s="242"/>
      <c r="N21" s="242"/>
      <c r="O21" s="242"/>
      <c r="P21" s="242"/>
      <c r="Q21" s="242"/>
      <c r="R21" s="242"/>
      <c r="S21" s="242"/>
      <c r="T21" s="243"/>
    </row>
    <row r="22" spans="1:20" ht="12.75" customHeight="1">
      <c r="A22" s="244" t="s">
        <v>28</v>
      </c>
      <c r="B22" s="244"/>
      <c r="C22" s="245" t="s">
        <v>42</v>
      </c>
      <c r="D22" s="246"/>
      <c r="E22" s="246"/>
      <c r="F22" s="246"/>
      <c r="G22" s="246"/>
      <c r="H22" s="246"/>
      <c r="I22" s="247"/>
      <c r="J22" s="247" t="s">
        <v>43</v>
      </c>
      <c r="K22" s="247"/>
      <c r="L22" s="247" t="s">
        <v>35</v>
      </c>
      <c r="M22" s="247" t="s">
        <v>36</v>
      </c>
      <c r="N22" s="248" t="s">
        <v>44</v>
      </c>
      <c r="O22" s="249" t="s">
        <v>38</v>
      </c>
      <c r="P22" s="249"/>
      <c r="Q22" s="249"/>
      <c r="R22" s="249"/>
      <c r="S22" s="249"/>
      <c r="T22" s="225"/>
    </row>
    <row r="23" spans="1:20" ht="15" customHeight="1">
      <c r="A23" s="250">
        <v>1</v>
      </c>
      <c r="B23" s="251"/>
      <c r="C23" s="252" t="s">
        <v>45</v>
      </c>
      <c r="D23" s="253" t="s">
        <v>45</v>
      </c>
      <c r="E23" s="253" t="s">
        <v>45</v>
      </c>
      <c r="F23" s="253" t="s">
        <v>45</v>
      </c>
      <c r="G23" s="253" t="s">
        <v>45</v>
      </c>
      <c r="H23" s="254" t="s">
        <v>45</v>
      </c>
      <c r="I23" s="255"/>
      <c r="J23" s="256">
        <v>0</v>
      </c>
      <c r="K23" s="257"/>
      <c r="L23" s="258">
        <v>0</v>
      </c>
      <c r="M23" s="258">
        <v>0</v>
      </c>
      <c r="N23" s="259">
        <f>(J23-(J23*L23/100)+((J23-(J23*L23/100))*M23/100))</f>
      </c>
      <c r="O23" s="260"/>
      <c r="P23" s="261"/>
      <c r="Q23" s="261"/>
      <c r="R23" s="261"/>
      <c r="S23" s="262"/>
      <c r="T23" s="263"/>
    </row>
    <row r="24" spans="1:20" ht="15" customHeight="1">
      <c r="A24" s="250">
        <v>2</v>
      </c>
      <c r="B24" s="251"/>
      <c r="C24" s="252" t="s">
        <v>46</v>
      </c>
      <c r="D24" s="253" t="s">
        <v>46</v>
      </c>
      <c r="E24" s="253" t="s">
        <v>46</v>
      </c>
      <c r="F24" s="253" t="s">
        <v>46</v>
      </c>
      <c r="G24" s="253" t="s">
        <v>46</v>
      </c>
      <c r="H24" s="254" t="s">
        <v>46</v>
      </c>
      <c r="I24" s="264"/>
      <c r="J24" s="256">
        <v>0</v>
      </c>
      <c r="K24" s="257"/>
      <c r="L24" s="258">
        <v>0</v>
      </c>
      <c r="M24" s="258">
        <v>0</v>
      </c>
      <c r="N24" s="265">
        <f>(J24-(J24*L24/100)+((J24-(J24*L24/100))*M24/100))</f>
      </c>
      <c r="O24" s="266"/>
      <c r="P24" s="267"/>
      <c r="Q24" s="267"/>
      <c r="R24" s="267"/>
      <c r="S24" s="268"/>
      <c r="T24" s="263"/>
    </row>
    <row r="25" spans="1:20" ht="15" customHeight="1">
      <c r="A25" s="250">
        <v>3</v>
      </c>
      <c r="B25" s="251"/>
      <c r="C25" s="252"/>
      <c r="D25" s="253"/>
      <c r="E25" s="253"/>
      <c r="F25" s="253"/>
      <c r="G25" s="253"/>
      <c r="H25" s="254"/>
      <c r="I25" s="255"/>
      <c r="J25" s="256">
        <v>0</v>
      </c>
      <c r="K25" s="257"/>
      <c r="L25" s="258">
        <v>0</v>
      </c>
      <c r="M25" s="258">
        <v>0</v>
      </c>
      <c r="N25" s="265">
        <f>(J25-(J25*L25/100)+((J25-(J25*L25/100))*M25/100))</f>
      </c>
      <c r="O25" s="266"/>
      <c r="P25" s="267"/>
      <c r="Q25" s="267"/>
      <c r="R25" s="267"/>
      <c r="S25" s="268"/>
      <c r="T25" s="263"/>
    </row>
    <row r="26" spans="1:20" ht="15.75" customHeight="1">
      <c r="A26" s="250">
        <v>4</v>
      </c>
      <c r="B26" s="251"/>
      <c r="C26" s="252"/>
      <c r="D26" s="253"/>
      <c r="E26" s="253"/>
      <c r="F26" s="253"/>
      <c r="G26" s="253"/>
      <c r="H26" s="254"/>
      <c r="I26" s="255"/>
      <c r="J26" s="256">
        <v>0</v>
      </c>
      <c r="K26" s="257"/>
      <c r="L26" s="258">
        <v>0</v>
      </c>
      <c r="M26" s="269">
        <v>0</v>
      </c>
      <c r="N26" s="265">
        <f>(J26-(J26*L26/100)+((J26-(J26*L26/100))*M26/100))</f>
      </c>
      <c r="O26" s="266"/>
      <c r="P26" s="267"/>
      <c r="Q26" s="267"/>
      <c r="R26" s="267"/>
      <c r="S26" s="268"/>
      <c r="T26" s="263"/>
    </row>
    <row r="27" spans="1:16" ht="15.95" customHeight="1">
      <c r="A27" s="270"/>
      <c r="B27" s="270"/>
      <c r="C27" s="271"/>
      <c r="D27" s="271"/>
      <c r="I27" s="163"/>
      <c r="J27" s="58" t="s">
        <v>47</v>
      </c>
      <c r="K27" s="59"/>
      <c r="L27" s="58"/>
      <c r="M27" s="59"/>
      <c r="N27" s="272">
        <f>SUM(ItmPrice)</f>
      </c>
      <c r="O27" s="273"/>
      <c r="P27" s="274"/>
    </row>
    <row r="28" spans="1:16" ht="15" customHeight="1">
      <c r="A28" s="270"/>
      <c r="B28" s="270"/>
      <c r="C28" s="271"/>
      <c r="D28" s="271"/>
      <c r="I28" s="163"/>
      <c r="J28" s="123" t="s">
        <v>48</v>
      </c>
      <c r="K28" s="124"/>
      <c r="L28" s="124"/>
      <c r="M28" s="125"/>
      <c r="N28" s="272">
        <f>SUM(N23:N27)</f>
      </c>
      <c r="O28" s="275"/>
      <c r="P28" s="276"/>
    </row>
    <row r="29" spans="1:19" ht="2.25" customHeight="1" hidden="1">
      <c r="A29" s="277">
        <v>0</v>
      </c>
      <c r="B29" s="277">
        <v>0</v>
      </c>
      <c r="C29" s="278">
        <v>0</v>
      </c>
      <c r="D29" s="271"/>
      <c r="E29" s="271"/>
      <c r="F29" s="279">
        <v>1</v>
      </c>
      <c r="G29" s="271"/>
      <c r="H29" s="271"/>
      <c r="I29" s="271"/>
      <c r="J29" s="271"/>
      <c r="K29" s="280"/>
      <c r="L29" s="281">
        <v>0</v>
      </c>
      <c r="M29" s="282">
        <v>0</v>
      </c>
      <c r="N29" s="162" t="s">
        <v>49</v>
      </c>
      <c r="O29" s="283"/>
      <c r="P29" s="282">
        <v>995</v>
      </c>
      <c r="Q29" s="271" t="s">
        <v>50</v>
      </c>
      <c r="R29" s="271"/>
      <c r="S29" s="271"/>
    </row>
    <row r="30" spans="1:19" ht="18.75" customHeight="1">
      <c r="A30" s="270"/>
      <c r="B30" s="270"/>
      <c r="C30" s="270"/>
      <c r="H30" s="283"/>
      <c r="I30" s="163"/>
      <c r="J30" s="271"/>
      <c r="K30" s="271"/>
      <c r="L30" s="271"/>
      <c r="M30" s="271"/>
      <c r="N30" s="271"/>
      <c r="O30" s="271"/>
      <c r="P30" s="271"/>
      <c r="R30" s="271"/>
      <c r="S30" s="271"/>
    </row>
    <row r="31" spans="1:20" ht="127.5" customHeight="1">
      <c r="A31" s="284" t="s">
        <v>51</v>
      </c>
      <c r="B31" s="284"/>
      <c r="C31" s="284"/>
      <c r="D31" s="285"/>
      <c r="E31" s="286" t="s">
        <v>52</v>
      </c>
      <c r="F31" s="287"/>
      <c r="G31" s="287"/>
      <c r="H31" s="287"/>
      <c r="I31" s="287"/>
      <c r="J31" s="287"/>
      <c r="K31" s="287"/>
      <c r="L31" s="287"/>
      <c r="M31" s="287"/>
      <c r="N31" s="287"/>
      <c r="O31" s="287"/>
      <c r="P31" s="287"/>
      <c r="Q31" s="287"/>
      <c r="R31" s="287"/>
      <c r="S31" s="287"/>
      <c r="T31" s="288"/>
    </row>
    <row r="32" spans="1:20" ht="129.75" customHeight="1">
      <c r="A32" s="284" t="s">
        <v>38</v>
      </c>
      <c r="B32" s="284"/>
      <c r="C32" s="284"/>
      <c r="D32" s="285"/>
      <c r="E32" s="289" t="s">
        <v>147</v>
      </c>
      <c r="F32" s="290"/>
      <c r="G32" s="290"/>
      <c r="H32" s="290"/>
      <c r="I32" s="290"/>
      <c r="J32" s="290"/>
      <c r="K32" s="290"/>
      <c r="L32" s="290"/>
      <c r="M32" s="290"/>
      <c r="N32" s="290"/>
      <c r="O32" s="290"/>
      <c r="P32" s="290"/>
      <c r="Q32" s="290"/>
      <c r="R32" s="290"/>
      <c r="S32" s="290"/>
      <c r="T32" s="291"/>
    </row>
    <row r="33" spans="1:19" ht="15.95" customHeight="1">
      <c r="A33" s="270"/>
      <c r="B33" s="270"/>
      <c r="C33" s="270"/>
      <c r="H33" s="271"/>
      <c r="I33" s="271"/>
      <c r="J33" s="271"/>
      <c r="K33" s="271"/>
      <c r="L33" s="271"/>
      <c r="M33" s="271"/>
      <c r="N33" s="271"/>
      <c r="O33" s="271"/>
      <c r="P33" s="271"/>
      <c r="Q33" s="271"/>
      <c r="R33" s="271"/>
      <c r="S33" s="271"/>
    </row>
    <row r="34" spans="1:20" ht="15.95" customHeight="1">
      <c r="A34" s="292" t="s">
        <v>53</v>
      </c>
      <c r="B34" s="292"/>
      <c r="C34" s="292"/>
      <c r="D34" s="292"/>
      <c r="E34" s="292"/>
      <c r="F34" s="292"/>
      <c r="G34" s="292"/>
      <c r="H34" s="292"/>
      <c r="I34" s="292"/>
      <c r="J34" s="292"/>
      <c r="K34" s="292"/>
      <c r="L34" s="292"/>
      <c r="M34" s="292"/>
      <c r="N34" s="292"/>
      <c r="O34" s="292"/>
      <c r="P34" s="292"/>
      <c r="Q34" s="292"/>
      <c r="R34" s="292"/>
      <c r="S34" s="292"/>
      <c r="T34" s="293"/>
    </row>
    <row r="35" spans="1:20" ht="12.75" customHeight="1">
      <c r="A35" s="294"/>
      <c r="B35" s="294"/>
      <c r="C35" s="294"/>
      <c r="D35" s="294"/>
      <c r="E35" s="294"/>
      <c r="F35" s="294"/>
      <c r="G35" s="294"/>
      <c r="H35" s="294"/>
      <c r="I35" s="294"/>
      <c r="J35" s="294"/>
      <c r="K35" s="294"/>
      <c r="L35" s="294"/>
      <c r="M35" s="294"/>
      <c r="N35" s="294"/>
      <c r="O35" s="294"/>
      <c r="P35" s="294"/>
      <c r="Q35" s="294"/>
      <c r="R35" s="294"/>
      <c r="S35" s="294"/>
      <c r="T35" s="295"/>
    </row>
    <row r="36" spans="1:20" ht="12.75" customHeight="1">
      <c r="A36" s="294"/>
      <c r="B36" s="294"/>
      <c r="C36" s="294"/>
      <c r="D36" s="294"/>
      <c r="E36" s="294"/>
      <c r="F36" s="294"/>
      <c r="G36" s="294"/>
      <c r="H36" s="294"/>
      <c r="I36" s="294"/>
      <c r="J36" s="294"/>
      <c r="K36" s="294"/>
      <c r="L36" s="294"/>
      <c r="M36" s="294"/>
      <c r="N36" s="294"/>
      <c r="O36" s="294"/>
      <c r="P36" s="294"/>
      <c r="Q36" s="294"/>
      <c r="R36" s="294"/>
      <c r="S36" s="294"/>
      <c r="T36" s="295"/>
    </row>
    <row r="37" spans="1:20" ht="7.5" customHeight="1">
      <c r="A37" s="294"/>
      <c r="B37" s="294"/>
      <c r="C37" s="294"/>
      <c r="D37" s="294"/>
      <c r="E37" s="294"/>
      <c r="F37" s="294"/>
      <c r="G37" s="294"/>
      <c r="H37" s="294"/>
      <c r="I37" s="294"/>
      <c r="J37" s="294"/>
      <c r="K37" s="294"/>
      <c r="L37" s="294"/>
      <c r="M37" s="294"/>
      <c r="N37" s="294"/>
      <c r="O37" s="294"/>
      <c r="P37" s="294"/>
      <c r="Q37" s="294"/>
      <c r="R37" s="294"/>
      <c r="S37" s="294"/>
      <c r="T37" s="295"/>
    </row>
    <row r="38" spans="1:20" ht="12.75" customHeight="1">
      <c r="A38" s="294"/>
      <c r="B38" s="294"/>
      <c r="C38" s="294"/>
      <c r="D38" s="294"/>
      <c r="E38" s="294"/>
      <c r="F38" s="294"/>
      <c r="G38" s="294"/>
      <c r="H38" s="294"/>
      <c r="I38" s="294"/>
      <c r="J38" s="294"/>
      <c r="K38" s="294"/>
      <c r="L38" s="294"/>
      <c r="M38" s="294"/>
      <c r="N38" s="294"/>
      <c r="O38" s="294"/>
      <c r="P38" s="294"/>
      <c r="Q38" s="294"/>
      <c r="R38" s="294"/>
      <c r="S38" s="294"/>
      <c r="T38" s="295"/>
    </row>
    <row r="39" spans="1:20" ht="12.75" customHeight="1">
      <c r="A39" s="294"/>
      <c r="B39" s="294"/>
      <c r="C39" s="294"/>
      <c r="D39" s="294"/>
      <c r="E39" s="294"/>
      <c r="F39" s="294"/>
      <c r="G39" s="294"/>
      <c r="H39" s="294"/>
      <c r="I39" s="294"/>
      <c r="J39" s="294"/>
      <c r="K39" s="294"/>
      <c r="L39" s="294"/>
      <c r="M39" s="294"/>
      <c r="N39" s="294"/>
      <c r="O39" s="294"/>
      <c r="P39" s="294"/>
      <c r="Q39" s="294"/>
      <c r="R39" s="294"/>
      <c r="S39" s="294"/>
      <c r="T39" s="295"/>
    </row>
    <row r="40" spans="1:20" ht="12.75" customHeight="1">
      <c r="A40" s="294"/>
      <c r="B40" s="294"/>
      <c r="C40" s="294"/>
      <c r="D40" s="294"/>
      <c r="E40" s="294"/>
      <c r="F40" s="294"/>
      <c r="G40" s="294"/>
      <c r="H40" s="294"/>
      <c r="I40" s="294"/>
      <c r="J40" s="294"/>
      <c r="K40" s="294"/>
      <c r="L40" s="294"/>
      <c r="M40" s="294"/>
      <c r="N40" s="294"/>
      <c r="O40" s="294"/>
      <c r="P40" s="294"/>
      <c r="Q40" s="294"/>
      <c r="R40" s="294"/>
      <c r="S40" s="294"/>
      <c r="T40" s="295"/>
    </row>
    <row r="41" spans="1:20" ht="7.5" customHeight="1">
      <c r="A41" s="294"/>
      <c r="B41" s="294"/>
      <c r="C41" s="294"/>
      <c r="D41" s="294"/>
      <c r="E41" s="294"/>
      <c r="F41" s="294"/>
      <c r="G41" s="294"/>
      <c r="H41" s="294"/>
      <c r="I41" s="294"/>
      <c r="J41" s="294"/>
      <c r="K41" s="294"/>
      <c r="L41" s="294"/>
      <c r="M41" s="294"/>
      <c r="N41" s="294"/>
      <c r="O41" s="294"/>
      <c r="P41" s="294"/>
      <c r="Q41" s="294"/>
      <c r="R41" s="294"/>
      <c r="S41" s="294"/>
      <c r="T41" s="295"/>
    </row>
    <row r="42" spans="1:20" ht="12.75" customHeight="1">
      <c r="A42" s="294"/>
      <c r="B42" s="294"/>
      <c r="C42" s="294"/>
      <c r="D42" s="294"/>
      <c r="E42" s="294"/>
      <c r="F42" s="294"/>
      <c r="G42" s="294"/>
      <c r="H42" s="294"/>
      <c r="I42" s="294"/>
      <c r="J42" s="294"/>
      <c r="K42" s="294"/>
      <c r="L42" s="294"/>
      <c r="M42" s="294"/>
      <c r="N42" s="294"/>
      <c r="O42" s="294"/>
      <c r="P42" s="294"/>
      <c r="Q42" s="294"/>
      <c r="R42" s="294"/>
      <c r="S42" s="294"/>
      <c r="T42" s="295"/>
    </row>
    <row r="43" spans="1:20" ht="12.75" customHeight="1">
      <c r="A43" s="294"/>
      <c r="B43" s="294"/>
      <c r="C43" s="294"/>
      <c r="D43" s="294"/>
      <c r="E43" s="294"/>
      <c r="F43" s="294"/>
      <c r="G43" s="294"/>
      <c r="H43" s="294"/>
      <c r="I43" s="294"/>
      <c r="J43" s="294"/>
      <c r="K43" s="294"/>
      <c r="L43" s="294"/>
      <c r="M43" s="294"/>
      <c r="N43" s="294"/>
      <c r="O43" s="294"/>
      <c r="P43" s="294"/>
      <c r="Q43" s="294"/>
      <c r="R43" s="294"/>
      <c r="S43" s="294"/>
      <c r="T43" s="295"/>
    </row>
    <row r="44" spans="1:20" ht="12.75" customHeight="1">
      <c r="A44" s="294"/>
      <c r="B44" s="294"/>
      <c r="C44" s="294"/>
      <c r="D44" s="294"/>
      <c r="E44" s="294"/>
      <c r="F44" s="294"/>
      <c r="G44" s="294"/>
      <c r="H44" s="294"/>
      <c r="I44" s="294"/>
      <c r="J44" s="294"/>
      <c r="K44" s="294"/>
      <c r="L44" s="294"/>
      <c r="M44" s="294"/>
      <c r="N44" s="294"/>
      <c r="O44" s="294"/>
      <c r="P44" s="294"/>
      <c r="Q44" s="294"/>
      <c r="R44" s="294"/>
      <c r="S44" s="294"/>
      <c r="T44" s="295"/>
    </row>
    <row r="45" spans="1:20" ht="12.75" customHeight="1">
      <c r="A45" s="294"/>
      <c r="B45" s="294"/>
      <c r="C45" s="294"/>
      <c r="D45" s="294"/>
      <c r="E45" s="294"/>
      <c r="F45" s="294"/>
      <c r="G45" s="294"/>
      <c r="H45" s="294"/>
      <c r="I45" s="294"/>
      <c r="J45" s="294"/>
      <c r="K45" s="294"/>
      <c r="L45" s="294"/>
      <c r="M45" s="294"/>
      <c r="N45" s="294"/>
      <c r="O45" s="294"/>
      <c r="P45" s="294"/>
      <c r="Q45" s="294"/>
      <c r="R45" s="294"/>
      <c r="S45" s="294"/>
      <c r="T45" s="295"/>
    </row>
    <row r="46" spans="1:20" ht="12.75" customHeight="1">
      <c r="A46" s="294"/>
      <c r="B46" s="294"/>
      <c r="C46" s="294"/>
      <c r="D46" s="294"/>
      <c r="E46" s="294"/>
      <c r="F46" s="294"/>
      <c r="G46" s="294"/>
      <c r="H46" s="294"/>
      <c r="I46" s="294"/>
      <c r="J46" s="294"/>
      <c r="K46" s="294"/>
      <c r="L46" s="294"/>
      <c r="M46" s="294"/>
      <c r="N46" s="294"/>
      <c r="O46" s="294"/>
      <c r="P46" s="294"/>
      <c r="Q46" s="294"/>
      <c r="R46" s="294"/>
      <c r="S46" s="294"/>
      <c r="T46" s="295"/>
    </row>
    <row r="47" spans="1:20" ht="12.75" customHeight="1">
      <c r="A47" s="294"/>
      <c r="B47" s="294"/>
      <c r="C47" s="294"/>
      <c r="D47" s="294"/>
      <c r="E47" s="294"/>
      <c r="F47" s="294"/>
      <c r="G47" s="294"/>
      <c r="H47" s="294"/>
      <c r="I47" s="294"/>
      <c r="J47" s="294"/>
      <c r="K47" s="294"/>
      <c r="L47" s="294"/>
      <c r="M47" s="294"/>
      <c r="N47" s="294"/>
      <c r="O47" s="294"/>
      <c r="P47" s="294"/>
      <c r="Q47" s="294"/>
      <c r="R47" s="294"/>
      <c r="S47" s="294"/>
      <c r="T47" s="295"/>
    </row>
    <row r="48" spans="1:20" ht="7.5" customHeight="1">
      <c r="A48" s="294"/>
      <c r="B48" s="294"/>
      <c r="C48" s="294"/>
      <c r="D48" s="294"/>
      <c r="E48" s="294"/>
      <c r="F48" s="294"/>
      <c r="G48" s="294"/>
      <c r="H48" s="294"/>
      <c r="I48" s="294"/>
      <c r="J48" s="294"/>
      <c r="K48" s="294"/>
      <c r="L48" s="294"/>
      <c r="M48" s="294"/>
      <c r="N48" s="294"/>
      <c r="O48" s="294"/>
      <c r="P48" s="294"/>
      <c r="Q48" s="294"/>
      <c r="R48" s="294"/>
      <c r="S48" s="294"/>
      <c r="T48" s="295"/>
    </row>
    <row r="49" spans="1:20" ht="12.75" customHeight="1">
      <c r="A49" s="294"/>
      <c r="B49" s="294"/>
      <c r="C49" s="294"/>
      <c r="D49" s="294"/>
      <c r="E49" s="294"/>
      <c r="F49" s="294"/>
      <c r="G49" s="294"/>
      <c r="H49" s="294"/>
      <c r="I49" s="294"/>
      <c r="J49" s="294"/>
      <c r="K49" s="294"/>
      <c r="L49" s="294"/>
      <c r="M49" s="294"/>
      <c r="N49" s="294"/>
      <c r="O49" s="294"/>
      <c r="P49" s="294"/>
      <c r="Q49" s="294"/>
      <c r="R49" s="294"/>
      <c r="S49" s="294"/>
      <c r="T49" s="295"/>
    </row>
    <row r="50" spans="1:20" ht="12.75" customHeight="1">
      <c r="A50" s="294"/>
      <c r="B50" s="294"/>
      <c r="C50" s="294"/>
      <c r="D50" s="294"/>
      <c r="E50" s="294"/>
      <c r="F50" s="294"/>
      <c r="G50" s="294"/>
      <c r="H50" s="294"/>
      <c r="I50" s="294"/>
      <c r="J50" s="294"/>
      <c r="K50" s="294"/>
      <c r="L50" s="294"/>
      <c r="M50" s="294"/>
      <c r="N50" s="294"/>
      <c r="O50" s="294"/>
      <c r="P50" s="294"/>
      <c r="Q50" s="294"/>
      <c r="R50" s="294"/>
      <c r="S50" s="294"/>
      <c r="T50" s="295"/>
    </row>
    <row r="51" spans="1:20" ht="12.75" customHeight="1">
      <c r="A51" s="294"/>
      <c r="B51" s="294"/>
      <c r="C51" s="294"/>
      <c r="D51" s="294"/>
      <c r="E51" s="294"/>
      <c r="F51" s="294"/>
      <c r="G51" s="294"/>
      <c r="H51" s="294"/>
      <c r="I51" s="294"/>
      <c r="J51" s="294"/>
      <c r="K51" s="294"/>
      <c r="L51" s="294"/>
      <c r="M51" s="294"/>
      <c r="N51" s="294"/>
      <c r="O51" s="294"/>
      <c r="P51" s="294"/>
      <c r="Q51" s="294"/>
      <c r="R51" s="294"/>
      <c r="S51" s="294"/>
      <c r="T51" s="295"/>
    </row>
    <row r="52" spans="1:20" ht="12.75" customHeight="1">
      <c r="A52" s="294"/>
      <c r="B52" s="294"/>
      <c r="C52" s="294"/>
      <c r="D52" s="294"/>
      <c r="E52" s="294"/>
      <c r="F52" s="294"/>
      <c r="G52" s="294"/>
      <c r="H52" s="294"/>
      <c r="I52" s="294"/>
      <c r="J52" s="294"/>
      <c r="K52" s="294"/>
      <c r="L52" s="294"/>
      <c r="M52" s="294"/>
      <c r="N52" s="294"/>
      <c r="O52" s="294"/>
      <c r="P52" s="294"/>
      <c r="Q52" s="294"/>
      <c r="R52" s="294"/>
      <c r="S52" s="294"/>
      <c r="T52" s="295"/>
    </row>
    <row r="53" spans="1:20" ht="12.75" customHeight="1">
      <c r="A53" s="294"/>
      <c r="B53" s="294"/>
      <c r="C53" s="294"/>
      <c r="D53" s="294"/>
      <c r="E53" s="294"/>
      <c r="F53" s="294"/>
      <c r="G53" s="294"/>
      <c r="H53" s="294"/>
      <c r="I53" s="294"/>
      <c r="J53" s="294"/>
      <c r="K53" s="294"/>
      <c r="L53" s="294"/>
      <c r="M53" s="294"/>
      <c r="N53" s="294"/>
      <c r="O53" s="294"/>
      <c r="P53" s="294"/>
      <c r="Q53" s="294"/>
      <c r="R53" s="294"/>
      <c r="S53" s="294"/>
      <c r="T53" s="295"/>
    </row>
    <row r="54" spans="1:20" ht="7.5" customHeight="1">
      <c r="A54" s="294"/>
      <c r="B54" s="294"/>
      <c r="C54" s="294"/>
      <c r="D54" s="294"/>
      <c r="E54" s="294"/>
      <c r="F54" s="294"/>
      <c r="G54" s="294"/>
      <c r="H54" s="294"/>
      <c r="I54" s="294"/>
      <c r="J54" s="294"/>
      <c r="K54" s="294"/>
      <c r="L54" s="294"/>
      <c r="M54" s="294"/>
      <c r="N54" s="294"/>
      <c r="O54" s="294"/>
      <c r="P54" s="294"/>
      <c r="Q54" s="294"/>
      <c r="R54" s="294"/>
      <c r="S54" s="294"/>
      <c r="T54" s="295"/>
    </row>
    <row r="55" spans="1:20" ht="12.75" customHeight="1">
      <c r="A55" s="294"/>
      <c r="B55" s="294"/>
      <c r="C55" s="294"/>
      <c r="D55" s="294"/>
      <c r="E55" s="294"/>
      <c r="F55" s="294"/>
      <c r="G55" s="294"/>
      <c r="H55" s="294"/>
      <c r="I55" s="294"/>
      <c r="J55" s="294"/>
      <c r="K55" s="294"/>
      <c r="L55" s="294"/>
      <c r="M55" s="294"/>
      <c r="N55" s="294"/>
      <c r="O55" s="294"/>
      <c r="P55" s="294"/>
      <c r="Q55" s="294"/>
      <c r="R55" s="294"/>
      <c r="S55" s="294"/>
      <c r="T55" s="295"/>
    </row>
    <row r="56" spans="1:20" ht="12.75" customHeight="1">
      <c r="A56" s="294"/>
      <c r="B56" s="294"/>
      <c r="C56" s="294"/>
      <c r="D56" s="294"/>
      <c r="E56" s="294"/>
      <c r="F56" s="294"/>
      <c r="G56" s="294"/>
      <c r="H56" s="294"/>
      <c r="I56" s="294"/>
      <c r="J56" s="294"/>
      <c r="K56" s="294"/>
      <c r="L56" s="294"/>
      <c r="M56" s="294"/>
      <c r="N56" s="294"/>
      <c r="O56" s="294"/>
      <c r="P56" s="294"/>
      <c r="Q56" s="294"/>
      <c r="R56" s="294"/>
      <c r="S56" s="294"/>
      <c r="T56" s="295"/>
    </row>
    <row r="57" spans="1:20" ht="12.75" customHeight="1">
      <c r="A57" s="296"/>
      <c r="B57" s="296"/>
      <c r="C57" s="296"/>
      <c r="D57" s="296"/>
      <c r="E57" s="296"/>
      <c r="F57" s="296"/>
      <c r="G57" s="296"/>
      <c r="H57" s="296"/>
      <c r="I57" s="296"/>
      <c r="J57" s="296"/>
      <c r="K57" s="296"/>
      <c r="L57" s="296"/>
      <c r="M57" s="296"/>
      <c r="N57" s="296"/>
      <c r="O57" s="296"/>
      <c r="P57" s="296"/>
      <c r="Q57" s="296"/>
      <c r="R57" s="296"/>
      <c r="S57" s="296"/>
      <c r="T57" s="297"/>
    </row>
    <row r="58" spans="1:9" ht="12.75">
      <c r="A58" s="298" t="s">
        <v>54</v>
      </c>
      <c r="B58" s="298"/>
      <c r="C58" s="298"/>
      <c r="D58" s="298"/>
      <c r="E58" s="298"/>
      <c r="F58" s="298"/>
      <c r="G58" s="298"/>
      <c r="I58" s="163"/>
    </row>
  </sheetData>
  <sheetProtection algorithmName="SHA-512" hashValue="Ob7JE5gXi2nElX2lzfKIV3vpVGSUVqkm5RHb4oTJtgmsP9FXtaPw8qdFk4X7XwQbBqW6cxNu4YaLn6anieYj4g==" saltValue="stTL/gfLvfeoCZMz2qTLBw==" spinCount="100000" sheet="1" objects="1" scenarios="1"/>
  <mergeCells count="67">
    <mergeCell ref="E31:S31"/>
    <mergeCell ref="E32:S32"/>
    <mergeCell ref="E34:S34"/>
    <mergeCell ref="A35:S56"/>
    <mergeCell ref="A57:S57"/>
    <mergeCell ref="A31:D31"/>
    <mergeCell ref="A32:D32"/>
    <mergeCell ref="K1:R1"/>
    <mergeCell ref="R19:S19"/>
    <mergeCell ref="R20:S20"/>
    <mergeCell ref="O23:S23"/>
    <mergeCell ref="O24:S24"/>
    <mergeCell ref="O22:S22"/>
    <mergeCell ref="J22:K22"/>
    <mergeCell ref="K4:L4"/>
    <mergeCell ref="M4:P4"/>
    <mergeCell ref="K5:L5"/>
    <mergeCell ref="M5:P5"/>
    <mergeCell ref="M7:Q7"/>
    <mergeCell ref="P20:Q20"/>
    <mergeCell ref="M12:O12"/>
    <mergeCell ref="K12:L12"/>
    <mergeCell ref="O27:P27"/>
    <mergeCell ref="O28:P28"/>
    <mergeCell ref="J28:M28"/>
    <mergeCell ref="O25:S25"/>
    <mergeCell ref="O26:S26"/>
    <mergeCell ref="D16:H16"/>
    <mergeCell ref="A13:C13"/>
    <mergeCell ref="D19:E19"/>
    <mergeCell ref="D13:H13"/>
    <mergeCell ref="D14:H14"/>
    <mergeCell ref="D15:H15"/>
    <mergeCell ref="D17:H17"/>
    <mergeCell ref="A14:C14"/>
    <mergeCell ref="A3:E3"/>
    <mergeCell ref="C22:H22"/>
    <mergeCell ref="M10:N10"/>
    <mergeCell ref="M9:Q9"/>
    <mergeCell ref="H18:J18"/>
    <mergeCell ref="M6:P6"/>
    <mergeCell ref="M8:N8"/>
    <mergeCell ref="K6:L6"/>
    <mergeCell ref="K7:L7"/>
    <mergeCell ref="K8:L8"/>
    <mergeCell ref="A4:I11"/>
    <mergeCell ref="A12:C12"/>
    <mergeCell ref="A15:C15"/>
    <mergeCell ref="A16:C16"/>
    <mergeCell ref="A17:C17"/>
    <mergeCell ref="K14:L14"/>
    <mergeCell ref="K15:L15"/>
    <mergeCell ref="P19:Q19"/>
    <mergeCell ref="M13:Q13"/>
    <mergeCell ref="K16:L16"/>
    <mergeCell ref="J19:K19"/>
    <mergeCell ref="K13:L13"/>
    <mergeCell ref="D20:E20"/>
    <mergeCell ref="J20:K20"/>
    <mergeCell ref="C23:H23"/>
    <mergeCell ref="J23:K23"/>
    <mergeCell ref="C24:H24"/>
    <mergeCell ref="J24:K24"/>
    <mergeCell ref="C25:H25"/>
    <mergeCell ref="J25:K25"/>
    <mergeCell ref="C26:H26"/>
    <mergeCell ref="J26:K26"/>
  </mergeCells>
  <dataValidations count="15">
    <dataValidation type="decimal" operator="greaterThanOrEqual" allowBlank="1" showInputMessage="1" showErrorMessage="1" sqref="K20">
      <formula1>0</formula1>
    </dataValidation>
    <dataValidation type="whole" allowBlank="1" showInputMessage="1" showErrorMessage="1" sqref="M11">
      <formula1>1</formula1>
      <formula2>100</formula2>
    </dataValidation>
    <dataValidation type="decimal" allowBlank="1" showInputMessage="1" showErrorMessage="1" sqref="M15:M16">
      <formula1>0</formula1>
      <formula2>100</formula2>
    </dataValidation>
    <dataValidation type="decimal" allowBlank="1" showInputMessage="1" showErrorMessage="1" sqref="O20">
      <formula1>0</formula1>
      <formula2>100</formula2>
    </dataValidation>
    <dataValidation allowBlank="1" showInputMessage="1" showErrorMessage="1" sqref="L29"/>
    <dataValidation allowBlank="1" showInputMessage="1" showErrorMessage="1" sqref="N29:O29"/>
    <dataValidation type="decimal" operator="greaterThanOrEqual" allowBlank="1" showInputMessage="1" showErrorMessage="1" sqref="I20">
      <formula1>0</formula1>
    </dataValidation>
    <dataValidation type="decimal" operator="greaterThanOrEqual" allowBlank="1" showInputMessage="1" showErrorMessage="1" sqref="J20">
      <formula1>0</formula1>
    </dataValidation>
    <dataValidation type="decimal" allowBlank="1" showInputMessage="1" showErrorMessage="1" sqref="L20">
      <formula1>0</formula1>
      <formula2>100</formula2>
    </dataValidation>
    <dataValidation type="decimal" allowBlank="1" showInputMessage="1" showErrorMessage="1" sqref="M20">
      <formula1>0</formula1>
      <formula2>100</formula2>
    </dataValidation>
    <dataValidation type="list" allowBlank="1" showInputMessage="1" showErrorMessage="1" sqref="C23:H23">
      <formula1>'MasterData'!$H$1:$H$14</formula1>
    </dataValidation>
    <dataValidation type="list" allowBlank="1" showInputMessage="1" showErrorMessage="1" sqref="C24:H24">
      <formula1>'MasterData'!$H$1:$H$14</formula1>
    </dataValidation>
    <dataValidation type="list" allowBlank="1" showInputMessage="1" showErrorMessage="1" sqref="C25:H25">
      <formula1>'MasterData'!$H$1:$H$14</formula1>
    </dataValidation>
    <dataValidation type="list" allowBlank="1" showInputMessage="1" showErrorMessage="1" sqref="C26:H26">
      <formula1>'MasterData'!$H$1:$H$14</formula1>
    </dataValidation>
    <dataValidation type="list" allowBlank="1" showInputMessage="1" showErrorMessage="1" sqref="M14">
      <formula1>MasterData!$O$1:$O$70</formula1>
    </dataValidation>
  </dataValidations>
  <printOptions horizontalCentered="1"/>
  <pageMargins left="0.75" right="0.75" top="0.5" bottom="0.5" header="0.5" footer="0.5"/>
  <pageSetup orientation="landscape" paperSize="1" r:id="rId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http://schemas.openxmlformats.org/spreadsheetml/2006/main" mc:Ignorable="x14ac">
  <dimension ref="G1:O70"/>
  <sheetViews>
    <sheetView workbookViewId="0" topLeftCell="A46">
      <selection pane="topLeft" activeCell="O67" sqref="O67 O67"/>
    </sheetView>
  </sheetViews>
  <sheetFormatPr defaultColWidth="9.14285714285714" defaultRowHeight="12.75"/>
  <cols>
    <col min="1" max="12" width="9.14285714285714" style="162" customWidth="1"/>
    <col min="13" max="13" width="17.5714285714286" style="162" bestFit="1" customWidth="1"/>
    <col min="14" max="14" width="42.8571428571429" style="162" customWidth="1"/>
    <col min="15" max="15" width="8" style="162" customWidth="1"/>
  </cols>
  <sheetData>
    <row r="1" spans="7:15" ht="12.75">
      <c r="G1" s="162">
        <v>1001307</v>
      </c>
      <c r="H1" s="162" t="s">
        <v>45</v>
      </c>
      <c r="M1" s="300" t="s">
        <v>55</v>
      </c>
      <c r="N1" s="301" t="s">
        <v>0</v>
      </c>
      <c r="O1" s="162" t="s">
        <v>56</v>
      </c>
    </row>
    <row r="2" spans="7:15" ht="12.75">
      <c r="G2" s="162">
        <v>1001310</v>
      </c>
      <c r="H2" s="162" t="s">
        <v>46</v>
      </c>
      <c r="M2" s="300" t="s">
        <v>57</v>
      </c>
      <c r="N2" s="301">
        <v>1020744237</v>
      </c>
      <c r="O2" s="162" t="s">
        <v>58</v>
      </c>
    </row>
    <row r="3" spans="7:15" ht="12.75">
      <c r="G3" s="162">
        <v>1012729</v>
      </c>
      <c r="H3" s="162" t="s">
        <v>59</v>
      </c>
      <c r="M3" s="300" t="s">
        <v>60</v>
      </c>
      <c r="N3" s="301">
        <v>99990000438511</v>
      </c>
      <c r="O3" s="162" t="s">
        <v>61</v>
      </c>
    </row>
    <row r="4" spans="7:15" ht="12.75">
      <c r="G4" s="162">
        <v>1012730</v>
      </c>
      <c r="H4" s="162" t="s">
        <v>62</v>
      </c>
      <c r="M4" s="300" t="s">
        <v>63</v>
      </c>
      <c r="N4" s="301">
        <v>1021884090</v>
      </c>
      <c r="O4" s="162" t="s">
        <v>64</v>
      </c>
    </row>
    <row r="5" spans="7:15" ht="12.75">
      <c r="G5" s="162">
        <v>1012731</v>
      </c>
      <c r="H5" s="162" t="s">
        <v>65</v>
      </c>
      <c r="M5" s="300" t="s">
        <v>66</v>
      </c>
      <c r="N5" s="301"/>
      <c r="O5" s="162" t="s">
        <v>67</v>
      </c>
    </row>
    <row r="6" spans="7:15" ht="12.75">
      <c r="G6" s="162">
        <v>1012732</v>
      </c>
      <c r="H6" s="162" t="s">
        <v>68</v>
      </c>
      <c r="M6" s="300" t="s">
        <v>69</v>
      </c>
      <c r="N6" s="301" t="s">
        <v>70</v>
      </c>
      <c r="O6" s="162" t="s">
        <v>71</v>
      </c>
    </row>
    <row r="7" spans="7:15" ht="12.75">
      <c r="G7" s="162">
        <v>1012733</v>
      </c>
      <c r="H7" s="162" t="s">
        <v>72</v>
      </c>
      <c r="M7" s="300" t="s">
        <v>73</v>
      </c>
      <c r="N7" s="301">
        <v>0</v>
      </c>
      <c r="O7" s="162" t="s">
        <v>74</v>
      </c>
    </row>
    <row r="8" spans="7:15" ht="12.75">
      <c r="G8" s="162">
        <v>1012735</v>
      </c>
      <c r="H8" s="162" t="s">
        <v>75</v>
      </c>
      <c r="O8" s="162" t="s">
        <v>76</v>
      </c>
    </row>
    <row r="9" spans="7:15" ht="12.75">
      <c r="G9" s="162">
        <v>1012736</v>
      </c>
      <c r="H9" s="162" t="s">
        <v>77</v>
      </c>
      <c r="O9" s="162" t="s">
        <v>78</v>
      </c>
    </row>
    <row r="10" spans="7:15" ht="12.75">
      <c r="G10" s="162">
        <v>1012737</v>
      </c>
      <c r="H10" s="162" t="s">
        <v>79</v>
      </c>
      <c r="O10" s="162" t="s">
        <v>80</v>
      </c>
    </row>
    <row r="11" spans="7:15" ht="12.75">
      <c r="G11" s="162">
        <v>1012741</v>
      </c>
      <c r="H11" s="162" t="s">
        <v>81</v>
      </c>
      <c r="O11" s="162" t="s">
        <v>82</v>
      </c>
    </row>
    <row r="12" spans="7:15" ht="12.75">
      <c r="G12" s="162">
        <v>1012742</v>
      </c>
      <c r="H12" s="162" t="s">
        <v>83</v>
      </c>
      <c r="O12" s="162" t="s">
        <v>84</v>
      </c>
    </row>
    <row r="13" spans="7:15" ht="12.75">
      <c r="G13" s="162">
        <v>1012743</v>
      </c>
      <c r="H13" s="162" t="s">
        <v>85</v>
      </c>
      <c r="O13" s="162" t="s">
        <v>86</v>
      </c>
    </row>
    <row r="14" spans="7:15" ht="12.75">
      <c r="G14" s="162">
        <v>1012744</v>
      </c>
      <c r="H14" s="162" t="s">
        <v>87</v>
      </c>
      <c r="O14" s="162" t="s">
        <v>88</v>
      </c>
    </row>
    <row r="15" ht="12.75">
      <c r="O15" s="162" t="s">
        <v>89</v>
      </c>
    </row>
    <row r="16" ht="12.75">
      <c r="O16" s="162" t="s">
        <v>90</v>
      </c>
    </row>
    <row r="17" ht="12.75">
      <c r="O17" s="162" t="s">
        <v>91</v>
      </c>
    </row>
    <row r="18" ht="12.75">
      <c r="O18" s="162" t="s">
        <v>92</v>
      </c>
    </row>
    <row r="19" ht="12.75">
      <c r="O19" s="162" t="s">
        <v>93</v>
      </c>
    </row>
    <row r="20" ht="12.75">
      <c r="O20" s="162" t="s">
        <v>94</v>
      </c>
    </row>
    <row r="21" ht="12.75">
      <c r="O21" s="162" t="s">
        <v>95</v>
      </c>
    </row>
    <row r="22" ht="12.75">
      <c r="O22" s="162" t="s">
        <v>96</v>
      </c>
    </row>
    <row r="23" ht="12.75">
      <c r="O23" s="162" t="s">
        <v>97</v>
      </c>
    </row>
    <row r="24" ht="12.75">
      <c r="O24" s="162" t="s">
        <v>98</v>
      </c>
    </row>
    <row r="25" ht="12.75">
      <c r="O25" s="162" t="s">
        <v>99</v>
      </c>
    </row>
    <row r="26" ht="12.75">
      <c r="O26" s="162" t="s">
        <v>100</v>
      </c>
    </row>
    <row r="27" ht="12.75">
      <c r="O27" s="162" t="s">
        <v>101</v>
      </c>
    </row>
    <row r="28" ht="12.75">
      <c r="O28" s="162" t="s">
        <v>102</v>
      </c>
    </row>
    <row r="29" ht="12.75">
      <c r="O29" s="162" t="s">
        <v>103</v>
      </c>
    </row>
    <row r="30" ht="12.75">
      <c r="O30" s="162" t="s">
        <v>104</v>
      </c>
    </row>
    <row r="31" ht="12.75">
      <c r="O31" s="162" t="s">
        <v>105</v>
      </c>
    </row>
    <row r="32" ht="12.75">
      <c r="O32" s="162" t="s">
        <v>106</v>
      </c>
    </row>
    <row r="33" ht="12.75">
      <c r="O33" s="162" t="s">
        <v>107</v>
      </c>
    </row>
    <row r="34" ht="12.75">
      <c r="O34" s="162" t="s">
        <v>108</v>
      </c>
    </row>
    <row r="35" ht="12.75">
      <c r="O35" s="162" t="s">
        <v>109</v>
      </c>
    </row>
    <row r="36" ht="12.75">
      <c r="O36" s="162" t="s">
        <v>110</v>
      </c>
    </row>
    <row r="37" ht="12.75">
      <c r="O37" s="162" t="s">
        <v>111</v>
      </c>
    </row>
    <row r="38" ht="12.75">
      <c r="O38" s="162" t="s">
        <v>112</v>
      </c>
    </row>
    <row r="39" ht="12.75">
      <c r="O39" s="162" t="s">
        <v>113</v>
      </c>
    </row>
    <row r="40" ht="12.75">
      <c r="O40" s="162" t="s">
        <v>114</v>
      </c>
    </row>
    <row r="41" ht="12.75">
      <c r="O41" s="162" t="s">
        <v>115</v>
      </c>
    </row>
    <row r="42" ht="12.75">
      <c r="O42" s="162" t="s">
        <v>116</v>
      </c>
    </row>
    <row r="43" ht="12.75">
      <c r="O43" s="162" t="s">
        <v>117</v>
      </c>
    </row>
    <row r="44" ht="12.75">
      <c r="O44" s="162" t="s">
        <v>118</v>
      </c>
    </row>
    <row r="45" ht="12.75">
      <c r="O45" s="162" t="s">
        <v>119</v>
      </c>
    </row>
    <row r="46" ht="12.75">
      <c r="O46" s="162" t="s">
        <v>120</v>
      </c>
    </row>
    <row r="47" ht="12.75">
      <c r="O47" s="162" t="s">
        <v>121</v>
      </c>
    </row>
    <row r="48" ht="12.75">
      <c r="O48" s="162" t="s">
        <v>122</v>
      </c>
    </row>
    <row r="49" ht="12.75">
      <c r="O49" s="162" t="s">
        <v>123</v>
      </c>
    </row>
    <row r="50" ht="12.75">
      <c r="O50" s="162" t="s">
        <v>124</v>
      </c>
    </row>
    <row r="51" ht="12.75">
      <c r="O51" s="162" t="s">
        <v>125</v>
      </c>
    </row>
    <row r="52" ht="12.75">
      <c r="O52" s="162" t="s">
        <v>126</v>
      </c>
    </row>
    <row r="53" ht="12.75">
      <c r="O53" s="162" t="s">
        <v>127</v>
      </c>
    </row>
    <row r="54" ht="12.75">
      <c r="O54" s="162" t="s">
        <v>128</v>
      </c>
    </row>
    <row r="55" ht="12.75">
      <c r="O55" s="162" t="s">
        <v>129</v>
      </c>
    </row>
    <row r="56" ht="12.75">
      <c r="O56" s="162" t="s">
        <v>130</v>
      </c>
    </row>
    <row r="57" ht="12.75">
      <c r="O57" s="162" t="s">
        <v>131</v>
      </c>
    </row>
    <row r="58" ht="12.75">
      <c r="O58" s="162" t="s">
        <v>132</v>
      </c>
    </row>
    <row r="59" ht="12.75">
      <c r="O59" s="162" t="s">
        <v>133</v>
      </c>
    </row>
    <row r="60" ht="12.75">
      <c r="O60" s="162" t="s">
        <v>134</v>
      </c>
    </row>
    <row r="61" ht="12.75">
      <c r="O61" s="162" t="s">
        <v>135</v>
      </c>
    </row>
    <row r="62" ht="12.75">
      <c r="O62" s="162" t="s">
        <v>136</v>
      </c>
    </row>
    <row r="63" ht="12.75">
      <c r="O63" s="162" t="s">
        <v>137</v>
      </c>
    </row>
    <row r="64" ht="12.75">
      <c r="O64" s="162" t="s">
        <v>138</v>
      </c>
    </row>
    <row r="65" ht="12.75">
      <c r="O65" s="162" t="s">
        <v>139</v>
      </c>
    </row>
    <row r="66" ht="12.75">
      <c r="O66" s="162" t="s">
        <v>140</v>
      </c>
    </row>
    <row r="67" ht="12.75">
      <c r="O67" s="162" t="s">
        <v>141</v>
      </c>
    </row>
    <row r="68" ht="12.75">
      <c r="O68" s="162" t="s">
        <v>142</v>
      </c>
    </row>
    <row r="69" ht="12.75">
      <c r="O69" s="162" t="s">
        <v>143</v>
      </c>
    </row>
    <row r="70" ht="12.75">
      <c r="O70" s="162" t="s">
        <v>144</v>
      </c>
    </row>
  </sheetData>
  <pageMargins left="0.7" right="0.7" top="0.75" bottom="0.75" header="0.3" footer="0.3"/>
  <pageSetup orientation="portrait" paperSize="9" r:id="rId1"/>
</worksheet>
</file>

<file path=docProps/app.xml><?xml version="1.0" encoding="utf-8"?>
<Properties xmlns="http://schemas.openxmlformats.org/officeDocument/2006/extended-properties" xmlns:vt="http://schemas.openxmlformats.org/officeDocument/2006/docPropsVTypes">
  <Application>Microsoft Excel</Application>
  <AppVersion>16.0300</AppVersion>
  <DocSecurity>0</DocSecurity>
  <Template/>
  <Manager/>
  <Company>Microsoft Corporation</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PAL2G</dc:creator>
  <cp:keywords/>
  <dc:description/>
  <cp:lastModifiedBy>Tocy Tom (MariApps)</cp:lastModifiedBy>
  <cp:category/>
  <cp:contentType/>
  <cp:contentStatus/>
</cp:coreProperties>
</file>