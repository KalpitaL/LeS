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Quote!$A$52</definedName>
    <definedName name="Enquiry_To_Vendor_ID" comment="Enquiry to Vendor ID">Quote!$C$52</definedName>
    <definedName name="GrandTotal">Quote!$N$51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Quote!$A$44</definedName>
    <definedName name="ItemListStartupRow" comment="Item List Start Up Row">Quote!$A$19</definedName>
    <definedName name="ItemSubTotal">Quote!$N$50</definedName>
    <definedName name="ItemSubTotalTitle">Quote!$J$50</definedName>
    <definedName name="LeadDay">Quote!$M$11</definedName>
    <definedName name="Lock">Quote!$M$52</definedName>
    <definedName name="LoggedInEmailID">Quote!$N$52</definedName>
    <definedName name="LoggedInPwd">Quote!$O$52</definedName>
    <definedName name="OtherCharges">Quote!$C$46</definedName>
    <definedName name="OtherChargesLastRow">Quote!$A$50</definedName>
    <definedName name="OtherChargesStartRow">Quote!$A$45</definedName>
    <definedName name="Port">Quote!$P$52</definedName>
    <definedName name="PortOfDelivery" comment="Port of Delivery">Quote!$M$9</definedName>
    <definedName name="PurchaserName">Quote!$J$52</definedName>
    <definedName name="QuoteBefore">Quote!$M$8</definedName>
    <definedName name="QuoteID">MasterData!$N$7</definedName>
    <definedName name="QuoteSubject">Quote!$E$52</definedName>
    <definedName name="Remarks">Quote!$E$54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Quote!$K$52</definedName>
    <definedName name="SentIndex">Quote!$L$52</definedName>
    <definedName name="Server">Quote!$Q$52</definedName>
    <definedName name="Terms">Quote!$A$58:$T$79</definedName>
    <definedName name="ToEmailID">Quote!$I$52</definedName>
    <definedName name="ToEmailPwd">Quote!$H$52</definedName>
    <definedName name="VAL">Quote!$F$52</definedName>
    <definedName name="VAT_All">Quote!$M$16</definedName>
    <definedName name="Vendor_ID" comment="Vendor ID">Quote!$B$52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</definedName>
    <definedName name="_xlnm.Print_Area" localSheetId="0">Quote!$A$1:$R$71</definedName>
  </definedNames>
  <calcPr fullCalcOnLoad="1"/>
</workbook>
</file>

<file path=xl/sharedStrings.xml><?xml version="1.0" encoding="utf-8"?>
<sst xmlns="http://schemas.openxmlformats.org/spreadsheetml/2006/main" count="231" uniqueCount="188">
  <si>
    <t>RFQ</t>
  </si>
  <si>
    <t>Request for Quote</t>
  </si>
  <si>
    <t>Invoice To</t>
  </si>
  <si>
    <t>Bernhard Schulte Shipmanagement (India) Private Ltd.
                MASTER &amp; OWNER OF BAOSTEEL EDUCATION
		REGD. OWNER:  EMERALD NAVIGATION SERVICE S.A.
		C/O : BERNHARD SCHULTE SHIPMANGEMENT (L) LTD. (AS AGENTS ONLY)
		401, OLYMPIA, HIRANANDANI GARDENS
		POWAI, MUMBAI – 4000076.
		TEL:  +91 22 40017300
		FAX:  +91 22 40017333
NOTE : PLEASE NOTE INVOICES WILL BE ACCEPTED ONLY IN SOFT COPIES
EMAIL : in-smc-invoices@bs-shipmanagement.com</t>
  </si>
  <si>
    <t>Vessel</t>
  </si>
  <si>
    <t>Baosteel Education</t>
  </si>
  <si>
    <t>RFQ No.</t>
  </si>
  <si>
    <t>BOE/O0157/RF19</t>
  </si>
  <si>
    <t>RFQ Date</t>
  </si>
  <si>
    <t>Submit Quote Before:</t>
  </si>
  <si>
    <t>Port of Delivery</t>
  </si>
  <si>
    <t>Zhanjiang Pt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</si>
  <si>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</si>
  <si>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</si>
  <si>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</si>
  <si>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</si>
  <si>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</si>
  <si>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</si>
  <si>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</si>
  <si>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</si>
  <si>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</si>
  <si>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</si>
  <si>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</si>
  <si>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</si>
  <si>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</si>
  <si>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</si>
  <si>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</si>
  <si>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</si>
  <si>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</si>
  <si>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</si>
  <si>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</si>
  <si>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</si>
  <si>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</si>
  <si>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</si>
  <si>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</si>
  <si>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</si>
  <si>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</si>
  <si>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</si>
  <si>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</si>
  <si>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</si>
  <si>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LIFEBUOY LIGHT L90 W/O BATTERY, 63-B301 DANIAMANT</t>
  </si>
  <si>
    <t>PCS</t>
  </si>
  <si>
    <t>Safety Item</t>
  </si>
  <si>
    <t>SURVITEC 711416</t>
  </si>
  <si>
    <t>Universal Marine Bracket for Fire Extinguishers 6 kg / 9 kg / 12 kg</t>
  </si>
  <si>
    <t>For Fire Extinguisher</t>
  </si>
  <si>
    <t>SELF-LOCKING LIFELINE 12MTR, MAX LOAD 130KGS</t>
  </si>
  <si>
    <t>WITH CERTIFICATE</t>
  </si>
  <si>
    <t>LIFEBOAT DIPPER WITH LANYARD</t>
  </si>
  <si>
    <t>Rustfree Stainless steel Dipper</t>
  </si>
  <si>
    <t>SOCKS WORKING COTTON FREE SIZE</t>
  </si>
  <si>
    <t>DOZ</t>
  </si>
  <si>
    <t>LONG JOHN COLOURED SIZE L</t>
  </si>
  <si>
    <t>SET</t>
  </si>
  <si>
    <t>LONG JOHN COLOURED XXL (3L)</t>
  </si>
  <si>
    <t>BOOTS RUBBER WITH STEEL TOE, LONG 30CM</t>
  </si>
  <si>
    <t>PRS</t>
  </si>
  <si>
    <t>GLOVES WORKING COTTON, RUBBER COATED PALM</t>
  </si>
  <si>
    <t>FOR DECK</t>
  </si>
  <si>
    <t>BOOTS RUBBER WITH STEEL TOE, LONG 28CM</t>
  </si>
  <si>
    <t>LIFE BUOY WEIGHT OVER 4KGS, HK APPROVED</t>
  </si>
  <si>
    <t>Safety</t>
  </si>
  <si>
    <t>SELF CONTAINED BREATHING, APPARATUS AIR LIFE GEM KS-8C</t>
  </si>
  <si>
    <t>Make: Life Gem, Model: KS-8C, Require only Face mask along with inhalation tube &amp; regulator.</t>
  </si>
  <si>
    <t>EAR PLUG SELF-FIT FOAM</t>
  </si>
  <si>
    <t>GLOVES PLASTIC OIL/ACID RESIST, LONG</t>
  </si>
  <si>
    <t>GLOVES PLASTIC OIL/ACID RESIST, SHORT</t>
  </si>
  <si>
    <t>GLOVES WORKING COTTON ORDINARY</t>
  </si>
  <si>
    <t>EAR CUP KIT LEFT/RIGHT HIGH, SNR 31-H/M/L 32/28/21 BLUE</t>
  </si>
  <si>
    <t>EAR MUFF BILSOM COMFORT #2420, BS/ANSI COMPLETE</t>
  </si>
  <si>
    <t>HELMET SAFETY SLOTTED V-GARD, W/SATZ-ON SUSPENSION WHITE</t>
  </si>
  <si>
    <t>DUST MASK DISPOSABLE 50'S/PKT</t>
  </si>
  <si>
    <t>PKT</t>
  </si>
  <si>
    <t>DUST PROTECTING MASK, ELECTRO-STATIC FILTERING</t>
  </si>
  <si>
    <t>EYEWEAR PROTECTIVE ANTIFOG , BLUE MIRROR LENS #10026008</t>
  </si>
  <si>
    <t>GOGGLE ULTRASONIC UVEX 9302, ORANGE FRAME</t>
  </si>
  <si>
    <t>GLOVES WORKING LEATHER PALM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</si>
  <si>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</si>
  <si>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</si>
  <si>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</si>
  <si>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</si>
  <si>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</si>
  <si>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</si>
  <si>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</si>
  <si>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</si>
  <si>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</si>
  <si>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</si>
  <si>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</si>
  <si>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</si>
  <si>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</si>
  <si>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</si>
  <si>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</si>
  <si>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</si>
  <si>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</si>
  <si>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</si>
  <si>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</si>
  <si>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</si>
  <si>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</si>
  <si>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</si>
  <si>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</si>
  <si>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</si>
  <si>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</si>
  <si>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</si>
  <si>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</si>
  <si>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</si>
  <si>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</si>
  <si>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</si>
  <si>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</si>
  <si>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</si>
  <si>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</si>
  <si>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</si>
  <si>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</si>
  <si>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</si>
  <si>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</si>
  <si>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</si>
  <si>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</si>
  <si>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</si>
  <si>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</si>
  <si>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</si>
  <si>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</si>
  <si>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</si>
  <si>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</si>
  <si>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</si>
  <si>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</si>
  <si>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</si>
  <si>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</si>
  <si>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</si>
  <si>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</si>
  <si>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</si>
  <si>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</si>
  <si>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</si>
  <si>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</si>
  <si>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</si>
  <si>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</si>
  <si>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</si>
  <si>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</si>
  <si>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</si>
  <si>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</si>
  <si>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</si>
  <si>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</si>
  <si>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</si>
  <si>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</si>
  <si>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</si>
  <si>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</si>
  <si>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</si>
  <si>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</si>
  <si>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</si>
  <si>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</si>
  <si>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</si>
  <si>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</si>
  <si>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</si>
  <si>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</si>
  <si>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</si>
  <si>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</si>
  <si>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</si>
  <si>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</si>
  <si>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</si>
  <si>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</si>
  <si>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</si>
  <si>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</si>
  <si>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</si>
  <si>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</si>
  <si>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</si>
  <si>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</si>
  <si>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</si>
  <si>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</si>
  <si>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</si>
  <si>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</si>
  <si>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</si>
  <si>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</si>
  <si>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</si>
  <si>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</si>
  <si>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</si>
  <si>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</si>
  <si>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</si>
  <si>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</si>
  <si>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</si>
  <si>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</si>
  <si>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</si>
  <si>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BJD1911181425542LET</t>
  </si>
  <si>
    <t>GOOD BROTHER,WITH CCS CERT</t>
  </si>
  <si>
    <t>HWAYAN,WITH CCS CERT</t>
  </si>
  <si>
    <t>HWAYAN,WITH EC CERT</t>
  </si>
  <si>
    <t>3M</t>
  </si>
  <si>
    <t>EQUIVALENT</t>
  </si>
  <si>
    <t>3S/PKT,TOTAL PRICE FOR 34PKT</t>
  </si>
  <si>
    <t>EQUIVALENT,GRAY LENS</t>
  </si>
  <si>
    <t xml:space="preserve">
Date promised : 2019-11-21
Quote validity : 2019-12-18
Price Valid Until: 18-Dec-2019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</si>
</sst>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0005283356"/>
      <name val="Calibri"/>
      <family val="2"/>
      <scheme val="minor"/>
    </font>
    <font>
      <b/>
      <sz val="10"/>
      <color theme="3" tint="-0.499960005283356"/>
      <name val="Calibri"/>
      <family val="2"/>
      <scheme val="minor"/>
    </font>
    <font>
      <sz val="8"/>
      <color theme="3" tint="-0.499960005283356"/>
      <name val="Calibri"/>
      <family val="2"/>
      <scheme val="minor"/>
    </font>
    <font>
      <b/>
      <sz val="9"/>
      <color theme="3" tint="-0.499960005283356"/>
      <name val="Calibri"/>
      <family val="2"/>
      <scheme val="minor"/>
    </font>
    <font>
      <sz val="10"/>
      <color theme="3" tint="-0.499960005283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0005283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7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34"/>
    <cellStyle name="Heading 3" xfId="35"/>
    <cellStyle name="Calculation" xfId="36"/>
    <cellStyle name="40% - Accent1" xfId="37"/>
    <cellStyle name="Title" xfId="38"/>
    <cellStyle name="Heading 2" xfId="39"/>
    <cellStyle name="Heading 4" xfId="40"/>
    <cellStyle name="Good" xfId="41"/>
    <cellStyle name="Bad" xfId="42"/>
    <cellStyle name="Neutral" xfId="43"/>
    <cellStyle name="Input" xfId="44"/>
    <cellStyle name="Output" xfId="45"/>
    <cellStyle name="Linked Cell" xfId="46"/>
    <cellStyle name="Check Cell" xfId="47"/>
    <cellStyle name="Warning Text" xfId="48"/>
    <cellStyle name="Note" xfId="49"/>
    <cellStyle name="Explanatory Text" xfId="50"/>
    <cellStyle name="Total" xfId="51"/>
    <cellStyle name="Accent1" xfId="52"/>
    <cellStyle name="20% - Accent1" xfId="53"/>
    <cellStyle name="60% - Accent1" xfId="54"/>
    <cellStyle name="Accent2" xfId="55"/>
    <cellStyle name="20% - Accent2" xfId="56"/>
    <cellStyle name="40% - Accent2" xfId="57"/>
    <cellStyle name="60% - Accent2" xfId="58"/>
    <cellStyle name="Accent3" xfId="59"/>
    <cellStyle name="20% - Accent3" xfId="60"/>
    <cellStyle name="40% - Accent3" xfId="61"/>
    <cellStyle name="60% - Accent3" xfId="62"/>
    <cellStyle name="Accent4" xfId="63"/>
    <cellStyle name="20% - Accent4" xfId="64"/>
    <cellStyle name="40% - Accent4" xfId="65"/>
    <cellStyle name="60% - Accent4" xfId="66"/>
    <cellStyle name="Accent5" xfId="67"/>
    <cellStyle name="20% - Accent5" xfId="68"/>
    <cellStyle name="40% - Accent5" xfId="69"/>
    <cellStyle name="60% - Accent5" xfId="70"/>
    <cellStyle name="Accent6" xfId="71"/>
    <cellStyle name="20% - Accent6" xfId="72"/>
    <cellStyle name="40% - Accent6" xfId="73"/>
    <cellStyle name="60% - Accent6" xfId="7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43787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43787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43790.5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172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99990009868555</v>
      </c>
      <c r="C20" s="227">
        <v>331379</v>
      </c>
      <c r="D20" s="228" t="s">
        <v>40</v>
      </c>
      <c r="E20" s="229"/>
      <c r="F20" s="229">
        <v>331379</v>
      </c>
      <c r="G20" s="229" t="s">
        <v>41</v>
      </c>
      <c r="H20" s="230">
        <v>0</v>
      </c>
      <c r="I20" s="231">
        <v>2</v>
      </c>
      <c r="J20" s="232">
        <v>7.6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180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99990012202357</v>
      </c>
      <c r="C21" s="227" t="s">
        <v>43</v>
      </c>
      <c r="D21" s="228" t="s">
        <v>44</v>
      </c>
      <c r="E21" s="229"/>
      <c r="F21" s="229" t="s">
        <v>43</v>
      </c>
      <c r="G21" s="229" t="s">
        <v>41</v>
      </c>
      <c r="H21" s="230">
        <v>0</v>
      </c>
      <c r="I21" s="231">
        <v>5</v>
      </c>
      <c r="J21" s="232">
        <v>9.03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99990009867045</v>
      </c>
      <c r="C22" s="227">
        <v>331106</v>
      </c>
      <c r="D22" s="228" t="s">
        <v>46</v>
      </c>
      <c r="E22" s="229"/>
      <c r="F22" s="229">
        <v>331106</v>
      </c>
      <c r="G22" s="229" t="s">
        <v>41</v>
      </c>
      <c r="H22" s="230">
        <v>0</v>
      </c>
      <c r="I22" s="231">
        <v>2</v>
      </c>
      <c r="J22" s="232">
        <v>70.69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 t="s">
        <v>47</v>
      </c>
      <c r="S22" s="238"/>
      <c r="T22" s="239"/>
    </row>
    <row r="23" spans="1:20" ht="24" customHeight="1">
      <c r="A23" s="226">
        <v>4</v>
      </c>
      <c r="B23" s="226">
        <v>99990009872729</v>
      </c>
      <c r="C23" s="227">
        <v>330210</v>
      </c>
      <c r="D23" s="228" t="s">
        <v>48</v>
      </c>
      <c r="E23" s="229"/>
      <c r="F23" s="229">
        <v>330210</v>
      </c>
      <c r="G23" s="229" t="s">
        <v>41</v>
      </c>
      <c r="H23" s="230">
        <v>0</v>
      </c>
      <c r="I23" s="231">
        <v>2</v>
      </c>
      <c r="J23" s="232">
        <v>1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 t="s">
        <v>49</v>
      </c>
      <c r="S23" s="238"/>
      <c r="T23" s="239"/>
    </row>
    <row r="24" spans="1:20" ht="24" customHeight="1">
      <c r="A24" s="226">
        <v>5</v>
      </c>
      <c r="B24" s="226">
        <v>99990009872748</v>
      </c>
      <c r="C24" s="227">
        <v>190381</v>
      </c>
      <c r="D24" s="228" t="s">
        <v>50</v>
      </c>
      <c r="E24" s="229"/>
      <c r="F24" s="229">
        <v>190381</v>
      </c>
      <c r="G24" s="229" t="s">
        <v>51</v>
      </c>
      <c r="H24" s="230">
        <v>0</v>
      </c>
      <c r="I24" s="231">
        <v>2</v>
      </c>
      <c r="J24" s="232">
        <v>10.68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99990009872267</v>
      </c>
      <c r="C25" s="227">
        <v>190672</v>
      </c>
      <c r="D25" s="228" t="s">
        <v>52</v>
      </c>
      <c r="E25" s="229"/>
      <c r="F25" s="229">
        <v>190672</v>
      </c>
      <c r="G25" s="229" t="s">
        <v>53</v>
      </c>
      <c r="H25" s="230">
        <v>0</v>
      </c>
      <c r="I25" s="231">
        <v>12</v>
      </c>
      <c r="J25" s="232">
        <v>8.88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99990009872265</v>
      </c>
      <c r="C26" s="227">
        <v>190674</v>
      </c>
      <c r="D26" s="228" t="s">
        <v>54</v>
      </c>
      <c r="E26" s="229"/>
      <c r="F26" s="229">
        <v>190674</v>
      </c>
      <c r="G26" s="229" t="s">
        <v>53</v>
      </c>
      <c r="H26" s="230">
        <v>0</v>
      </c>
      <c r="I26" s="231">
        <v>12</v>
      </c>
      <c r="J26" s="232">
        <v>8.88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99990009872858</v>
      </c>
      <c r="C27" s="227">
        <v>190237</v>
      </c>
      <c r="D27" s="228" t="s">
        <v>55</v>
      </c>
      <c r="E27" s="229"/>
      <c r="F27" s="229">
        <v>190237</v>
      </c>
      <c r="G27" s="229" t="s">
        <v>56</v>
      </c>
      <c r="H27" s="230">
        <v>0</v>
      </c>
      <c r="I27" s="231">
        <v>4</v>
      </c>
      <c r="J27" s="232">
        <v>15.62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99990009872905</v>
      </c>
      <c r="C28" s="227">
        <v>190102</v>
      </c>
      <c r="D28" s="228" t="s">
        <v>57</v>
      </c>
      <c r="E28" s="229"/>
      <c r="F28" s="229">
        <v>190102</v>
      </c>
      <c r="G28" s="229" t="s">
        <v>56</v>
      </c>
      <c r="H28" s="230">
        <v>0</v>
      </c>
      <c r="I28" s="231">
        <v>120</v>
      </c>
      <c r="J28" s="232">
        <v>0.36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 t="s">
        <v>58</v>
      </c>
      <c r="S28" s="238"/>
      <c r="T28" s="239"/>
    </row>
    <row r="29" spans="1:20" ht="24" customHeight="1">
      <c r="A29" s="226">
        <v>10</v>
      </c>
      <c r="B29" s="226">
        <v>99990009872860</v>
      </c>
      <c r="C29" s="227">
        <v>190235</v>
      </c>
      <c r="D29" s="228" t="s">
        <v>59</v>
      </c>
      <c r="E29" s="229"/>
      <c r="F29" s="229">
        <v>190235</v>
      </c>
      <c r="G29" s="229" t="s">
        <v>56</v>
      </c>
      <c r="H29" s="230">
        <v>0</v>
      </c>
      <c r="I29" s="231">
        <v>6</v>
      </c>
      <c r="J29" s="232">
        <v>7.69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99990009873059</v>
      </c>
      <c r="C30" s="227">
        <v>330154</v>
      </c>
      <c r="D30" s="228" t="s">
        <v>60</v>
      </c>
      <c r="E30" s="229"/>
      <c r="F30" s="229">
        <v>330154</v>
      </c>
      <c r="G30" s="229" t="s">
        <v>41</v>
      </c>
      <c r="H30" s="230">
        <v>0</v>
      </c>
      <c r="I30" s="231">
        <v>1</v>
      </c>
      <c r="J30" s="232">
        <v>17.47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181</v>
      </c>
      <c r="Q30" s="236"/>
      <c r="R30" s="237" t="s">
        <v>61</v>
      </c>
      <c r="S30" s="238"/>
      <c r="T30" s="239"/>
    </row>
    <row r="31" spans="1:20" ht="24" customHeight="1">
      <c r="A31" s="226">
        <v>12</v>
      </c>
      <c r="B31" s="226">
        <v>99990009868532</v>
      </c>
      <c r="C31" s="227">
        <v>330416</v>
      </c>
      <c r="D31" s="228" t="s">
        <v>62</v>
      </c>
      <c r="E31" s="229"/>
      <c r="F31" s="229">
        <v>330416</v>
      </c>
      <c r="G31" s="229" t="s">
        <v>53</v>
      </c>
      <c r="H31" s="230">
        <v>0</v>
      </c>
      <c r="I31" s="231">
        <v>2</v>
      </c>
      <c r="J31" s="232">
        <v>280.79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182</v>
      </c>
      <c r="Q31" s="236"/>
      <c r="R31" s="237" t="s">
        <v>63</v>
      </c>
      <c r="S31" s="238"/>
      <c r="T31" s="239"/>
    </row>
    <row r="32" spans="1:20" ht="24" customHeight="1">
      <c r="A32" s="226">
        <v>13</v>
      </c>
      <c r="B32" s="226">
        <v>99990009866953</v>
      </c>
      <c r="C32" s="227">
        <v>331158</v>
      </c>
      <c r="D32" s="228" t="s">
        <v>64</v>
      </c>
      <c r="E32" s="229"/>
      <c r="F32" s="229">
        <v>331158</v>
      </c>
      <c r="G32" s="229" t="s">
        <v>56</v>
      </c>
      <c r="H32" s="230">
        <v>0</v>
      </c>
      <c r="I32" s="231">
        <v>10</v>
      </c>
      <c r="J32" s="232">
        <v>0.16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183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99990009872892</v>
      </c>
      <c r="C33" s="227">
        <v>190132</v>
      </c>
      <c r="D33" s="228" t="s">
        <v>65</v>
      </c>
      <c r="E33" s="229"/>
      <c r="F33" s="229">
        <v>190132</v>
      </c>
      <c r="G33" s="229" t="s">
        <v>56</v>
      </c>
      <c r="H33" s="230">
        <v>0</v>
      </c>
      <c r="I33" s="231">
        <v>10</v>
      </c>
      <c r="J33" s="232">
        <v>1.36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99990009872893</v>
      </c>
      <c r="C34" s="227">
        <v>190131</v>
      </c>
      <c r="D34" s="228" t="s">
        <v>66</v>
      </c>
      <c r="E34" s="229"/>
      <c r="F34" s="229">
        <v>190131</v>
      </c>
      <c r="G34" s="229" t="s">
        <v>56</v>
      </c>
      <c r="H34" s="230">
        <v>0</v>
      </c>
      <c r="I34" s="231">
        <v>10</v>
      </c>
      <c r="J34" s="232">
        <v>1.26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99990009872906</v>
      </c>
      <c r="C35" s="227">
        <v>190104</v>
      </c>
      <c r="D35" s="228" t="s">
        <v>67</v>
      </c>
      <c r="E35" s="229"/>
      <c r="F35" s="229">
        <v>190104</v>
      </c>
      <c r="G35" s="229" t="s">
        <v>56</v>
      </c>
      <c r="H35" s="230">
        <v>0</v>
      </c>
      <c r="I35" s="231">
        <v>200</v>
      </c>
      <c r="J35" s="232">
        <v>0.14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99990009866938</v>
      </c>
      <c r="C36" s="227">
        <v>331269</v>
      </c>
      <c r="D36" s="228" t="s">
        <v>68</v>
      </c>
      <c r="E36" s="229"/>
      <c r="F36" s="229">
        <v>331269</v>
      </c>
      <c r="G36" s="229" t="s">
        <v>56</v>
      </c>
      <c r="H36" s="230">
        <v>0</v>
      </c>
      <c r="I36" s="231">
        <v>6</v>
      </c>
      <c r="J36" s="232">
        <v>3.29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184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99990009866957</v>
      </c>
      <c r="C37" s="227">
        <v>331153</v>
      </c>
      <c r="D37" s="228" t="s">
        <v>69</v>
      </c>
      <c r="E37" s="229"/>
      <c r="F37" s="229">
        <v>331153</v>
      </c>
      <c r="G37" s="229" t="s">
        <v>56</v>
      </c>
      <c r="H37" s="230">
        <v>0</v>
      </c>
      <c r="I37" s="231">
        <v>5</v>
      </c>
      <c r="J37" s="232">
        <v>3.16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184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99990009873343</v>
      </c>
      <c r="C38" s="227">
        <v>310101</v>
      </c>
      <c r="D38" s="228" t="s">
        <v>70</v>
      </c>
      <c r="E38" s="229"/>
      <c r="F38" s="229">
        <v>310101</v>
      </c>
      <c r="G38" s="229" t="s">
        <v>41</v>
      </c>
      <c r="H38" s="230">
        <v>0</v>
      </c>
      <c r="I38" s="231">
        <v>5</v>
      </c>
      <c r="J38" s="232">
        <v>2.7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184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99990009867018</v>
      </c>
      <c r="C39" s="227">
        <v>331130</v>
      </c>
      <c r="D39" s="228" t="s">
        <v>71</v>
      </c>
      <c r="E39" s="229"/>
      <c r="F39" s="229">
        <v>331130</v>
      </c>
      <c r="G39" s="229" t="s">
        <v>72</v>
      </c>
      <c r="H39" s="230">
        <v>0</v>
      </c>
      <c r="I39" s="231">
        <v>2</v>
      </c>
      <c r="J39" s="232">
        <v>0.62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185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99990009867040</v>
      </c>
      <c r="C40" s="227">
        <v>331113</v>
      </c>
      <c r="D40" s="228" t="s">
        <v>73</v>
      </c>
      <c r="E40" s="229"/>
      <c r="F40" s="229">
        <v>331113</v>
      </c>
      <c r="G40" s="229" t="s">
        <v>41</v>
      </c>
      <c r="H40" s="230">
        <v>0</v>
      </c>
      <c r="I40" s="231">
        <v>4</v>
      </c>
      <c r="J40" s="232">
        <v>1.36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99990009873261</v>
      </c>
      <c r="C41" s="227">
        <v>311054</v>
      </c>
      <c r="D41" s="228" t="s">
        <v>74</v>
      </c>
      <c r="E41" s="229"/>
      <c r="F41" s="229">
        <v>311054</v>
      </c>
      <c r="G41" s="229" t="s">
        <v>56</v>
      </c>
      <c r="H41" s="230">
        <v>0</v>
      </c>
      <c r="I41" s="231">
        <v>12</v>
      </c>
      <c r="J41" s="232">
        <v>0.75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186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99990009873204</v>
      </c>
      <c r="C42" s="227">
        <v>311101</v>
      </c>
      <c r="D42" s="228" t="s">
        <v>75</v>
      </c>
      <c r="E42" s="229"/>
      <c r="F42" s="229">
        <v>311101</v>
      </c>
      <c r="G42" s="229" t="s">
        <v>56</v>
      </c>
      <c r="H42" s="230">
        <v>0</v>
      </c>
      <c r="I42" s="231">
        <v>12</v>
      </c>
      <c r="J42" s="232">
        <v>3.85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184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99990009872900</v>
      </c>
      <c r="C43" s="227">
        <v>190109</v>
      </c>
      <c r="D43" s="228" t="s">
        <v>76</v>
      </c>
      <c r="E43" s="229"/>
      <c r="F43" s="229">
        <v>190109</v>
      </c>
      <c r="G43" s="229" t="s">
        <v>51</v>
      </c>
      <c r="H43" s="230">
        <v>0</v>
      </c>
      <c r="I43" s="231">
        <v>5</v>
      </c>
      <c r="J43" s="232">
        <v>9.48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15" customHeight="1">
      <c r="A44" s="32"/>
      <c r="B44" s="295"/>
      <c r="C44" s="296"/>
      <c r="D44" s="296"/>
      <c r="E44" s="296"/>
      <c r="F44" s="296"/>
      <c r="G44" s="296"/>
      <c r="H44" s="297"/>
      <c r="I44" s="297"/>
      <c r="J44" s="297"/>
      <c r="K44" s="297"/>
      <c r="L44" s="297"/>
      <c r="M44" s="297"/>
      <c r="N44" s="297"/>
      <c r="O44" s="297"/>
      <c r="P44" s="297"/>
      <c r="Q44" s="297"/>
      <c r="R44" s="297"/>
      <c r="S44" s="297"/>
      <c r="T44" s="298"/>
    </row>
    <row r="45" spans="1:20" ht="12.75" customHeight="1">
      <c r="A45" s="289" t="s">
        <v>28</v>
      </c>
      <c r="B45" s="289"/>
      <c r="C45" s="290" t="s">
        <v>77</v>
      </c>
      <c r="D45" s="291"/>
      <c r="E45" s="291"/>
      <c r="F45" s="291"/>
      <c r="G45" s="291"/>
      <c r="H45" s="291"/>
      <c r="I45" s="292"/>
      <c r="J45" s="292" t="s">
        <v>78</v>
      </c>
      <c r="K45" s="292"/>
      <c r="L45" s="292" t="s">
        <v>35</v>
      </c>
      <c r="M45" s="292" t="s">
        <v>36</v>
      </c>
      <c r="N45" s="293" t="s">
        <v>79</v>
      </c>
      <c r="O45" s="294" t="s">
        <v>38</v>
      </c>
      <c r="P45" s="294"/>
      <c r="Q45" s="294"/>
      <c r="R45" s="294"/>
      <c r="S45" s="294"/>
      <c r="T45" s="225"/>
    </row>
    <row r="46" spans="1:20" ht="15" customHeight="1">
      <c r="A46" s="269">
        <v>1</v>
      </c>
      <c r="B46" s="270"/>
      <c r="C46" s="271" t="s">
        <v>80</v>
      </c>
      <c r="D46" s="272" t="s">
        <v>80</v>
      </c>
      <c r="E46" s="272" t="s">
        <v>80</v>
      </c>
      <c r="F46" s="272" t="s">
        <v>80</v>
      </c>
      <c r="G46" s="272" t="s">
        <v>80</v>
      </c>
      <c r="H46" s="273" t="s">
        <v>80</v>
      </c>
      <c r="I46" s="274"/>
      <c r="J46" s="275">
        <v>0</v>
      </c>
      <c r="K46" s="276"/>
      <c r="L46" s="277">
        <v>0</v>
      </c>
      <c r="M46" s="277">
        <v>0</v>
      </c>
      <c r="N46" s="285">
        <f>(J46-(J46*L46/100)+((J46-(J46*L46/100))*M46/100))</f>
      </c>
      <c r="O46" s="286"/>
      <c r="P46" s="287"/>
      <c r="Q46" s="287"/>
      <c r="R46" s="287"/>
      <c r="S46" s="288"/>
      <c r="T46" s="283"/>
    </row>
    <row r="47" spans="1:20" ht="15" customHeight="1">
      <c r="A47" s="269">
        <v>2</v>
      </c>
      <c r="B47" s="270"/>
      <c r="C47" s="271" t="s">
        <v>81</v>
      </c>
      <c r="D47" s="272" t="s">
        <v>81</v>
      </c>
      <c r="E47" s="272" t="s">
        <v>81</v>
      </c>
      <c r="F47" s="272" t="s">
        <v>81</v>
      </c>
      <c r="G47" s="272" t="s">
        <v>81</v>
      </c>
      <c r="H47" s="273" t="s">
        <v>81</v>
      </c>
      <c r="I47" s="284"/>
      <c r="J47" s="275">
        <v>0</v>
      </c>
      <c r="K47" s="276"/>
      <c r="L47" s="277">
        <v>0</v>
      </c>
      <c r="M47" s="277">
        <v>0</v>
      </c>
      <c r="N47" s="279">
        <f>(J47-(J47*L47/100)+((J47-(J47*L47/100))*M47/100))</f>
      </c>
      <c r="O47" s="280"/>
      <c r="P47" s="281"/>
      <c r="Q47" s="281"/>
      <c r="R47" s="281"/>
      <c r="S47" s="282"/>
      <c r="T47" s="283"/>
    </row>
    <row r="48" spans="1:20" ht="15" customHeight="1">
      <c r="A48" s="269">
        <v>3</v>
      </c>
      <c r="B48" s="270"/>
      <c r="C48" s="271"/>
      <c r="D48" s="272"/>
      <c r="E48" s="272"/>
      <c r="F48" s="272"/>
      <c r="G48" s="272"/>
      <c r="H48" s="273"/>
      <c r="I48" s="274"/>
      <c r="J48" s="275">
        <v>0</v>
      </c>
      <c r="K48" s="276"/>
      <c r="L48" s="277">
        <v>0</v>
      </c>
      <c r="M48" s="277">
        <v>0</v>
      </c>
      <c r="N48" s="279">
        <f>(J48-(J48*L48/100)+((J48-(J48*L48/100))*M48/100))</f>
      </c>
      <c r="O48" s="280"/>
      <c r="P48" s="281"/>
      <c r="Q48" s="281"/>
      <c r="R48" s="281"/>
      <c r="S48" s="282"/>
      <c r="T48" s="283"/>
    </row>
    <row r="49" spans="1:20" ht="15.75" customHeight="1">
      <c r="A49" s="269">
        <v>4</v>
      </c>
      <c r="B49" s="270"/>
      <c r="C49" s="271"/>
      <c r="D49" s="272"/>
      <c r="E49" s="272"/>
      <c r="F49" s="272"/>
      <c r="G49" s="272"/>
      <c r="H49" s="273"/>
      <c r="I49" s="274"/>
      <c r="J49" s="275">
        <v>0</v>
      </c>
      <c r="K49" s="276"/>
      <c r="L49" s="277">
        <v>0</v>
      </c>
      <c r="M49" s="278">
        <v>0</v>
      </c>
      <c r="N49" s="279">
        <f>(J49-(J49*L49/100)+((J49-(J49*L49/100))*M49/100))</f>
      </c>
      <c r="O49" s="280"/>
      <c r="P49" s="281"/>
      <c r="Q49" s="281"/>
      <c r="R49" s="281"/>
      <c r="S49" s="282"/>
      <c r="T49" s="283"/>
    </row>
    <row r="50" spans="1:16" ht="15.95" customHeight="1">
      <c r="A50" s="247"/>
      <c r="B50" s="247"/>
      <c r="C50" s="248"/>
      <c r="D50" s="248"/>
      <c r="I50" s="163"/>
      <c r="J50" s="58" t="s">
        <v>82</v>
      </c>
      <c r="K50" s="59"/>
      <c r="L50" s="58"/>
      <c r="M50" s="59"/>
      <c r="N50" s="264">
        <f>SUM(ItmPrice)</f>
      </c>
      <c r="O50" s="267"/>
      <c r="P50" s="268"/>
    </row>
    <row r="51" spans="1:16" ht="15" customHeight="1">
      <c r="A51" s="247"/>
      <c r="B51" s="247"/>
      <c r="C51" s="248"/>
      <c r="D51" s="248"/>
      <c r="I51" s="163"/>
      <c r="J51" s="123" t="s">
        <v>83</v>
      </c>
      <c r="K51" s="124"/>
      <c r="L51" s="124"/>
      <c r="M51" s="125"/>
      <c r="N51" s="264">
        <f>SUM(N46:N50)</f>
      </c>
      <c r="O51" s="265"/>
      <c r="P51" s="266"/>
    </row>
    <row r="52" spans="1:19" ht="2.25" customHeight="1" hidden="1">
      <c r="A52" s="258">
        <v>0</v>
      </c>
      <c r="B52" s="258">
        <v>0</v>
      </c>
      <c r="C52" s="259">
        <v>0</v>
      </c>
      <c r="D52" s="248"/>
      <c r="E52" s="248"/>
      <c r="F52" s="260">
        <v>1</v>
      </c>
      <c r="G52" s="248"/>
      <c r="H52" s="248"/>
      <c r="I52" s="248"/>
      <c r="J52" s="248"/>
      <c r="K52" s="261"/>
      <c r="L52" s="262">
        <v>0</v>
      </c>
      <c r="M52" s="263">
        <v>0</v>
      </c>
      <c r="N52" s="162" t="s">
        <v>84</v>
      </c>
      <c r="O52" s="257"/>
      <c r="P52" s="263">
        <v>995</v>
      </c>
      <c r="Q52" s="248" t="s">
        <v>85</v>
      </c>
      <c r="R52" s="248"/>
      <c r="S52" s="248"/>
    </row>
    <row r="53" spans="1:19" ht="18.75" customHeight="1">
      <c r="A53" s="247"/>
      <c r="B53" s="247"/>
      <c r="C53" s="247"/>
      <c r="H53" s="257"/>
      <c r="I53" s="163"/>
      <c r="J53" s="248"/>
      <c r="K53" s="248"/>
      <c r="L53" s="248"/>
      <c r="M53" s="248"/>
      <c r="N53" s="248"/>
      <c r="O53" s="248"/>
      <c r="P53" s="248"/>
      <c r="R53" s="248"/>
      <c r="S53" s="248"/>
    </row>
    <row r="54" spans="1:20" ht="127.5" customHeight="1">
      <c r="A54" s="249" t="s">
        <v>86</v>
      </c>
      <c r="B54" s="249"/>
      <c r="C54" s="249"/>
      <c r="D54" s="250"/>
      <c r="E54" s="254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6"/>
    </row>
    <row r="55" spans="1:20" ht="129.75" customHeight="1">
      <c r="A55" s="249" t="s">
        <v>38</v>
      </c>
      <c r="B55" s="249"/>
      <c r="C55" s="249"/>
      <c r="D55" s="250"/>
      <c r="E55" s="251" t="s">
        <v>187</v>
      </c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3"/>
    </row>
    <row r="56" spans="1:19" ht="15.95" customHeight="1">
      <c r="A56" s="247"/>
      <c r="B56" s="247"/>
      <c r="C56" s="247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</row>
    <row r="57" spans="1:20" ht="15.95" customHeight="1">
      <c r="A57" s="245" t="s">
        <v>87</v>
      </c>
      <c r="B57" s="245"/>
      <c r="C57" s="245"/>
      <c r="D57" s="245"/>
      <c r="E57" s="245"/>
      <c r="F57" s="245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6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7.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7.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2"/>
    </row>
    <row r="81" spans="1:9" ht="12.75">
      <c r="A81" s="240" t="s">
        <v>88</v>
      </c>
      <c r="B81" s="240"/>
      <c r="C81" s="240"/>
      <c r="D81" s="240"/>
      <c r="E81" s="240"/>
      <c r="F81" s="240"/>
      <c r="G81" s="240"/>
      <c r="I8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3">
    <mergeCell ref="E54:S54"/>
    <mergeCell ref="E55:S55"/>
    <mergeCell ref="E57:S57"/>
    <mergeCell ref="A58:S79"/>
    <mergeCell ref="A80:S80"/>
    <mergeCell ref="A54:D54"/>
    <mergeCell ref="A55:D55"/>
    <mergeCell ref="K1:R1"/>
    <mergeCell ref="R19:S19"/>
    <mergeCell ref="R20:S20"/>
    <mergeCell ref="O46:S46"/>
    <mergeCell ref="O47:S47"/>
    <mergeCell ref="O45:S45"/>
    <mergeCell ref="J45:K45"/>
    <mergeCell ref="K4:L4"/>
    <mergeCell ref="M4:P4"/>
    <mergeCell ref="K5:L5"/>
    <mergeCell ref="M5:P5"/>
    <mergeCell ref="M7:Q7"/>
    <mergeCell ref="P20:Q20"/>
    <mergeCell ref="M12:O12"/>
    <mergeCell ref="K12:L12"/>
    <mergeCell ref="O50:P50"/>
    <mergeCell ref="O51:P51"/>
    <mergeCell ref="J51:M51"/>
    <mergeCell ref="O48:S48"/>
    <mergeCell ref="O49:S4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5:H4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C46:H46"/>
    <mergeCell ref="J46:K46"/>
    <mergeCell ref="C47:H47"/>
    <mergeCell ref="J47:K47"/>
    <mergeCell ref="C48:H48"/>
    <mergeCell ref="J48:K48"/>
    <mergeCell ref="C49:H49"/>
    <mergeCell ref="J49:K49"/>
  </mergeCells>
  <dataValidations count="10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list" allowBlank="1" showInputMessage="1" showErrorMessage="1" sqref="C46:H46">
      <formula1>'MasterData'!$H$1:$H$14</formula1>
    </dataValidation>
    <dataValidation type="list" allowBlank="1" showInputMessage="1" showErrorMessage="1" sqref="C47:H47">
      <formula1>'MasterData'!$H$1:$H$14</formula1>
    </dataValidation>
    <dataValidation type="list" allowBlank="1" showInputMessage="1" showErrorMessage="1" sqref="C48:H48">
      <formula1>'MasterData'!$H$1:$H$14</formula1>
    </dataValidation>
    <dataValidation type="list" allowBlank="1" showInputMessage="1" showErrorMessage="1" sqref="C49:H4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80</v>
      </c>
      <c r="M1" s="300" t="s">
        <v>89</v>
      </c>
      <c r="N1" s="301" t="s">
        <v>0</v>
      </c>
      <c r="O1" s="162" t="s">
        <v>90</v>
      </c>
    </row>
    <row r="2" spans="7:15" ht="12.75">
      <c r="G2" s="162">
        <v>1001310</v>
      </c>
      <c r="H2" s="162" t="s">
        <v>81</v>
      </c>
      <c r="M2" s="300" t="s">
        <v>91</v>
      </c>
      <c r="N2" s="301">
        <v>1020744241</v>
      </c>
      <c r="O2" s="162" t="s">
        <v>92</v>
      </c>
    </row>
    <row r="3" spans="7:15" ht="12.75">
      <c r="G3" s="162">
        <v>1012729</v>
      </c>
      <c r="H3" s="162" t="s">
        <v>93</v>
      </c>
      <c r="M3" s="300" t="s">
        <v>94</v>
      </c>
      <c r="N3" s="301">
        <v>99990000438530</v>
      </c>
      <c r="O3" s="162" t="s">
        <v>95</v>
      </c>
    </row>
    <row r="4" spans="7:15" ht="12.75">
      <c r="G4" s="162">
        <v>1012730</v>
      </c>
      <c r="H4" s="162" t="s">
        <v>96</v>
      </c>
      <c r="M4" s="300" t="s">
        <v>97</v>
      </c>
      <c r="N4" s="301">
        <v>1021884101</v>
      </c>
      <c r="O4" s="162" t="s">
        <v>98</v>
      </c>
    </row>
    <row r="5" spans="7:15" ht="12.75">
      <c r="G5" s="162">
        <v>1012731</v>
      </c>
      <c r="H5" s="162" t="s">
        <v>99</v>
      </c>
      <c r="M5" s="300" t="s">
        <v>100</v>
      </c>
      <c r="N5" s="301"/>
      <c r="O5" s="162" t="s">
        <v>101</v>
      </c>
    </row>
    <row r="6" spans="7:15" ht="12.75">
      <c r="G6" s="162">
        <v>1012732</v>
      </c>
      <c r="H6" s="162" t="s">
        <v>102</v>
      </c>
      <c r="M6" s="300" t="s">
        <v>103</v>
      </c>
      <c r="N6" s="301" t="s">
        <v>104</v>
      </c>
      <c r="O6" s="162" t="s">
        <v>105</v>
      </c>
    </row>
    <row r="7" spans="7:15" ht="12.75">
      <c r="G7" s="162">
        <v>1012733</v>
      </c>
      <c r="H7" s="162" t="s">
        <v>106</v>
      </c>
      <c r="M7" s="300" t="s">
        <v>107</v>
      </c>
      <c r="N7" s="301">
        <v>0</v>
      </c>
      <c r="O7" s="162" t="s">
        <v>108</v>
      </c>
    </row>
    <row r="8" spans="7:15" ht="12.75">
      <c r="G8" s="162">
        <v>1012735</v>
      </c>
      <c r="H8" s="162" t="s">
        <v>109</v>
      </c>
      <c r="O8" s="162" t="s">
        <v>110</v>
      </c>
    </row>
    <row r="9" spans="7:15" ht="12.75">
      <c r="G9" s="162">
        <v>1012736</v>
      </c>
      <c r="H9" s="162" t="s">
        <v>111</v>
      </c>
      <c r="O9" s="162" t="s">
        <v>112</v>
      </c>
    </row>
    <row r="10" spans="7:15" ht="12.75">
      <c r="G10" s="162">
        <v>1012737</v>
      </c>
      <c r="H10" s="162" t="s">
        <v>113</v>
      </c>
      <c r="O10" s="162" t="s">
        <v>114</v>
      </c>
    </row>
    <row r="11" spans="7:15" ht="12.75">
      <c r="G11" s="162">
        <v>1012741</v>
      </c>
      <c r="H11" s="162" t="s">
        <v>115</v>
      </c>
      <c r="O11" s="162" t="s">
        <v>116</v>
      </c>
    </row>
    <row r="12" spans="7:15" ht="12.75">
      <c r="G12" s="162">
        <v>1012742</v>
      </c>
      <c r="H12" s="162" t="s">
        <v>117</v>
      </c>
      <c r="O12" s="162" t="s">
        <v>118</v>
      </c>
    </row>
    <row r="13" spans="7:15" ht="12.75">
      <c r="G13" s="162">
        <v>1012743</v>
      </c>
      <c r="H13" s="162" t="s">
        <v>119</v>
      </c>
      <c r="O13" s="162" t="s">
        <v>120</v>
      </c>
    </row>
    <row r="14" spans="7:15" ht="12.75">
      <c r="G14" s="162">
        <v>1012744</v>
      </c>
      <c r="H14" s="162" t="s">
        <v>121</v>
      </c>
      <c r="O14" s="162" t="s">
        <v>122</v>
      </c>
    </row>
    <row r="15" ht="12.75">
      <c r="O15" s="162" t="s">
        <v>123</v>
      </c>
    </row>
    <row r="16" ht="12.75">
      <c r="O16" s="162" t="s">
        <v>124</v>
      </c>
    </row>
    <row r="17" ht="12.75">
      <c r="O17" s="162" t="s">
        <v>125</v>
      </c>
    </row>
    <row r="18" ht="12.75">
      <c r="O18" s="162" t="s">
        <v>126</v>
      </c>
    </row>
    <row r="19" ht="12.75">
      <c r="O19" s="162" t="s">
        <v>127</v>
      </c>
    </row>
    <row r="20" ht="12.75">
      <c r="O20" s="162" t="s">
        <v>128</v>
      </c>
    </row>
    <row r="21" ht="12.75">
      <c r="O21" s="162" t="s">
        <v>129</v>
      </c>
    </row>
    <row r="22" ht="12.75">
      <c r="O22" s="162" t="s">
        <v>130</v>
      </c>
    </row>
    <row r="23" ht="12.75">
      <c r="O23" s="162" t="s">
        <v>131</v>
      </c>
    </row>
    <row r="24" ht="12.75">
      <c r="O24" s="162" t="s">
        <v>132</v>
      </c>
    </row>
    <row r="25" ht="12.75">
      <c r="O25" s="162" t="s">
        <v>133</v>
      </c>
    </row>
    <row r="26" ht="12.75">
      <c r="O26" s="162" t="s">
        <v>134</v>
      </c>
    </row>
    <row r="27" ht="12.75">
      <c r="O27" s="162" t="s">
        <v>135</v>
      </c>
    </row>
    <row r="28" ht="12.75">
      <c r="O28" s="162" t="s">
        <v>136</v>
      </c>
    </row>
    <row r="29" ht="12.75">
      <c r="O29" s="162" t="s">
        <v>137</v>
      </c>
    </row>
    <row r="30" ht="12.75">
      <c r="O30" s="162" t="s">
        <v>138</v>
      </c>
    </row>
    <row r="31" ht="12.75">
      <c r="O31" s="162" t="s">
        <v>139</v>
      </c>
    </row>
    <row r="32" ht="12.75">
      <c r="O32" s="162" t="s">
        <v>140</v>
      </c>
    </row>
    <row r="33" ht="12.75">
      <c r="O33" s="162" t="s">
        <v>141</v>
      </c>
    </row>
    <row r="34" ht="12.75">
      <c r="O34" s="162" t="s">
        <v>142</v>
      </c>
    </row>
    <row r="35" ht="12.75">
      <c r="O35" s="162" t="s">
        <v>143</v>
      </c>
    </row>
    <row r="36" ht="12.75">
      <c r="O36" s="162" t="s">
        <v>144</v>
      </c>
    </row>
    <row r="37" ht="12.75">
      <c r="O37" s="162" t="s">
        <v>145</v>
      </c>
    </row>
    <row r="38" ht="12.75">
      <c r="O38" s="162" t="s">
        <v>146</v>
      </c>
    </row>
    <row r="39" ht="12.75">
      <c r="O39" s="162" t="s">
        <v>147</v>
      </c>
    </row>
    <row r="40" ht="12.75">
      <c r="O40" s="162" t="s">
        <v>148</v>
      </c>
    </row>
    <row r="41" ht="12.75">
      <c r="O41" s="162" t="s">
        <v>149</v>
      </c>
    </row>
    <row r="42" ht="12.75">
      <c r="O42" s="162" t="s">
        <v>150</v>
      </c>
    </row>
    <row r="43" ht="12.75">
      <c r="O43" s="162" t="s">
        <v>151</v>
      </c>
    </row>
    <row r="44" ht="12.75">
      <c r="O44" s="162" t="s">
        <v>152</v>
      </c>
    </row>
    <row r="45" ht="12.75">
      <c r="O45" s="162" t="s">
        <v>153</v>
      </c>
    </row>
    <row r="46" ht="12.75">
      <c r="O46" s="162" t="s">
        <v>154</v>
      </c>
    </row>
    <row r="47" ht="12.75">
      <c r="O47" s="162" t="s">
        <v>155</v>
      </c>
    </row>
    <row r="48" ht="12.75">
      <c r="O48" s="162" t="s">
        <v>156</v>
      </c>
    </row>
    <row r="49" ht="12.75">
      <c r="O49" s="162" t="s">
        <v>157</v>
      </c>
    </row>
    <row r="50" ht="12.75">
      <c r="O50" s="162" t="s">
        <v>158</v>
      </c>
    </row>
    <row r="51" ht="12.75">
      <c r="O51" s="162" t="s">
        <v>159</v>
      </c>
    </row>
    <row r="52" ht="12.75">
      <c r="O52" s="162" t="s">
        <v>160</v>
      </c>
    </row>
    <row r="53" ht="12.75">
      <c r="O53" s="162" t="s">
        <v>161</v>
      </c>
    </row>
    <row r="54" ht="12.75">
      <c r="O54" s="162" t="s">
        <v>162</v>
      </c>
    </row>
    <row r="55" ht="12.75">
      <c r="O55" s="162" t="s">
        <v>163</v>
      </c>
    </row>
    <row r="56" ht="12.75">
      <c r="O56" s="162" t="s">
        <v>164</v>
      </c>
    </row>
    <row r="57" ht="12.75">
      <c r="O57" s="162" t="s">
        <v>165</v>
      </c>
    </row>
    <row r="58" ht="12.75">
      <c r="O58" s="162" t="s">
        <v>166</v>
      </c>
    </row>
    <row r="59" ht="12.75">
      <c r="O59" s="162" t="s">
        <v>167</v>
      </c>
    </row>
    <row r="60" ht="12.75">
      <c r="O60" s="162" t="s">
        <v>168</v>
      </c>
    </row>
    <row r="61" ht="12.75">
      <c r="O61" s="162" t="s">
        <v>169</v>
      </c>
    </row>
    <row r="62" ht="12.75">
      <c r="O62" s="162" t="s">
        <v>170</v>
      </c>
    </row>
    <row r="63" ht="12.75">
      <c r="O63" s="162" t="s">
        <v>171</v>
      </c>
    </row>
    <row r="64" ht="12.75">
      <c r="O64" s="162" t="s">
        <v>172</v>
      </c>
    </row>
    <row r="65" ht="12.75">
      <c r="O65" s="162" t="s">
        <v>173</v>
      </c>
    </row>
    <row r="66" ht="12.75">
      <c r="O66" s="162" t="s">
        <v>174</v>
      </c>
    </row>
    <row r="67" ht="12.75">
      <c r="O67" s="162" t="s">
        <v>175</v>
      </c>
    </row>
    <row r="68" ht="12.75">
      <c r="O68" s="162" t="s">
        <v>176</v>
      </c>
    </row>
    <row r="69" ht="12.75">
      <c r="O69" s="162" t="s">
        <v>177</v>
      </c>
    </row>
    <row r="70" ht="12.75">
      <c r="O70" s="162" t="s">
        <v>178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