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Quote!$A$36</definedName>
    <definedName name="Enquiry_To_Vendor_ID" comment="Enquiry to Vendor ID">Quote!$C$36</definedName>
    <definedName name="GrandTotal">Quote!$N$35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Quote!$A$28</definedName>
    <definedName name="ItemListStartupRow" comment="Item List Start Up Row">Quote!$A$19</definedName>
    <definedName name="ItemSubTotal">Quote!$N$34</definedName>
    <definedName name="ItemSubTotalTitle">Quote!$J$34</definedName>
    <definedName name="LeadDay">Quote!$M$11</definedName>
    <definedName name="Lock">Quote!$M$36</definedName>
    <definedName name="LoggedInEmailID">Quote!$N$36</definedName>
    <definedName name="LoggedInPwd">Quote!$O$36</definedName>
    <definedName name="OtherCharges">Quote!$C$30</definedName>
    <definedName name="OtherChargesLastRow">Quote!$A$34</definedName>
    <definedName name="OtherChargesStartRow">Quote!$A$29</definedName>
    <definedName name="Port">Quote!$P$36</definedName>
    <definedName name="PortOfDelivery" comment="Port of Delivery">Quote!$M$9</definedName>
    <definedName name="PurchaserName">Quote!$J$36</definedName>
    <definedName name="QuoteBefore">Quote!$M$8</definedName>
    <definedName name="QuoteID">MasterData!$N$7</definedName>
    <definedName name="QuoteSubject">Quote!$E$36</definedName>
    <definedName name="Remarks">Quote!$E$38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Quote!$K$36</definedName>
    <definedName name="SentIndex">Quote!$L$36</definedName>
    <definedName name="Server">Quote!$Q$36</definedName>
    <definedName name="Terms">Quote!$A$42:$T$63</definedName>
    <definedName name="ToEmailID">Quote!$I$36</definedName>
    <definedName name="ToEmailPwd">Quote!$H$36</definedName>
    <definedName name="VAL">Quote!$F$36</definedName>
    <definedName name="VAT_All">Quote!$M$16</definedName>
    <definedName name="Vendor_ID" comment="Vendor ID">Quote!$B$36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</definedName>
    <definedName name="_xlnm.Print_Area" localSheetId="0">Quote!$A$1:$R$55</definedName>
  </definedNames>
  <calcPr fullCalcOnLoad="1"/>
</workbook>
</file>

<file path=xl/sharedStrings.xml><?xml version="1.0" encoding="utf-8"?>
<sst xmlns="http://schemas.openxmlformats.org/spreadsheetml/2006/main" count="201" uniqueCount="165">
  <si>
    <t>RFQ</t>
  </si>
  <si>
    <t>Request for Quote</t>
  </si>
  <si>
    <t>Invoice To</t>
  </si>
  <si>
    <t xml:space="preserve">Bernhard Schulte Shipmanagement (Hong Kong) Limited Partnership
</t>
  </si>
  <si>
    <t>Vessel</t>
  </si>
  <si>
    <t>San Diego Bridge</t>
  </si>
  <si>
    <t>RFQ No.</t>
  </si>
  <si>
    <t>SDGB/O0260/RF19</t>
  </si>
  <si>
    <t>RFQ Date</t>
  </si>
  <si>
    <t>Submit Quote Before:</t>
  </si>
  <si>
    <t>Port of Delivery</t>
  </si>
  <si>
    <t>Vessel ETA</t>
  </si>
  <si>
    <t>Lead Days</t>
  </si>
  <si>
    <t>Vendor Details</t>
  </si>
  <si>
    <t>Vendor Reference</t>
  </si>
  <si>
    <t>Name</t>
  </si>
  <si>
    <t>FUJI TRADING CO., LTD.</t>
  </si>
  <si>
    <t>Address</t>
  </si>
  <si>
    <t>6, Fukaehamamachi, Higashinada-Ku,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</si>
  <si>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</si>
  <si>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</si>
  <si>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</si>
  <si>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</si>
  <si>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</si>
  <si>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+81 78 413 2622</t>
  </si>
  <si>
    <t>VAT(%) for all items</t>
  </si>
  <si>
    <t>Email</t>
  </si>
  <si>
    <t>mach-4@fujitrading.co.jp,mach-4@fujitrading.co.jp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</si>
  <si>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</si>
  <si>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</si>
  <si>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</si>
  <si>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</si>
  <si>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</si>
  <si>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</si>
  <si>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</si>
  <si>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</si>
  <si>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</si>
  <si>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</si>
  <si>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</si>
  <si>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</si>
  <si>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V_00001232</t>
  </si>
  <si>
    <t>Brake Liner Upper , Non-Asbestos,Dimension-16mm x 300mm x 2275mm</t>
  </si>
  <si>
    <t>PC</t>
  </si>
  <si>
    <t>As per attached drawings</t>
  </si>
  <si>
    <t>V_00001240</t>
  </si>
  <si>
    <t>Counter sunk screw M10 x 25, Material-C3604BD</t>
  </si>
  <si>
    <t>V_00001236</t>
  </si>
  <si>
    <t>Counter sunk screw M10 x 60, Material-C3604BD</t>
  </si>
  <si>
    <t>V_00001242</t>
  </si>
  <si>
    <t>Hexagon Nut, M10, Material-4MFZn II-C</t>
  </si>
  <si>
    <t>V_00001238</t>
  </si>
  <si>
    <t>Counter sunk screw M10 x 35, Material-C3604BD</t>
  </si>
  <si>
    <t>V_00001234</t>
  </si>
  <si>
    <t>Brake Lining Lower, Non-Asbestos, Dimension-16mm x 300mm x 1710mm</t>
  </si>
  <si>
    <t>V_00001246</t>
  </si>
  <si>
    <t>Brake Nut, Material-C6782BE-F</t>
  </si>
  <si>
    <t>V_00001244</t>
  </si>
  <si>
    <t>Regulating Screw, Material-SUS420J2-O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</si>
  <si>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</si>
  <si>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</si>
  <si>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</si>
  <si>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</si>
  <si>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</si>
  <si>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</si>
  <si>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</si>
  <si>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</si>
  <si>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</si>
  <si>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</si>
  <si>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For Renewal of Windlass Brake Liner during Drydock '2020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</si>
  <si>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</si>
  <si>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</si>
  <si>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</si>
  <si>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</si>
  <si>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</si>
  <si>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</si>
  <si>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</si>
  <si>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</si>
  <si>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</si>
  <si>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</si>
  <si>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</si>
  <si>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</si>
  <si>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</si>
  <si>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</si>
  <si>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</si>
  <si>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</si>
  <si>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</si>
  <si>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</si>
  <si>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</si>
  <si>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</si>
  <si>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</si>
  <si>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</si>
  <si>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</si>
  <si>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</si>
  <si>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</si>
  <si>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</si>
  <si>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</si>
  <si>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</si>
  <si>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</si>
  <si>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</si>
  <si>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</si>
  <si>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</si>
  <si>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</si>
  <si>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</si>
  <si>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</si>
  <si>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</si>
  <si>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</si>
  <si>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</si>
  <si>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</si>
  <si>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</si>
  <si>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</si>
  <si>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</si>
  <si>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</si>
  <si>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</si>
  <si>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</si>
  <si>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</si>
  <si>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</si>
  <si>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</si>
  <si>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</si>
  <si>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</si>
  <si>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</si>
  <si>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</si>
  <si>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</si>
  <si>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</si>
  <si>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</si>
  <si>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</si>
  <si>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</si>
  <si>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</si>
  <si>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</si>
  <si>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</si>
  <si>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</si>
  <si>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</si>
  <si>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</si>
  <si>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</si>
  <si>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</si>
  <si>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</si>
  <si>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</si>
  <si>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</si>
  <si>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</si>
  <si>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</si>
  <si>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</si>
  <si>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</si>
  <si>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</si>
  <si>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</si>
  <si>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</si>
  <si>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</si>
  <si>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</si>
  <si>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</si>
  <si>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</si>
  <si>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</si>
  <si>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</si>
  <si>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</si>
  <si>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</si>
  <si>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</si>
  <si>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</si>
  <si>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</si>
  <si>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</si>
  <si>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</si>
  <si>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</si>
  <si>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</si>
  <si>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</si>
  <si>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</si>
  <si>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E6653091</t>
  </si>
  <si>
    <t>BAND BRAKE LINING SET P/N 30170042</t>
  </si>
  <si>
    <t>REGURATING SCREW SET P/N V_00001244</t>
  </si>
  <si>
    <t xml:space="preserve"> 30 DAYS AFTER SHIPMENT Delivery Terms: EX WAREHOUSE KOBE UNPACKED. *********REMARK********* #1&gt;&gt;BAND BRAKE LINING SET *BRAKE LINING UPPER 16T X 3 00 X 2275 1PC *BRAKE LINING LOWER 16T X 3 00 X 1710 1PC *COUNTER SUNK SCREW M10 X 6 0         76PCS *COUNTER SUNK SCREW M10 X 3 5         36PCS *COUNTER SUNK SCREW M10 X 2 5         18PCS *NUT M10 112PCS #2-5&gt;&gt;INCLUDED IN ITEM#1. WHEN ORDER,PLEASE CHECK QTY. #7&gt;&gt;MAKER RECOMMEND TO PURCHAS E AS BRAKE SCREW SET. IF YOU PURCHASE ONLY BRAKE NUT, WE CANNOT GURANTEE EVEN IF IT IS DEFECTIVE. ( OUR OFFER IS BRAKE NUT ONLY) #8&gt;&gt;REGURATING SCREW SET(INCL FOLLOWING ITEM EACH 1PC) *REGURATING SCREW *SCREW NUT *SCREW NUT *DISTANCE PIECE *TUBE NUT IF YOU ORDER PARTIALLY, WE MAY REVISE OUR QUOTATION. ***
" WE HEREBY DECLARE THAT ALL OF OUR SUPPLYING PRODUCTS ARE ASBESTOS-FREE." *** GENUINE PARTS FROM ORIGINAL MANUFACTURE/MAKER ***
Price Valid Until: 18-Jan-2020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</si>
</sst>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49991703033"/>
      <name val="Calibri"/>
      <family val="2"/>
      <scheme val="minor"/>
    </font>
    <font>
      <b/>
      <sz val="10"/>
      <color theme="3" tint="-0.499949991703033"/>
      <name val="Calibri"/>
      <family val="2"/>
      <scheme val="minor"/>
    </font>
    <font>
      <sz val="8"/>
      <color theme="3" tint="-0.499949991703033"/>
      <name val="Calibri"/>
      <family val="2"/>
      <scheme val="minor"/>
    </font>
    <font>
      <b/>
      <sz val="9"/>
      <color theme="3" tint="-0.499949991703033"/>
      <name val="Calibri"/>
      <family val="2"/>
      <scheme val="minor"/>
    </font>
    <font>
      <sz val="10"/>
      <color theme="3" tint="-0.499949991703033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49991703033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89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48"/>
    <cellStyle name="Heading 3" xfId="49"/>
    <cellStyle name="Calculation" xfId="50"/>
    <cellStyle name="40% - Accent1" xfId="51"/>
    <cellStyle name="Title" xfId="52"/>
    <cellStyle name="Heading 2" xfId="53"/>
    <cellStyle name="Heading 4" xfId="54"/>
    <cellStyle name="Good" xfId="55"/>
    <cellStyle name="Bad" xfId="56"/>
    <cellStyle name="Neutral" xfId="57"/>
    <cellStyle name="Input" xfId="58"/>
    <cellStyle name="Output" xfId="59"/>
    <cellStyle name="Linked Cell" xfId="60"/>
    <cellStyle name="Check Cell" xfId="61"/>
    <cellStyle name="Warning Text" xfId="62"/>
    <cellStyle name="Note" xfId="63"/>
    <cellStyle name="Explanatory Text" xfId="64"/>
    <cellStyle name="Total" xfId="65"/>
    <cellStyle name="Accent1" xfId="66"/>
    <cellStyle name="20% - Accent1" xfId="67"/>
    <cellStyle name="60% - Accent1" xfId="68"/>
    <cellStyle name="Accent2" xfId="69"/>
    <cellStyle name="20% - Accent2" xfId="70"/>
    <cellStyle name="40% - Accent2" xfId="71"/>
    <cellStyle name="60% - Accent2" xfId="72"/>
    <cellStyle name="Accent3" xfId="73"/>
    <cellStyle name="20% - Accent3" xfId="74"/>
    <cellStyle name="40% - Accent3" xfId="75"/>
    <cellStyle name="60% - Accent3" xfId="76"/>
    <cellStyle name="Accent4" xfId="77"/>
    <cellStyle name="20% - Accent4" xfId="78"/>
    <cellStyle name="40% - Accent4" xfId="79"/>
    <cellStyle name="60% - Accent4" xfId="80"/>
    <cellStyle name="Accent5" xfId="81"/>
    <cellStyle name="20% - Accent5" xfId="82"/>
    <cellStyle name="40% - Accent5" xfId="83"/>
    <cellStyle name="60% - Accent5" xfId="84"/>
    <cellStyle name="Accent6" xfId="85"/>
    <cellStyle name="20% - Accent6" xfId="86"/>
    <cellStyle name="40% - Accent6" xfId="87"/>
    <cellStyle name="60% - Accent6" xfId="8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43812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43812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/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11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12</v>
      </c>
      <c r="L11" s="168"/>
      <c r="M11" s="169">
        <v>89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13</v>
      </c>
      <c r="B12" s="196"/>
      <c r="C12" s="196"/>
      <c r="D12" s="197"/>
      <c r="E12" s="198"/>
      <c r="F12" s="198"/>
      <c r="G12" s="198"/>
      <c r="H12" s="197"/>
      <c r="I12" s="197"/>
      <c r="K12" s="190" t="s">
        <v>14</v>
      </c>
      <c r="L12" s="199"/>
      <c r="M12" s="200" t="s">
        <v>161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15</v>
      </c>
      <c r="B13" s="190"/>
      <c r="C13" s="190"/>
      <c r="D13" s="192" t="s">
        <v>16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17</v>
      </c>
      <c r="B14" s="190"/>
      <c r="C14" s="190"/>
      <c r="D14" s="192" t="s">
        <v>18</v>
      </c>
      <c r="E14" s="192"/>
      <c r="F14" s="192"/>
      <c r="G14" s="192"/>
      <c r="H14" s="192"/>
      <c r="I14" s="203"/>
      <c r="K14" s="190" t="s">
        <v>19</v>
      </c>
      <c r="L14" s="206"/>
      <c r="M14" s="207" t="s">
        <v>125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20</v>
      </c>
      <c r="B15" s="190"/>
      <c r="C15" s="190"/>
      <c r="D15" s="192"/>
      <c r="E15" s="192"/>
      <c r="F15" s="192"/>
      <c r="G15" s="192"/>
      <c r="H15" s="192"/>
      <c r="I15" s="203"/>
      <c r="K15" s="190" t="s">
        <v>21</v>
      </c>
      <c r="L15" s="206"/>
      <c r="M15" s="209">
        <v>0</v>
      </c>
      <c r="N15" s="210"/>
      <c r="O15" s="211"/>
      <c r="P15" s="208" t="s">
        <v>22</v>
      </c>
      <c r="Q15" s="186"/>
      <c r="R15" s="164"/>
      <c r="S15" s="164"/>
      <c r="T15" s="172"/>
    </row>
    <row r="16" spans="1:20" s="193" customFormat="1" ht="12.75" customHeight="1">
      <c r="A16" s="190" t="s">
        <v>23</v>
      </c>
      <c r="B16" s="190"/>
      <c r="C16" s="190"/>
      <c r="D16" s="192" t="s">
        <v>24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12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719000020658</v>
      </c>
      <c r="C20" s="227" t="s">
        <v>40</v>
      </c>
      <c r="D20" s="228" t="s">
        <v>41</v>
      </c>
      <c r="E20" s="229"/>
      <c r="F20" s="229">
        <v>30170042</v>
      </c>
      <c r="G20" s="229" t="s">
        <v>42</v>
      </c>
      <c r="H20" s="230">
        <v>0</v>
      </c>
      <c r="I20" s="231">
        <v>2</v>
      </c>
      <c r="J20" s="232">
        <v>264300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162</v>
      </c>
      <c r="Q20" s="236"/>
      <c r="R20" s="237" t="s">
        <v>43</v>
      </c>
      <c r="S20" s="238"/>
      <c r="T20" s="239"/>
    </row>
    <row r="21" spans="1:20" ht="24" customHeight="1">
      <c r="A21" s="226">
        <v>2</v>
      </c>
      <c r="B21" s="226">
        <v>719000020662</v>
      </c>
      <c r="C21" s="227" t="s">
        <v>44</v>
      </c>
      <c r="D21" s="228" t="s">
        <v>45</v>
      </c>
      <c r="E21" s="229"/>
      <c r="F21" s="229">
        <v>30190002</v>
      </c>
      <c r="G21" s="229" t="s">
        <v>42</v>
      </c>
      <c r="H21" s="230">
        <v>0</v>
      </c>
      <c r="I21" s="231">
        <v>54</v>
      </c>
      <c r="J21" s="232">
        <v>400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43</v>
      </c>
      <c r="S21" s="238"/>
      <c r="T21" s="239"/>
    </row>
    <row r="22" spans="1:20" ht="24" customHeight="1">
      <c r="A22" s="226">
        <v>3</v>
      </c>
      <c r="B22" s="226">
        <v>719000020660</v>
      </c>
      <c r="C22" s="227" t="s">
        <v>46</v>
      </c>
      <c r="D22" s="228" t="s">
        <v>47</v>
      </c>
      <c r="E22" s="229"/>
      <c r="F22" s="229">
        <v>30190009</v>
      </c>
      <c r="G22" s="229" t="s">
        <v>42</v>
      </c>
      <c r="H22" s="230">
        <v>0</v>
      </c>
      <c r="I22" s="231">
        <v>228</v>
      </c>
      <c r="J22" s="232">
        <v>1050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 t="s">
        <v>43</v>
      </c>
      <c r="S22" s="238"/>
      <c r="T22" s="239"/>
    </row>
    <row r="23" spans="1:20" ht="24" customHeight="1">
      <c r="A23" s="226">
        <v>4</v>
      </c>
      <c r="B23" s="226">
        <v>719000020663</v>
      </c>
      <c r="C23" s="227" t="s">
        <v>48</v>
      </c>
      <c r="D23" s="228" t="s">
        <v>49</v>
      </c>
      <c r="E23" s="229"/>
      <c r="F23" s="229">
        <v>30570012</v>
      </c>
      <c r="G23" s="229" t="s">
        <v>42</v>
      </c>
      <c r="H23" s="230">
        <v>0</v>
      </c>
      <c r="I23" s="231">
        <v>336</v>
      </c>
      <c r="J23" s="232">
        <v>400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 t="s">
        <v>43</v>
      </c>
      <c r="S23" s="238"/>
      <c r="T23" s="239"/>
    </row>
    <row r="24" spans="1:20" ht="24" customHeight="1">
      <c r="A24" s="226">
        <v>5</v>
      </c>
      <c r="B24" s="226">
        <v>719000020661</v>
      </c>
      <c r="C24" s="227" t="s">
        <v>50</v>
      </c>
      <c r="D24" s="228" t="s">
        <v>51</v>
      </c>
      <c r="E24" s="229"/>
      <c r="F24" s="229">
        <v>30190004</v>
      </c>
      <c r="G24" s="229" t="s">
        <v>42</v>
      </c>
      <c r="H24" s="230">
        <v>0</v>
      </c>
      <c r="I24" s="231">
        <v>108</v>
      </c>
      <c r="J24" s="232">
        <v>400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 t="s">
        <v>43</v>
      </c>
      <c r="S24" s="238"/>
      <c r="T24" s="239"/>
    </row>
    <row r="25" spans="1:20" ht="24" customHeight="1">
      <c r="A25" s="226">
        <v>6</v>
      </c>
      <c r="B25" s="226">
        <v>719000020659</v>
      </c>
      <c r="C25" s="227" t="s">
        <v>52</v>
      </c>
      <c r="D25" s="228" t="s">
        <v>53</v>
      </c>
      <c r="E25" s="229"/>
      <c r="F25" s="229">
        <v>30170041</v>
      </c>
      <c r="G25" s="229" t="s">
        <v>42</v>
      </c>
      <c r="H25" s="230">
        <v>0</v>
      </c>
      <c r="I25" s="231">
        <v>2</v>
      </c>
      <c r="J25" s="232">
        <v>0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 t="s">
        <v>43</v>
      </c>
      <c r="S25" s="238"/>
      <c r="T25" s="239"/>
    </row>
    <row r="26" spans="1:20" ht="24" customHeight="1">
      <c r="A26" s="226">
        <v>7</v>
      </c>
      <c r="B26" s="226">
        <v>719000020665</v>
      </c>
      <c r="C26" s="227" t="s">
        <v>54</v>
      </c>
      <c r="D26" s="228" t="s">
        <v>55</v>
      </c>
      <c r="E26" s="229"/>
      <c r="F26" s="229" t="s">
        <v>54</v>
      </c>
      <c r="G26" s="229" t="s">
        <v>42</v>
      </c>
      <c r="H26" s="230">
        <v>0</v>
      </c>
      <c r="I26" s="231">
        <v>2</v>
      </c>
      <c r="J26" s="232">
        <v>92000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 t="s">
        <v>43</v>
      </c>
      <c r="S26" s="238"/>
      <c r="T26" s="239"/>
    </row>
    <row r="27" spans="1:20" ht="24" customHeight="1">
      <c r="A27" s="226">
        <v>8</v>
      </c>
      <c r="B27" s="226">
        <v>719000020664</v>
      </c>
      <c r="C27" s="227" t="s">
        <v>56</v>
      </c>
      <c r="D27" s="228" t="s">
        <v>57</v>
      </c>
      <c r="E27" s="229"/>
      <c r="F27" s="229" t="s">
        <v>56</v>
      </c>
      <c r="G27" s="229" t="s">
        <v>42</v>
      </c>
      <c r="H27" s="230">
        <v>0</v>
      </c>
      <c r="I27" s="231">
        <v>2</v>
      </c>
      <c r="J27" s="232">
        <v>276000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163</v>
      </c>
      <c r="Q27" s="236"/>
      <c r="R27" s="237" t="s">
        <v>43</v>
      </c>
      <c r="S27" s="238"/>
      <c r="T27" s="239"/>
    </row>
    <row r="28" spans="1:20" ht="15" customHeight="1">
      <c r="A28" s="32"/>
      <c r="B28" s="295"/>
      <c r="C28" s="296"/>
      <c r="D28" s="296"/>
      <c r="E28" s="296"/>
      <c r="F28" s="296"/>
      <c r="G28" s="296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8"/>
    </row>
    <row r="29" spans="1:20" ht="12.75" customHeight="1">
      <c r="A29" s="289" t="s">
        <v>28</v>
      </c>
      <c r="B29" s="289"/>
      <c r="C29" s="290" t="s">
        <v>58</v>
      </c>
      <c r="D29" s="291"/>
      <c r="E29" s="291"/>
      <c r="F29" s="291"/>
      <c r="G29" s="291"/>
      <c r="H29" s="291"/>
      <c r="I29" s="292"/>
      <c r="J29" s="292" t="s">
        <v>59</v>
      </c>
      <c r="K29" s="292"/>
      <c r="L29" s="292" t="s">
        <v>35</v>
      </c>
      <c r="M29" s="292" t="s">
        <v>36</v>
      </c>
      <c r="N29" s="293" t="s">
        <v>60</v>
      </c>
      <c r="O29" s="294" t="s">
        <v>38</v>
      </c>
      <c r="P29" s="294"/>
      <c r="Q29" s="294"/>
      <c r="R29" s="294"/>
      <c r="S29" s="294"/>
      <c r="T29" s="225"/>
    </row>
    <row r="30" spans="1:20" ht="15" customHeight="1">
      <c r="A30" s="269">
        <v>1</v>
      </c>
      <c r="B30" s="270"/>
      <c r="C30" s="271" t="s">
        <v>61</v>
      </c>
      <c r="D30" s="272" t="s">
        <v>61</v>
      </c>
      <c r="E30" s="272" t="s">
        <v>61</v>
      </c>
      <c r="F30" s="272" t="s">
        <v>61</v>
      </c>
      <c r="G30" s="272" t="s">
        <v>61</v>
      </c>
      <c r="H30" s="273" t="s">
        <v>61</v>
      </c>
      <c r="I30" s="274"/>
      <c r="J30" s="275">
        <v>0</v>
      </c>
      <c r="K30" s="276"/>
      <c r="L30" s="277">
        <v>0</v>
      </c>
      <c r="M30" s="277">
        <v>0</v>
      </c>
      <c r="N30" s="285">
        <f>(J30-(J30*L30/100)+((J30-(J30*L30/100))*M30/100))</f>
      </c>
      <c r="O30" s="286"/>
      <c r="P30" s="287"/>
      <c r="Q30" s="287"/>
      <c r="R30" s="287"/>
      <c r="S30" s="288"/>
      <c r="T30" s="283"/>
    </row>
    <row r="31" spans="1:20" ht="15" customHeight="1">
      <c r="A31" s="269">
        <v>2</v>
      </c>
      <c r="B31" s="270"/>
      <c r="C31" s="271" t="s">
        <v>62</v>
      </c>
      <c r="D31" s="272" t="s">
        <v>62</v>
      </c>
      <c r="E31" s="272" t="s">
        <v>62</v>
      </c>
      <c r="F31" s="272" t="s">
        <v>62</v>
      </c>
      <c r="G31" s="272" t="s">
        <v>62</v>
      </c>
      <c r="H31" s="273" t="s">
        <v>62</v>
      </c>
      <c r="I31" s="284"/>
      <c r="J31" s="275">
        <v>0</v>
      </c>
      <c r="K31" s="276"/>
      <c r="L31" s="277">
        <v>0</v>
      </c>
      <c r="M31" s="277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20" ht="15" customHeight="1">
      <c r="A32" s="269">
        <v>3</v>
      </c>
      <c r="B32" s="270"/>
      <c r="C32" s="271"/>
      <c r="D32" s="272"/>
      <c r="E32" s="272"/>
      <c r="F32" s="272"/>
      <c r="G32" s="272"/>
      <c r="H32" s="273"/>
      <c r="I32" s="274"/>
      <c r="J32" s="275">
        <v>0</v>
      </c>
      <c r="K32" s="276"/>
      <c r="L32" s="277">
        <v>0</v>
      </c>
      <c r="M32" s="277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20" ht="15.75" customHeight="1">
      <c r="A33" s="269">
        <v>4</v>
      </c>
      <c r="B33" s="270"/>
      <c r="C33" s="271"/>
      <c r="D33" s="272"/>
      <c r="E33" s="272"/>
      <c r="F33" s="272"/>
      <c r="G33" s="272"/>
      <c r="H33" s="273"/>
      <c r="I33" s="274"/>
      <c r="J33" s="275">
        <v>0</v>
      </c>
      <c r="K33" s="276"/>
      <c r="L33" s="277">
        <v>0</v>
      </c>
      <c r="M33" s="278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16" ht="15.95" customHeight="1">
      <c r="A34" s="247"/>
      <c r="B34" s="247"/>
      <c r="C34" s="248"/>
      <c r="D34" s="248"/>
      <c r="I34" s="163"/>
      <c r="J34" s="58" t="s">
        <v>63</v>
      </c>
      <c r="K34" s="59"/>
      <c r="L34" s="58"/>
      <c r="M34" s="59"/>
      <c r="N34" s="264">
        <f>SUM(ItmPrice)</f>
      </c>
      <c r="O34" s="267"/>
      <c r="P34" s="268"/>
    </row>
    <row r="35" spans="1:16" ht="15" customHeight="1">
      <c r="A35" s="247"/>
      <c r="B35" s="247"/>
      <c r="C35" s="248"/>
      <c r="D35" s="248"/>
      <c r="I35" s="163"/>
      <c r="J35" s="123" t="s">
        <v>64</v>
      </c>
      <c r="K35" s="124"/>
      <c r="L35" s="124"/>
      <c r="M35" s="125"/>
      <c r="N35" s="264">
        <f>SUM(N30:N34)</f>
      </c>
      <c r="O35" s="265"/>
      <c r="P35" s="266"/>
    </row>
    <row r="36" spans="1:19" ht="2.25" customHeight="1" hidden="1">
      <c r="A36" s="258">
        <v>0</v>
      </c>
      <c r="B36" s="258">
        <v>0</v>
      </c>
      <c r="C36" s="259">
        <v>0</v>
      </c>
      <c r="D36" s="248"/>
      <c r="E36" s="248"/>
      <c r="F36" s="260">
        <v>1</v>
      </c>
      <c r="G36" s="248"/>
      <c r="H36" s="248"/>
      <c r="I36" s="248"/>
      <c r="J36" s="248"/>
      <c r="K36" s="261"/>
      <c r="L36" s="262">
        <v>0</v>
      </c>
      <c r="M36" s="263">
        <v>0</v>
      </c>
      <c r="N36" s="162" t="s">
        <v>65</v>
      </c>
      <c r="O36" s="257"/>
      <c r="P36" s="263">
        <v>995</v>
      </c>
      <c r="Q36" s="248" t="s">
        <v>66</v>
      </c>
      <c r="R36" s="248"/>
      <c r="S36" s="248"/>
    </row>
    <row r="37" spans="1:19" ht="18.75" customHeight="1">
      <c r="A37" s="247"/>
      <c r="B37" s="247"/>
      <c r="C37" s="247"/>
      <c r="H37" s="257"/>
      <c r="I37" s="163"/>
      <c r="J37" s="248"/>
      <c r="K37" s="248"/>
      <c r="L37" s="248"/>
      <c r="M37" s="248"/>
      <c r="N37" s="248"/>
      <c r="O37" s="248"/>
      <c r="P37" s="248"/>
      <c r="R37" s="248"/>
      <c r="S37" s="248"/>
    </row>
    <row r="38" spans="1:20" ht="127.5" customHeight="1">
      <c r="A38" s="249" t="s">
        <v>67</v>
      </c>
      <c r="B38" s="249"/>
      <c r="C38" s="249"/>
      <c r="D38" s="250"/>
      <c r="E38" s="254" t="s">
        <v>68</v>
      </c>
      <c r="F38" s="255"/>
      <c r="G38" s="255"/>
      <c r="H38" s="255"/>
      <c r="I38" s="255"/>
      <c r="J38" s="255"/>
      <c r="K38" s="255"/>
      <c r="L38" s="255"/>
      <c r="M38" s="255"/>
      <c r="N38" s="255"/>
      <c r="O38" s="255"/>
      <c r="P38" s="255"/>
      <c r="Q38" s="255"/>
      <c r="R38" s="255"/>
      <c r="S38" s="255"/>
      <c r="T38" s="256"/>
    </row>
    <row r="39" spans="1:20" ht="129.75" customHeight="1">
      <c r="A39" s="249" t="s">
        <v>38</v>
      </c>
      <c r="B39" s="249"/>
      <c r="C39" s="249"/>
      <c r="D39" s="250"/>
      <c r="E39" s="251" t="s">
        <v>164</v>
      </c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3"/>
    </row>
    <row r="40" spans="1:19" ht="15.95" customHeight="1">
      <c r="A40" s="247"/>
      <c r="B40" s="247"/>
      <c r="C40" s="247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</row>
    <row r="41" spans="1:20" ht="15.95" customHeight="1">
      <c r="A41" s="245" t="s">
        <v>69</v>
      </c>
      <c r="B41" s="245"/>
      <c r="C41" s="245"/>
      <c r="D41" s="245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6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7.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2"/>
    </row>
    <row r="65" spans="1:9" ht="12.75">
      <c r="A65" s="240" t="s">
        <v>70</v>
      </c>
      <c r="B65" s="240"/>
      <c r="C65" s="240"/>
      <c r="D65" s="240"/>
      <c r="E65" s="240"/>
      <c r="F65" s="240"/>
      <c r="G65" s="240"/>
      <c r="I6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1">
    <mergeCell ref="E38:S38"/>
    <mergeCell ref="E39:S39"/>
    <mergeCell ref="E41:S41"/>
    <mergeCell ref="A42:S63"/>
    <mergeCell ref="A64:S64"/>
    <mergeCell ref="A38:D38"/>
    <mergeCell ref="A39:D39"/>
    <mergeCell ref="K1:R1"/>
    <mergeCell ref="R19:S19"/>
    <mergeCell ref="R20:S20"/>
    <mergeCell ref="O30:S30"/>
    <mergeCell ref="O31:S31"/>
    <mergeCell ref="O29:S29"/>
    <mergeCell ref="J29:K29"/>
    <mergeCell ref="K4:L4"/>
    <mergeCell ref="M4:P4"/>
    <mergeCell ref="K5:L5"/>
    <mergeCell ref="M5:P5"/>
    <mergeCell ref="M7:Q7"/>
    <mergeCell ref="P20:Q20"/>
    <mergeCell ref="M12:O12"/>
    <mergeCell ref="K12:L12"/>
    <mergeCell ref="O34:P34"/>
    <mergeCell ref="O35:P35"/>
    <mergeCell ref="J35:M35"/>
    <mergeCell ref="O32:S32"/>
    <mergeCell ref="O33:S3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9:H2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C30:H30"/>
    <mergeCell ref="J30:K30"/>
    <mergeCell ref="C31:H31"/>
    <mergeCell ref="J31:K31"/>
    <mergeCell ref="C32:H32"/>
    <mergeCell ref="J32:K32"/>
    <mergeCell ref="C33:H33"/>
    <mergeCell ref="J33:K33"/>
  </mergeCells>
  <dataValidations count="4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61</v>
      </c>
      <c r="M1" s="300" t="s">
        <v>71</v>
      </c>
      <c r="N1" s="301" t="s">
        <v>0</v>
      </c>
      <c r="O1" s="162" t="s">
        <v>72</v>
      </c>
    </row>
    <row r="2" spans="7:15" ht="12.75">
      <c r="G2" s="162">
        <v>1001310</v>
      </c>
      <c r="H2" s="162" t="s">
        <v>62</v>
      </c>
      <c r="M2" s="300" t="s">
        <v>73</v>
      </c>
      <c r="N2" s="301">
        <v>1020769988</v>
      </c>
      <c r="O2" s="162" t="s">
        <v>74</v>
      </c>
    </row>
    <row r="3" spans="7:15" ht="12.75">
      <c r="G3" s="162">
        <v>1012729</v>
      </c>
      <c r="H3" s="162" t="s">
        <v>75</v>
      </c>
      <c r="M3" s="300" t="s">
        <v>76</v>
      </c>
      <c r="N3" s="301">
        <v>99990000443752</v>
      </c>
      <c r="O3" s="162" t="s">
        <v>77</v>
      </c>
    </row>
    <row r="4" spans="7:15" ht="12.75">
      <c r="G4" s="162">
        <v>1012730</v>
      </c>
      <c r="H4" s="162" t="s">
        <v>78</v>
      </c>
      <c r="M4" s="300" t="s">
        <v>79</v>
      </c>
      <c r="N4" s="301">
        <v>1021985707</v>
      </c>
      <c r="O4" s="162" t="s">
        <v>80</v>
      </c>
    </row>
    <row r="5" spans="7:15" ht="12.75">
      <c r="G5" s="162">
        <v>1012731</v>
      </c>
      <c r="H5" s="162" t="s">
        <v>81</v>
      </c>
      <c r="M5" s="300" t="s">
        <v>82</v>
      </c>
      <c r="N5" s="301"/>
      <c r="O5" s="162" t="s">
        <v>83</v>
      </c>
    </row>
    <row r="6" spans="7:15" ht="12.75">
      <c r="G6" s="162">
        <v>1012732</v>
      </c>
      <c r="H6" s="162" t="s">
        <v>84</v>
      </c>
      <c r="M6" s="300" t="s">
        <v>85</v>
      </c>
      <c r="N6" s="301" t="s">
        <v>86</v>
      </c>
      <c r="O6" s="162" t="s">
        <v>87</v>
      </c>
    </row>
    <row r="7" spans="7:15" ht="12.75">
      <c r="G7" s="162">
        <v>1012733</v>
      </c>
      <c r="H7" s="162" t="s">
        <v>88</v>
      </c>
      <c r="M7" s="300" t="s">
        <v>89</v>
      </c>
      <c r="N7" s="301">
        <v>0</v>
      </c>
      <c r="O7" s="162" t="s">
        <v>90</v>
      </c>
    </row>
    <row r="8" spans="7:15" ht="12.75">
      <c r="G8" s="162">
        <v>1012735</v>
      </c>
      <c r="H8" s="162" t="s">
        <v>91</v>
      </c>
      <c r="O8" s="162" t="s">
        <v>92</v>
      </c>
    </row>
    <row r="9" spans="7:15" ht="12.75">
      <c r="G9" s="162">
        <v>1012736</v>
      </c>
      <c r="H9" s="162" t="s">
        <v>93</v>
      </c>
      <c r="O9" s="162" t="s">
        <v>94</v>
      </c>
    </row>
    <row r="10" spans="7:15" ht="12.75">
      <c r="G10" s="162">
        <v>1012737</v>
      </c>
      <c r="H10" s="162" t="s">
        <v>95</v>
      </c>
      <c r="O10" s="162" t="s">
        <v>96</v>
      </c>
    </row>
    <row r="11" spans="7:15" ht="12.75">
      <c r="G11" s="162">
        <v>1012741</v>
      </c>
      <c r="H11" s="162" t="s">
        <v>97</v>
      </c>
      <c r="O11" s="162" t="s">
        <v>98</v>
      </c>
    </row>
    <row r="12" spans="7:15" ht="12.75">
      <c r="G12" s="162">
        <v>1012742</v>
      </c>
      <c r="H12" s="162" t="s">
        <v>99</v>
      </c>
      <c r="O12" s="162" t="s">
        <v>100</v>
      </c>
    </row>
    <row r="13" spans="7:15" ht="12.75">
      <c r="G13" s="162">
        <v>1012743</v>
      </c>
      <c r="H13" s="162" t="s">
        <v>101</v>
      </c>
      <c r="O13" s="162" t="s">
        <v>102</v>
      </c>
    </row>
    <row r="14" spans="7:15" ht="12.75">
      <c r="G14" s="162">
        <v>1012744</v>
      </c>
      <c r="H14" s="162" t="s">
        <v>103</v>
      </c>
      <c r="O14" s="162" t="s">
        <v>104</v>
      </c>
    </row>
    <row r="15" ht="12.75">
      <c r="O15" s="162" t="s">
        <v>105</v>
      </c>
    </row>
    <row r="16" ht="12.75">
      <c r="O16" s="162" t="s">
        <v>106</v>
      </c>
    </row>
    <row r="17" ht="12.75">
      <c r="O17" s="162" t="s">
        <v>107</v>
      </c>
    </row>
    <row r="18" ht="12.75">
      <c r="O18" s="162" t="s">
        <v>108</v>
      </c>
    </row>
    <row r="19" ht="12.75">
      <c r="O19" s="162" t="s">
        <v>109</v>
      </c>
    </row>
    <row r="20" ht="12.75">
      <c r="O20" s="162" t="s">
        <v>110</v>
      </c>
    </row>
    <row r="21" ht="12.75">
      <c r="O21" s="162" t="s">
        <v>111</v>
      </c>
    </row>
    <row r="22" ht="12.75">
      <c r="O22" s="162" t="s">
        <v>112</v>
      </c>
    </row>
    <row r="23" ht="12.75">
      <c r="O23" s="162" t="s">
        <v>113</v>
      </c>
    </row>
    <row r="24" ht="12.75">
      <c r="O24" s="162" t="s">
        <v>114</v>
      </c>
    </row>
    <row r="25" ht="12.75">
      <c r="O25" s="162" t="s">
        <v>115</v>
      </c>
    </row>
    <row r="26" ht="12.75">
      <c r="O26" s="162" t="s">
        <v>116</v>
      </c>
    </row>
    <row r="27" ht="12.75">
      <c r="O27" s="162" t="s">
        <v>117</v>
      </c>
    </row>
    <row r="28" ht="12.75">
      <c r="O28" s="162" t="s">
        <v>118</v>
      </c>
    </row>
    <row r="29" ht="12.75">
      <c r="O29" s="162" t="s">
        <v>119</v>
      </c>
    </row>
    <row r="30" ht="12.75">
      <c r="O30" s="162" t="s">
        <v>120</v>
      </c>
    </row>
    <row r="31" ht="12.75">
      <c r="O31" s="162" t="s">
        <v>121</v>
      </c>
    </row>
    <row r="32" ht="12.75">
      <c r="O32" s="162" t="s">
        <v>122</v>
      </c>
    </row>
    <row r="33" ht="12.75">
      <c r="O33" s="162" t="s">
        <v>123</v>
      </c>
    </row>
    <row r="34" ht="12.75">
      <c r="O34" s="162" t="s">
        <v>124</v>
      </c>
    </row>
    <row r="35" ht="12.75">
      <c r="O35" s="162" t="s">
        <v>125</v>
      </c>
    </row>
    <row r="36" ht="12.75">
      <c r="O36" s="162" t="s">
        <v>126</v>
      </c>
    </row>
    <row r="37" ht="12.75">
      <c r="O37" s="162" t="s">
        <v>127</v>
      </c>
    </row>
    <row r="38" ht="12.75">
      <c r="O38" s="162" t="s">
        <v>128</v>
      </c>
    </row>
    <row r="39" ht="12.75">
      <c r="O39" s="162" t="s">
        <v>129</v>
      </c>
    </row>
    <row r="40" ht="12.75">
      <c r="O40" s="162" t="s">
        <v>130</v>
      </c>
    </row>
    <row r="41" ht="12.75">
      <c r="O41" s="162" t="s">
        <v>131</v>
      </c>
    </row>
    <row r="42" ht="12.75">
      <c r="O42" s="162" t="s">
        <v>132</v>
      </c>
    </row>
    <row r="43" ht="12.75">
      <c r="O43" s="162" t="s">
        <v>133</v>
      </c>
    </row>
    <row r="44" ht="12.75">
      <c r="O44" s="162" t="s">
        <v>134</v>
      </c>
    </row>
    <row r="45" ht="12.75">
      <c r="O45" s="162" t="s">
        <v>135</v>
      </c>
    </row>
    <row r="46" ht="12.75">
      <c r="O46" s="162" t="s">
        <v>136</v>
      </c>
    </row>
    <row r="47" ht="12.75">
      <c r="O47" s="162" t="s">
        <v>137</v>
      </c>
    </row>
    <row r="48" ht="12.75">
      <c r="O48" s="162" t="s">
        <v>138</v>
      </c>
    </row>
    <row r="49" ht="12.75">
      <c r="O49" s="162" t="s">
        <v>139</v>
      </c>
    </row>
    <row r="50" ht="12.75">
      <c r="O50" s="162" t="s">
        <v>140</v>
      </c>
    </row>
    <row r="51" ht="12.75">
      <c r="O51" s="162" t="s">
        <v>141</v>
      </c>
    </row>
    <row r="52" ht="12.75">
      <c r="O52" s="162" t="s">
        <v>142</v>
      </c>
    </row>
    <row r="53" ht="12.75">
      <c r="O53" s="162" t="s">
        <v>143</v>
      </c>
    </row>
    <row r="54" ht="12.75">
      <c r="O54" s="162" t="s">
        <v>144</v>
      </c>
    </row>
    <row r="55" ht="12.75">
      <c r="O55" s="162" t="s">
        <v>145</v>
      </c>
    </row>
    <row r="56" ht="12.75">
      <c r="O56" s="162" t="s">
        <v>146</v>
      </c>
    </row>
    <row r="57" ht="12.75">
      <c r="O57" s="162" t="s">
        <v>147</v>
      </c>
    </row>
    <row r="58" ht="12.75">
      <c r="O58" s="162" t="s">
        <v>148</v>
      </c>
    </row>
    <row r="59" ht="12.75">
      <c r="O59" s="162" t="s">
        <v>149</v>
      </c>
    </row>
    <row r="60" ht="12.75">
      <c r="O60" s="162" t="s">
        <v>150</v>
      </c>
    </row>
    <row r="61" ht="12.75">
      <c r="O61" s="162" t="s">
        <v>151</v>
      </c>
    </row>
    <row r="62" ht="12.75">
      <c r="O62" s="162" t="s">
        <v>152</v>
      </c>
    </row>
    <row r="63" ht="12.75">
      <c r="O63" s="162" t="s">
        <v>153</v>
      </c>
    </row>
    <row r="64" ht="12.75">
      <c r="O64" s="162" t="s">
        <v>154</v>
      </c>
    </row>
    <row r="65" ht="12.75">
      <c r="O65" s="162" t="s">
        <v>155</v>
      </c>
    </row>
    <row r="66" ht="12.75">
      <c r="O66" s="162" t="s">
        <v>156</v>
      </c>
    </row>
    <row r="67" ht="12.75">
      <c r="O67" s="162" t="s">
        <v>157</v>
      </c>
    </row>
    <row r="68" ht="12.75">
      <c r="O68" s="162" t="s">
        <v>158</v>
      </c>
    </row>
    <row r="69" ht="12.75">
      <c r="O69" s="162" t="s">
        <v>159</v>
      </c>
    </row>
    <row r="70" ht="12.75">
      <c r="O70" s="162" t="s">
        <v>160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