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7A2D7E96-6E34-419A-AE5F-296B3A7E7977}"/>
  <workbookPr codeName="ThisWorkbook" defaultThemeVersion="124226"/>
  <bookViews>
    <workbookView xWindow="65520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Quote!$A$50</definedName>
    <definedName name="Enquiry_To_Vendor_ID" comment="Enquiry to Vendor ID">Quote!$C$50</definedName>
    <definedName name="GrandTotal">Quote!$N$49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Quote!$A$42</definedName>
    <definedName name="ItemListStartupRow" comment="Item List Start Up Row">Quote!$A$19</definedName>
    <definedName name="ItemSubTotal">Quote!$N$48</definedName>
    <definedName name="ItemSubTotalTitle">Quote!$J$48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</definedName>
    <definedName name="LeadDay">Quote!$M$11</definedName>
    <definedName name="Lock">Quote!$M$50</definedName>
    <definedName name="LoggedInEmailID">Quote!$N$50</definedName>
    <definedName name="LoggedInPwd">Quote!$O$50</definedName>
    <definedName name="OtherCharges">Quote!$C$44</definedName>
    <definedName name="OtherChargesLastRow">Quote!$A$48</definedName>
    <definedName name="OtherChargesStartRow">Quote!$A$43</definedName>
    <definedName name="Port">Quote!$P$50</definedName>
    <definedName name="PortOfDelivery" comment="Port of Delivery">Quote!$M$9</definedName>
    <definedName name="PurchaserName">Quote!$J$50</definedName>
    <definedName name="QuoteBefore">Quote!$M$8</definedName>
    <definedName name="QuoteID">MasterData!$N$7</definedName>
    <definedName name="QuoteSubject">Quote!$E$50</definedName>
    <definedName name="Remarks">Quote!$E$52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Quote!$K$50</definedName>
    <definedName name="SentIndex">Quote!$L$50</definedName>
    <definedName name="Server">Quote!$Q$50</definedName>
    <definedName name="Terms">Quote!$A$56:$T$77</definedName>
    <definedName name="ToEmailID">Quote!$I$50</definedName>
    <definedName name="ToEmailPwd">Quote!$H$50</definedName>
    <definedName name="VAL">Quote!$F$50</definedName>
    <definedName name="VAT_All">Quote!$M$16</definedName>
    <definedName name="Vendor_ID" comment="Vendor ID">Quote!$B$50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Quote!$E$53</definedName>
    <definedName name="VesselETA" comment="Vessel ETA">Quote!$M$10</definedName>
    <definedName name="VesselName" comment="Vessel Name">Quote!$M$4</definedName>
    <definedName name="_xlnm.Print_Area" localSheetId="0">Quote!$A$1:$R$69</definedName>
  </definedNames>
  <calcPr fullCalcOnLoad="1"/>
</workbook>
</file>

<file path=xl/sharedStrings.xml><?xml version="1.0" encoding="utf-8"?>
<sst xmlns="http://schemas.openxmlformats.org/spreadsheetml/2006/main" count="216" uniqueCount="180">
  <si>
    <t>RFQ</t>
  </si>
  <si>
    <t>Request for Quote</t>
  </si>
  <si>
    <t>Invoice To</t>
  </si>
  <si>
    <t>Bernhard Schulte Shipmanagement (China) Company Ltd.
MASTER &amp; OWNER OF ROSCO Olive
REGD. OWNER: Olive Shipping Co., Limited. 
Bernhard Schulte Ship management (China) Co., Ltd.
2F, Block 7, 1690, Cai Lun Road,
Zhang Jiang, Pu Dong, Shanghai,
201203, People??s Republic of China
Tel: (86) 21 61061333,
Fax: (86) 21 61061300
Invoices to be emailed to: cn-smc-invoices@bs-shipmanagement.com</t>
  </si>
  <si>
    <t>Vessel</t>
  </si>
  <si>
    <t>ROSCO Olive</t>
  </si>
  <si>
    <t>RFQ No.</t>
  </si>
  <si>
    <t>RCOO/O0074/RF19</t>
  </si>
  <si>
    <t>RFQ Date</t>
  </si>
  <si>
    <t>Submit Quote Before:</t>
  </si>
  <si>
    <t>Port of Delivery</t>
  </si>
  <si>
    <t>Chiba</t>
  </si>
  <si>
    <t>Vessel ETA</t>
  </si>
  <si>
    <t>Lead Days</t>
  </si>
  <si>
    <t>Vendor Details</t>
  </si>
  <si>
    <t>Vendor Reference</t>
  </si>
  <si>
    <t>Name</t>
  </si>
  <si>
    <t>FUJI TRADING CO., LTD.</t>
  </si>
  <si>
    <t>Address</t>
  </si>
  <si>
    <t>6, Fukaehamamachi, Higashinada-Ku,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</si>
  <si>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</si>
  <si>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</si>
  <si>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</si>
  <si>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</si>
  <si>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</si>
  <si>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+81 78 413 2622</t>
  </si>
  <si>
    <t>VAT(%) for all items</t>
  </si>
  <si>
    <t>Email</t>
  </si>
  <si>
    <t>mach-4@fujitrading.co.jp,mach-4@fujitrading.co.jp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</si>
  <si>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</si>
  <si>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</si>
  <si>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</si>
  <si>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</si>
  <si>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</si>
  <si>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</si>
  <si>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</si>
  <si>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</si>
  <si>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</si>
  <si>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</si>
  <si>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</si>
  <si>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</si>
  <si>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FLASHLIGHT RECHARGEABLE AC220V</t>
  </si>
  <si>
    <t>PCS</t>
  </si>
  <si>
    <t>SHOVEL STEEL SQUARE 1050MM</t>
  </si>
  <si>
    <t>SPARE MINI ROLLER 100MM WIDTH</t>
  </si>
  <si>
    <t>BOOTS RUBBER CLOTH-LINING, LONG 26CM</t>
  </si>
  <si>
    <t>PRS</t>
  </si>
  <si>
    <t>BOOTS RUBBER CLOTH-LINING, LONG 25CM</t>
  </si>
  <si>
    <t>RAIN SUITS WITH HOOD, CLOTH LINED RUBBER XXL (3L)</t>
  </si>
  <si>
    <t>SET</t>
  </si>
  <si>
    <t>RAIN SUITS WITH HOOD, CLOTH LINED RUBBER SIZE LL</t>
  </si>
  <si>
    <t>GLUE GENERAL PURPOSE 100GRM</t>
  </si>
  <si>
    <t>TUB</t>
  </si>
  <si>
    <t>GLUE GENERAL PURPOSE 1KG (For RUBBER)</t>
  </si>
  <si>
    <t>CAN</t>
  </si>
  <si>
    <t>TARPAULIN NYLON COLOR, THICK 0.37MM 1850MM WIDTH</t>
  </si>
  <si>
    <t>MTR</t>
  </si>
  <si>
    <t>SCREWDRIVER WOOD HANDLE SLOTTED 8.0X150MM</t>
  </si>
  <si>
    <t>SCREWDRIVER WOOD HANDLE  PHILIPS #3 150MM</t>
  </si>
  <si>
    <t>PLIER SIDE-CUTTING INSULATED, 175MM</t>
  </si>
  <si>
    <t>WEDGE HATCH HARDWOOD, 50X50X200MM</t>
  </si>
  <si>
    <t>8*8*20 CM</t>
  </si>
  <si>
    <t>SPONGE CLEANER 150X100X50MM</t>
  </si>
  <si>
    <t>HOSE BAND GALVD STEEL,  22-32MM</t>
  </si>
  <si>
    <t>HOIST CHAIN SPUR-GEAR 2TON, 3MTR (cert!)</t>
  </si>
  <si>
    <t>WRENCH SET OPEN &amp; 12-POINT BOX, 8X8 TO 32X32MM 12'S</t>
  </si>
  <si>
    <t>DRILL SET HSS STRAIGHT SHANK, 1.5-6.5MM 13'S IN STEEL CASE</t>
  </si>
  <si>
    <t>DRILL ELECTRIC PORTABLE 13MM, AC110V 1-PHASE</t>
  </si>
  <si>
    <t>RAG COTTON 100% STERILIZED, WHITE</t>
  </si>
  <si>
    <t>KGS</t>
  </si>
  <si>
    <t>FLEXIBLE EXTENSION HOSE PT 1/8 FOR PIN TYPE GREASE NIPPLE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</si>
  <si>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</si>
  <si>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</si>
  <si>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</si>
  <si>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</si>
  <si>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</si>
  <si>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</si>
  <si>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</si>
  <si>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</si>
  <si>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</si>
  <si>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</si>
  <si>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</si>
  <si>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</si>
  <si>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</si>
  <si>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</si>
  <si>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</si>
  <si>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</si>
  <si>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</si>
  <si>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</si>
  <si>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</si>
  <si>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</si>
  <si>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</si>
  <si>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</si>
  <si>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</si>
  <si>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</si>
  <si>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</si>
  <si>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</si>
  <si>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</si>
  <si>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</si>
  <si>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</si>
  <si>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</si>
  <si>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</si>
  <si>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</si>
  <si>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</si>
  <si>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</si>
  <si>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</si>
  <si>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</si>
  <si>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</si>
  <si>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</si>
  <si>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</si>
  <si>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</si>
  <si>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</si>
  <si>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</si>
  <si>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</si>
  <si>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</si>
  <si>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</si>
  <si>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</si>
  <si>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</si>
  <si>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</si>
  <si>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</si>
  <si>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</si>
  <si>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</si>
  <si>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</si>
  <si>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</si>
  <si>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</si>
  <si>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</si>
  <si>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</si>
  <si>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</si>
  <si>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</si>
  <si>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</si>
  <si>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</si>
  <si>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</si>
  <si>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</si>
  <si>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</si>
  <si>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</si>
  <si>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</si>
  <si>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</si>
  <si>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</si>
  <si>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</si>
  <si>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</si>
  <si>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</si>
  <si>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</si>
  <si>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</si>
  <si>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</si>
  <si>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</si>
  <si>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</si>
  <si>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</si>
  <si>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</si>
  <si>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</si>
  <si>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</si>
  <si>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</si>
  <si>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</si>
  <si>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</si>
  <si>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</si>
  <si>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</si>
  <si>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</si>
  <si>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</si>
  <si>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</si>
  <si>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</si>
  <si>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</si>
  <si>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</si>
  <si>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</si>
  <si>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</si>
  <si>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</si>
  <si>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</si>
  <si>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</si>
  <si>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</si>
  <si>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</si>
  <si>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</si>
  <si>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</si>
  <si>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</si>
  <si>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</si>
  <si>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</si>
  <si>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2068503(12)</t>
  </si>
  <si>
    <t>1070MM</t>
  </si>
  <si>
    <t>VINYL</t>
  </si>
  <si>
    <t>THICK 0.35MM, LIGHT GREEN</t>
  </si>
  <si>
    <t>CEDAR WOOD</t>
  </si>
  <si>
    <t>105X60X32MM</t>
  </si>
  <si>
    <t xml:space="preserve"> WITHIN 030 DAYS AFTER DELIVERY Delivery Terms: EX-WORK. "WE HEREBY DECLARE THAT ALL OF OUR SUPPLYING PRODUCTS ARE ASBESTOS-FREE." &lt;REMARKS&gt; #2&gt;&gt;1070MM #6,7&gt;&gt;VINYL #10&gt;&gt;THICK 0.35MM, LIGHT GREEN #14&gt;&gt;CEDAR WOOD #15&gt;&gt;105X60X32MM &lt;D/TIME&gt; 3 WORKING DAYS SUBJECT TO BE UNSOLD
Price Valid Until: 06-Feb-2020</t>
  </si>
</sst>
</file>

<file path=xl/styles.xml><?xml version="1.0" encoding="utf-8"?>
<styleSheet xmlns="http://schemas.openxmlformats.org/spreadsheetml/2006/main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</numFmts>
  <fonts count="42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00013208389"/>
      <name val="Calibri"/>
      <family val="2"/>
      <scheme val="minor"/>
    </font>
    <font>
      <b/>
      <sz val="10"/>
      <color theme="3" tint="-0.499900013208389"/>
      <name val="Calibri"/>
      <family val="2"/>
      <scheme val="minor"/>
    </font>
    <font>
      <sz val="8"/>
      <color theme="3" tint="-0.499900013208389"/>
      <name val="Calibri"/>
      <family val="2"/>
      <scheme val="minor"/>
    </font>
    <font>
      <b/>
      <sz val="9"/>
      <color theme="3" tint="-0.499900013208389"/>
      <name val="Calibri"/>
      <family val="2"/>
      <scheme val="minor"/>
    </font>
    <font>
      <sz val="10"/>
      <color theme="3" tint="-0.499900013208389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00013208389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600291252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0003623962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0003623962"/>
        <bgColor indexed="64"/>
      </patternFill>
    </fill>
    <fill>
      <patternFill patternType="solid">
        <fgColor theme="5" tint="0.599960029125214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0003623962"/>
        <bgColor indexed="64"/>
      </patternFill>
    </fill>
    <fill>
      <patternFill patternType="solid">
        <fgColor theme="6" tint="0.599960029125214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0003623962"/>
        <bgColor indexed="64"/>
      </patternFill>
    </fill>
    <fill>
      <patternFill patternType="solid">
        <fgColor theme="7" tint="0.599960029125214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0003623962"/>
        <bgColor indexed="64"/>
      </patternFill>
    </fill>
    <fill>
      <patternFill patternType="solid">
        <fgColor theme="8" tint="0.599960029125214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50003623962"/>
        <bgColor indexed="64"/>
      </patternFill>
    </fill>
    <fill>
      <patternFill patternType="solid">
        <fgColor theme="9" tint="0.599960029125214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29988384247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49991703033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 style="thin"/>
      <right/>
      <top style="thin"/>
      <bottom style="thin"/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/>
      <right/>
      <top/>
      <bottom style="thin"/>
    </border>
    <border>
      <left/>
      <right style="thin"/>
      <top style="thin"/>
      <bottom style="thin"/>
    </border>
    <border>
      <left/>
      <right/>
      <top style="thin"/>
      <bottom style="thin"/>
    </border>
    <border>
      <left/>
      <right style="thin">
        <color indexed="44"/>
      </right>
      <top/>
      <bottom/>
    </border>
    <border>
      <left style="thin">
        <color indexed="44"/>
      </left>
      <right/>
      <top/>
      <bottom/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 style="thin"/>
      <right style="thin"/>
      <top style="thin"/>
      <bottom style="thin"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/>
      <right style="thin"/>
      <top/>
      <bottom style="thin"/>
    </border>
    <border>
      <left style="thin"/>
      <right/>
      <top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 style="thin"/>
      <right/>
      <top style="thin"/>
      <bottom/>
    </border>
    <border>
      <left/>
      <right/>
      <top style="thin"/>
      <bottom/>
    </border>
    <border>
      <left style="thin">
        <color indexed="44"/>
      </left>
      <right/>
      <top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</borders>
  <cellStyleXfs count="117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1" fillId="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3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2" borderId="5" applyNumberFormat="0" applyAlignment="0" applyProtection="0"/>
    <xf numFmtId="0" fontId="34" fillId="0" borderId="6" applyNumberFormat="0" applyFill="0" applyAlignment="0" applyProtection="0"/>
    <xf numFmtId="0" fontId="35" fillId="8" borderId="7" applyNumberFormat="0" applyAlignment="0" applyProtection="0"/>
    <xf numFmtId="0" fontId="36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0" borderId="0" applyNumberFormat="0" applyBorder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9" fillId="32" borderId="0" applyNumberFormat="0" applyBorder="0" applyAlignment="0" applyProtection="0"/>
  </cellStyleXfs>
  <cellXfs count="157">
    <xf numFmtId="0" fontId="0" fillId="0" borderId="0" xfId="0"/>
    <xf numFmtId="49" fontId="21" fillId="3" borderId="10" xfId="0" applyNumberFormat="1" applyFont="1" applyFill="1" applyBorder="1" applyAlignment="1" applyProtection="1">
      <alignment horizontal="left" vertical="center"/>
      <protection locked="0"/>
    </xf>
    <xf numFmtId="49" fontId="13" fillId="33" borderId="11" xfId="0" applyNumberFormat="1" applyFont="1" applyFill="1" applyBorder="1" applyAlignment="1" applyProtection="1">
      <alignment horizontal="left"/>
      <protection/>
    </xf>
    <xf numFmtId="49" fontId="20" fillId="33" borderId="11" xfId="0" applyNumberFormat="1" applyFont="1" applyFill="1" applyBorder="1" applyAlignment="1" applyProtection="1">
      <alignment horizontal="left"/>
      <protection/>
    </xf>
    <xf numFmtId="0" fontId="20" fillId="33" borderId="11" xfId="0" applyNumberFormat="1" applyFont="1" applyFill="1" applyBorder="1" applyAlignment="1" applyProtection="1">
      <alignment horizontal="left"/>
      <protection/>
    </xf>
    <xf numFmtId="49" fontId="20" fillId="33" borderId="0" xfId="0" applyNumberFormat="1" applyFont="1" applyFill="1" applyAlignment="1" applyProtection="1">
      <alignment horizontal="left"/>
      <protection/>
    </xf>
    <xf numFmtId="0" fontId="20" fillId="33" borderId="0" xfId="0" applyNumberFormat="1" applyFont="1" applyFill="1" applyAlignment="1" applyProtection="1">
      <alignment horizontal="left"/>
      <protection/>
    </xf>
    <xf numFmtId="165" fontId="17" fillId="34" borderId="0" xfId="0" applyNumberFormat="1" applyFont="1" applyFill="1" applyAlignment="1" applyProtection="1">
      <alignment horizontal="left" wrapText="1"/>
      <protection/>
    </xf>
    <xf numFmtId="0" fontId="17" fillId="34" borderId="12" xfId="0" applyNumberFormat="1" applyFont="1" applyFill="1" applyBorder="1" applyAlignment="1" applyProtection="1">
      <alignment horizontal="left" wrapText="1"/>
      <protection/>
    </xf>
    <xf numFmtId="4" fontId="12" fillId="3" borderId="13" xfId="0" applyNumberFormat="1" applyFont="1" applyFill="1" applyBorder="1" applyAlignment="1" applyProtection="1">
      <alignment horizontal="left"/>
      <protection locked="0"/>
    </xf>
    <xf numFmtId="4" fontId="12" fillId="3" borderId="14" xfId="0" applyNumberFormat="1" applyFont="1" applyFill="1" applyBorder="1" applyAlignment="1" applyProtection="1">
      <alignment horizontal="left"/>
      <protection locked="0"/>
    </xf>
    <xf numFmtId="4" fontId="12" fillId="3" borderId="10" xfId="0" applyNumberFormat="1" applyFont="1" applyFill="1" applyBorder="1" applyAlignment="1" applyProtection="1">
      <alignment horizontal="left"/>
      <protection locked="0"/>
    </xf>
    <xf numFmtId="0" fontId="12" fillId="3" borderId="13" xfId="0" applyNumberFormat="1" applyFont="1" applyFill="1" applyBorder="1" applyAlignment="1" applyProtection="1">
      <alignment horizontal="left"/>
      <protection locked="0"/>
    </xf>
    <xf numFmtId="0" fontId="12" fillId="3" borderId="14" xfId="0" applyNumberFormat="1" applyFont="1" applyFill="1" applyBorder="1" applyAlignment="1" applyProtection="1">
      <alignment horizontal="left"/>
      <protection locked="0"/>
    </xf>
    <xf numFmtId="0" fontId="12" fillId="3" borderId="10" xfId="0" applyNumberFormat="1" applyFont="1" applyFill="1" applyBorder="1" applyAlignment="1" applyProtection="1">
      <alignment horizontal="left"/>
      <protection locked="0"/>
    </xf>
    <xf numFmtId="0" fontId="22" fillId="0" borderId="13" xfId="0" applyNumberFormat="1" applyFont="1" applyFill="1" applyBorder="1" applyAlignment="1" applyProtection="1">
      <alignment horizontal="left"/>
      <protection/>
    </xf>
    <xf numFmtId="0" fontId="22" fillId="0" borderId="10" xfId="0" applyNumberFormat="1" applyFont="1" applyFill="1" applyBorder="1" applyAlignment="1" applyProtection="1">
      <alignment horizontal="left"/>
      <protection/>
    </xf>
    <xf numFmtId="0" fontId="17" fillId="34" borderId="13" xfId="0" applyNumberFormat="1" applyFont="1" applyFill="1" applyBorder="1" applyAlignment="1" applyProtection="1">
      <alignment horizontal="left" wrapText="1"/>
      <protection/>
    </xf>
    <xf numFmtId="0" fontId="17" fillId="34" borderId="10" xfId="0" applyNumberFormat="1" applyFont="1" applyFill="1" applyBorder="1" applyAlignment="1" applyProtection="1">
      <alignment horizontal="left" wrapText="1"/>
      <protection/>
    </xf>
    <xf numFmtId="0" fontId="19" fillId="33" borderId="0" xfId="0" applyNumberFormat="1" applyFont="1" applyFill="1" applyAlignment="1" applyProtection="1">
      <alignment horizontal="left"/>
      <protection/>
    </xf>
    <xf numFmtId="165" fontId="14" fillId="34" borderId="15" xfId="0" applyNumberFormat="1" applyFont="1" applyFill="1" applyBorder="1" applyAlignment="1" applyProtection="1">
      <alignment horizontal="left" vertical="center" wrapText="1"/>
      <protection/>
    </xf>
    <xf numFmtId="165" fontId="14" fillId="34" borderId="0" xfId="0" applyNumberFormat="1" applyFont="1" applyFill="1" applyAlignment="1" applyProtection="1">
      <alignment horizontal="left" vertical="center" wrapText="1"/>
      <protection/>
    </xf>
    <xf numFmtId="1" fontId="16" fillId="35" borderId="0" xfId="0" applyNumberFormat="1" applyFont="1" applyFill="1" applyAlignment="1" applyProtection="1">
      <alignment horizontal="left" vertical="top" wrapText="1"/>
      <protection/>
    </xf>
    <xf numFmtId="1" fontId="14" fillId="35" borderId="0" xfId="0" applyNumberFormat="1" applyFont="1" applyFill="1" applyAlignment="1" applyProtection="1">
      <alignment horizontal="left" vertical="top" wrapText="1"/>
      <protection/>
    </xf>
    <xf numFmtId="165" fontId="15" fillId="34" borderId="0" xfId="0" applyNumberFormat="1" applyFont="1" applyFill="1" applyAlignment="1" applyProtection="1">
      <alignment horizontal="left" wrapText="1"/>
      <protection/>
    </xf>
    <xf numFmtId="1" fontId="18" fillId="3" borderId="0" xfId="0" applyNumberFormat="1" applyFont="1" applyFill="1" applyAlignment="1" applyProtection="1">
      <alignment horizontal="left" vertical="center" wrapText="1"/>
      <protection locked="0"/>
    </xf>
    <xf numFmtId="1" fontId="18" fillId="3" borderId="16" xfId="0" applyNumberFormat="1" applyFont="1" applyFill="1" applyBorder="1" applyAlignment="1" applyProtection="1">
      <alignment horizontal="left" vertical="center" wrapText="1"/>
      <protection locked="0"/>
    </xf>
    <xf numFmtId="1" fontId="16" fillId="35" borderId="0" xfId="0" applyNumberFormat="1" applyFont="1" applyFill="1" applyAlignment="1" applyProtection="1">
      <alignment horizontal="left" vertical="center" wrapText="1"/>
      <protection/>
    </xf>
    <xf numFmtId="1" fontId="16" fillId="35" borderId="16" xfId="0" applyNumberFormat="1" applyFont="1" applyFill="1" applyBorder="1" applyAlignment="1" applyProtection="1">
      <alignment horizontal="left" vertical="center" wrapText="1"/>
      <protection/>
    </xf>
    <xf numFmtId="1" fontId="5" fillId="0" borderId="17" xfId="0" applyNumberFormat="1" applyFont="1" applyFill="1" applyBorder="1" applyAlignment="1">
      <alignment horizontal="right" vertical="center"/>
    </xf>
    <xf numFmtId="0" fontId="14" fillId="0" borderId="10" xfId="0" applyNumberFormat="1" applyFont="1" applyFill="1" applyBorder="1" applyAlignment="1" applyProtection="1">
      <alignment vertical="center"/>
      <protection/>
    </xf>
    <xf numFmtId="0" fontId="14" fillId="0" borderId="13" xfId="0" applyNumberFormat="1" applyFont="1" applyFill="1" applyBorder="1" applyAlignment="1" applyProtection="1">
      <alignment vertical="center"/>
      <protection/>
    </xf>
    <xf numFmtId="0" fontId="0" fillId="0" borderId="0" xfId="0" applyNumberFormat="1" applyFill="1" applyAlignment="1" applyProtection="1">
      <alignment horizontal="left"/>
      <protection/>
    </xf>
    <xf numFmtId="0" fontId="7" fillId="0" borderId="0" xfId="0" applyNumberFormat="1" applyFont="1" applyFill="1" applyAlignment="1" applyProtection="1">
      <alignment horizontal="left"/>
      <protection/>
    </xf>
    <xf numFmtId="0" fontId="13" fillId="33" borderId="0" xfId="0" applyNumberFormat="1" applyFont="1" applyFill="1" applyAlignment="1" applyProtection="1">
      <alignment horizontal="left" vertical="top"/>
      <protection/>
    </xf>
    <xf numFmtId="0" fontId="5" fillId="33" borderId="0" xfId="0" applyNumberFormat="1" applyFont="1" applyFill="1" applyAlignment="1" applyProtection="1">
      <alignment horizontal="left" vertical="top"/>
      <protection/>
    </xf>
    <xf numFmtId="0" fontId="13" fillId="33" borderId="0" xfId="0" applyNumberFormat="1" applyFont="1" applyFill="1" applyAlignment="1" applyProtection="1">
      <alignment horizontal="left"/>
      <protection/>
    </xf>
    <xf numFmtId="0" fontId="13" fillId="0" borderId="0" xfId="0" applyNumberFormat="1" applyFont="1" applyFill="1" applyAlignment="1" applyProtection="1">
      <alignment horizontal="left"/>
      <protection/>
    </xf>
    <xf numFmtId="4" fontId="26" fillId="3" borderId="18" xfId="0" applyNumberFormat="1" applyFont="1" applyFill="1" applyBorder="1" applyAlignment="1" applyProtection="1">
      <alignment horizontal="right"/>
      <protection locked="0"/>
    </xf>
    <xf numFmtId="0" fontId="13" fillId="0" borderId="0" xfId="0" applyNumberFormat="1" applyFont="1" applyFill="1" applyAlignment="1" applyProtection="1">
      <alignment horizontal="right"/>
      <protection/>
    </xf>
    <xf numFmtId="0" fontId="9" fillId="0" borderId="0" xfId="0" applyNumberFormat="1" applyFont="1" applyFill="1" applyAlignment="1" applyProtection="1">
      <alignment horizontal="left"/>
      <protection locked="0"/>
    </xf>
    <xf numFmtId="167" fontId="13" fillId="33" borderId="0" xfId="0" applyNumberFormat="1" applyFont="1" applyFill="1" applyAlignment="1" applyProtection="1">
      <alignment horizontal="left" vertical="top"/>
      <protection/>
    </xf>
    <xf numFmtId="0" fontId="6" fillId="33" borderId="0" xfId="0" applyNumberFormat="1" applyFont="1" applyFill="1" applyAlignment="1" applyProtection="1">
      <alignment horizontal="left" indent="1"/>
      <protection/>
    </xf>
    <xf numFmtId="0" fontId="8" fillId="33" borderId="0" xfId="0" applyNumberFormat="1" applyFont="1" applyFill="1" applyAlignment="1" applyProtection="1">
      <alignment horizontal="left"/>
      <protection/>
    </xf>
    <xf numFmtId="0" fontId="19" fillId="33" borderId="0" xfId="0" applyNumberFormat="1" applyFont="1" applyFill="1" applyAlignment="1" applyProtection="1">
      <alignment horizontal="left"/>
      <protection/>
    </xf>
    <xf numFmtId="167" fontId="19" fillId="33" borderId="0" xfId="0" applyNumberFormat="1" applyFont="1" applyFill="1" applyAlignment="1" applyProtection="1">
      <alignment horizontal="right"/>
      <protection/>
    </xf>
    <xf numFmtId="0" fontId="6" fillId="33" borderId="0" xfId="0" applyNumberFormat="1" applyFont="1" applyFill="1" applyAlignment="1" applyProtection="1">
      <alignment horizontal="left"/>
      <protection/>
    </xf>
    <xf numFmtId="164" fontId="9" fillId="33" borderId="0" xfId="0" applyNumberFormat="1" applyFont="1" applyFill="1" applyAlignment="1" applyProtection="1">
      <alignment horizontal="left"/>
      <protection/>
    </xf>
    <xf numFmtId="167" fontId="7" fillId="0" borderId="0" xfId="0" applyNumberFormat="1" applyFont="1" applyFill="1" applyAlignment="1" applyProtection="1">
      <alignment horizontal="left"/>
      <protection/>
    </xf>
    <xf numFmtId="0" fontId="2" fillId="33" borderId="0" xfId="0" applyNumberFormat="1" applyFont="1" applyFill="1" applyAlignment="1" applyProtection="1">
      <alignment horizontal="left"/>
      <protection/>
    </xf>
    <xf numFmtId="0" fontId="5" fillId="33" borderId="0" xfId="0" applyNumberFormat="1" applyFont="1" applyFill="1" applyAlignment="1" applyProtection="1">
      <alignment horizontal="left"/>
      <protection/>
    </xf>
    <xf numFmtId="0" fontId="13" fillId="33" borderId="0" xfId="0" applyNumberFormat="1" applyFont="1" applyFill="1" applyAlignment="1" applyProtection="1">
      <alignment horizontal="left"/>
      <protection/>
    </xf>
    <xf numFmtId="167" fontId="13" fillId="33" borderId="0" xfId="0" applyNumberFormat="1" applyFont="1" applyFill="1" applyAlignment="1" applyProtection="1">
      <alignment horizontal="left"/>
      <protection/>
    </xf>
    <xf numFmtId="0" fontId="9" fillId="0" borderId="0" xfId="0" applyNumberFormat="1" applyFont="1" applyFill="1" applyAlignment="1" applyProtection="1">
      <alignment horizontal="left"/>
      <protection/>
    </xf>
    <xf numFmtId="166" fontId="13" fillId="33" borderId="0" xfId="0" applyNumberFormat="1" applyFont="1" applyFill="1" applyAlignment="1" applyProtection="1">
      <alignment horizontal="left"/>
      <protection/>
    </xf>
    <xf numFmtId="0" fontId="3" fillId="33" borderId="19" xfId="0" applyNumberFormat="1" applyFont="1" applyFill="1" applyBorder="1" applyAlignment="1" applyProtection="1">
      <alignment horizontal="left"/>
      <protection/>
    </xf>
    <xf numFmtId="0" fontId="3" fillId="33" borderId="0" xfId="0" applyNumberFormat="1" applyFont="1" applyFill="1" applyAlignment="1" applyProtection="1">
      <alignment horizontal="left"/>
      <protection/>
    </xf>
    <xf numFmtId="49" fontId="13" fillId="33" borderId="0" xfId="0" applyNumberFormat="1" applyFont="1" applyFill="1" applyAlignment="1" applyProtection="1">
      <alignment horizontal="left"/>
      <protection/>
    </xf>
    <xf numFmtId="0" fontId="24" fillId="3" borderId="0" xfId="0" applyNumberFormat="1" applyFont="1" applyFill="1" applyAlignment="1" applyProtection="1">
      <alignment horizontal="left"/>
      <protection locked="0"/>
    </xf>
    <xf numFmtId="167" fontId="13" fillId="0" borderId="0" xfId="0" applyNumberFormat="1" applyFont="1" applyFill="1" applyAlignment="1" applyProtection="1">
      <alignment horizontal="left"/>
      <protection/>
    </xf>
    <xf numFmtId="169" fontId="24" fillId="3" borderId="0" xfId="0" applyNumberFormat="1" applyFont="1" applyFill="1" applyAlignment="1" applyProtection="1">
      <alignment horizontal="right"/>
      <protection locked="0"/>
    </xf>
    <xf numFmtId="166" fontId="13" fillId="33" borderId="11" xfId="0" applyNumberFormat="1" applyFont="1" applyFill="1" applyBorder="1" applyAlignment="1" applyProtection="1">
      <alignment horizontal="left"/>
      <protection/>
    </xf>
    <xf numFmtId="166" fontId="13" fillId="33" borderId="2" xfId="0" applyNumberFormat="1" applyFont="1" applyFill="1" applyBorder="1" applyAlignment="1" applyProtection="1">
      <alignment horizontal="left"/>
      <protection/>
    </xf>
    <xf numFmtId="167" fontId="9" fillId="0" borderId="0" xfId="0" applyNumberFormat="1" applyFont="1" applyFill="1" applyAlignment="1" applyProtection="1">
      <alignment horizontal="left"/>
      <protection/>
    </xf>
    <xf numFmtId="0" fontId="9" fillId="33" borderId="0" xfId="0" applyNumberFormat="1" applyFont="1" applyFill="1" applyAlignment="1" applyProtection="1">
      <alignment horizontal="left"/>
      <protection/>
    </xf>
    <xf numFmtId="0" fontId="5" fillId="33" borderId="0" xfId="0" applyNumberFormat="1" applyFont="1" applyFill="1" applyAlignment="1" applyProtection="1">
      <alignment horizontal="left"/>
      <protection/>
    </xf>
    <xf numFmtId="0" fontId="10" fillId="33" borderId="0" xfId="0" applyNumberFormat="1" applyFont="1" applyFill="1" applyAlignment="1" applyProtection="1">
      <alignment horizontal="left"/>
      <protection/>
    </xf>
    <xf numFmtId="166" fontId="10" fillId="33" borderId="0" xfId="0" applyNumberFormat="1" applyFont="1" applyFill="1" applyAlignment="1" applyProtection="1">
      <alignment horizontal="left"/>
      <protection/>
    </xf>
    <xf numFmtId="166" fontId="10" fillId="33" borderId="0" xfId="0" applyNumberFormat="1" applyFont="1" applyFill="1" applyAlignment="1" applyProtection="1">
      <alignment horizontal="left"/>
      <protection/>
    </xf>
    <xf numFmtId="165" fontId="17" fillId="34" borderId="20" xfId="0" applyNumberFormat="1" applyFont="1" applyFill="1" applyBorder="1" applyAlignment="1" applyProtection="1">
      <alignment horizontal="left" wrapText="1"/>
      <protection/>
    </xf>
    <xf numFmtId="165" fontId="17" fillId="34" borderId="13" xfId="0" applyNumberFormat="1" applyFont="1" applyFill="1" applyBorder="1" applyAlignment="1" applyProtection="1">
      <alignment horizontal="left" wrapText="1"/>
      <protection/>
    </xf>
    <xf numFmtId="0" fontId="17" fillId="34" borderId="20" xfId="0" applyNumberFormat="1" applyFont="1" applyFill="1" applyBorder="1" applyAlignment="1" applyProtection="1">
      <alignment horizontal="left" wrapText="1"/>
      <protection/>
    </xf>
    <xf numFmtId="167" fontId="17" fillId="36" borderId="0" xfId="0" applyNumberFormat="1" applyFont="1" applyFill="1" applyAlignment="1" applyProtection="1">
      <alignment horizontal="left" wrapText="1"/>
      <protection/>
    </xf>
    <xf numFmtId="1" fontId="16" fillId="35" borderId="20" xfId="0" applyNumberFormat="1" applyFont="1" applyFill="1" applyBorder="1" applyAlignment="1" applyProtection="1">
      <alignment horizontal="right" vertical="center"/>
      <protection/>
    </xf>
    <xf numFmtId="49" fontId="16" fillId="35" borderId="20" xfId="0" applyNumberFormat="1" applyFont="1" applyFill="1" applyBorder="1" applyAlignment="1" applyProtection="1">
      <alignment horizontal="left" vertical="center"/>
      <protection/>
    </xf>
    <xf numFmtId="49" fontId="16" fillId="35" borderId="13" xfId="0" applyNumberFormat="1" applyFont="1" applyFill="1" applyBorder="1" applyAlignment="1" applyProtection="1">
      <alignment horizontal="left" vertical="center"/>
      <protection/>
    </xf>
    <xf numFmtId="4" fontId="16" fillId="3" borderId="20" xfId="0" applyNumberFormat="1" applyFont="1" applyFill="1" applyBorder="1" applyAlignment="1" applyProtection="1">
      <alignment horizontal="left" vertical="center"/>
      <protection/>
    </xf>
    <xf numFmtId="4" fontId="16" fillId="3" borderId="20" xfId="0" applyNumberFormat="1" applyFont="1" applyFill="1" applyBorder="1" applyAlignment="1" applyProtection="1">
      <alignment horizontal="left" vertical="center"/>
      <protection locked="0"/>
    </xf>
    <xf numFmtId="168" fontId="16" fillId="35" borderId="20" xfId="0" applyNumberFormat="1" applyFont="1" applyFill="1" applyBorder="1" applyAlignment="1" applyProtection="1">
      <alignment horizontal="left" vertical="center"/>
      <protection/>
    </xf>
    <xf numFmtId="49" fontId="21" fillId="3" borderId="10" xfId="0" applyNumberFormat="1" applyFont="1" applyFill="1" applyBorder="1" applyAlignment="1" applyProtection="1">
      <alignment horizontal="left" vertical="center"/>
      <protection locked="0"/>
    </xf>
    <xf numFmtId="49" fontId="21" fillId="3" borderId="13" xfId="0" applyNumberFormat="1" applyFont="1" applyFill="1" applyBorder="1" applyAlignment="1" applyProtection="1">
      <alignment horizontal="left" vertical="center"/>
      <protection locked="0"/>
    </xf>
    <xf numFmtId="0" fontId="22" fillId="0" borderId="10" xfId="0" applyNumberFormat="1" applyFont="1" applyFill="1" applyBorder="1" applyAlignment="1" applyProtection="1">
      <alignment horizontal="left"/>
      <protection/>
    </xf>
    <xf numFmtId="0" fontId="22" fillId="0" borderId="13" xfId="0" applyNumberFormat="1" applyFont="1" applyFill="1" applyBorder="1" applyAlignment="1" applyProtection="1">
      <alignment horizontal="left"/>
      <protection/>
    </xf>
    <xf numFmtId="167" fontId="22" fillId="36" borderId="0" xfId="0" applyNumberFormat="1" applyFont="1" applyFill="1" applyAlignment="1" applyProtection="1">
      <alignment horizontal="left"/>
      <protection/>
    </xf>
    <xf numFmtId="0" fontId="26" fillId="0" borderId="0" xfId="0" applyNumberFormat="1" applyFont="1" applyFill="1" applyAlignment="1" applyProtection="1">
      <alignment horizontal="left"/>
      <protection/>
    </xf>
    <xf numFmtId="167" fontId="16" fillId="36" borderId="0" xfId="0" applyNumberFormat="1" applyFont="1" applyFill="1" applyAlignment="1" applyProtection="1">
      <alignment horizontal="left" vertical="top" wrapText="1"/>
      <protection/>
    </xf>
    <xf numFmtId="167" fontId="14" fillId="36" borderId="0" xfId="0" applyNumberFormat="1" applyFont="1" applyFill="1" applyAlignment="1" applyProtection="1">
      <alignment horizontal="left" vertical="top" wrapText="1"/>
      <protection/>
    </xf>
    <xf numFmtId="165" fontId="15" fillId="34" borderId="0" xfId="0" applyNumberFormat="1" applyFont="1" applyFill="1" applyAlignment="1" applyProtection="1">
      <alignment horizontal="left" wrapText="1"/>
      <protection/>
    </xf>
    <xf numFmtId="167" fontId="15" fillId="36" borderId="0" xfId="0" applyNumberFormat="1" applyFont="1" applyFill="1" applyAlignment="1" applyProtection="1">
      <alignment horizontal="left" wrapText="1"/>
      <protection/>
    </xf>
    <xf numFmtId="0" fontId="11" fillId="33" borderId="0" xfId="0" applyNumberFormat="1" applyFont="1" applyFill="1" applyAlignment="1" applyProtection="1">
      <alignment horizontal="left"/>
      <protection/>
    </xf>
    <xf numFmtId="44" fontId="12" fillId="33" borderId="0" xfId="0" applyNumberFormat="1" applyFont="1" applyFill="1" applyAlignment="1" applyProtection="1">
      <alignment horizontal="left"/>
      <protection/>
    </xf>
    <xf numFmtId="167" fontId="18" fillId="36" borderId="0" xfId="0" applyNumberFormat="1" applyFont="1" applyFill="1" applyAlignment="1" applyProtection="1">
      <alignment horizontal="left" vertical="center" wrapText="1"/>
      <protection locked="0"/>
    </xf>
    <xf numFmtId="167" fontId="16" fillId="36" borderId="0" xfId="0" applyNumberFormat="1" applyFont="1" applyFill="1" applyAlignment="1" applyProtection="1">
      <alignment horizontal="left" vertical="center" wrapText="1"/>
      <protection/>
    </xf>
    <xf numFmtId="44" fontId="12" fillId="33" borderId="0" xfId="0" applyNumberFormat="1" applyFont="1" applyFill="1" applyAlignment="1" applyProtection="1">
      <alignment horizontal="left"/>
      <protection locked="0"/>
    </xf>
    <xf numFmtId="1" fontId="11" fillId="33" borderId="0" xfId="0" applyNumberFormat="1" applyFont="1" applyFill="1" applyAlignment="1" applyProtection="1">
      <alignment horizontal="left"/>
      <protection/>
    </xf>
    <xf numFmtId="1" fontId="12" fillId="33" borderId="0" xfId="0" applyNumberFormat="1" applyFont="1" applyFill="1" applyAlignment="1" applyProtection="1">
      <alignment horizontal="left"/>
      <protection/>
    </xf>
    <xf numFmtId="37" fontId="12" fillId="33" borderId="0" xfId="0" applyNumberFormat="1" applyFont="1" applyFill="1" applyAlignment="1" applyProtection="1">
      <alignment horizontal="left"/>
      <protection locked="0"/>
    </xf>
    <xf numFmtId="49" fontId="12" fillId="33" borderId="0" xfId="0" applyNumberFormat="1" applyFont="1" applyFill="1" applyAlignment="1" applyProtection="1">
      <alignment horizontal="left"/>
      <protection/>
    </xf>
    <xf numFmtId="3" fontId="12" fillId="33" borderId="0" xfId="0" applyNumberFormat="1" applyFont="1" applyFill="1" applyAlignment="1" applyProtection="1">
      <alignment horizontal="left"/>
      <protection locked="0"/>
    </xf>
    <xf numFmtId="37" fontId="12" fillId="33" borderId="0" xfId="0" applyNumberFormat="1" applyFont="1" applyFill="1" applyAlignment="1" applyProtection="1">
      <alignment horizontal="left"/>
      <protection/>
    </xf>
    <xf numFmtId="168" fontId="14" fillId="35" borderId="20" xfId="0" applyNumberFormat="1" applyFont="1" applyFill="1" applyBorder="1" applyAlignment="1" applyProtection="1">
      <alignment horizontal="left" vertical="center"/>
      <protection/>
    </xf>
    <xf numFmtId="1" fontId="16" fillId="35" borderId="21" xfId="0" applyNumberFormat="1" applyFont="1" applyFill="1" applyBorder="1" applyAlignment="1" applyProtection="1">
      <alignment horizontal="right" vertical="center"/>
      <protection/>
    </xf>
    <xf numFmtId="1" fontId="16" fillId="35" borderId="22" xfId="0" applyNumberFormat="1" applyFont="1" applyFill="1" applyBorder="1" applyAlignment="1" applyProtection="1">
      <alignment horizontal="right" vertical="center"/>
      <protection/>
    </xf>
    <xf numFmtId="0" fontId="7" fillId="36" borderId="0" xfId="0" applyNumberFormat="1" applyFont="1" applyFill="1" applyAlignment="1" applyProtection="1">
      <alignment horizontal="left"/>
      <protection/>
    </xf>
    <xf numFmtId="4" fontId="7" fillId="37" borderId="20" xfId="0" applyNumberFormat="1" applyFont="1" applyFill="1" applyBorder="1" applyAlignment="1" applyProtection="1">
      <alignment horizontal="left"/>
      <protection locked="0"/>
    </xf>
    <xf numFmtId="4" fontId="7" fillId="37" borderId="23" xfId="0" applyNumberFormat="1" applyFont="1" applyFill="1" applyBorder="1" applyAlignment="1" applyProtection="1">
      <alignment horizontal="left"/>
      <protection locked="0"/>
    </xf>
    <xf numFmtId="168" fontId="24" fillId="3" borderId="20" xfId="0" applyNumberFormat="1" applyFont="1" applyFill="1" applyBorder="1" applyAlignment="1" applyProtection="1">
      <alignment horizontal="right"/>
      <protection/>
    </xf>
    <xf numFmtId="167" fontId="12" fillId="36" borderId="0" xfId="0" applyNumberFormat="1" applyFont="1" applyFill="1" applyAlignment="1" applyProtection="1">
      <alignment horizontal="left"/>
      <protection locked="0"/>
    </xf>
    <xf numFmtId="0" fontId="9" fillId="36" borderId="0" xfId="0" applyNumberFormat="1" applyFont="1" applyFill="1" applyAlignment="1" applyProtection="1">
      <alignment horizontal="left"/>
      <protection/>
    </xf>
    <xf numFmtId="169" fontId="24" fillId="3" borderId="20" xfId="0" applyNumberFormat="1" applyFont="1" applyFill="1" applyBorder="1" applyAlignment="1" applyProtection="1">
      <alignment horizontal="right"/>
      <protection/>
    </xf>
    <xf numFmtId="165" fontId="17" fillId="34" borderId="16" xfId="0" applyNumberFormat="1" applyFont="1" applyFill="1" applyBorder="1" applyAlignment="1" applyProtection="1">
      <alignment horizontal="left" wrapText="1"/>
      <protection/>
    </xf>
    <xf numFmtId="165" fontId="17" fillId="34" borderId="0" xfId="0" applyNumberFormat="1" applyFont="1" applyFill="1" applyAlignment="1" applyProtection="1">
      <alignment horizontal="left" wrapText="1"/>
      <protection/>
    </xf>
    <xf numFmtId="0" fontId="17" fillId="34" borderId="12" xfId="0" applyNumberFormat="1" applyFont="1" applyFill="1" applyBorder="1" applyAlignment="1" applyProtection="1">
      <alignment horizontal="left"/>
      <protection/>
    </xf>
    <xf numFmtId="1" fontId="5" fillId="0" borderId="0" xfId="0" applyNumberFormat="1" applyFont="1" applyFill="1" applyAlignment="1" applyProtection="1">
      <alignment horizontal="right" vertical="center"/>
      <protection/>
    </xf>
    <xf numFmtId="0" fontId="9" fillId="0" borderId="0" xfId="0" applyNumberFormat="1" applyFont="1" applyFill="1" applyAlignment="1" applyProtection="1">
      <alignment horizontal="left"/>
      <protection/>
    </xf>
    <xf numFmtId="0" fontId="5" fillId="0" borderId="0" xfId="0" applyNumberFormat="1" applyFont="1" applyFill="1" applyAlignment="1" applyProtection="1">
      <alignment horizontal="right"/>
      <protection/>
    </xf>
    <xf numFmtId="167" fontId="7" fillId="36" borderId="0" xfId="0" applyNumberFormat="1" applyFont="1" applyFill="1" applyAlignment="1" applyProtection="1">
      <alignment horizontal="left"/>
      <protection/>
    </xf>
    <xf numFmtId="0" fontId="7" fillId="0" borderId="0" xfId="0" applyNumberFormat="1" applyFont="1" applyFill="1" applyAlignment="1" applyProtection="1">
      <alignment horizontal="left" wrapText="1"/>
      <protection/>
    </xf>
    <xf numFmtId="0" fontId="0" fillId="0" borderId="24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  <xf numFmtId="49" fontId="21" fillId="3" borderId="13" xfId="0" applyNumberFormat="1" applyFont="1" applyFill="1" applyBorder="1" applyAlignment="1" applyProtection="1">
      <alignment horizontal="left" vertical="center"/>
      <protection locked="0"/>
    </xf>
    <xf numFmtId="4" fontId="25" fillId="3" borderId="10" xfId="0" applyNumberFormat="1" applyFont="1" applyFill="1" applyBorder="1" applyAlignment="1" applyProtection="1">
      <alignment horizontal="left"/>
      <protection locked="0"/>
    </xf>
    <xf numFmtId="4" fontId="25" fillId="3" borderId="14" xfId="0" applyNumberFormat="1" applyFont="1" applyFill="1" applyBorder="1" applyAlignment="1" applyProtection="1">
      <alignment horizontal="left"/>
      <protection locked="0"/>
    </xf>
    <xf numFmtId="4" fontId="25" fillId="3" borderId="13" xfId="0" applyNumberFormat="1" applyFont="1" applyFill="1" applyBorder="1" applyAlignment="1" applyProtection="1">
      <alignment horizontal="left"/>
      <protection locked="0"/>
    </xf>
    <xf numFmtId="0" fontId="13" fillId="33" borderId="11" xfId="0" applyNumberFormat="1" applyFont="1" applyFill="1" applyBorder="1" applyAlignment="1" applyProtection="1">
      <alignment horizontal="left"/>
      <protection/>
    </xf>
    <xf numFmtId="0" fontId="13" fillId="33" borderId="25" xfId="0" applyNumberFormat="1" applyFont="1" applyFill="1" applyBorder="1" applyAlignment="1" applyProtection="1">
      <alignment horizontal="left"/>
      <protection/>
    </xf>
    <xf numFmtId="4" fontId="16" fillId="35" borderId="26" xfId="0" applyNumberFormat="1" applyFont="1" applyFill="1" applyBorder="1" applyAlignment="1" applyProtection="1">
      <alignment horizontal="left" vertical="center"/>
      <protection/>
    </xf>
    <xf numFmtId="4" fontId="16" fillId="35" borderId="27" xfId="0" applyNumberFormat="1" applyFont="1" applyFill="1" applyBorder="1" applyAlignment="1" applyProtection="1">
      <alignment horizontal="left" vertical="center"/>
      <protection/>
    </xf>
    <xf numFmtId="4" fontId="16" fillId="35" borderId="24" xfId="0" applyNumberFormat="1" applyFont="1" applyFill="1" applyBorder="1" applyAlignment="1" applyProtection="1">
      <alignment horizontal="left" vertical="center"/>
      <protection/>
    </xf>
    <xf numFmtId="4" fontId="16" fillId="35" borderId="0" xfId="0" applyNumberFormat="1" applyFont="1" applyFill="1" applyAlignment="1" applyProtection="1">
      <alignment horizontal="left" vertical="center"/>
      <protection/>
    </xf>
    <xf numFmtId="0" fontId="14" fillId="0" borderId="10" xfId="0" applyNumberFormat="1" applyFont="1" applyFill="1" applyBorder="1" applyAlignment="1" applyProtection="1">
      <alignment horizontal="left" vertical="center"/>
      <protection/>
    </xf>
    <xf numFmtId="0" fontId="14" fillId="0" borderId="14" xfId="0" applyNumberFormat="1" applyFont="1" applyFill="1" applyBorder="1" applyAlignment="1" applyProtection="1">
      <alignment horizontal="left" vertical="center"/>
      <protection/>
    </xf>
    <xf numFmtId="0" fontId="14" fillId="0" borderId="13" xfId="0" applyNumberFormat="1" applyFont="1" applyFill="1" applyBorder="1" applyAlignment="1" applyProtection="1">
      <alignment horizontal="left" vertical="center"/>
      <protection/>
    </xf>
    <xf numFmtId="165" fontId="17" fillId="34" borderId="10" xfId="0" applyNumberFormat="1" applyFont="1" applyFill="1" applyBorder="1" applyAlignment="1" applyProtection="1">
      <alignment horizontal="left" wrapText="1"/>
      <protection/>
    </xf>
    <xf numFmtId="165" fontId="17" fillId="34" borderId="13" xfId="0" applyNumberFormat="1" applyFont="1" applyFill="1" applyBorder="1" applyAlignment="1" applyProtection="1">
      <alignment horizontal="left" wrapText="1"/>
      <protection/>
    </xf>
    <xf numFmtId="0" fontId="2" fillId="33" borderId="0" xfId="0" applyNumberFormat="1" applyFont="1" applyFill="1" applyAlignment="1" applyProtection="1">
      <alignment horizontal="left"/>
      <protection/>
    </xf>
    <xf numFmtId="165" fontId="17" fillId="34" borderId="28" xfId="0" applyNumberFormat="1" applyFont="1" applyFill="1" applyBorder="1" applyAlignment="1" applyProtection="1">
      <alignment horizontal="left" wrapText="1"/>
      <protection/>
    </xf>
    <xf numFmtId="165" fontId="17" fillId="34" borderId="12" xfId="0" applyNumberFormat="1" applyFont="1" applyFill="1" applyBorder="1" applyAlignment="1" applyProtection="1">
      <alignment horizontal="left" wrapText="1"/>
      <protection/>
    </xf>
    <xf numFmtId="170" fontId="13" fillId="33" borderId="11" xfId="0" applyNumberFormat="1" applyFont="1" applyFill="1" applyBorder="1" applyAlignment="1" applyProtection="1">
      <alignment horizontal="left"/>
      <protection/>
    </xf>
    <xf numFmtId="0" fontId="10" fillId="33" borderId="12" xfId="0" applyNumberFormat="1" applyFont="1" applyFill="1" applyBorder="1" applyAlignment="1" applyProtection="1">
      <alignment horizontal="left"/>
      <protection/>
    </xf>
    <xf numFmtId="166" fontId="13" fillId="33" borderId="11" xfId="0" applyNumberFormat="1" applyFont="1" applyFill="1" applyBorder="1" applyAlignment="1" applyProtection="1">
      <alignment horizontal="left"/>
      <protection/>
    </xf>
    <xf numFmtId="49" fontId="3" fillId="33" borderId="29" xfId="0" applyNumberFormat="1" applyFont="1" applyFill="1" applyBorder="1" applyAlignment="1" applyProtection="1">
      <alignment horizontal="left" vertical="top" wrapText="1"/>
      <protection/>
    </xf>
    <xf numFmtId="49" fontId="3" fillId="33" borderId="0" xfId="0" applyNumberFormat="1" applyFont="1" applyFill="1" applyAlignment="1" applyProtection="1">
      <alignment horizontal="left" vertical="top" wrapText="1"/>
      <protection/>
    </xf>
    <xf numFmtId="49" fontId="3" fillId="33" borderId="30" xfId="0" applyNumberFormat="1" applyFont="1" applyFill="1" applyBorder="1" applyAlignment="1" applyProtection="1">
      <alignment horizontal="left" vertical="top" wrapText="1"/>
      <protection/>
    </xf>
    <xf numFmtId="0" fontId="3" fillId="33" borderId="19" xfId="0" applyNumberFormat="1" applyFont="1" applyFill="1" applyBorder="1" applyAlignment="1" applyProtection="1">
      <alignment horizontal="left"/>
      <protection/>
    </xf>
    <xf numFmtId="0" fontId="13" fillId="33" borderId="31" xfId="0" applyNumberFormat="1" applyFont="1" applyFill="1" applyBorder="1" applyAlignment="1" applyProtection="1">
      <alignment horizontal="left"/>
      <protection/>
    </xf>
    <xf numFmtId="49" fontId="13" fillId="33" borderId="0" xfId="0" applyNumberFormat="1" applyFont="1" applyFill="1" applyAlignment="1" applyProtection="1">
      <alignment horizontal="left"/>
      <protection locked="0"/>
    </xf>
    <xf numFmtId="0" fontId="3" fillId="33" borderId="11" xfId="0" applyNumberFormat="1" applyFont="1" applyFill="1" applyBorder="1" applyAlignment="1" applyProtection="1">
      <alignment horizontal="left"/>
      <protection/>
    </xf>
    <xf numFmtId="49" fontId="16" fillId="35" borderId="10" xfId="0" applyNumberFormat="1" applyFont="1" applyFill="1" applyBorder="1" applyAlignment="1" applyProtection="1">
      <alignment horizontal="left" vertical="center"/>
      <protection/>
    </xf>
    <xf numFmtId="49" fontId="16" fillId="35" borderId="13" xfId="0" applyNumberFormat="1" applyFont="1" applyFill="1" applyBorder="1" applyAlignment="1" applyProtection="1">
      <alignment horizontal="left" vertical="center"/>
      <protection/>
    </xf>
    <xf numFmtId="4" fontId="16" fillId="3" borderId="10" xfId="0" applyNumberFormat="1" applyFont="1" applyFill="1" applyBorder="1" applyAlignment="1" applyProtection="1">
      <alignment horizontal="right" vertical="center"/>
      <protection locked="0"/>
    </xf>
    <xf numFmtId="168" fontId="16" fillId="3" borderId="13" xfId="0" applyNumberFormat="1" applyFont="1" applyFill="1" applyBorder="1" applyAlignment="1" applyProtection="1">
      <alignment horizontal="right" vertical="center"/>
      <protection locked="0"/>
    </xf>
    <xf numFmtId="0" fontId="23" fillId="3" borderId="10" xfId="0" applyNumberFormat="1" applyFont="1" applyFill="1" applyBorder="1" applyAlignment="1" applyProtection="1">
      <alignment horizontal="left"/>
      <protection locked="0"/>
    </xf>
    <xf numFmtId="0" fontId="23" fillId="3" borderId="14" xfId="0" applyNumberFormat="1" applyFont="1" applyFill="1" applyBorder="1" applyAlignment="1" applyProtection="1">
      <alignment horizontal="left"/>
      <protection locked="0"/>
    </xf>
    <xf numFmtId="0" fontId="23" fillId="3" borderId="13" xfId="0" applyNumberFormat="1" applyFont="1" applyFill="1" applyBorder="1" applyAlignment="1" applyProtection="1">
      <alignment horizontal="left"/>
      <protection locked="0"/>
    </xf>
    <xf numFmtId="4" fontId="7" fillId="37" borderId="10" xfId="0" applyNumberFormat="1" applyFont="1" applyFill="1" applyBorder="1" applyAlignment="1" applyProtection="1">
      <alignment horizontal="left"/>
      <protection locked="0"/>
    </xf>
    <xf numFmtId="169" fontId="7" fillId="37" borderId="13" xfId="0" applyNumberFormat="1" applyFont="1" applyFill="1" applyBorder="1" applyAlignment="1" applyProtection="1">
      <alignment horizontal="left"/>
      <protection locked="0"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76"/>
    <cellStyle name="Heading 3" xfId="77"/>
    <cellStyle name="Calculation" xfId="78"/>
    <cellStyle name="40% - Accent1" xfId="79"/>
    <cellStyle name="Title" xfId="80"/>
    <cellStyle name="Heading 2" xfId="81"/>
    <cellStyle name="Heading 4" xfId="82"/>
    <cellStyle name="Good" xfId="83"/>
    <cellStyle name="Bad" xfId="84"/>
    <cellStyle name="Neutral" xfId="85"/>
    <cellStyle name="Input" xfId="86"/>
    <cellStyle name="Output" xfId="87"/>
    <cellStyle name="Linked Cell" xfId="88"/>
    <cellStyle name="Check Cell" xfId="89"/>
    <cellStyle name="Warning Text" xfId="90"/>
    <cellStyle name="Note" xfId="91"/>
    <cellStyle name="Explanatory Text" xfId="92"/>
    <cellStyle name="Total" xfId="93"/>
    <cellStyle name="Accent1" xfId="94"/>
    <cellStyle name="20% - Accent1" xfId="95"/>
    <cellStyle name="60% - Accent1" xfId="96"/>
    <cellStyle name="Accent2" xfId="97"/>
    <cellStyle name="20% - Accent2" xfId="98"/>
    <cellStyle name="40% - Accent2" xfId="99"/>
    <cellStyle name="60% - Accent2" xfId="100"/>
    <cellStyle name="Accent3" xfId="101"/>
    <cellStyle name="20% - Accent3" xfId="102"/>
    <cellStyle name="40% - Accent3" xfId="103"/>
    <cellStyle name="60% - Accent3" xfId="104"/>
    <cellStyle name="Accent4" xfId="105"/>
    <cellStyle name="20% - Accent4" xfId="106"/>
    <cellStyle name="40% - Accent4" xfId="107"/>
    <cellStyle name="60% - Accent4" xfId="108"/>
    <cellStyle name="Accent5" xfId="109"/>
    <cellStyle name="20% - Accent5" xfId="110"/>
    <cellStyle name="40% - Accent5" xfId="111"/>
    <cellStyle name="60% - Accent5" xfId="112"/>
    <cellStyle name="Accent6" xfId="113"/>
    <cellStyle name="20% - Accent6" xfId="114"/>
    <cellStyle name="40% - Accent6" xfId="115"/>
    <cellStyle name="60% - Accent6" xfId="11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 xmlns:x="http://schemas.openxmlformats.org/spreadsheetml/2006/main" xmlns:x15="http://schemas.microsoft.com/office/spreadsheetml/2010/11/main">
    <x:ext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79"/>
  <sheetViews>
    <sheetView showGridLines="0" tabSelected="1" workbookViewId="0" topLeftCell="G40">
      <selection pane="topLeft" activeCell="M45" sqref="M45"/>
    </sheetView>
  </sheetViews>
  <sheetFormatPr defaultColWidth="9.140625" defaultRowHeight="12.75"/>
  <cols>
    <col min="1" max="1" width="5.71428571428571" style="33" customWidth="1"/>
    <col min="2" max="2" width="13" style="33" hidden="1" customWidth="1"/>
    <col min="3" max="3" width="11.1428571428571" style="33" customWidth="1"/>
    <col min="4" max="4" width="14.4285714285714" style="33" customWidth="1"/>
    <col min="5" max="5" width="31.2857142857143" style="33" customWidth="1"/>
    <col min="6" max="6" width="15.8571428571429" style="33" customWidth="1"/>
    <col min="7" max="7" width="19.2857142857143" style="33" customWidth="1"/>
    <col min="8" max="9" width="13.5714285714286" style="33" customWidth="1"/>
    <col min="10" max="10" width="5.71428571428571" style="33" customWidth="1"/>
    <col min="11" max="11" width="10.2857142857143" style="33" customWidth="1"/>
    <col min="12" max="12" width="9.57142857142857" style="33" customWidth="1"/>
    <col min="13" max="13" width="9.42857142857143" style="33" customWidth="1"/>
    <col min="14" max="14" width="18.1428571428571" style="33" customWidth="1"/>
    <col min="15" max="15" width="15.2857142857143" style="33" customWidth="1"/>
    <col min="16" max="16" width="13.5714285714286" style="33" customWidth="1"/>
    <col min="17" max="17" width="8.85714285714286" style="33" bestFit="1" customWidth="1"/>
    <col min="18" max="19" width="9.57142857142857" style="33" customWidth="1"/>
    <col min="20" max="20" width="12" style="48" customWidth="1"/>
    <col min="21" max="23" width="9.14285714285714" style="33" hidden="1" customWidth="1"/>
    <col min="24" max="24" width="9.14285714285714" style="33" customWidth="1"/>
    <col min="25" max="16384" width="9.14285714285714" style="33" customWidth="1"/>
  </cols>
  <sheetData>
    <row r="1" spans="1:20" ht="51" customHeight="1">
      <c r="A1" s="42"/>
      <c r="B1" s="42" t="s">
        <v>0</v>
      </c>
      <c r="C1" s="42"/>
      <c r="E1" s="43"/>
      <c r="F1" s="43"/>
      <c r="G1" s="43"/>
      <c r="J1" s="43"/>
      <c r="K1" s="19" t="s">
        <v>1</v>
      </c>
      <c r="L1" s="19"/>
      <c r="M1" s="19"/>
      <c r="N1" s="19"/>
      <c r="O1" s="19"/>
      <c r="P1" s="19"/>
      <c r="Q1" s="19"/>
      <c r="R1" s="19"/>
      <c r="S1" s="44"/>
      <c r="T1" s="45"/>
    </row>
    <row r="2" spans="1:19" ht="5.25" customHeight="1">
      <c r="A2" s="46"/>
      <c r="B2" s="46"/>
      <c r="C2" s="46"/>
      <c r="D2" s="46"/>
      <c r="E2" s="46"/>
      <c r="F2" s="46"/>
      <c r="G2" s="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</row>
    <row r="3" spans="1:19" ht="15" customHeight="1">
      <c r="A3" s="135" t="s">
        <v>2</v>
      </c>
      <c r="B3" s="135"/>
      <c r="C3" s="135"/>
      <c r="D3" s="135"/>
      <c r="E3" s="135"/>
      <c r="F3" s="49"/>
      <c r="G3" s="49"/>
      <c r="Q3" s="50"/>
      <c r="R3" s="50"/>
      <c r="S3" s="50"/>
    </row>
    <row r="4" spans="1:20" ht="22.5" customHeight="1">
      <c r="A4" s="141" t="s">
        <v>3</v>
      </c>
      <c r="B4" s="141"/>
      <c r="C4" s="141"/>
      <c r="D4" s="141"/>
      <c r="E4" s="141"/>
      <c r="F4" s="141"/>
      <c r="G4" s="141"/>
      <c r="H4" s="141"/>
      <c r="I4" s="141"/>
      <c r="K4" s="6" t="s">
        <v>4</v>
      </c>
      <c r="L4" s="6"/>
      <c r="M4" s="5" t="s">
        <v>5</v>
      </c>
      <c r="N4" s="5"/>
      <c r="O4" s="5"/>
      <c r="P4" s="5"/>
      <c r="Q4" s="51"/>
      <c r="R4" s="51"/>
      <c r="S4" s="51"/>
      <c r="T4" s="52"/>
    </row>
    <row r="5" spans="1:20" ht="21" customHeight="1">
      <c r="A5" s="142"/>
      <c r="B5" s="142"/>
      <c r="C5" s="142"/>
      <c r="D5" s="142"/>
      <c r="E5" s="142"/>
      <c r="F5" s="142"/>
      <c r="G5" s="142"/>
      <c r="H5" s="142"/>
      <c r="I5" s="142"/>
      <c r="K5" s="4" t="s">
        <v>6</v>
      </c>
      <c r="L5" s="4"/>
      <c r="M5" s="3" t="s">
        <v>7</v>
      </c>
      <c r="N5" s="3"/>
      <c r="O5" s="3"/>
      <c r="P5" s="3"/>
      <c r="Q5" s="51"/>
      <c r="R5" s="51"/>
      <c r="S5" s="51"/>
      <c r="T5" s="52"/>
    </row>
    <row r="6" spans="1:20" s="53" customFormat="1" ht="14.1" customHeight="1">
      <c r="A6" s="142"/>
      <c r="B6" s="142"/>
      <c r="C6" s="142"/>
      <c r="D6" s="142"/>
      <c r="E6" s="142"/>
      <c r="F6" s="142"/>
      <c r="G6" s="142"/>
      <c r="H6" s="142"/>
      <c r="I6" s="142"/>
      <c r="K6" s="124" t="s">
        <v>8</v>
      </c>
      <c r="L6" s="124"/>
      <c r="M6" s="138">
        <v>43749</v>
      </c>
      <c r="N6" s="138"/>
      <c r="O6" s="138"/>
      <c r="P6" s="138"/>
      <c r="Q6" s="51"/>
      <c r="R6" s="51"/>
      <c r="S6" s="51"/>
      <c r="T6" s="52"/>
    </row>
    <row r="7" spans="1:20" s="53" customFormat="1" ht="14.1" customHeight="1">
      <c r="A7" s="142"/>
      <c r="B7" s="142"/>
      <c r="C7" s="142"/>
      <c r="D7" s="142"/>
      <c r="E7" s="142"/>
      <c r="F7" s="142"/>
      <c r="G7" s="142"/>
      <c r="H7" s="142"/>
      <c r="I7" s="142"/>
      <c r="K7" s="124"/>
      <c r="L7" s="124"/>
      <c r="M7" s="2"/>
      <c r="N7" s="2"/>
      <c r="O7" s="2"/>
      <c r="P7" s="2"/>
      <c r="Q7" s="2"/>
      <c r="R7" s="51"/>
      <c r="S7" s="51"/>
      <c r="T7" s="52"/>
    </row>
    <row r="8" spans="1:20" s="53" customFormat="1" ht="13.5" customHeight="1">
      <c r="A8" s="142"/>
      <c r="B8" s="142"/>
      <c r="C8" s="142"/>
      <c r="D8" s="142"/>
      <c r="E8" s="142"/>
      <c r="F8" s="142"/>
      <c r="G8" s="142"/>
      <c r="H8" s="142"/>
      <c r="I8" s="142"/>
      <c r="J8" s="35"/>
      <c r="K8" s="124" t="s">
        <v>9</v>
      </c>
      <c r="L8" s="124"/>
      <c r="M8" s="140">
        <v>43749</v>
      </c>
      <c r="N8" s="140"/>
      <c r="O8" s="54"/>
      <c r="P8" s="51"/>
      <c r="Q8" s="34"/>
      <c r="R8" s="34"/>
      <c r="S8" s="34"/>
      <c r="T8" s="41"/>
    </row>
    <row r="9" spans="1:20" s="53" customFormat="1" ht="15" customHeight="1">
      <c r="A9" s="142"/>
      <c r="B9" s="142"/>
      <c r="C9" s="142"/>
      <c r="D9" s="142"/>
      <c r="E9" s="142"/>
      <c r="F9" s="142"/>
      <c r="G9" s="142"/>
      <c r="H9" s="142"/>
      <c r="I9" s="142"/>
      <c r="J9" s="35"/>
      <c r="K9" s="36" t="s">
        <v>10</v>
      </c>
      <c r="L9" s="37"/>
      <c r="M9" s="2" t="s">
        <v>11</v>
      </c>
      <c r="N9" s="2"/>
      <c r="O9" s="2"/>
      <c r="P9" s="2"/>
      <c r="Q9" s="2"/>
      <c r="R9" s="34"/>
      <c r="S9" s="34"/>
      <c r="T9" s="41"/>
    </row>
    <row r="10" spans="1:20" s="53" customFormat="1" ht="15" customHeight="1">
      <c r="A10" s="142"/>
      <c r="B10" s="142"/>
      <c r="C10" s="142"/>
      <c r="D10" s="142"/>
      <c r="E10" s="142"/>
      <c r="F10" s="142"/>
      <c r="G10" s="142"/>
      <c r="H10" s="142"/>
      <c r="I10" s="142"/>
      <c r="J10" s="35"/>
      <c r="K10" s="36" t="s">
        <v>12</v>
      </c>
      <c r="L10" s="37"/>
      <c r="M10" s="138"/>
      <c r="N10" s="138"/>
      <c r="O10" s="54"/>
      <c r="P10" s="37"/>
      <c r="Q10" s="34"/>
      <c r="R10" s="34"/>
      <c r="S10" s="34"/>
      <c r="T10" s="41"/>
    </row>
    <row r="11" spans="1:20" s="53" customFormat="1" ht="15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35"/>
      <c r="K11" s="36" t="s">
        <v>13</v>
      </c>
      <c r="L11" s="37"/>
      <c r="M11" s="38">
        <v>0</v>
      </c>
      <c r="N11" s="39"/>
      <c r="O11" s="40"/>
      <c r="P11" s="34"/>
      <c r="Q11" s="34"/>
      <c r="R11" s="34"/>
      <c r="S11" s="34"/>
      <c r="T11" s="41"/>
    </row>
    <row r="12" spans="1:20" s="53" customFormat="1" ht="15.75" customHeight="1">
      <c r="A12" s="144" t="s">
        <v>14</v>
      </c>
      <c r="B12" s="144"/>
      <c r="C12" s="144"/>
      <c r="D12" s="55"/>
      <c r="E12" s="56"/>
      <c r="F12" s="56"/>
      <c r="G12" s="56"/>
      <c r="H12" s="55"/>
      <c r="I12" s="55"/>
      <c r="K12" s="124" t="s">
        <v>15</v>
      </c>
      <c r="L12" s="125"/>
      <c r="M12" s="121" t="s">
        <v>173</v>
      </c>
      <c r="N12" s="122"/>
      <c r="O12" s="123"/>
      <c r="P12" s="34"/>
      <c r="Q12" s="34"/>
      <c r="R12" s="34"/>
      <c r="S12" s="34"/>
      <c r="T12" s="41"/>
    </row>
    <row r="13" spans="1:20" s="53" customFormat="1" ht="12.75" customHeight="1">
      <c r="A13" s="124" t="s">
        <v>16</v>
      </c>
      <c r="B13" s="124"/>
      <c r="C13" s="124"/>
      <c r="D13" s="2" t="s">
        <v>17</v>
      </c>
      <c r="E13" s="2"/>
      <c r="F13" s="2"/>
      <c r="G13" s="2"/>
      <c r="H13" s="2"/>
      <c r="I13" s="57"/>
      <c r="K13" s="147"/>
      <c r="L13" s="147"/>
      <c r="M13" s="146"/>
      <c r="N13" s="146"/>
      <c r="O13" s="146"/>
      <c r="P13" s="146"/>
      <c r="Q13" s="146"/>
      <c r="R13" s="34"/>
      <c r="S13" s="34"/>
      <c r="T13" s="41"/>
    </row>
    <row r="14" spans="1:20" s="53" customFormat="1" ht="12.75" customHeight="1">
      <c r="A14" s="124" t="s">
        <v>18</v>
      </c>
      <c r="B14" s="124"/>
      <c r="C14" s="124"/>
      <c r="D14" s="2" t="s">
        <v>19</v>
      </c>
      <c r="E14" s="2"/>
      <c r="F14" s="2"/>
      <c r="G14" s="2"/>
      <c r="H14" s="2"/>
      <c r="I14" s="57"/>
      <c r="K14" s="124" t="s">
        <v>20</v>
      </c>
      <c r="L14" s="145"/>
      <c r="M14" s="58" t="s">
        <v>137</v>
      </c>
      <c r="N14" s="37"/>
      <c r="O14" s="37"/>
      <c r="P14" s="59"/>
      <c r="Q14" s="52"/>
      <c r="R14" s="34"/>
      <c r="S14" s="34"/>
      <c r="T14" s="41"/>
    </row>
    <row r="15" spans="1:20" s="53" customFormat="1" ht="12.75" customHeight="1">
      <c r="A15" s="124" t="s">
        <v>21</v>
      </c>
      <c r="B15" s="124"/>
      <c r="C15" s="124"/>
      <c r="D15" s="2"/>
      <c r="E15" s="2"/>
      <c r="F15" s="2"/>
      <c r="G15" s="2"/>
      <c r="H15" s="2"/>
      <c r="I15" s="57"/>
      <c r="K15" s="124" t="s">
        <v>22</v>
      </c>
      <c r="L15" s="145"/>
      <c r="M15" s="60">
        <v>0</v>
      </c>
      <c r="N15" s="61"/>
      <c r="O15" s="62"/>
      <c r="P15" s="59" t="s">
        <v>23</v>
      </c>
      <c r="Q15" s="52"/>
      <c r="R15" s="34"/>
      <c r="S15" s="34"/>
      <c r="T15" s="41"/>
    </row>
    <row r="16" spans="1:20" s="53" customFormat="1" ht="12.75" customHeight="1">
      <c r="A16" s="124" t="s">
        <v>24</v>
      </c>
      <c r="B16" s="124"/>
      <c r="C16" s="124"/>
      <c r="D16" s="2" t="s">
        <v>25</v>
      </c>
      <c r="E16" s="2"/>
      <c r="F16" s="2"/>
      <c r="G16" s="2"/>
      <c r="H16" s="2"/>
      <c r="I16" s="57"/>
      <c r="K16" s="124" t="s">
        <v>26</v>
      </c>
      <c r="L16" s="145"/>
      <c r="M16" s="60">
        <v>0</v>
      </c>
      <c r="N16" s="61"/>
      <c r="O16" s="62"/>
      <c r="P16" s="37"/>
      <c r="Q16" s="51"/>
      <c r="R16" s="34"/>
      <c r="S16" s="34"/>
      <c r="T16" s="41"/>
    </row>
    <row r="17" spans="1:20" s="53" customFormat="1" ht="12.75" customHeight="1">
      <c r="A17" s="124" t="s">
        <v>27</v>
      </c>
      <c r="B17" s="124"/>
      <c r="C17" s="124"/>
      <c r="D17" s="2" t="s">
        <v>28</v>
      </c>
      <c r="E17" s="2"/>
      <c r="F17" s="2"/>
      <c r="G17" s="2"/>
      <c r="H17" s="2"/>
      <c r="I17" s="57"/>
      <c r="K17" s="50"/>
      <c r="L17" s="50"/>
      <c r="M17" s="50"/>
      <c r="N17" s="50"/>
      <c r="O17" s="50"/>
      <c r="P17" s="50"/>
      <c r="Q17" s="50"/>
      <c r="R17" s="50"/>
      <c r="S17" s="50"/>
      <c r="T17" s="63"/>
    </row>
    <row r="18" spans="1:20" s="53" customFormat="1" ht="30.75" customHeight="1">
      <c r="A18" s="64"/>
      <c r="B18" s="64"/>
      <c r="C18" s="64"/>
      <c r="D18" s="65"/>
      <c r="E18" s="66"/>
      <c r="F18" s="66"/>
      <c r="G18" s="66"/>
      <c r="H18" s="139"/>
      <c r="I18" s="139"/>
      <c r="J18" s="139"/>
      <c r="K18" s="65"/>
      <c r="L18" s="67"/>
      <c r="M18" s="64"/>
      <c r="N18" s="65"/>
      <c r="O18" s="65"/>
      <c r="P18" s="68"/>
      <c r="Q18" s="65"/>
      <c r="R18" s="68"/>
      <c r="S18" s="68"/>
      <c r="T18" s="63"/>
    </row>
    <row r="19" spans="1:20" s="117" customFormat="1" ht="27" customHeight="1">
      <c r="A19" s="69" t="s">
        <v>29</v>
      </c>
      <c r="B19" s="69"/>
      <c r="C19" s="69" t="s">
        <v>30</v>
      </c>
      <c r="D19" s="133" t="s">
        <v>31</v>
      </c>
      <c r="E19" s="134"/>
      <c r="F19" s="70" t="s">
        <v>32</v>
      </c>
      <c r="G19" s="70" t="s">
        <v>33</v>
      </c>
      <c r="H19" s="71" t="s">
        <v>34</v>
      </c>
      <c r="I19" s="71" t="s">
        <v>35</v>
      </c>
      <c r="J19" s="18" t="str">
        <f>CONCATENATE("Unit Price ","( ",Currency," )")</f>
        <v>Unit Price ( JPY )</v>
      </c>
      <c r="K19" s="17"/>
      <c r="L19" s="71" t="s">
        <v>36</v>
      </c>
      <c r="M19" s="71" t="s">
        <v>37</v>
      </c>
      <c r="N19" s="71" t="s">
        <v>38</v>
      </c>
      <c r="O19" s="71" t="s">
        <v>13</v>
      </c>
      <c r="P19" s="18" t="s">
        <v>39</v>
      </c>
      <c r="Q19" s="17"/>
      <c r="R19" s="18" t="s">
        <v>40</v>
      </c>
      <c r="S19" s="17"/>
      <c r="T19" s="72"/>
    </row>
    <row r="20" spans="1:20" ht="24" customHeight="1">
      <c r="A20" s="73">
        <v>1</v>
      </c>
      <c r="B20" s="73">
        <v>99990008656753</v>
      </c>
      <c r="C20" s="74">
        <v>792246</v>
      </c>
      <c r="D20" s="148" t="s">
        <v>41</v>
      </c>
      <c r="E20" s="149"/>
      <c r="F20" s="75">
        <v>792246</v>
      </c>
      <c r="G20" s="75" t="s">
        <v>42</v>
      </c>
      <c r="H20" s="76">
        <v>0</v>
      </c>
      <c r="I20" s="77">
        <v>2</v>
      </c>
      <c r="J20" s="150">
        <v>2600</v>
      </c>
      <c r="K20" s="151"/>
      <c r="L20" s="77">
        <v>0</v>
      </c>
      <c r="M20" s="77">
        <v>0</v>
      </c>
      <c r="N20" s="78">
        <f t="shared" si="0" ref="N20:N41">ROUND(((I20*J20)-((I20*J20)*L20/100))+(((I20*J20)-((I20*J20)*L20/100))*M20/100),2)</f>
        <v>5200</v>
      </c>
      <c r="O20" s="76">
        <f>M11</f>
        <v>0</v>
      </c>
      <c r="P20" s="1"/>
      <c r="Q20" s="120"/>
      <c r="R20" s="16"/>
      <c r="S20" s="15"/>
      <c r="T20" s="83"/>
    </row>
    <row r="21" spans="1:20" ht="24" customHeight="1">
      <c r="A21" s="73">
        <v>2</v>
      </c>
      <c r="B21" s="73">
        <v>99990008658057</v>
      </c>
      <c r="C21" s="74">
        <v>613686</v>
      </c>
      <c r="D21" s="148" t="s">
        <v>43</v>
      </c>
      <c r="E21" s="149"/>
      <c r="F21" s="75">
        <v>613686</v>
      </c>
      <c r="G21" s="75" t="s">
        <v>42</v>
      </c>
      <c r="H21" s="76">
        <v>0</v>
      </c>
      <c r="I21" s="77">
        <v>10</v>
      </c>
      <c r="J21" s="150">
        <v>3400</v>
      </c>
      <c r="K21" s="151"/>
      <c r="L21" s="77">
        <v>0</v>
      </c>
      <c r="M21" s="77">
        <v>0</v>
      </c>
      <c r="N21" s="78">
        <f t="shared" si="0"/>
        <v>34000</v>
      </c>
      <c r="O21" s="76">
        <f>M11</f>
        <v>0</v>
      </c>
      <c r="P21" s="79" t="s">
        <v>174</v>
      </c>
      <c r="Q21" s="80"/>
      <c r="R21" s="81"/>
      <c r="S21" s="82"/>
      <c r="T21" s="83"/>
    </row>
    <row r="22" spans="1:20" ht="24" customHeight="1">
      <c r="A22" s="73">
        <v>3</v>
      </c>
      <c r="B22" s="73">
        <v>99990008655906</v>
      </c>
      <c r="C22" s="74">
        <v>510462</v>
      </c>
      <c r="D22" s="148" t="s">
        <v>44</v>
      </c>
      <c r="E22" s="149"/>
      <c r="F22" s="75">
        <v>510462</v>
      </c>
      <c r="G22" s="75" t="s">
        <v>42</v>
      </c>
      <c r="H22" s="76">
        <v>0</v>
      </c>
      <c r="I22" s="77">
        <v>150</v>
      </c>
      <c r="J22" s="150">
        <v>60</v>
      </c>
      <c r="K22" s="151"/>
      <c r="L22" s="77">
        <v>0</v>
      </c>
      <c r="M22" s="77">
        <v>0</v>
      </c>
      <c r="N22" s="78">
        <f t="shared" si="0"/>
        <v>9000</v>
      </c>
      <c r="O22" s="76">
        <f>M11</f>
        <v>0</v>
      </c>
      <c r="P22" s="79"/>
      <c r="Q22" s="80"/>
      <c r="R22" s="81"/>
      <c r="S22" s="82"/>
      <c r="T22" s="83"/>
    </row>
    <row r="23" spans="1:20" ht="24" customHeight="1">
      <c r="A23" s="73">
        <v>4</v>
      </c>
      <c r="B23" s="73">
        <v>99990009872878</v>
      </c>
      <c r="C23" s="74">
        <v>190212</v>
      </c>
      <c r="D23" s="148" t="s">
        <v>45</v>
      </c>
      <c r="E23" s="149"/>
      <c r="F23" s="75">
        <v>190212</v>
      </c>
      <c r="G23" s="75" t="s">
        <v>46</v>
      </c>
      <c r="H23" s="76">
        <v>0</v>
      </c>
      <c r="I23" s="77">
        <v>3</v>
      </c>
      <c r="J23" s="150">
        <v>4850</v>
      </c>
      <c r="K23" s="151"/>
      <c r="L23" s="77">
        <v>0</v>
      </c>
      <c r="M23" s="77">
        <v>0</v>
      </c>
      <c r="N23" s="78">
        <f t="shared" si="0"/>
        <v>14550</v>
      </c>
      <c r="O23" s="76">
        <f>M11</f>
        <v>0</v>
      </c>
      <c r="P23" s="79"/>
      <c r="Q23" s="80"/>
      <c r="R23" s="81"/>
      <c r="S23" s="82"/>
      <c r="T23" s="83"/>
    </row>
    <row r="24" spans="1:20" ht="24" customHeight="1">
      <c r="A24" s="73">
        <v>5</v>
      </c>
      <c r="B24" s="73">
        <v>99990009872879</v>
      </c>
      <c r="C24" s="74">
        <v>190211</v>
      </c>
      <c r="D24" s="148" t="s">
        <v>47</v>
      </c>
      <c r="E24" s="149"/>
      <c r="F24" s="75">
        <v>190211</v>
      </c>
      <c r="G24" s="75" t="s">
        <v>46</v>
      </c>
      <c r="H24" s="76">
        <v>0</v>
      </c>
      <c r="I24" s="77">
        <v>3</v>
      </c>
      <c r="J24" s="150">
        <v>4850</v>
      </c>
      <c r="K24" s="151"/>
      <c r="L24" s="77">
        <v>0</v>
      </c>
      <c r="M24" s="77">
        <v>0</v>
      </c>
      <c r="N24" s="78">
        <f t="shared" si="0"/>
        <v>14550</v>
      </c>
      <c r="O24" s="76">
        <f>M11</f>
        <v>0</v>
      </c>
      <c r="P24" s="79"/>
      <c r="Q24" s="80"/>
      <c r="R24" s="81"/>
      <c r="S24" s="82"/>
      <c r="T24" s="83"/>
    </row>
    <row r="25" spans="1:20" ht="24" customHeight="1">
      <c r="A25" s="73">
        <v>6</v>
      </c>
      <c r="B25" s="73">
        <v>99990009872430</v>
      </c>
      <c r="C25" s="74">
        <v>190414</v>
      </c>
      <c r="D25" s="148" t="s">
        <v>48</v>
      </c>
      <c r="E25" s="149"/>
      <c r="F25" s="75">
        <v>190414</v>
      </c>
      <c r="G25" s="75" t="s">
        <v>49</v>
      </c>
      <c r="H25" s="76">
        <v>0</v>
      </c>
      <c r="I25" s="77">
        <v>6</v>
      </c>
      <c r="J25" s="150">
        <v>1050</v>
      </c>
      <c r="K25" s="151"/>
      <c r="L25" s="77">
        <v>0</v>
      </c>
      <c r="M25" s="77">
        <v>0</v>
      </c>
      <c r="N25" s="78">
        <f t="shared" si="0"/>
        <v>6300</v>
      </c>
      <c r="O25" s="76">
        <f>M11</f>
        <v>0</v>
      </c>
      <c r="P25" s="79" t="s">
        <v>175</v>
      </c>
      <c r="Q25" s="80"/>
      <c r="R25" s="81"/>
      <c r="S25" s="82"/>
      <c r="T25" s="83"/>
    </row>
    <row r="26" spans="1:20" ht="24" customHeight="1">
      <c r="A26" s="73">
        <v>7</v>
      </c>
      <c r="B26" s="73">
        <v>99990009872431</v>
      </c>
      <c r="C26" s="74">
        <v>190413</v>
      </c>
      <c r="D26" s="148" t="s">
        <v>50</v>
      </c>
      <c r="E26" s="149"/>
      <c r="F26" s="75">
        <v>190413</v>
      </c>
      <c r="G26" s="75" t="s">
        <v>49</v>
      </c>
      <c r="H26" s="76">
        <v>0</v>
      </c>
      <c r="I26" s="77">
        <v>6</v>
      </c>
      <c r="J26" s="150">
        <v>1050</v>
      </c>
      <c r="K26" s="151"/>
      <c r="L26" s="77">
        <v>0</v>
      </c>
      <c r="M26" s="77">
        <v>0</v>
      </c>
      <c r="N26" s="78">
        <f t="shared" si="0"/>
        <v>6300</v>
      </c>
      <c r="O26" s="76">
        <f>M11</f>
        <v>0</v>
      </c>
      <c r="P26" s="79" t="s">
        <v>175</v>
      </c>
      <c r="Q26" s="80"/>
      <c r="R26" s="81"/>
      <c r="S26" s="82"/>
      <c r="T26" s="83"/>
    </row>
    <row r="27" spans="1:20" ht="24" customHeight="1">
      <c r="A27" s="73">
        <v>8</v>
      </c>
      <c r="B27" s="73">
        <v>99990009431060</v>
      </c>
      <c r="C27" s="74">
        <v>2110039</v>
      </c>
      <c r="D27" s="148" t="s">
        <v>51</v>
      </c>
      <c r="E27" s="149"/>
      <c r="F27" s="75">
        <v>812701</v>
      </c>
      <c r="G27" s="75" t="s">
        <v>52</v>
      </c>
      <c r="H27" s="76">
        <v>0</v>
      </c>
      <c r="I27" s="77">
        <v>5</v>
      </c>
      <c r="J27" s="150">
        <v>420</v>
      </c>
      <c r="K27" s="151"/>
      <c r="L27" s="77">
        <v>0</v>
      </c>
      <c r="M27" s="77">
        <v>0</v>
      </c>
      <c r="N27" s="78">
        <f t="shared" si="0"/>
        <v>2100</v>
      </c>
      <c r="O27" s="76">
        <f>M11</f>
        <v>0</v>
      </c>
      <c r="P27" s="79"/>
      <c r="Q27" s="80"/>
      <c r="R27" s="81"/>
      <c r="S27" s="82"/>
      <c r="T27" s="83"/>
    </row>
    <row r="28" spans="1:20" ht="24" customHeight="1">
      <c r="A28" s="73">
        <v>9</v>
      </c>
      <c r="B28" s="73">
        <v>99990008656943</v>
      </c>
      <c r="C28" s="74">
        <v>812703</v>
      </c>
      <c r="D28" s="148" t="s">
        <v>53</v>
      </c>
      <c r="E28" s="149"/>
      <c r="F28" s="75">
        <v>812703</v>
      </c>
      <c r="G28" s="75" t="s">
        <v>54</v>
      </c>
      <c r="H28" s="76">
        <v>0</v>
      </c>
      <c r="I28" s="77">
        <v>10</v>
      </c>
      <c r="J28" s="150">
        <v>1300</v>
      </c>
      <c r="K28" s="151"/>
      <c r="L28" s="77">
        <v>0</v>
      </c>
      <c r="M28" s="77">
        <v>0</v>
      </c>
      <c r="N28" s="78">
        <f t="shared" si="0"/>
        <v>13000</v>
      </c>
      <c r="O28" s="76">
        <f>M11</f>
        <v>0</v>
      </c>
      <c r="P28" s="79"/>
      <c r="Q28" s="80"/>
      <c r="R28" s="81"/>
      <c r="S28" s="82"/>
      <c r="T28" s="83"/>
    </row>
    <row r="29" spans="1:20" ht="24" customHeight="1">
      <c r="A29" s="73">
        <v>10</v>
      </c>
      <c r="B29" s="73">
        <v>99990010212725</v>
      </c>
      <c r="C29" s="74">
        <v>232257</v>
      </c>
      <c r="D29" s="148" t="s">
        <v>55</v>
      </c>
      <c r="E29" s="149"/>
      <c r="F29" s="75">
        <v>232257</v>
      </c>
      <c r="G29" s="75" t="s">
        <v>56</v>
      </c>
      <c r="H29" s="76">
        <v>0</v>
      </c>
      <c r="I29" s="77">
        <v>100</v>
      </c>
      <c r="J29" s="150">
        <v>1210</v>
      </c>
      <c r="K29" s="151"/>
      <c r="L29" s="77">
        <v>0</v>
      </c>
      <c r="M29" s="77">
        <v>0</v>
      </c>
      <c r="N29" s="78">
        <f t="shared" si="0"/>
        <v>121000</v>
      </c>
      <c r="O29" s="76">
        <f>M11</f>
        <v>0</v>
      </c>
      <c r="P29" s="79" t="s">
        <v>176</v>
      </c>
      <c r="Q29" s="80"/>
      <c r="R29" s="81"/>
      <c r="S29" s="82"/>
      <c r="T29" s="83"/>
    </row>
    <row r="30" spans="1:20" ht="24" customHeight="1">
      <c r="A30" s="73">
        <v>11</v>
      </c>
      <c r="B30" s="73">
        <v>99990008656500</v>
      </c>
      <c r="C30" s="74">
        <v>612205</v>
      </c>
      <c r="D30" s="148" t="s">
        <v>57</v>
      </c>
      <c r="E30" s="149"/>
      <c r="F30" s="75">
        <v>612205</v>
      </c>
      <c r="G30" s="75" t="s">
        <v>42</v>
      </c>
      <c r="H30" s="76">
        <v>0</v>
      </c>
      <c r="I30" s="77">
        <v>2</v>
      </c>
      <c r="J30" s="150">
        <v>560</v>
      </c>
      <c r="K30" s="151"/>
      <c r="L30" s="77">
        <v>0</v>
      </c>
      <c r="M30" s="77">
        <v>0</v>
      </c>
      <c r="N30" s="78">
        <f t="shared" si="0"/>
        <v>1120</v>
      </c>
      <c r="O30" s="76">
        <f>M11</f>
        <v>0</v>
      </c>
      <c r="P30" s="79"/>
      <c r="Q30" s="80"/>
      <c r="R30" s="81"/>
      <c r="S30" s="82"/>
      <c r="T30" s="83"/>
    </row>
    <row r="31" spans="1:20" ht="24" customHeight="1">
      <c r="A31" s="73">
        <v>12</v>
      </c>
      <c r="B31" s="73">
        <v>99990008656506</v>
      </c>
      <c r="C31" s="74">
        <v>612214</v>
      </c>
      <c r="D31" s="148" t="s">
        <v>58</v>
      </c>
      <c r="E31" s="149"/>
      <c r="F31" s="75">
        <v>612214</v>
      </c>
      <c r="G31" s="75" t="s">
        <v>42</v>
      </c>
      <c r="H31" s="76">
        <v>0</v>
      </c>
      <c r="I31" s="77">
        <v>2</v>
      </c>
      <c r="J31" s="150">
        <v>560</v>
      </c>
      <c r="K31" s="151"/>
      <c r="L31" s="77">
        <v>0</v>
      </c>
      <c r="M31" s="77">
        <v>0</v>
      </c>
      <c r="N31" s="78">
        <f t="shared" si="0"/>
        <v>1120</v>
      </c>
      <c r="O31" s="76">
        <f>M11</f>
        <v>0</v>
      </c>
      <c r="P31" s="79"/>
      <c r="Q31" s="80"/>
      <c r="R31" s="81"/>
      <c r="S31" s="82"/>
      <c r="T31" s="83"/>
    </row>
    <row r="32" spans="1:20" ht="24" customHeight="1">
      <c r="A32" s="73">
        <v>13</v>
      </c>
      <c r="B32" s="73">
        <v>99990008656420</v>
      </c>
      <c r="C32" s="74">
        <v>611658</v>
      </c>
      <c r="D32" s="148" t="s">
        <v>59</v>
      </c>
      <c r="E32" s="149"/>
      <c r="F32" s="75">
        <v>611658</v>
      </c>
      <c r="G32" s="75" t="s">
        <v>46</v>
      </c>
      <c r="H32" s="76">
        <v>0</v>
      </c>
      <c r="I32" s="77">
        <v>2</v>
      </c>
      <c r="J32" s="150">
        <v>555</v>
      </c>
      <c r="K32" s="151"/>
      <c r="L32" s="77">
        <v>0</v>
      </c>
      <c r="M32" s="77">
        <v>0</v>
      </c>
      <c r="N32" s="78">
        <f t="shared" si="0"/>
        <v>1110</v>
      </c>
      <c r="O32" s="76">
        <f>M11</f>
        <v>0</v>
      </c>
      <c r="P32" s="79"/>
      <c r="Q32" s="80"/>
      <c r="R32" s="81"/>
      <c r="S32" s="82"/>
      <c r="T32" s="83"/>
    </row>
    <row r="33" spans="1:20" ht="24" customHeight="1">
      <c r="A33" s="73">
        <v>14</v>
      </c>
      <c r="B33" s="73">
        <v>99990008176100</v>
      </c>
      <c r="C33" s="74">
        <v>232351</v>
      </c>
      <c r="D33" s="148" t="s">
        <v>60</v>
      </c>
      <c r="E33" s="149"/>
      <c r="F33" s="75">
        <v>232351</v>
      </c>
      <c r="G33" s="75" t="s">
        <v>42</v>
      </c>
      <c r="H33" s="76">
        <v>0</v>
      </c>
      <c r="I33" s="77">
        <v>100</v>
      </c>
      <c r="J33" s="150">
        <v>390</v>
      </c>
      <c r="K33" s="151"/>
      <c r="L33" s="77">
        <v>0</v>
      </c>
      <c r="M33" s="77">
        <v>0</v>
      </c>
      <c r="N33" s="78">
        <f t="shared" si="0"/>
        <v>39000</v>
      </c>
      <c r="O33" s="76">
        <f>M11</f>
        <v>0</v>
      </c>
      <c r="P33" s="79" t="s">
        <v>177</v>
      </c>
      <c r="Q33" s="80"/>
      <c r="R33" s="81" t="s">
        <v>61</v>
      </c>
      <c r="S33" s="82"/>
      <c r="T33" s="83"/>
    </row>
    <row r="34" spans="1:20" ht="24" customHeight="1">
      <c r="A34" s="73">
        <v>15</v>
      </c>
      <c r="B34" s="73">
        <v>99990008657334</v>
      </c>
      <c r="C34" s="74">
        <v>174058</v>
      </c>
      <c r="D34" s="148" t="s">
        <v>62</v>
      </c>
      <c r="E34" s="149"/>
      <c r="F34" s="75">
        <v>174058</v>
      </c>
      <c r="G34" s="75" t="s">
        <v>42</v>
      </c>
      <c r="H34" s="76">
        <v>0</v>
      </c>
      <c r="I34" s="77">
        <v>30</v>
      </c>
      <c r="J34" s="150">
        <v>97</v>
      </c>
      <c r="K34" s="151"/>
      <c r="L34" s="77">
        <v>0</v>
      </c>
      <c r="M34" s="77">
        <v>0</v>
      </c>
      <c r="N34" s="78">
        <f t="shared" si="0"/>
        <v>2910</v>
      </c>
      <c r="O34" s="76">
        <f>M11</f>
        <v>0</v>
      </c>
      <c r="P34" s="79" t="s">
        <v>178</v>
      </c>
      <c r="Q34" s="80"/>
      <c r="R34" s="81"/>
      <c r="S34" s="82"/>
      <c r="T34" s="83"/>
    </row>
    <row r="35" spans="1:20" ht="24" customHeight="1">
      <c r="A35" s="73">
        <v>16</v>
      </c>
      <c r="B35" s="73">
        <v>99990008658073</v>
      </c>
      <c r="C35" s="74">
        <v>614055</v>
      </c>
      <c r="D35" s="148" t="s">
        <v>63</v>
      </c>
      <c r="E35" s="149"/>
      <c r="F35" s="75">
        <v>614055</v>
      </c>
      <c r="G35" s="75" t="s">
        <v>42</v>
      </c>
      <c r="H35" s="76">
        <v>0</v>
      </c>
      <c r="I35" s="77">
        <v>30</v>
      </c>
      <c r="J35" s="150">
        <v>64</v>
      </c>
      <c r="K35" s="151"/>
      <c r="L35" s="77">
        <v>0</v>
      </c>
      <c r="M35" s="77">
        <v>0</v>
      </c>
      <c r="N35" s="78">
        <f t="shared" si="0"/>
        <v>1920</v>
      </c>
      <c r="O35" s="76">
        <f>M11</f>
        <v>0</v>
      </c>
      <c r="P35" s="79"/>
      <c r="Q35" s="80"/>
      <c r="R35" s="81"/>
      <c r="S35" s="82"/>
      <c r="T35" s="83"/>
    </row>
    <row r="36" spans="1:20" ht="24" customHeight="1">
      <c r="A36" s="73">
        <v>17</v>
      </c>
      <c r="B36" s="73">
        <v>99990008655651</v>
      </c>
      <c r="C36" s="74">
        <v>615009</v>
      </c>
      <c r="D36" s="148" t="s">
        <v>64</v>
      </c>
      <c r="E36" s="149"/>
      <c r="F36" s="75">
        <v>615009</v>
      </c>
      <c r="G36" s="75" t="s">
        <v>49</v>
      </c>
      <c r="H36" s="76">
        <v>0</v>
      </c>
      <c r="I36" s="77">
        <v>2</v>
      </c>
      <c r="J36" s="150">
        <v>10400</v>
      </c>
      <c r="K36" s="151"/>
      <c r="L36" s="77">
        <v>0</v>
      </c>
      <c r="M36" s="77">
        <v>0</v>
      </c>
      <c r="N36" s="78">
        <f t="shared" si="0"/>
        <v>20800</v>
      </c>
      <c r="O36" s="76">
        <f>M11</f>
        <v>0</v>
      </c>
      <c r="P36" s="79"/>
      <c r="Q36" s="80"/>
      <c r="R36" s="81"/>
      <c r="S36" s="82"/>
      <c r="T36" s="83"/>
    </row>
    <row r="37" spans="1:20" ht="24" customHeight="1">
      <c r="A37" s="73">
        <v>18</v>
      </c>
      <c r="B37" s="73">
        <v>99990010171200</v>
      </c>
      <c r="C37" s="74">
        <v>610534</v>
      </c>
      <c r="D37" s="148" t="s">
        <v>65</v>
      </c>
      <c r="E37" s="149"/>
      <c r="F37" s="75">
        <v>610534</v>
      </c>
      <c r="G37" s="75" t="s">
        <v>49</v>
      </c>
      <c r="H37" s="76">
        <v>0</v>
      </c>
      <c r="I37" s="77">
        <v>1</v>
      </c>
      <c r="J37" s="150">
        <v>5900</v>
      </c>
      <c r="K37" s="151"/>
      <c r="L37" s="77">
        <v>0</v>
      </c>
      <c r="M37" s="77">
        <v>0</v>
      </c>
      <c r="N37" s="78">
        <f t="shared" si="0"/>
        <v>5900</v>
      </c>
      <c r="O37" s="76">
        <f>M11</f>
        <v>0</v>
      </c>
      <c r="P37" s="79"/>
      <c r="Q37" s="80"/>
      <c r="R37" s="81"/>
      <c r="S37" s="82"/>
      <c r="T37" s="83"/>
    </row>
    <row r="38" spans="1:20" ht="24" customHeight="1">
      <c r="A38" s="73">
        <v>19</v>
      </c>
      <c r="B38" s="73">
        <v>99990009573618</v>
      </c>
      <c r="C38" s="74">
        <v>2136567</v>
      </c>
      <c r="D38" s="148" t="s">
        <v>66</v>
      </c>
      <c r="E38" s="149"/>
      <c r="F38" s="75">
        <v>630253</v>
      </c>
      <c r="G38" s="75" t="s">
        <v>49</v>
      </c>
      <c r="H38" s="76">
        <v>0</v>
      </c>
      <c r="I38" s="77">
        <v>1</v>
      </c>
      <c r="J38" s="150">
        <v>2900</v>
      </c>
      <c r="K38" s="151"/>
      <c r="L38" s="77">
        <v>0</v>
      </c>
      <c r="M38" s="77">
        <v>0</v>
      </c>
      <c r="N38" s="78">
        <f t="shared" si="0"/>
        <v>2900</v>
      </c>
      <c r="O38" s="76">
        <f>M11</f>
        <v>0</v>
      </c>
      <c r="P38" s="79"/>
      <c r="Q38" s="80"/>
      <c r="R38" s="81"/>
      <c r="S38" s="82"/>
      <c r="T38" s="83"/>
    </row>
    <row r="39" spans="1:20" ht="24" customHeight="1">
      <c r="A39" s="73">
        <v>20</v>
      </c>
      <c r="B39" s="73">
        <v>99990010149695</v>
      </c>
      <c r="C39" s="74">
        <v>591003</v>
      </c>
      <c r="D39" s="148" t="s">
        <v>67</v>
      </c>
      <c r="E39" s="149"/>
      <c r="F39" s="75">
        <v>591003</v>
      </c>
      <c r="G39" s="75" t="s">
        <v>49</v>
      </c>
      <c r="H39" s="76">
        <v>0</v>
      </c>
      <c r="I39" s="77">
        <v>1</v>
      </c>
      <c r="J39" s="150">
        <v>14250</v>
      </c>
      <c r="K39" s="151"/>
      <c r="L39" s="77">
        <v>0</v>
      </c>
      <c r="M39" s="77">
        <v>0</v>
      </c>
      <c r="N39" s="78">
        <f t="shared" si="0"/>
        <v>14250</v>
      </c>
      <c r="O39" s="76">
        <f>M11</f>
        <v>0</v>
      </c>
      <c r="P39" s="79"/>
      <c r="Q39" s="80"/>
      <c r="R39" s="81"/>
      <c r="S39" s="82"/>
      <c r="T39" s="83"/>
    </row>
    <row r="40" spans="1:20" ht="24" customHeight="1">
      <c r="A40" s="73">
        <v>21</v>
      </c>
      <c r="B40" s="73">
        <v>99990008655515</v>
      </c>
      <c r="C40" s="74">
        <v>232907</v>
      </c>
      <c r="D40" s="148" t="s">
        <v>68</v>
      </c>
      <c r="E40" s="149"/>
      <c r="F40" s="75">
        <v>232907</v>
      </c>
      <c r="G40" s="75" t="s">
        <v>69</v>
      </c>
      <c r="H40" s="76">
        <v>0</v>
      </c>
      <c r="I40" s="77">
        <v>50</v>
      </c>
      <c r="J40" s="150">
        <v>145</v>
      </c>
      <c r="K40" s="151"/>
      <c r="L40" s="77">
        <v>0</v>
      </c>
      <c r="M40" s="77">
        <v>0</v>
      </c>
      <c r="N40" s="78">
        <f t="shared" si="0"/>
        <v>7250</v>
      </c>
      <c r="O40" s="76">
        <f>M11</f>
        <v>0</v>
      </c>
      <c r="P40" s="79"/>
      <c r="Q40" s="80"/>
      <c r="R40" s="81"/>
      <c r="S40" s="82"/>
      <c r="T40" s="83"/>
    </row>
    <row r="41" spans="1:20" ht="24" customHeight="1">
      <c r="A41" s="73">
        <v>22</v>
      </c>
      <c r="B41" s="73">
        <v>99990008658181</v>
      </c>
      <c r="C41" s="74">
        <v>617680</v>
      </c>
      <c r="D41" s="148" t="s">
        <v>70</v>
      </c>
      <c r="E41" s="149"/>
      <c r="F41" s="75">
        <v>617680</v>
      </c>
      <c r="G41" s="75" t="s">
        <v>42</v>
      </c>
      <c r="H41" s="76">
        <v>0</v>
      </c>
      <c r="I41" s="77">
        <v>15</v>
      </c>
      <c r="J41" s="150">
        <v>1200</v>
      </c>
      <c r="K41" s="151"/>
      <c r="L41" s="77">
        <v>0</v>
      </c>
      <c r="M41" s="77">
        <v>0</v>
      </c>
      <c r="N41" s="78">
        <f t="shared" si="0"/>
        <v>18000</v>
      </c>
      <c r="O41" s="76">
        <f>M11</f>
        <v>0</v>
      </c>
      <c r="P41" s="79"/>
      <c r="Q41" s="80"/>
      <c r="R41" s="81"/>
      <c r="S41" s="82"/>
      <c r="T41" s="83"/>
    </row>
    <row r="42" spans="1:20" ht="15" customHeight="1">
      <c r="A42" s="29"/>
      <c r="B42" s="113"/>
      <c r="C42" s="114"/>
      <c r="D42" s="114"/>
      <c r="E42" s="114"/>
      <c r="F42" s="114"/>
      <c r="G42" s="114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6"/>
    </row>
    <row r="43" spans="1:20" ht="12.75" customHeight="1">
      <c r="A43" s="110" t="s">
        <v>29</v>
      </c>
      <c r="B43" s="110"/>
      <c r="C43" s="136" t="s">
        <v>71</v>
      </c>
      <c r="D43" s="137"/>
      <c r="E43" s="137"/>
      <c r="F43" s="137"/>
      <c r="G43" s="137"/>
      <c r="H43" s="137"/>
      <c r="I43" s="111"/>
      <c r="J43" s="7" t="s">
        <v>72</v>
      </c>
      <c r="K43" s="7"/>
      <c r="L43" s="111" t="s">
        <v>36</v>
      </c>
      <c r="M43" s="111" t="s">
        <v>37</v>
      </c>
      <c r="N43" s="112" t="s">
        <v>73</v>
      </c>
      <c r="O43" s="8" t="s">
        <v>39</v>
      </c>
      <c r="P43" s="8"/>
      <c r="Q43" s="8"/>
      <c r="R43" s="8"/>
      <c r="S43" s="8"/>
      <c r="T43" s="72"/>
    </row>
    <row r="44" spans="1:20" ht="15" customHeight="1">
      <c r="A44" s="101">
        <v>1</v>
      </c>
      <c r="B44" s="102"/>
      <c r="C44" s="152" t="s">
        <v>74</v>
      </c>
      <c r="D44" s="153" t="s">
        <v>74</v>
      </c>
      <c r="E44" s="153" t="s">
        <v>74</v>
      </c>
      <c r="F44" s="153" t="s">
        <v>74</v>
      </c>
      <c r="G44" s="153" t="s">
        <v>74</v>
      </c>
      <c r="H44" s="154" t="s">
        <v>74</v>
      </c>
      <c r="I44" s="103"/>
      <c r="J44" s="155">
        <v>0</v>
      </c>
      <c r="K44" s="156"/>
      <c r="L44" s="104">
        <v>0</v>
      </c>
      <c r="M44" s="104">
        <v>0</v>
      </c>
      <c r="N44" s="109">
        <f>(J44-(J44*L44/100)+((J44-(J44*L44/100))*M44/100))</f>
        <v>0</v>
      </c>
      <c r="O44" s="14"/>
      <c r="P44" s="13"/>
      <c r="Q44" s="13"/>
      <c r="R44" s="13"/>
      <c r="S44" s="12"/>
      <c r="T44" s="107"/>
    </row>
    <row r="45" spans="1:20" ht="15" customHeight="1">
      <c r="A45" s="101">
        <v>2</v>
      </c>
      <c r="B45" s="102"/>
      <c r="C45" s="152" t="s">
        <v>75</v>
      </c>
      <c r="D45" s="153" t="s">
        <v>75</v>
      </c>
      <c r="E45" s="153" t="s">
        <v>75</v>
      </c>
      <c r="F45" s="153" t="s">
        <v>75</v>
      </c>
      <c r="G45" s="153" t="s">
        <v>75</v>
      </c>
      <c r="H45" s="154" t="s">
        <v>75</v>
      </c>
      <c r="I45" s="108"/>
      <c r="J45" s="155">
        <v>25000</v>
      </c>
      <c r="K45" s="156"/>
      <c r="L45" s="104">
        <v>0</v>
      </c>
      <c r="M45" s="104">
        <v>0</v>
      </c>
      <c r="N45" s="106">
        <f>(J45-(J45*L45/100)+((J45-(J45*L45/100))*M45/100))</f>
        <v>25000</v>
      </c>
      <c r="O45" s="11"/>
      <c r="P45" s="10"/>
      <c r="Q45" s="10"/>
      <c r="R45" s="10"/>
      <c r="S45" s="9"/>
      <c r="T45" s="107"/>
    </row>
    <row r="46" spans="1:20" ht="15" customHeight="1">
      <c r="A46" s="101">
        <v>3</v>
      </c>
      <c r="B46" s="102"/>
      <c r="C46" s="152"/>
      <c r="D46" s="153"/>
      <c r="E46" s="153"/>
      <c r="F46" s="153"/>
      <c r="G46" s="153"/>
      <c r="H46" s="154"/>
      <c r="I46" s="103"/>
      <c r="J46" s="155">
        <v>0</v>
      </c>
      <c r="K46" s="156"/>
      <c r="L46" s="104">
        <v>0</v>
      </c>
      <c r="M46" s="104">
        <v>0</v>
      </c>
      <c r="N46" s="106">
        <f>(J46-(J46*L46/100)+((J46-(J46*L46/100))*M46/100))</f>
        <v>0</v>
      </c>
      <c r="O46" s="11"/>
      <c r="P46" s="10"/>
      <c r="Q46" s="10"/>
      <c r="R46" s="10"/>
      <c r="S46" s="9"/>
      <c r="T46" s="107"/>
    </row>
    <row r="47" spans="1:20" ht="15.75" customHeight="1">
      <c r="A47" s="101">
        <v>4</v>
      </c>
      <c r="B47" s="102"/>
      <c r="C47" s="152"/>
      <c r="D47" s="153"/>
      <c r="E47" s="153"/>
      <c r="F47" s="153"/>
      <c r="G47" s="153"/>
      <c r="H47" s="154"/>
      <c r="I47" s="103"/>
      <c r="J47" s="155">
        <v>0</v>
      </c>
      <c r="K47" s="156"/>
      <c r="L47" s="104">
        <v>0</v>
      </c>
      <c r="M47" s="105">
        <v>0</v>
      </c>
      <c r="N47" s="106">
        <f>(J47-(J47*L47/100)+((J47-(J47*L47/100))*M47/100))</f>
        <v>0</v>
      </c>
      <c r="O47" s="11"/>
      <c r="P47" s="10"/>
      <c r="Q47" s="10"/>
      <c r="R47" s="10"/>
      <c r="S47" s="9"/>
      <c r="T47" s="107"/>
    </row>
    <row r="48" spans="1:16" ht="15.95" customHeight="1">
      <c r="A48" s="89"/>
      <c r="B48" s="89"/>
      <c r="C48" s="90"/>
      <c r="D48" s="90"/>
      <c r="J48" s="30" t="s">
        <v>76</v>
      </c>
      <c r="K48" s="31"/>
      <c r="L48" s="30"/>
      <c r="M48" s="31"/>
      <c r="N48" s="100">
        <f>SUM(ItmPrice)</f>
        <v>342280</v>
      </c>
      <c r="O48" s="126"/>
      <c r="P48" s="127"/>
    </row>
    <row r="49" spans="1:16" ht="15" customHeight="1">
      <c r="A49" s="89"/>
      <c r="B49" s="89"/>
      <c r="C49" s="90"/>
      <c r="D49" s="90"/>
      <c r="J49" s="130" t="s">
        <v>77</v>
      </c>
      <c r="K49" s="131"/>
      <c r="L49" s="131"/>
      <c r="M49" s="132"/>
      <c r="N49" s="100">
        <f>SUM(N44:N48)</f>
        <v>367280</v>
      </c>
      <c r="O49" s="128"/>
      <c r="P49" s="129"/>
    </row>
    <row r="50" spans="1:19" ht="2.25" customHeight="1" hidden="1">
      <c r="A50" s="94">
        <v>0</v>
      </c>
      <c r="B50" s="94">
        <v>0</v>
      </c>
      <c r="C50" s="95">
        <v>0</v>
      </c>
      <c r="D50" s="90"/>
      <c r="E50" s="90"/>
      <c r="F50" s="96">
        <v>1</v>
      </c>
      <c r="G50" s="90"/>
      <c r="H50" s="90"/>
      <c r="I50" s="90"/>
      <c r="J50" s="90"/>
      <c r="K50" s="97"/>
      <c r="L50" s="98">
        <v>0</v>
      </c>
      <c r="M50" s="99">
        <v>0</v>
      </c>
      <c r="N50" s="32" t="s">
        <v>78</v>
      </c>
      <c r="O50" s="93"/>
      <c r="P50" s="99">
        <v>995</v>
      </c>
      <c r="Q50" s="90" t="s">
        <v>79</v>
      </c>
      <c r="R50" s="90"/>
      <c r="S50" s="90"/>
    </row>
    <row r="51" spans="1:19" ht="18.75" customHeight="1">
      <c r="A51" s="89"/>
      <c r="B51" s="89"/>
      <c r="C51" s="89"/>
      <c r="H51" s="93"/>
      <c r="J51" s="90"/>
      <c r="K51" s="90"/>
      <c r="L51" s="90"/>
      <c r="M51" s="90"/>
      <c r="N51" s="90"/>
      <c r="O51" s="90"/>
      <c r="P51" s="90"/>
      <c r="R51" s="90"/>
      <c r="S51" s="90"/>
    </row>
    <row r="52" spans="1:20" ht="127.5" customHeight="1">
      <c r="A52" s="21" t="s">
        <v>80</v>
      </c>
      <c r="B52" s="21"/>
      <c r="C52" s="21"/>
      <c r="D52" s="20"/>
      <c r="E52" s="28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92"/>
    </row>
    <row r="53" spans="1:20" ht="129.75" customHeight="1">
      <c r="A53" s="21" t="s">
        <v>39</v>
      </c>
      <c r="B53" s="21"/>
      <c r="C53" s="21"/>
      <c r="D53" s="20"/>
      <c r="E53" s="26" t="s">
        <v>179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91"/>
    </row>
    <row r="54" spans="1:19" ht="15.95" customHeight="1">
      <c r="A54" s="89"/>
      <c r="B54" s="89"/>
      <c r="C54" s="89"/>
      <c r="H54" s="90"/>
      <c r="I54" s="90"/>
      <c r="J54" s="90"/>
      <c r="K54" s="90"/>
      <c r="L54" s="90"/>
      <c r="M54" s="90"/>
      <c r="N54" s="90"/>
      <c r="O54" s="90"/>
      <c r="P54" s="90"/>
      <c r="Q54" s="90"/>
      <c r="R54" s="90"/>
      <c r="S54" s="90"/>
    </row>
    <row r="55" spans="1:20" ht="15.95" customHeight="1">
      <c r="A55" s="87" t="s">
        <v>81</v>
      </c>
      <c r="B55" s="87"/>
      <c r="C55" s="87"/>
      <c r="D55" s="87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88"/>
    </row>
    <row r="56" spans="1:20" ht="12.75" customHeigh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86"/>
    </row>
    <row r="57" spans="1:20" ht="12.75" customHeigh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86"/>
    </row>
    <row r="58" spans="1:20" ht="7.5" customHeigh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86"/>
    </row>
    <row r="59" spans="1:20" ht="12.75" customHeigh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86"/>
    </row>
    <row r="60" spans="1:20" ht="12.75" customHeigh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86"/>
    </row>
    <row r="61" spans="1:20" ht="12.75" customHeight="1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86"/>
    </row>
    <row r="62" spans="1:20" ht="7.5" customHeight="1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86"/>
    </row>
    <row r="63" spans="1:20" ht="12.75" customHeigh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86"/>
    </row>
    <row r="64" spans="1:20" ht="12.75" customHeigh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86"/>
    </row>
    <row r="65" spans="1:20" ht="12.75" customHeigh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86"/>
    </row>
    <row r="66" spans="1:20" ht="12.75" customHeigh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86"/>
    </row>
    <row r="67" spans="1:20" ht="12.75" customHeigh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86"/>
    </row>
    <row r="68" spans="1:20" ht="12.75" customHeigh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86"/>
    </row>
    <row r="69" spans="1:20" ht="7.5" customHeigh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86"/>
    </row>
    <row r="70" spans="1:20" ht="12.75" customHeigh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86"/>
    </row>
    <row r="71" spans="1:20" ht="12.75" customHeigh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86"/>
    </row>
    <row r="72" spans="1:20" ht="12.75" customHeigh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86"/>
    </row>
    <row r="73" spans="1:20" ht="12.75" customHeigh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86"/>
    </row>
    <row r="74" spans="1:20" ht="12.75" customHeigh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86"/>
    </row>
    <row r="75" spans="1:20" ht="7.5" customHeigh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86"/>
    </row>
    <row r="76" spans="1:20" ht="12.75" customHeigh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86"/>
    </row>
    <row r="77" spans="1:20" ht="12.75" customHeigh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86"/>
    </row>
    <row r="78" spans="1:20" ht="12.75" customHeight="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85"/>
    </row>
    <row r="79" spans="1:7" ht="12.75">
      <c r="A79" s="84" t="s">
        <v>82</v>
      </c>
      <c r="B79" s="84"/>
      <c r="C79" s="84"/>
      <c r="D79" s="84"/>
      <c r="E79" s="84"/>
      <c r="F79" s="84"/>
      <c r="G79" s="84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09">
    <mergeCell ref="C44:H44"/>
    <mergeCell ref="J44:K44"/>
    <mergeCell ref="C45:H45"/>
    <mergeCell ref="J45:K45"/>
    <mergeCell ref="C46:H46"/>
    <mergeCell ref="J46:K46"/>
    <mergeCell ref="C47:H47"/>
    <mergeCell ref="J47:K47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A3:E3"/>
    <mergeCell ref="C43:H4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J49:M49"/>
    <mergeCell ref="O46:S46"/>
    <mergeCell ref="O47:S47"/>
    <mergeCell ref="D16:H16"/>
    <mergeCell ref="A13:C13"/>
    <mergeCell ref="D19:E19"/>
    <mergeCell ref="D13:H13"/>
    <mergeCell ref="D14:H14"/>
    <mergeCell ref="D15:H15"/>
    <mergeCell ref="D17:H17"/>
    <mergeCell ref="A14:C14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E52:S52"/>
    <mergeCell ref="E53:S53"/>
    <mergeCell ref="E55:S55"/>
    <mergeCell ref="A56:S77"/>
    <mergeCell ref="A78:S78"/>
    <mergeCell ref="A52:D52"/>
    <mergeCell ref="A53:D53"/>
    <mergeCell ref="K1:R1"/>
    <mergeCell ref="R19:S19"/>
    <mergeCell ref="R20:S20"/>
    <mergeCell ref="O44:S44"/>
    <mergeCell ref="O45:S45"/>
    <mergeCell ref="O43:S43"/>
    <mergeCell ref="J43:K43"/>
    <mergeCell ref="K4:L4"/>
    <mergeCell ref="M4:P4"/>
    <mergeCell ref="K5:L5"/>
    <mergeCell ref="M5:P5"/>
    <mergeCell ref="M7:Q7"/>
    <mergeCell ref="P20:Q20"/>
    <mergeCell ref="M12:O12"/>
    <mergeCell ref="K12:L12"/>
    <mergeCell ref="O48:P48"/>
    <mergeCell ref="O49:P49"/>
  </mergeCells>
  <dataValidations count="9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list" allowBlank="1" showInputMessage="1" showErrorMessage="1" sqref="C44:H44">
      <formula1>MasterData!$H$1:$H$14</formula1>
    </dataValidation>
    <dataValidation type="list" allowBlank="1" showInputMessage="1" showErrorMessage="1" sqref="C45:H45">
      <formula1>MasterData!$H$1:$H$14</formula1>
    </dataValidation>
    <dataValidation type="list" allowBlank="1" showInputMessage="1" showErrorMessage="1" sqref="C46:H46">
      <formula1>MasterData!$H$1:$H$14</formula1>
    </dataValidation>
    <dataValidation type="list" allowBlank="1" showInputMessage="1" showErrorMessage="1" sqref="C47:H47">
      <formula1>MasterData!$H$1:$H$14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G1:O70"/>
  <sheetViews>
    <sheetView workbookViewId="0" topLeftCell="A46">
      <selection pane="topLeft" activeCell="O67" sqref="O67 O67"/>
    </sheetView>
  </sheetViews>
  <sheetFormatPr defaultColWidth="9.140625" defaultRowHeight="12.75"/>
  <cols>
    <col min="1" max="12" width="9.14285714285714" style="32" customWidth="1"/>
    <col min="13" max="13" width="17.5714285714286" style="32" bestFit="1" customWidth="1"/>
    <col min="14" max="14" width="42.8571428571429" style="32" customWidth="1"/>
    <col min="15" max="15" width="8" style="32" customWidth="1"/>
  </cols>
  <sheetData>
    <row r="1" spans="7:15" ht="12.75">
      <c r="G1" s="32">
        <v>1001307</v>
      </c>
      <c r="H1" s="32" t="s">
        <v>74</v>
      </c>
      <c r="M1" s="118" t="s">
        <v>83</v>
      </c>
      <c r="N1" s="119" t="s">
        <v>0</v>
      </c>
      <c r="O1" s="32" t="s">
        <v>84</v>
      </c>
    </row>
    <row r="2" spans="7:15" ht="12.75">
      <c r="G2" s="32">
        <v>1001310</v>
      </c>
      <c r="H2" s="32" t="s">
        <v>75</v>
      </c>
      <c r="M2" s="118" t="s">
        <v>85</v>
      </c>
      <c r="N2" s="119">
        <v>1020779382</v>
      </c>
      <c r="O2" s="32" t="s">
        <v>86</v>
      </c>
    </row>
    <row r="3" spans="7:15" ht="12.75">
      <c r="G3" s="32">
        <v>1012729</v>
      </c>
      <c r="H3" s="32" t="s">
        <v>87</v>
      </c>
      <c r="M3" s="118" t="s">
        <v>88</v>
      </c>
      <c r="N3" s="119">
        <v>99990000430196</v>
      </c>
      <c r="O3" s="32" t="s">
        <v>89</v>
      </c>
    </row>
    <row r="4" spans="7:15" ht="12.75">
      <c r="G4" s="32">
        <v>1012730</v>
      </c>
      <c r="H4" s="32" t="s">
        <v>90</v>
      </c>
      <c r="M4" s="118" t="s">
        <v>91</v>
      </c>
      <c r="N4" s="119">
        <v>1022011438</v>
      </c>
      <c r="O4" s="32" t="s">
        <v>92</v>
      </c>
    </row>
    <row r="5" spans="7:15" ht="12.75">
      <c r="G5" s="32">
        <v>1012731</v>
      </c>
      <c r="H5" s="32" t="s">
        <v>93</v>
      </c>
      <c r="M5" s="118" t="s">
        <v>94</v>
      </c>
      <c r="N5" s="119"/>
      <c r="O5" s="32" t="s">
        <v>95</v>
      </c>
    </row>
    <row r="6" spans="7:15" ht="12.75">
      <c r="G6" s="32">
        <v>1012732</v>
      </c>
      <c r="H6" s="32" t="s">
        <v>96</v>
      </c>
      <c r="M6" s="118" t="s">
        <v>97</v>
      </c>
      <c r="N6" s="119" t="s">
        <v>98</v>
      </c>
      <c r="O6" s="32" t="s">
        <v>99</v>
      </c>
    </row>
    <row r="7" spans="7:15" ht="12.75">
      <c r="G7" s="32">
        <v>1012733</v>
      </c>
      <c r="H7" s="32" t="s">
        <v>100</v>
      </c>
      <c r="M7" s="118" t="s">
        <v>101</v>
      </c>
      <c r="N7" s="119">
        <v>0</v>
      </c>
      <c r="O7" s="32" t="s">
        <v>102</v>
      </c>
    </row>
    <row r="8" spans="7:15" ht="12.75">
      <c r="G8" s="32">
        <v>1012735</v>
      </c>
      <c r="H8" s="32" t="s">
        <v>103</v>
      </c>
      <c r="O8" s="32" t="s">
        <v>104</v>
      </c>
    </row>
    <row r="9" spans="7:15" ht="12.75">
      <c r="G9" s="32">
        <v>1012736</v>
      </c>
      <c r="H9" s="32" t="s">
        <v>105</v>
      </c>
      <c r="O9" s="32" t="s">
        <v>106</v>
      </c>
    </row>
    <row r="10" spans="7:15" ht="12.75">
      <c r="G10" s="32">
        <v>1012737</v>
      </c>
      <c r="H10" s="32" t="s">
        <v>107</v>
      </c>
      <c r="O10" s="32" t="s">
        <v>108</v>
      </c>
    </row>
    <row r="11" spans="7:15" ht="12.75">
      <c r="G11" s="32">
        <v>1012741</v>
      </c>
      <c r="H11" s="32" t="s">
        <v>109</v>
      </c>
      <c r="O11" s="32" t="s">
        <v>110</v>
      </c>
    </row>
    <row r="12" spans="7:15" ht="12.75">
      <c r="G12" s="32">
        <v>1012742</v>
      </c>
      <c r="H12" s="32" t="s">
        <v>111</v>
      </c>
      <c r="O12" s="32" t="s">
        <v>112</v>
      </c>
    </row>
    <row r="13" spans="7:15" ht="12.75">
      <c r="G13" s="32">
        <v>1012743</v>
      </c>
      <c r="H13" s="32" t="s">
        <v>113</v>
      </c>
      <c r="O13" s="32" t="s">
        <v>114</v>
      </c>
    </row>
    <row r="14" spans="7:15" ht="12.75">
      <c r="G14" s="32">
        <v>1012744</v>
      </c>
      <c r="H14" s="32" t="s">
        <v>115</v>
      </c>
      <c r="O14" s="32" t="s">
        <v>116</v>
      </c>
    </row>
    <row r="15" ht="12.75">
      <c r="O15" s="32" t="s">
        <v>117</v>
      </c>
    </row>
    <row r="16" ht="12.75">
      <c r="O16" s="32" t="s">
        <v>118</v>
      </c>
    </row>
    <row r="17" ht="12.75">
      <c r="O17" s="32" t="s">
        <v>119</v>
      </c>
    </row>
    <row r="18" ht="12.75">
      <c r="O18" s="32" t="s">
        <v>120</v>
      </c>
    </row>
    <row r="19" ht="12.75">
      <c r="O19" s="32" t="s">
        <v>121</v>
      </c>
    </row>
    <row r="20" ht="12.75">
      <c r="O20" s="32" t="s">
        <v>122</v>
      </c>
    </row>
    <row r="21" ht="12.75">
      <c r="O21" s="32" t="s">
        <v>123</v>
      </c>
    </row>
    <row r="22" ht="12.75">
      <c r="O22" s="32" t="s">
        <v>124</v>
      </c>
    </row>
    <row r="23" ht="12.75">
      <c r="O23" s="32" t="s">
        <v>125</v>
      </c>
    </row>
    <row r="24" ht="12.75">
      <c r="O24" s="32" t="s">
        <v>126</v>
      </c>
    </row>
    <row r="25" ht="12.75">
      <c r="O25" s="32" t="s">
        <v>127</v>
      </c>
    </row>
    <row r="26" ht="12.75">
      <c r="O26" s="32" t="s">
        <v>128</v>
      </c>
    </row>
    <row r="27" ht="12.75">
      <c r="O27" s="32" t="s">
        <v>129</v>
      </c>
    </row>
    <row r="28" ht="12.75">
      <c r="O28" s="32" t="s">
        <v>130</v>
      </c>
    </row>
    <row r="29" ht="12.75">
      <c r="O29" s="32" t="s">
        <v>131</v>
      </c>
    </row>
    <row r="30" ht="12.75">
      <c r="O30" s="32" t="s">
        <v>132</v>
      </c>
    </row>
    <row r="31" ht="12.75">
      <c r="O31" s="32" t="s">
        <v>133</v>
      </c>
    </row>
    <row r="32" ht="12.75">
      <c r="O32" s="32" t="s">
        <v>134</v>
      </c>
    </row>
    <row r="33" ht="12.75">
      <c r="O33" s="32" t="s">
        <v>135</v>
      </c>
    </row>
    <row r="34" ht="12.75">
      <c r="O34" s="32" t="s">
        <v>136</v>
      </c>
    </row>
    <row r="35" ht="12.75">
      <c r="O35" s="32" t="s">
        <v>137</v>
      </c>
    </row>
    <row r="36" ht="12.75">
      <c r="O36" s="32" t="s">
        <v>138</v>
      </c>
    </row>
    <row r="37" ht="12.75">
      <c r="O37" s="32" t="s">
        <v>139</v>
      </c>
    </row>
    <row r="38" ht="12.75">
      <c r="O38" s="32" t="s">
        <v>140</v>
      </c>
    </row>
    <row r="39" ht="12.75">
      <c r="O39" s="32" t="s">
        <v>141</v>
      </c>
    </row>
    <row r="40" ht="12.75">
      <c r="O40" s="32" t="s">
        <v>142</v>
      </c>
    </row>
    <row r="41" ht="12.75">
      <c r="O41" s="32" t="s">
        <v>143</v>
      </c>
    </row>
    <row r="42" ht="12.75">
      <c r="O42" s="32" t="s">
        <v>144</v>
      </c>
    </row>
    <row r="43" ht="12.75">
      <c r="O43" s="32" t="s">
        <v>145</v>
      </c>
    </row>
    <row r="44" ht="12.75">
      <c r="O44" s="32" t="s">
        <v>146</v>
      </c>
    </row>
    <row r="45" ht="12.75">
      <c r="O45" s="32" t="s">
        <v>147</v>
      </c>
    </row>
    <row r="46" ht="12.75">
      <c r="O46" s="32" t="s">
        <v>148</v>
      </c>
    </row>
    <row r="47" ht="12.75">
      <c r="O47" s="32" t="s">
        <v>149</v>
      </c>
    </row>
    <row r="48" ht="12.75">
      <c r="O48" s="32" t="s">
        <v>150</v>
      </c>
    </row>
    <row r="49" ht="12.75">
      <c r="O49" s="32" t="s">
        <v>151</v>
      </c>
    </row>
    <row r="50" ht="12.75">
      <c r="O50" s="32" t="s">
        <v>152</v>
      </c>
    </row>
    <row r="51" ht="12.75">
      <c r="O51" s="32" t="s">
        <v>153</v>
      </c>
    </row>
    <row r="52" ht="12.75">
      <c r="O52" s="32" t="s">
        <v>154</v>
      </c>
    </row>
    <row r="53" ht="12.75">
      <c r="O53" s="32" t="s">
        <v>155</v>
      </c>
    </row>
    <row r="54" ht="12.75">
      <c r="O54" s="32" t="s">
        <v>156</v>
      </c>
    </row>
    <row r="55" ht="12.75">
      <c r="O55" s="32" t="s">
        <v>157</v>
      </c>
    </row>
    <row r="56" ht="12.75">
      <c r="O56" s="32" t="s">
        <v>158</v>
      </c>
    </row>
    <row r="57" ht="12.75">
      <c r="O57" s="32" t="s">
        <v>159</v>
      </c>
    </row>
    <row r="58" ht="12.75">
      <c r="O58" s="32" t="s">
        <v>160</v>
      </c>
    </row>
    <row r="59" ht="12.75">
      <c r="O59" s="32" t="s">
        <v>161</v>
      </c>
    </row>
    <row r="60" ht="12.75">
      <c r="O60" s="32" t="s">
        <v>162</v>
      </c>
    </row>
    <row r="61" ht="12.75">
      <c r="O61" s="32" t="s">
        <v>163</v>
      </c>
    </row>
    <row r="62" ht="12.75">
      <c r="O62" s="32" t="s">
        <v>164</v>
      </c>
    </row>
    <row r="63" ht="12.75">
      <c r="O63" s="32" t="s">
        <v>165</v>
      </c>
    </row>
    <row r="64" ht="12.75">
      <c r="O64" s="32" t="s">
        <v>166</v>
      </c>
    </row>
    <row r="65" ht="12.75">
      <c r="O65" s="32" t="s">
        <v>167</v>
      </c>
    </row>
    <row r="66" ht="12.75">
      <c r="O66" s="32" t="s">
        <v>168</v>
      </c>
    </row>
    <row r="67" ht="12.75">
      <c r="O67" s="32" t="s">
        <v>169</v>
      </c>
    </row>
    <row r="68" ht="12.75">
      <c r="O68" s="32" t="s">
        <v>170</v>
      </c>
    </row>
    <row r="69" ht="12.75">
      <c r="O69" s="32" t="s">
        <v>171</v>
      </c>
    </row>
    <row r="70" ht="12.75">
      <c r="O70" s="32" t="s">
        <v>172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admin</cp:lastModifiedBy>
  <dcterms:modified xsi:type="dcterms:W3CDTF">2020-01-06T04:13:50Z</dcterms:modified>
  <cp:category/>
  <cp:contentType/>
  <cp:contentStatus/>
</cp:coreProperties>
</file>