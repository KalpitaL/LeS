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7A2D7E96-6E34-419A-AE5F-296B3A7E7977}"/>
  <workbookPr codeName="ThisWorkbook" defaultThemeVersion="124226"/>
  <bookViews>
    <workbookView xWindow="65520" yWindow="7245" windowWidth="15570" windowHeight="5145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Quote!$A$126</definedName>
    <definedName name="Enquiry_To_Vendor_ID" comment="Enquiry to Vendor ID">Quote!$C$126</definedName>
    <definedName name="GrandTotal">Quote!$N$125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Quote!$A$118</definedName>
    <definedName name="ItemListStartupRow" comment="Item List Start Up Row">Quote!$A$19</definedName>
    <definedName name="ItemSubTotal">Quote!$N$124</definedName>
    <definedName name="ItemSubTotalTitle">Quote!$J$124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,Quote!$N$76:$N$76,Quote!$N$77:$N$77,Quote!$N$78:$N$78,Quote!$N$79:$N$79,Quote!$N$80:$N$80,Quote!$N$81:$N$81,Quote!$N$82:$N$82,Quote!$N$83:$N$83,Quote!$N$84:$N$84,Quote!$N$85:$N$85,Quote!$N$86:$N$86,Quote!$N$87:$N$87,Quote!$N$88:$N$88,Quote!$N$89:$N$89,Quote!$N$90:$N$90,Quote!$N$91:$N$91,Quote!$N$92:$N$92,Quote!$N$93:$N$93,Quote!$N$94:$N$94,Quote!$N$95:$N$95,Quote!$N$96:$N$96,Quote!$N$97:$N$97,Quote!$N$98:$N$98,Quote!$N$99:$N$99,Quote!$N$100:$N$100,Quote!$N$101:$N$101,Quote!$N$102:$N$102,Quote!$N$103:$N$103,Quote!$N$104:$N$104,Quote!$N$105:$N$105,Quote!$N$106:$N$106,Quote!$N$107:$N$107,Quote!$N$108:$N$108,Quote!$N$109:$N$109,Quote!$N$110:$N$110,Quote!$N$111:$N$111,Quote!$N$112:$N$112,Quote!$N$113:$N$113,Quote!$N$114:$N$114,Quote!$N$115:$N$115,Quote!$N$116:$N$116,Quote!$N$117:$N$117</definedName>
    <definedName name="LeadDay">Quote!$M$11</definedName>
    <definedName name="Lock">Quote!$M$126</definedName>
    <definedName name="LoggedInEmailID">Quote!$N$126</definedName>
    <definedName name="LoggedInPwd">Quote!$O$126</definedName>
    <definedName name="OtherCharges">Quote!$C$120</definedName>
    <definedName name="OtherChargesLastRow">Quote!$A$124</definedName>
    <definedName name="OtherChargesStartRow">Quote!$A$119</definedName>
    <definedName name="Port">Quote!$P$126</definedName>
    <definedName name="PortOfDelivery" comment="Port of Delivery">Quote!$M$9</definedName>
    <definedName name="_xlnm.Print_Area" localSheetId="0">Quote!$A$1:$R$145</definedName>
    <definedName name="PurchaserName">Quote!$J$126</definedName>
    <definedName name="QuoteBefore">Quote!$M$8</definedName>
    <definedName name="QuoteID">MasterData!$N$7</definedName>
    <definedName name="QuoteSubject">Quote!$E$126</definedName>
    <definedName name="Remarks">Quote!$E$128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Quote!$K$126</definedName>
    <definedName name="SentIndex">Quote!$L$126</definedName>
    <definedName name="Server">Quote!$Q$126</definedName>
    <definedName name="Terms">Quote!$A$132:$T$153</definedName>
    <definedName name="ToEmailID">Quote!$I$126</definedName>
    <definedName name="ToEmailPwd">Quote!$H$126</definedName>
    <definedName name="VAL">Quote!$F$126</definedName>
    <definedName name="VAT_All">Quote!$M$16</definedName>
    <definedName name="Vendor_ID" comment="Vendor ID">Quote!$B$126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Quote!$D$126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Quote!$E$129</definedName>
    <definedName name="VesselETA" comment="Vessel ETA">Quote!$M$10</definedName>
    <definedName name="VesselName" comment="Vessel Name">Quote!$M$4</definedName>
  </definedNames>
  <calcPr calcId="125725"/>
</workbook>
</file>

<file path=xl/calcChain.xml><?xml version="1.0" encoding="utf-8"?>
<calcChain xmlns="http://schemas.openxmlformats.org/spreadsheetml/2006/main">
  <c r="N123" i="1"/>
  <c r="N122"/>
  <c r="N121"/>
  <c r="N120"/>
  <c r="O117"/>
  <c r="N117"/>
  <c r="O116"/>
  <c r="N116"/>
  <c r="O115"/>
  <c r="N115"/>
  <c r="O114"/>
  <c r="N114"/>
  <c r="O113"/>
  <c r="N113"/>
  <c r="O112"/>
  <c r="N112"/>
  <c r="O111"/>
  <c r="N111"/>
  <c r="O110"/>
  <c r="N110"/>
  <c r="O109"/>
  <c r="N109"/>
  <c r="O108"/>
  <c r="N108"/>
  <c r="O107"/>
  <c r="N107"/>
  <c r="O106"/>
  <c r="N106"/>
  <c r="O105"/>
  <c r="N105"/>
  <c r="O104"/>
  <c r="N104"/>
  <c r="O103"/>
  <c r="N103"/>
  <c r="O102"/>
  <c r="N102"/>
  <c r="O101"/>
  <c r="N101"/>
  <c r="O100"/>
  <c r="N100"/>
  <c r="O99"/>
  <c r="N99"/>
  <c r="O98"/>
  <c r="N98"/>
  <c r="O97"/>
  <c r="N97"/>
  <c r="O96"/>
  <c r="N96"/>
  <c r="O95"/>
  <c r="N95"/>
  <c r="O94"/>
  <c r="N94"/>
  <c r="O93"/>
  <c r="N93"/>
  <c r="O92"/>
  <c r="N92"/>
  <c r="O91"/>
  <c r="N91"/>
  <c r="O90"/>
  <c r="N90"/>
  <c r="O89"/>
  <c r="N89"/>
  <c r="O88"/>
  <c r="N88"/>
  <c r="O87"/>
  <c r="N87"/>
  <c r="O86"/>
  <c r="N86"/>
  <c r="O85"/>
  <c r="N85"/>
  <c r="O84"/>
  <c r="N84"/>
  <c r="O83"/>
  <c r="N83"/>
  <c r="O82"/>
  <c r="N82"/>
  <c r="O81"/>
  <c r="N81"/>
  <c r="O80"/>
  <c r="N80"/>
  <c r="O79"/>
  <c r="N79"/>
  <c r="O78"/>
  <c r="N78"/>
  <c r="O77"/>
  <c r="N77"/>
  <c r="O76"/>
  <c r="N76"/>
  <c r="O75"/>
  <c r="N75"/>
  <c r="O74"/>
  <c r="N74"/>
  <c r="O73"/>
  <c r="N73"/>
  <c r="O72"/>
  <c r="N72"/>
  <c r="O71"/>
  <c r="N71"/>
  <c r="O70"/>
  <c r="N70"/>
  <c r="O69"/>
  <c r="N69"/>
  <c r="O68"/>
  <c r="N68"/>
  <c r="O67"/>
  <c r="N67"/>
  <c r="O66"/>
  <c r="N66"/>
  <c r="O65"/>
  <c r="N65"/>
  <c r="O64"/>
  <c r="N64"/>
  <c r="O63"/>
  <c r="N63"/>
  <c r="O62"/>
  <c r="N62"/>
  <c r="O61"/>
  <c r="N61"/>
  <c r="O60"/>
  <c r="N60"/>
  <c r="O59"/>
  <c r="N59"/>
  <c r="O58"/>
  <c r="N58"/>
  <c r="O57"/>
  <c r="N57"/>
  <c r="O56"/>
  <c r="N56"/>
  <c r="O55"/>
  <c r="N55"/>
  <c r="O54"/>
  <c r="N54"/>
  <c r="O53"/>
  <c r="N53"/>
  <c r="O52"/>
  <c r="N52"/>
  <c r="O51"/>
  <c r="N51"/>
  <c r="O50"/>
  <c r="N50"/>
  <c r="O49"/>
  <c r="N49"/>
  <c r="O48"/>
  <c r="N48"/>
  <c r="O47"/>
  <c r="N47"/>
  <c r="O46"/>
  <c r="N46"/>
  <c r="O45"/>
  <c r="N45"/>
  <c r="O44"/>
  <c r="N44"/>
  <c r="O43"/>
  <c r="N43"/>
  <c r="O42"/>
  <c r="N42"/>
  <c r="O41"/>
  <c r="N41"/>
  <c r="O40"/>
  <c r="N40"/>
  <c r="O39"/>
  <c r="N39"/>
  <c r="O38"/>
  <c r="N38"/>
  <c r="O37"/>
  <c r="N37"/>
  <c r="O36"/>
  <c r="N36"/>
  <c r="O35"/>
  <c r="N35"/>
  <c r="O34"/>
  <c r="N34"/>
  <c r="O33"/>
  <c r="N33"/>
  <c r="O32"/>
  <c r="N32"/>
  <c r="O31"/>
  <c r="N31"/>
  <c r="O30"/>
  <c r="N30"/>
  <c r="O29"/>
  <c r="N29"/>
  <c r="O28"/>
  <c r="N28"/>
  <c r="O27"/>
  <c r="N27"/>
  <c r="O26"/>
  <c r="N26"/>
  <c r="O25"/>
  <c r="N25"/>
  <c r="O24"/>
  <c r="N24"/>
  <c r="O23"/>
  <c r="N23"/>
  <c r="O22"/>
  <c r="N22"/>
  <c r="O21"/>
  <c r="N21"/>
  <c r="O20"/>
  <c r="N20"/>
  <c r="N124" s="1"/>
  <c r="J19"/>
  <c r="N125" l="1"/>
</calcChain>
</file>

<file path=xl/sharedStrings.xml><?xml version="1.0" encoding="utf-8"?>
<sst xmlns="http://schemas.openxmlformats.org/spreadsheetml/2006/main" count="410" uniqueCount="289">
  <si>
    <t>RFQ</t>
  </si>
  <si>
    <t>Request for Quote</t>
  </si>
  <si>
    <t>Invoice To</t>
  </si>
  <si>
    <t xml:space="preserve">Bernhard Schulte Shipmanagement (Deutschland) GmbH &amp; Co. KG
Bomar Haydn LLC
c/o Bernhard Schulte Shipmanagement (Deutschland) GmbH &amp; Co. KG 
Vorsetzen 54  
20459 Hamburg 
Germany
PLEASE SEND YOUR INVOICE ELECTRONICALLY TO FOLLOWING EMAIL ADDRESS
============================================================
de-smc-invoices@bs-shipmanagement.com
</t>
  </si>
  <si>
    <t>Vessel</t>
  </si>
  <si>
    <t>Haydn</t>
  </si>
  <si>
    <t>RFQ No.</t>
  </si>
  <si>
    <t>HYN/O0006/RF20</t>
  </si>
  <si>
    <t>RFQ Date</t>
  </si>
  <si>
    <t>Submit Quote Before:</t>
  </si>
  <si>
    <t>Port of Delivery</t>
  </si>
  <si>
    <t>Shanghai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</si>
  <si>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</si>
  <si>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</si>
  <si>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</si>
  <si>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</si>
  <si>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</si>
  <si>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</si>
  <si>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</si>
  <si>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</si>
  <si>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</si>
  <si>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</si>
  <si>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</si>
  <si>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</si>
  <si>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</si>
  <si>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</si>
  <si>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</si>
  <si>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</si>
  <si>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</si>
  <si>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</si>
  <si>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</si>
  <si>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</si>
  <si>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</si>
  <si>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</si>
  <si>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</si>
  <si>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</si>
  <si>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</si>
  <si>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</si>
  <si>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</si>
  <si>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</si>
  <si>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LUBRICANT WD-40 SPRAY 360ML</t>
  </si>
  <si>
    <t>TIN</t>
  </si>
  <si>
    <t>PADLOCK BRASS 50MM WITH 2KEYS</t>
  </si>
  <si>
    <t>PCS</t>
  </si>
  <si>
    <t>BRUSH PAINT ROUND 50MM DIAM</t>
  </si>
  <si>
    <t>REPLACEABLE HEAD FOR YACHT MOP</t>
  </si>
  <si>
    <t>BROOM CORN LONG HANDLED</t>
  </si>
  <si>
    <t>CUTTER TUBING QUICK ACTING, RIDGID #151 6-42MM CAPACITY</t>
  </si>
  <si>
    <t>SPARE CARTRIDGE FOR GAS TORCH</t>
  </si>
  <si>
    <t>SAW HAND WESTERN TYPE 500MM</t>
  </si>
  <si>
    <t>OIL SYRINGE BRASS 200 CC</t>
  </si>
  <si>
    <t>DRILL H.S.S. STRAIGHT SHANK, TWIST 4.0MM</t>
  </si>
  <si>
    <t>DRILL H.S.S. STRAIGHT SHANK, TWIST 5.0MM</t>
  </si>
  <si>
    <t>JIG SAW ELECTRIC 60MM AC220V 1-PHASE</t>
  </si>
  <si>
    <t>SET</t>
  </si>
  <si>
    <t>SPARE BLADE #1 WOOD, FOR ELEC. JIGSAW 5PCS/PKT</t>
  </si>
  <si>
    <t>PKT</t>
  </si>
  <si>
    <t>SPARE BLADE #2 WOOD/PLASTIC, H. RUBBER FOR ELEC. JIGSAW 5'S</t>
  </si>
  <si>
    <t>HEX HEAD BOLT/NUT STEEL UNGALV, M8 X 20MM</t>
  </si>
  <si>
    <t>BRUSH WIRE CUP OD50MM, WITH 6MM ARBOR</t>
  </si>
  <si>
    <t>WRENCH OPEN &amp; 12-POINT BOX, 17MM</t>
  </si>
  <si>
    <t>WRENCH OPEN &amp; 12-POINT BOX, 19MM</t>
  </si>
  <si>
    <t>WRENCH OPEN &amp; 12-POINT BOX, 13MM</t>
  </si>
  <si>
    <t>JOINT SHEET EXPANDED GRAPHITE, NOVAPHIT SSTC 2.0X1000X1000MM</t>
  </si>
  <si>
    <t>WENCON PIPE TAPE QUICK CURE, #1045 5X150CM 5UNIT/SET</t>
  </si>
  <si>
    <t>TAPE SEAL TEFLON, 0.1X13MMX5MTR</t>
  </si>
  <si>
    <t>GLUE GENERAL PURPOSE 150GRM</t>
  </si>
  <si>
    <t>TUB</t>
  </si>
  <si>
    <t>AIR FILTER 10X1600MM</t>
  </si>
  <si>
    <t>MTR</t>
  </si>
  <si>
    <t>RAG PAPER ROLL A-TORK 2PLY, 290MMX240MTR 4ROLLS/BOX</t>
  </si>
  <si>
    <t>BOX</t>
  </si>
  <si>
    <t>PLASTIC BAG TRANSPARENT, 250X350MM 50'S</t>
  </si>
  <si>
    <t>RAG COTTON 100% STERILIZED, WHITE</t>
  </si>
  <si>
    <t>KGS</t>
  </si>
  <si>
    <t>BALL VALVE DIN FORGED BRASS, FULL BORE SCREWED #1607 1/4"</t>
  </si>
  <si>
    <t>BALL VALVE DIN FORGED BRASS, FULL BORE SCREWED #1607 1/2"</t>
  </si>
  <si>
    <t>VACUUM CLEANER PNEUMATIC BLOBAC CLEANER" MODEL V-300</t>
  </si>
  <si>
    <t>KERGER 342322</t>
  </si>
  <si>
    <t>BOX/100 RINGTERM 1,0-2,6   M8</t>
  </si>
  <si>
    <t>KERGER 342330</t>
  </si>
  <si>
    <t>BOX/50 RINGTERM 2,7-6,6   M6</t>
  </si>
  <si>
    <t>KERGER 682320</t>
  </si>
  <si>
    <t>DESK LAMP E27</t>
  </si>
  <si>
    <t>KERGER 682302</t>
  </si>
  <si>
    <t>ELBOW-HINGE LUMINAIRES E27
LAMPHOLDER, DESK MOUNTING</t>
  </si>
  <si>
    <t>KERGER 383578</t>
  </si>
  <si>
    <t>FLUSH MOUNTING TUMBLER SWITCH
DP 10AMP ON-OFF</t>
  </si>
  <si>
    <t>KERGER 382128</t>
  </si>
  <si>
    <t>SURFACE MOUNTING SWITCH
TWO-CIRCUIT</t>
  </si>
  <si>
    <t>KERGER 365414</t>
  </si>
  <si>
    <t>LONG NOSE PLIERS BENT 200MM
INSULATED</t>
  </si>
  <si>
    <t>KERGER 342318</t>
  </si>
  <si>
    <t>BOX/100 RINGTERM 1,0-2,6  M5</t>
  </si>
  <si>
    <t>KERGER 123244</t>
  </si>
  <si>
    <t>LAMPHOLDER W/0 STARTERH. R78</t>
  </si>
  <si>
    <t>KERGER 202187</t>
  </si>
  <si>
    <t>RECHARGEABLE FLASHLIGHT LED 5W
WITH LITHIUM BATTERY AND CHARGER 
110/240VAC</t>
  </si>
  <si>
    <t>KERGER 108457</t>
  </si>
  <si>
    <t>HALOGENLAMP 230V 230W R7S 118MM</t>
  </si>
  <si>
    <t>KERGER 122323</t>
  </si>
  <si>
    <t>LED GLS 9,5W E27 230V WW 810LM
OPAL 60 X 115MM</t>
  </si>
  <si>
    <t>KERGER 386564</t>
  </si>
  <si>
    <t>TABLE RECEPTACLE 4-WAY 2-P
WITH 3 MTRS CABLE</t>
  </si>
  <si>
    <t>TAPE PVC INSULATION 19MMX20MTR (BLACK)</t>
  </si>
  <si>
    <t>SPL</t>
  </si>
  <si>
    <t>CABLE BAND PLASTIC 100MM</t>
  </si>
  <si>
    <t>CABLE BAND PLASTIC 200MM</t>
  </si>
  <si>
    <t>CABLE BAND PLASTIC 300MM</t>
  </si>
  <si>
    <t>BATTERY ALKALINE LR6(AM-3), 1.5V</t>
  </si>
  <si>
    <t>BATTERY ALKALINE LR03(AM-4), 1.5V</t>
  </si>
  <si>
    <t>BATTERY DRY LANTERN 6V, SPRING TYPE</t>
  </si>
  <si>
    <t>LAMP PILOT TUBULAR CLEAR BA-9S, 28V 1W 10X28MM</t>
  </si>
  <si>
    <t>INTERIOR FOR 3PIN RECEPTACLE HNA-TYPE</t>
  </si>
  <si>
    <t>INTERIOR FOR 3PIN PLUG, HNA-TYPE</t>
  </si>
  <si>
    <t>PLUG WATERTIGHT 3PIN TYPE HNA, SYNTHETIC RESIN</t>
  </si>
  <si>
    <t>SWITCH SNAP TYPE 125V 5A, 2-POLE 2-THROW</t>
  </si>
  <si>
    <t>LAMP HOLDER PORCELAIN TUBULAR TE-39</t>
  </si>
  <si>
    <t>FUSE GLASS TUBE TYPE 250V, 4AMP DIA6.35XL30MM</t>
  </si>
  <si>
    <t>CABLE SHOE CLAMPING TYPE R-TG, NOMINAL SIZE 2.0-5</t>
  </si>
  <si>
    <t>PLIER SNIPE NOSE BAHCO, #2427G-200 190MM</t>
  </si>
  <si>
    <t>PRS</t>
  </si>
  <si>
    <t>LAMP HALOGEN TUNGSTEN R7S CAP BASE 220V 500W</t>
  </si>
  <si>
    <t>STARTER FOR FL LAMP FG-1P</t>
  </si>
  <si>
    <t>STARTER FOR FL LAMP FG-4P</t>
  </si>
  <si>
    <t>LAMP HALOGEN TUBULAR SHAPE E-39 SCREW BASE 230V 500W</t>
  </si>
  <si>
    <t>LAMP FLUORESCENT COOL WHITE FL-40SS/37 37W 28X1198MM</t>
  </si>
  <si>
    <t>PLUG ADAPTOR 2-FLAT PIN PLUG &amp; 2-ROUND PIN RECEPTACLE</t>
  </si>
  <si>
    <t>STUD WHOLE THREADED STEEL M8 X PITCH1.25 1000MM</t>
  </si>
  <si>
    <t>STUD WHOLE THREADED STEEL M10 X PITCH1.5 1000MM</t>
  </si>
  <si>
    <t>STUD WHOLE THREADED STEEL M12 X PITCH1.75 1000MM</t>
  </si>
  <si>
    <t>STUD WHOLE THREADED STEEL M16 X PITCH2.0 1000MM</t>
  </si>
  <si>
    <t>STUD WHOLE THREADED STEEL, M20 X PITCH2.5 1000MM</t>
  </si>
  <si>
    <t>SILICONE GASKET 300CC</t>
  </si>
  <si>
    <t>HOSE BAND GALVD STEEL, 15-24MM</t>
  </si>
  <si>
    <t>HOSE BAND GALVD STEEL,  22-32MM</t>
  </si>
  <si>
    <t>HOSE BAND GALVD STEEL,  32-44MM</t>
  </si>
  <si>
    <t>HOSE BAND GALVD STEEL, 46-56MM</t>
  </si>
  <si>
    <t>HOSE BAND GALVD STEEL, 58-75MM</t>
  </si>
  <si>
    <t>HOIST CHAIN SPUR-GEAR 1TON, 2.5MTR (cert!)</t>
  </si>
  <si>
    <t>HOIST CHAIN SPUR-GEAR 2TON, 3MTR (cert!)</t>
  </si>
  <si>
    <t>STEP DRILL #ST-1 4-12MM</t>
  </si>
  <si>
    <t>WRENCH STRAP RIDGID #5, STRAP-WIDTH 1-3/4"</t>
  </si>
  <si>
    <t>WHEEL MOUNTED SHAPE-A26, 16X16X40MM SHAFT DIAM 6MM</t>
  </si>
  <si>
    <t>WHEEL MOUNTED SHAPE-W, 16X25X40MM SHAFT DIAM 6MM</t>
  </si>
  <si>
    <t>BRUSH WIRE WHEEL OD50MM, WITH 6MM ARBOR</t>
  </si>
  <si>
    <t>WRENCH ADJUSTABLE HEAVY-DUTY, 450MM</t>
  </si>
  <si>
    <t>HAMMER BLACKSMITH DOUBLE FACE, WITH HANDLE NO.6 (2.7KGS)</t>
  </si>
  <si>
    <t>PLIER STOP RING STRAIGHT, INTERNAL 19-65MM</t>
  </si>
  <si>
    <t>Gloves working cotton ordinary gloves</t>
  </si>
  <si>
    <t>DOZ</t>
  </si>
  <si>
    <t>EMERY TAPE ABRASIVE, 50MMX36.5MTR GRIT #80</t>
  </si>
  <si>
    <t>LGH</t>
  </si>
  <si>
    <t>SCF-S-TOO1215</t>
  </si>
  <si>
    <t>EMERY TAPE ABRASIVE, 50MMX36.5MTR GRIT #120</t>
  </si>
  <si>
    <t>RLS</t>
  </si>
  <si>
    <t>EMERY TAPE ABRASIVE, 50MMX36.5MTR GRIT #320</t>
  </si>
  <si>
    <t>ENGINE CLEANING GUN KINKI K-65 FOR TIP ID 1.4MM W/1.5MTR HOSE</t>
  </si>
  <si>
    <t>CRC 2-26 ELECTRICAL INDUSTRY FORMULA 16OZ</t>
  </si>
  <si>
    <t>DIAL GAUGE STAND MAGNETIC BASE,UNIVERSAL</t>
  </si>
  <si>
    <t>AIR DUSTER KINKI K-601-1 NOZZLE DIA 2MMXL100MM</t>
  </si>
  <si>
    <t>SLING NYLON BELT TYPE WITH, FURTHER DETAIL (with Certificate)</t>
  </si>
  <si>
    <t>WxL: 50mm x 3 mtr - 2pcs; 50mm x 1mtr - 2pcs</t>
  </si>
  <si>
    <t>SHACKLE BOW EYE BOLT GALV, JIS-M-BC 18MM SWL 2.0TON</t>
  </si>
  <si>
    <t>SHACKLE STRAIGHT EYE BOLT, GALV JIS-M-SD 22MM SWL 2.0TON</t>
  </si>
  <si>
    <t>SHAKLE BOW EYE BOLT GALV, JIS-BC 14MM SWL 1.2TON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</si>
  <si>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</si>
  <si>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</si>
  <si>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</si>
  <si>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</si>
  <si>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</si>
  <si>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</si>
  <si>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</si>
  <si>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</si>
  <si>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</si>
  <si>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</si>
  <si>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</si>
  <si>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</si>
  <si>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</si>
  <si>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</si>
  <si>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</si>
  <si>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</si>
  <si>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</si>
  <si>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</si>
  <si>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</si>
  <si>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</si>
  <si>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</si>
  <si>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</si>
  <si>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</si>
  <si>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</si>
  <si>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</si>
  <si>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</si>
  <si>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</si>
  <si>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</si>
  <si>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</si>
  <si>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</si>
  <si>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</si>
  <si>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</si>
  <si>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</si>
  <si>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</si>
  <si>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</si>
  <si>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</si>
  <si>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</si>
  <si>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</si>
  <si>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</si>
  <si>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</si>
  <si>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</si>
  <si>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</si>
  <si>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</si>
  <si>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</si>
  <si>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</si>
  <si>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</si>
  <si>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</si>
  <si>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</si>
  <si>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</si>
  <si>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</si>
  <si>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</si>
  <si>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</si>
  <si>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</si>
  <si>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</si>
  <si>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</si>
  <si>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</si>
  <si>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</si>
  <si>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</si>
  <si>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</si>
  <si>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</si>
  <si>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</si>
  <si>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</si>
  <si>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</si>
  <si>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</si>
  <si>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</si>
  <si>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</si>
  <si>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</si>
  <si>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</si>
  <si>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</si>
  <si>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</si>
  <si>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</si>
  <si>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</si>
  <si>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</si>
  <si>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</si>
  <si>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</si>
  <si>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</si>
  <si>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</si>
  <si>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</si>
  <si>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</si>
  <si>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</si>
  <si>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</si>
  <si>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</si>
  <si>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</si>
  <si>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</si>
  <si>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</si>
  <si>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</si>
  <si>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</si>
  <si>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</si>
  <si>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</si>
  <si>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</si>
  <si>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</si>
  <si>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</si>
  <si>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</si>
  <si>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</si>
  <si>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</si>
  <si>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</si>
  <si>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</si>
  <si>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</si>
  <si>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</si>
  <si>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</si>
  <si>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</si>
  <si>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</si>
  <si>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BJD200113225131LET</t>
  </si>
  <si>
    <t>HAOSHUN</t>
  </si>
  <si>
    <t>KENPO 220V 60MM 550W 50/60HZ</t>
  </si>
  <si>
    <t>5PCS/PKT</t>
  </si>
  <si>
    <t>BOSCH 5PCS/PKT</t>
  </si>
  <si>
    <t>HOLDENBOND</t>
  </si>
  <si>
    <t>20MTR/ROLL,NO CUT</t>
  </si>
  <si>
    <t>25KG/PKT 90%-COTTON,NO LOOSE</t>
  </si>
  <si>
    <t>EQUIVALENT</t>
  </si>
  <si>
    <t>SAME AS ABV</t>
  </si>
  <si>
    <t>NOT AVAILABLE</t>
  </si>
  <si>
    <t>SMOOTH SEA</t>
  </si>
  <si>
    <t>220V 300W R7S 10*118MM</t>
  </si>
  <si>
    <t>3U</t>
  </si>
  <si>
    <t>RECEPTACLE 8WAYS EUROPEAN PLUG 2 ROUND PINS WITH 3MTR CORD</t>
  </si>
  <si>
    <t>19MM*10M</t>
  </si>
  <si>
    <t>MILL CERT</t>
  </si>
  <si>
    <t>CRC</t>
  </si>
  <si>
    <t>D2MM*L300MM</t>
  </si>
  <si>
    <t>2T 50MM*1M
95.10 2T 50MM*3M | Price-5.74</t>
  </si>
  <si>
    <t xml:space="preserve">
Date promised : 2020-01-18
Quote validity : 2020-02-14
Item Added - 95.10 : SLING NYLON BELT TYPE WITH, FURTHER DETAIL (with Certificate) | Ref.No.:232191 | QTY : 2 | UOM : PCS | Price : 5.74 USD | Remarks : 2T 50MM*3M
 Item Total : 1373.08</t>
  </si>
</sst>
</file>

<file path=xl/styles.xml><?xml version="1.0" encoding="utf-8"?>
<styleSheet xmlns="http://schemas.openxmlformats.org/spreadsheetml/2006/main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5422223578601"/>
      <name val="Calibri"/>
      <family val="2"/>
      <scheme val="minor"/>
    </font>
    <font>
      <b/>
      <sz val="10"/>
      <color theme="3" tint="-0.49995422223578601"/>
      <name val="Calibri"/>
      <family val="2"/>
      <scheme val="minor"/>
    </font>
    <font>
      <sz val="8"/>
      <color theme="3" tint="-0.49995422223578601"/>
      <name val="Calibri"/>
      <family val="2"/>
      <scheme val="minor"/>
    </font>
    <font>
      <b/>
      <sz val="9"/>
      <color theme="3" tint="-0.49995422223578601"/>
      <name val="Calibri"/>
      <family val="2"/>
      <scheme val="minor"/>
    </font>
    <font>
      <sz val="10"/>
      <color theme="3" tint="-0.49995422223578601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542222357860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  <font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32859279152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54222235786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  <diagonal/>
    </border>
    <border>
      <left style="thin">
        <color indexed="41"/>
      </left>
      <right/>
      <top style="thin">
        <color indexed="41"/>
      </top>
      <bottom style="thin">
        <color indexed="41"/>
      </bottom>
      <diagonal/>
    </border>
    <border>
      <left style="thin">
        <color indexed="41"/>
      </left>
      <right style="thin">
        <color indexed="41"/>
      </right>
      <top/>
      <bottom style="thin">
        <color indexed="4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4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medium">
        <color theme="4" tint="0.39997558519241921"/>
      </top>
      <bottom/>
      <diagonal/>
    </border>
    <border>
      <left/>
      <right/>
      <top style="medium">
        <color theme="4" tint="0.39994506668294322"/>
      </top>
      <bottom style="medium">
        <color theme="4" tint="0.399975585192419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7F7F7F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indexed="44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theme="4"/>
      </top>
      <bottom/>
      <diagonal/>
    </border>
    <border>
      <left/>
      <right/>
      <top/>
      <bottom style="medium">
        <color theme="4" tint="0.399945066682943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thin">
        <color indexed="44"/>
      </right>
      <top/>
      <bottom/>
      <diagonal/>
    </border>
  </borders>
  <cellStyleXfs count="47">
    <xf numFmtId="0" fontId="0" fillId="0" borderId="0"/>
    <xf numFmtId="9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2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1" fontId="42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1" fillId="3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4" applyNumberFormat="0" applyFill="0" applyAlignment="0" applyProtection="0"/>
    <xf numFmtId="0" fontId="3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2" borderId="5" applyNumberFormat="0" applyAlignment="0" applyProtection="0"/>
    <xf numFmtId="0" fontId="34" fillId="0" borderId="6" applyNumberFormat="0" applyFill="0" applyAlignment="0" applyProtection="0"/>
    <xf numFmtId="0" fontId="35" fillId="8" borderId="7" applyNumberFormat="0" applyAlignment="0" applyProtection="0"/>
    <xf numFmtId="0" fontId="36" fillId="0" borderId="0" applyNumberFormat="0" applyFill="0" applyBorder="0" applyAlignment="0" applyProtection="0"/>
    <xf numFmtId="0" fontId="42" fillId="9" borderId="8" applyNumberFormat="0" applyFont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0" borderId="0" applyNumberFormat="0" applyBorder="0" applyAlignment="0" applyProtection="0"/>
    <xf numFmtId="0" fontId="1" fillId="11" borderId="0" applyNumberFormat="0" applyBorder="0" applyAlignment="0" applyProtection="0"/>
    <xf numFmtId="0" fontId="39" fillId="12" borderId="0" applyNumberFormat="0" applyBorder="0" applyAlignment="0" applyProtection="0"/>
    <xf numFmtId="0" fontId="3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9" fillId="32" borderId="0" applyNumberFormat="0" applyBorder="0" applyAlignment="0" applyProtection="0"/>
  </cellStyleXfs>
  <cellXfs count="157">
    <xf numFmtId="0" fontId="0" fillId="0" borderId="0" xfId="0"/>
    <xf numFmtId="0" fontId="22" fillId="0" borderId="19" xfId="0" applyNumberFormat="1" applyFont="1" applyFill="1" applyBorder="1" applyAlignment="1" applyProtection="1">
      <alignment horizontal="left"/>
    </xf>
    <xf numFmtId="0" fontId="22" fillId="0" borderId="20" xfId="0" applyNumberFormat="1" applyFont="1" applyFill="1" applyBorder="1" applyAlignment="1" applyProtection="1">
      <alignment horizontal="left"/>
    </xf>
    <xf numFmtId="0" fontId="17" fillId="35" borderId="19" xfId="0" applyNumberFormat="1" applyFont="1" applyFill="1" applyBorder="1" applyAlignment="1" applyProtection="1">
      <alignment horizontal="left" wrapText="1"/>
    </xf>
    <xf numFmtId="0" fontId="17" fillId="35" borderId="20" xfId="0" applyNumberFormat="1" applyFont="1" applyFill="1" applyBorder="1" applyAlignment="1" applyProtection="1">
      <alignment horizontal="left" wrapText="1"/>
    </xf>
    <xf numFmtId="0" fontId="19" fillId="33" borderId="0" xfId="0" applyNumberFormat="1" applyFont="1" applyFill="1" applyAlignment="1" applyProtection="1">
      <alignment horizontal="left"/>
    </xf>
    <xf numFmtId="165" fontId="14" fillId="35" borderId="31" xfId="0" applyNumberFormat="1" applyFont="1" applyFill="1" applyBorder="1" applyAlignment="1" applyProtection="1">
      <alignment horizontal="left" vertical="center" wrapText="1"/>
    </xf>
    <xf numFmtId="165" fontId="14" fillId="35" borderId="0" xfId="0" applyNumberFormat="1" applyFont="1" applyFill="1" applyAlignment="1" applyProtection="1">
      <alignment horizontal="left" vertical="center" wrapText="1"/>
    </xf>
    <xf numFmtId="1" fontId="16" fillId="34" borderId="0" xfId="0" applyNumberFormat="1" applyFont="1" applyFill="1" applyAlignment="1" applyProtection="1">
      <alignment horizontal="left" vertical="top" wrapText="1"/>
    </xf>
    <xf numFmtId="1" fontId="14" fillId="34" borderId="0" xfId="0" applyNumberFormat="1" applyFont="1" applyFill="1" applyAlignment="1" applyProtection="1">
      <alignment horizontal="left" vertical="top" wrapText="1"/>
    </xf>
    <xf numFmtId="165" fontId="15" fillId="35" borderId="0" xfId="0" applyNumberFormat="1" applyFont="1" applyFill="1" applyAlignment="1" applyProtection="1">
      <alignment horizontal="left" wrapText="1"/>
    </xf>
    <xf numFmtId="1" fontId="18" fillId="3" borderId="0" xfId="0" applyNumberFormat="1" applyFont="1" applyFill="1" applyAlignment="1" applyProtection="1">
      <alignment horizontal="left" vertical="center" wrapText="1"/>
      <protection locked="0"/>
    </xf>
    <xf numFmtId="1" fontId="18" fillId="3" borderId="15" xfId="0" applyNumberFormat="1" applyFont="1" applyFill="1" applyBorder="1" applyAlignment="1" applyProtection="1">
      <alignment horizontal="left" vertical="center" wrapText="1"/>
      <protection locked="0"/>
    </xf>
    <xf numFmtId="1" fontId="16" fillId="34" borderId="0" xfId="0" applyNumberFormat="1" applyFont="1" applyFill="1" applyAlignment="1" applyProtection="1">
      <alignment horizontal="left" vertical="center" wrapText="1"/>
    </xf>
    <xf numFmtId="1" fontId="16" fillId="34" borderId="15" xfId="0" applyNumberFormat="1" applyFont="1" applyFill="1" applyBorder="1" applyAlignment="1" applyProtection="1">
      <alignment horizontal="left" vertical="center" wrapText="1"/>
    </xf>
    <xf numFmtId="1" fontId="5" fillId="0" borderId="13" xfId="0" applyNumberFormat="1" applyFont="1" applyFill="1" applyBorder="1" applyAlignment="1">
      <alignment horizontal="right" vertical="center"/>
    </xf>
    <xf numFmtId="0" fontId="14" fillId="0" borderId="20" xfId="0" applyNumberFormat="1" applyFont="1" applyFill="1" applyBorder="1" applyAlignment="1" applyProtection="1">
      <alignment vertical="center"/>
    </xf>
    <xf numFmtId="0" fontId="14" fillId="0" borderId="19" xfId="0" applyNumberFormat="1" applyFon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/>
    </xf>
    <xf numFmtId="0" fontId="7" fillId="0" borderId="0" xfId="0" applyNumberFormat="1" applyFont="1" applyFill="1" applyAlignment="1" applyProtection="1">
      <alignment horizontal="left"/>
    </xf>
    <xf numFmtId="0" fontId="13" fillId="33" borderId="0" xfId="0" applyNumberFormat="1" applyFont="1" applyFill="1" applyAlignment="1" applyProtection="1">
      <alignment horizontal="left" vertical="top"/>
    </xf>
    <xf numFmtId="0" fontId="5" fillId="33" borderId="0" xfId="0" applyNumberFormat="1" applyFont="1" applyFill="1" applyAlignment="1" applyProtection="1">
      <alignment horizontal="left" vertical="top"/>
    </xf>
    <xf numFmtId="0" fontId="13" fillId="33" borderId="0" xfId="0" applyNumberFormat="1" applyFont="1" applyFill="1" applyAlignment="1" applyProtection="1">
      <alignment horizontal="left"/>
    </xf>
    <xf numFmtId="0" fontId="13" fillId="0" borderId="0" xfId="0" applyNumberFormat="1" applyFont="1" applyFill="1" applyAlignment="1" applyProtection="1">
      <alignment horizontal="left"/>
    </xf>
    <xf numFmtId="4" fontId="26" fillId="3" borderId="17" xfId="0" applyNumberFormat="1" applyFont="1" applyFill="1" applyBorder="1" applyAlignment="1" applyProtection="1">
      <alignment horizontal="right"/>
      <protection locked="0"/>
    </xf>
    <xf numFmtId="0" fontId="13" fillId="0" borderId="0" xfId="0" applyNumberFormat="1" applyFont="1" applyFill="1" applyAlignment="1" applyProtection="1">
      <alignment horizontal="right"/>
    </xf>
    <xf numFmtId="0" fontId="9" fillId="0" borderId="0" xfId="0" applyNumberFormat="1" applyFont="1" applyFill="1" applyAlignment="1" applyProtection="1">
      <alignment horizontal="left"/>
      <protection locked="0"/>
    </xf>
    <xf numFmtId="167" fontId="13" fillId="33" borderId="0" xfId="0" applyNumberFormat="1" applyFont="1" applyFill="1" applyAlignment="1" applyProtection="1">
      <alignment horizontal="left" vertical="top"/>
    </xf>
    <xf numFmtId="0" fontId="6" fillId="33" borderId="0" xfId="0" applyNumberFormat="1" applyFont="1" applyFill="1" applyAlignment="1" applyProtection="1">
      <alignment horizontal="left" indent="1"/>
    </xf>
    <xf numFmtId="0" fontId="8" fillId="33" borderId="0" xfId="0" applyNumberFormat="1" applyFont="1" applyFill="1" applyAlignment="1" applyProtection="1">
      <alignment horizontal="left"/>
    </xf>
    <xf numFmtId="0" fontId="19" fillId="33" borderId="0" xfId="0" applyNumberFormat="1" applyFont="1" applyFill="1" applyAlignment="1" applyProtection="1">
      <alignment horizontal="left"/>
    </xf>
    <xf numFmtId="167" fontId="19" fillId="33" borderId="0" xfId="0" applyNumberFormat="1" applyFont="1" applyFill="1" applyAlignment="1" applyProtection="1">
      <alignment horizontal="right"/>
    </xf>
    <xf numFmtId="0" fontId="6" fillId="33" borderId="0" xfId="0" applyNumberFormat="1" applyFont="1" applyFill="1" applyAlignment="1" applyProtection="1">
      <alignment horizontal="left"/>
    </xf>
    <xf numFmtId="164" fontId="9" fillId="33" borderId="0" xfId="0" applyNumberFormat="1" applyFont="1" applyFill="1" applyAlignment="1" applyProtection="1">
      <alignment horizontal="left"/>
    </xf>
    <xf numFmtId="167" fontId="7" fillId="0" borderId="0" xfId="0" applyNumberFormat="1" applyFont="1" applyFill="1" applyAlignment="1" applyProtection="1">
      <alignment horizontal="left"/>
    </xf>
    <xf numFmtId="0" fontId="2" fillId="33" borderId="0" xfId="0" applyNumberFormat="1" applyFont="1" applyFill="1" applyAlignment="1" applyProtection="1">
      <alignment horizontal="left"/>
    </xf>
    <xf numFmtId="0" fontId="5" fillId="33" borderId="0" xfId="0" applyNumberFormat="1" applyFont="1" applyFill="1" applyAlignment="1" applyProtection="1">
      <alignment horizontal="left"/>
    </xf>
    <xf numFmtId="0" fontId="13" fillId="33" borderId="0" xfId="0" applyNumberFormat="1" applyFont="1" applyFill="1" applyAlignment="1" applyProtection="1">
      <alignment horizontal="left"/>
    </xf>
    <xf numFmtId="167" fontId="13" fillId="33" borderId="0" xfId="0" applyNumberFormat="1" applyFont="1" applyFill="1" applyAlignment="1" applyProtection="1">
      <alignment horizontal="left"/>
    </xf>
    <xf numFmtId="0" fontId="9" fillId="0" borderId="0" xfId="0" applyNumberFormat="1" applyFont="1" applyFill="1" applyAlignment="1" applyProtection="1">
      <alignment horizontal="left"/>
    </xf>
    <xf numFmtId="166" fontId="13" fillId="33" borderId="0" xfId="0" applyNumberFormat="1" applyFont="1" applyFill="1" applyAlignment="1" applyProtection="1">
      <alignment horizontal="left"/>
    </xf>
    <xf numFmtId="0" fontId="3" fillId="33" borderId="18" xfId="0" applyNumberFormat="1" applyFont="1" applyFill="1" applyBorder="1" applyAlignment="1" applyProtection="1">
      <alignment horizontal="left"/>
    </xf>
    <xf numFmtId="0" fontId="3" fillId="33" borderId="0" xfId="0" applyNumberFormat="1" applyFont="1" applyFill="1" applyAlignment="1" applyProtection="1">
      <alignment horizontal="left"/>
    </xf>
    <xf numFmtId="49" fontId="13" fillId="33" borderId="0" xfId="0" applyNumberFormat="1" applyFont="1" applyFill="1" applyAlignment="1" applyProtection="1">
      <alignment horizontal="left"/>
    </xf>
    <xf numFmtId="0" fontId="24" fillId="3" borderId="0" xfId="0" applyNumberFormat="1" applyFont="1" applyFill="1" applyAlignment="1" applyProtection="1">
      <alignment horizontal="left"/>
      <protection locked="0"/>
    </xf>
    <xf numFmtId="167" fontId="13" fillId="0" borderId="0" xfId="0" applyNumberFormat="1" applyFont="1" applyFill="1" applyAlignment="1" applyProtection="1">
      <alignment horizontal="left"/>
    </xf>
    <xf numFmtId="169" fontId="24" fillId="3" borderId="0" xfId="0" applyNumberFormat="1" applyFont="1" applyFill="1" applyAlignment="1" applyProtection="1">
      <alignment horizontal="right"/>
      <protection locked="0"/>
    </xf>
    <xf numFmtId="166" fontId="13" fillId="33" borderId="10" xfId="0" applyNumberFormat="1" applyFont="1" applyFill="1" applyBorder="1" applyAlignment="1" applyProtection="1">
      <alignment horizontal="left"/>
    </xf>
    <xf numFmtId="166" fontId="13" fillId="33" borderId="2" xfId="0" applyNumberFormat="1" applyFont="1" applyFill="1" applyBorder="1" applyAlignment="1" applyProtection="1">
      <alignment horizontal="left"/>
    </xf>
    <xf numFmtId="167" fontId="9" fillId="0" borderId="0" xfId="0" applyNumberFormat="1" applyFont="1" applyFill="1" applyAlignment="1" applyProtection="1">
      <alignment horizontal="left"/>
    </xf>
    <xf numFmtId="0" fontId="9" fillId="33" borderId="0" xfId="0" applyNumberFormat="1" applyFont="1" applyFill="1" applyAlignment="1" applyProtection="1">
      <alignment horizontal="left"/>
    </xf>
    <xf numFmtId="0" fontId="5" fillId="33" borderId="0" xfId="0" applyNumberFormat="1" applyFont="1" applyFill="1" applyAlignment="1" applyProtection="1">
      <alignment horizontal="left"/>
    </xf>
    <xf numFmtId="0" fontId="10" fillId="33" borderId="0" xfId="0" applyNumberFormat="1" applyFont="1" applyFill="1" applyAlignment="1" applyProtection="1">
      <alignment horizontal="left"/>
    </xf>
    <xf numFmtId="166" fontId="10" fillId="33" borderId="0" xfId="0" applyNumberFormat="1" applyFont="1" applyFill="1" applyAlignment="1" applyProtection="1">
      <alignment horizontal="left"/>
    </xf>
    <xf numFmtId="166" fontId="10" fillId="33" borderId="0" xfId="0" applyNumberFormat="1" applyFont="1" applyFill="1" applyAlignment="1" applyProtection="1">
      <alignment horizontal="left"/>
    </xf>
    <xf numFmtId="165" fontId="17" fillId="35" borderId="14" xfId="0" applyNumberFormat="1" applyFont="1" applyFill="1" applyBorder="1" applyAlignment="1" applyProtection="1">
      <alignment horizontal="left" wrapText="1"/>
    </xf>
    <xf numFmtId="165" fontId="17" fillId="35" borderId="19" xfId="0" applyNumberFormat="1" applyFont="1" applyFill="1" applyBorder="1" applyAlignment="1" applyProtection="1">
      <alignment horizontal="left" wrapText="1"/>
    </xf>
    <xf numFmtId="0" fontId="17" fillId="35" borderId="14" xfId="0" applyNumberFormat="1" applyFont="1" applyFill="1" applyBorder="1" applyAlignment="1" applyProtection="1">
      <alignment horizontal="left" wrapText="1"/>
    </xf>
    <xf numFmtId="167" fontId="17" fillId="36" borderId="0" xfId="0" applyNumberFormat="1" applyFont="1" applyFill="1" applyAlignment="1" applyProtection="1">
      <alignment horizontal="left" wrapText="1"/>
    </xf>
    <xf numFmtId="1" fontId="16" fillId="34" borderId="14" xfId="0" applyNumberFormat="1" applyFont="1" applyFill="1" applyBorder="1" applyAlignment="1" applyProtection="1">
      <alignment horizontal="right" vertical="center"/>
    </xf>
    <xf numFmtId="49" fontId="16" fillId="34" borderId="14" xfId="0" applyNumberFormat="1" applyFont="1" applyFill="1" applyBorder="1" applyAlignment="1" applyProtection="1">
      <alignment horizontal="left" vertical="center"/>
    </xf>
    <xf numFmtId="49" fontId="16" fillId="34" borderId="19" xfId="0" applyNumberFormat="1" applyFont="1" applyFill="1" applyBorder="1" applyAlignment="1" applyProtection="1">
      <alignment horizontal="left" vertical="center"/>
    </xf>
    <xf numFmtId="4" fontId="16" fillId="3" borderId="14" xfId="0" applyNumberFormat="1" applyFont="1" applyFill="1" applyBorder="1" applyAlignment="1" applyProtection="1">
      <alignment horizontal="left" vertical="center"/>
    </xf>
    <xf numFmtId="4" fontId="16" fillId="3" borderId="14" xfId="0" applyNumberFormat="1" applyFont="1" applyFill="1" applyBorder="1" applyAlignment="1" applyProtection="1">
      <alignment horizontal="left" vertical="center"/>
      <protection locked="0"/>
    </xf>
    <xf numFmtId="168" fontId="16" fillId="34" borderId="14" xfId="0" applyNumberFormat="1" applyFont="1" applyFill="1" applyBorder="1" applyAlignment="1" applyProtection="1">
      <alignment horizontal="left" vertical="center"/>
    </xf>
    <xf numFmtId="49" fontId="21" fillId="3" borderId="20" xfId="0" applyNumberFormat="1" applyFont="1" applyFill="1" applyBorder="1" applyAlignment="1" applyProtection="1">
      <alignment horizontal="left" vertical="center"/>
      <protection locked="0"/>
    </xf>
    <xf numFmtId="49" fontId="21" fillId="3" borderId="19" xfId="0" applyNumberFormat="1" applyFont="1" applyFill="1" applyBorder="1" applyAlignment="1" applyProtection="1">
      <alignment horizontal="left" vertical="center"/>
      <protection locked="0"/>
    </xf>
    <xf numFmtId="0" fontId="22" fillId="0" borderId="20" xfId="0" applyNumberFormat="1" applyFont="1" applyFill="1" applyBorder="1" applyAlignment="1" applyProtection="1">
      <alignment horizontal="left"/>
    </xf>
    <xf numFmtId="0" fontId="22" fillId="0" borderId="19" xfId="0" applyNumberFormat="1" applyFont="1" applyFill="1" applyBorder="1" applyAlignment="1" applyProtection="1">
      <alignment horizontal="left"/>
    </xf>
    <xf numFmtId="167" fontId="22" fillId="36" borderId="0" xfId="0" applyNumberFormat="1" applyFont="1" applyFill="1" applyAlignment="1" applyProtection="1">
      <alignment horizontal="left"/>
    </xf>
    <xf numFmtId="0" fontId="26" fillId="0" borderId="0" xfId="0" applyNumberFormat="1" applyFont="1" applyFill="1" applyAlignment="1" applyProtection="1">
      <alignment horizontal="left"/>
    </xf>
    <xf numFmtId="167" fontId="16" fillId="36" borderId="0" xfId="0" applyNumberFormat="1" applyFont="1" applyFill="1" applyAlignment="1" applyProtection="1">
      <alignment horizontal="left" vertical="top" wrapText="1"/>
    </xf>
    <xf numFmtId="167" fontId="14" fillId="36" borderId="0" xfId="0" applyNumberFormat="1" applyFont="1" applyFill="1" applyAlignment="1" applyProtection="1">
      <alignment horizontal="left" vertical="top" wrapText="1"/>
    </xf>
    <xf numFmtId="165" fontId="15" fillId="35" borderId="0" xfId="0" applyNumberFormat="1" applyFont="1" applyFill="1" applyAlignment="1" applyProtection="1">
      <alignment horizontal="left" wrapText="1"/>
    </xf>
    <xf numFmtId="167" fontId="15" fillId="36" borderId="0" xfId="0" applyNumberFormat="1" applyFont="1" applyFill="1" applyAlignment="1" applyProtection="1">
      <alignment horizontal="left" wrapText="1"/>
    </xf>
    <xf numFmtId="0" fontId="11" fillId="33" borderId="0" xfId="0" applyNumberFormat="1" applyFont="1" applyFill="1" applyAlignment="1" applyProtection="1">
      <alignment horizontal="left"/>
    </xf>
    <xf numFmtId="44" fontId="12" fillId="33" borderId="0" xfId="0" applyNumberFormat="1" applyFont="1" applyFill="1" applyAlignment="1" applyProtection="1">
      <alignment horizontal="left"/>
    </xf>
    <xf numFmtId="167" fontId="18" fillId="36" borderId="0" xfId="0" applyNumberFormat="1" applyFont="1" applyFill="1" applyAlignment="1" applyProtection="1">
      <alignment horizontal="left" vertical="center" wrapText="1"/>
      <protection locked="0"/>
    </xf>
    <xf numFmtId="167" fontId="16" fillId="36" borderId="0" xfId="0" applyNumberFormat="1" applyFont="1" applyFill="1" applyAlignment="1" applyProtection="1">
      <alignment horizontal="left" vertical="center" wrapText="1"/>
    </xf>
    <xf numFmtId="44" fontId="12" fillId="33" borderId="0" xfId="0" applyNumberFormat="1" applyFont="1" applyFill="1" applyAlignment="1" applyProtection="1">
      <alignment horizontal="left"/>
      <protection locked="0"/>
    </xf>
    <xf numFmtId="1" fontId="11" fillId="33" borderId="0" xfId="0" applyNumberFormat="1" applyFont="1" applyFill="1" applyAlignment="1" applyProtection="1">
      <alignment horizontal="left"/>
    </xf>
    <xf numFmtId="1" fontId="12" fillId="33" borderId="0" xfId="0" applyNumberFormat="1" applyFont="1" applyFill="1" applyAlignment="1" applyProtection="1">
      <alignment horizontal="left"/>
    </xf>
    <xf numFmtId="37" fontId="12" fillId="33" borderId="0" xfId="0" applyNumberFormat="1" applyFont="1" applyFill="1" applyAlignment="1" applyProtection="1">
      <alignment horizontal="left"/>
      <protection locked="0"/>
    </xf>
    <xf numFmtId="49" fontId="12" fillId="33" borderId="0" xfId="0" applyNumberFormat="1" applyFont="1" applyFill="1" applyAlignment="1" applyProtection="1">
      <alignment horizontal="left"/>
    </xf>
    <xf numFmtId="3" fontId="12" fillId="33" borderId="0" xfId="0" applyNumberFormat="1" applyFont="1" applyFill="1" applyAlignment="1" applyProtection="1">
      <alignment horizontal="left"/>
      <protection locked="0"/>
    </xf>
    <xf numFmtId="37" fontId="12" fillId="33" borderId="0" xfId="0" applyNumberFormat="1" applyFont="1" applyFill="1" applyAlignment="1" applyProtection="1">
      <alignment horizontal="left"/>
    </xf>
    <xf numFmtId="168" fontId="14" fillId="34" borderId="14" xfId="0" applyNumberFormat="1" applyFont="1" applyFill="1" applyBorder="1" applyAlignment="1" applyProtection="1">
      <alignment horizontal="left" vertical="center"/>
    </xf>
    <xf numFmtId="1" fontId="16" fillId="34" borderId="11" xfId="0" applyNumberFormat="1" applyFont="1" applyFill="1" applyBorder="1" applyAlignment="1" applyProtection="1">
      <alignment horizontal="right" vertical="center"/>
    </xf>
    <xf numFmtId="1" fontId="16" fillId="34" borderId="12" xfId="0" applyNumberFormat="1" applyFont="1" applyFill="1" applyBorder="1" applyAlignment="1" applyProtection="1">
      <alignment horizontal="right" vertical="center"/>
    </xf>
    <xf numFmtId="0" fontId="7" fillId="36" borderId="0" xfId="0" applyNumberFormat="1" applyFont="1" applyFill="1" applyAlignment="1" applyProtection="1">
      <alignment horizontal="left"/>
    </xf>
    <xf numFmtId="4" fontId="7" fillId="37" borderId="14" xfId="0" applyNumberFormat="1" applyFont="1" applyFill="1" applyBorder="1" applyAlignment="1" applyProtection="1">
      <alignment horizontal="left"/>
      <protection locked="0"/>
    </xf>
    <xf numFmtId="4" fontId="7" fillId="37" borderId="21" xfId="0" applyNumberFormat="1" applyFont="1" applyFill="1" applyBorder="1" applyAlignment="1" applyProtection="1">
      <alignment horizontal="left"/>
      <protection locked="0"/>
    </xf>
    <xf numFmtId="168" fontId="24" fillId="3" borderId="14" xfId="0" applyNumberFormat="1" applyFont="1" applyFill="1" applyBorder="1" applyAlignment="1" applyProtection="1">
      <alignment horizontal="right"/>
    </xf>
    <xf numFmtId="167" fontId="12" fillId="36" borderId="0" xfId="0" applyNumberFormat="1" applyFont="1" applyFill="1" applyAlignment="1" applyProtection="1">
      <alignment horizontal="left"/>
      <protection locked="0"/>
    </xf>
    <xf numFmtId="0" fontId="9" fillId="36" borderId="0" xfId="0" applyNumberFormat="1" applyFont="1" applyFill="1" applyAlignment="1" applyProtection="1">
      <alignment horizontal="left"/>
    </xf>
    <xf numFmtId="169" fontId="24" fillId="3" borderId="14" xfId="0" applyNumberFormat="1" applyFont="1" applyFill="1" applyBorder="1" applyAlignment="1" applyProtection="1">
      <alignment horizontal="right"/>
    </xf>
    <xf numFmtId="165" fontId="17" fillId="35" borderId="15" xfId="0" applyNumberFormat="1" applyFont="1" applyFill="1" applyBorder="1" applyAlignment="1" applyProtection="1">
      <alignment horizontal="left" wrapText="1"/>
    </xf>
    <xf numFmtId="165" fontId="17" fillId="35" borderId="0" xfId="0" applyNumberFormat="1" applyFont="1" applyFill="1" applyAlignment="1" applyProtection="1">
      <alignment horizontal="left" wrapText="1"/>
    </xf>
    <xf numFmtId="0" fontId="17" fillId="35" borderId="16" xfId="0" applyNumberFormat="1" applyFont="1" applyFill="1" applyBorder="1" applyAlignment="1" applyProtection="1">
      <alignment horizontal="left"/>
    </xf>
    <xf numFmtId="1" fontId="5" fillId="0" borderId="0" xfId="0" applyNumberFormat="1" applyFont="1" applyFill="1" applyAlignment="1" applyProtection="1">
      <alignment horizontal="right" vertical="center"/>
    </xf>
    <xf numFmtId="0" fontId="9" fillId="0" borderId="0" xfId="0" applyNumberFormat="1" applyFont="1" applyFill="1" applyAlignment="1" applyProtection="1">
      <alignment horizontal="left"/>
    </xf>
    <xf numFmtId="0" fontId="5" fillId="0" borderId="0" xfId="0" applyNumberFormat="1" applyFont="1" applyFill="1" applyAlignment="1" applyProtection="1">
      <alignment horizontal="right"/>
    </xf>
    <xf numFmtId="167" fontId="7" fillId="36" borderId="0" xfId="0" applyNumberFormat="1" applyFont="1" applyFill="1" applyAlignment="1" applyProtection="1">
      <alignment horizontal="left"/>
    </xf>
    <xf numFmtId="0" fontId="7" fillId="0" borderId="0" xfId="0" applyNumberFormat="1" applyFont="1" applyFill="1" applyAlignment="1" applyProtection="1">
      <alignment horizontal="left" wrapText="1"/>
    </xf>
    <xf numFmtId="0" fontId="0" fillId="0" borderId="22" xfId="0" applyNumberFormat="1" applyFill="1" applyBorder="1" applyAlignment="1" applyProtection="1">
      <alignment horizontal="left"/>
    </xf>
    <xf numFmtId="49" fontId="0" fillId="0" borderId="0" xfId="0" applyNumberFormat="1" applyFill="1" applyAlignment="1" applyProtection="1">
      <alignment horizontal="left"/>
    </xf>
    <xf numFmtId="0" fontId="12" fillId="3" borderId="20" xfId="0" applyNumberFormat="1" applyFont="1" applyFill="1" applyBorder="1" applyAlignment="1" applyProtection="1">
      <alignment horizontal="left"/>
      <protection locked="0"/>
    </xf>
    <xf numFmtId="0" fontId="12" fillId="3" borderId="25" xfId="0" applyNumberFormat="1" applyFont="1" applyFill="1" applyBorder="1" applyAlignment="1" applyProtection="1">
      <alignment horizontal="left"/>
      <protection locked="0"/>
    </xf>
    <xf numFmtId="0" fontId="12" fillId="3" borderId="19" xfId="0" applyNumberFormat="1" applyFont="1" applyFill="1" applyBorder="1" applyAlignment="1" applyProtection="1">
      <alignment horizontal="left"/>
      <protection locked="0"/>
    </xf>
    <xf numFmtId="4" fontId="12" fillId="3" borderId="20" xfId="0" applyNumberFormat="1" applyFont="1" applyFill="1" applyBorder="1" applyAlignment="1" applyProtection="1">
      <alignment horizontal="left"/>
      <protection locked="0"/>
    </xf>
    <xf numFmtId="4" fontId="12" fillId="3" borderId="25" xfId="0" applyNumberFormat="1" applyFont="1" applyFill="1" applyBorder="1" applyAlignment="1" applyProtection="1">
      <alignment horizontal="left"/>
      <protection locked="0"/>
    </xf>
    <xf numFmtId="4" fontId="12" fillId="3" borderId="19" xfId="0" applyNumberFormat="1" applyFont="1" applyFill="1" applyBorder="1" applyAlignment="1" applyProtection="1">
      <alignment horizontal="left"/>
      <protection locked="0"/>
    </xf>
    <xf numFmtId="0" fontId="17" fillId="35" borderId="16" xfId="0" applyNumberFormat="1" applyFont="1" applyFill="1" applyBorder="1" applyAlignment="1" applyProtection="1">
      <alignment horizontal="left" wrapText="1"/>
    </xf>
    <xf numFmtId="165" fontId="17" fillId="35" borderId="0" xfId="0" applyNumberFormat="1" applyFont="1" applyFill="1" applyAlignment="1" applyProtection="1">
      <alignment horizontal="left" wrapText="1"/>
    </xf>
    <xf numFmtId="0" fontId="20" fillId="33" borderId="0" xfId="0" applyNumberFormat="1" applyFont="1" applyFill="1" applyAlignment="1" applyProtection="1">
      <alignment horizontal="left"/>
    </xf>
    <xf numFmtId="49" fontId="20" fillId="33" borderId="0" xfId="0" applyNumberFormat="1" applyFont="1" applyFill="1" applyAlignment="1" applyProtection="1">
      <alignment horizontal="left"/>
    </xf>
    <xf numFmtId="0" fontId="20" fillId="33" borderId="10" xfId="0" applyNumberFormat="1" applyFont="1" applyFill="1" applyBorder="1" applyAlignment="1" applyProtection="1">
      <alignment horizontal="left"/>
    </xf>
    <xf numFmtId="49" fontId="20" fillId="33" borderId="10" xfId="0" applyNumberFormat="1" applyFont="1" applyFill="1" applyBorder="1" applyAlignment="1" applyProtection="1">
      <alignment horizontal="left"/>
    </xf>
    <xf numFmtId="49" fontId="13" fillId="33" borderId="10" xfId="0" applyNumberFormat="1" applyFont="1" applyFill="1" applyBorder="1" applyAlignment="1" applyProtection="1">
      <alignment horizontal="left"/>
    </xf>
    <xf numFmtId="49" fontId="21" fillId="3" borderId="20" xfId="0" applyNumberFormat="1" applyFont="1" applyFill="1" applyBorder="1" applyAlignment="1" applyProtection="1">
      <alignment horizontal="left" vertical="center"/>
      <protection locked="0"/>
    </xf>
    <xf numFmtId="49" fontId="21" fillId="3" borderId="19" xfId="0" applyNumberFormat="1" applyFont="1" applyFill="1" applyBorder="1" applyAlignment="1" applyProtection="1">
      <alignment horizontal="left" vertical="center"/>
      <protection locked="0"/>
    </xf>
    <xf numFmtId="4" fontId="25" fillId="3" borderId="20" xfId="0" applyNumberFormat="1" applyFont="1" applyFill="1" applyBorder="1" applyAlignment="1" applyProtection="1">
      <alignment horizontal="left"/>
      <protection locked="0"/>
    </xf>
    <xf numFmtId="4" fontId="25" fillId="3" borderId="25" xfId="0" applyNumberFormat="1" applyFont="1" applyFill="1" applyBorder="1" applyAlignment="1" applyProtection="1">
      <alignment horizontal="left"/>
      <protection locked="0"/>
    </xf>
    <xf numFmtId="4" fontId="25" fillId="3" borderId="19" xfId="0" applyNumberFormat="1" applyFont="1" applyFill="1" applyBorder="1" applyAlignment="1" applyProtection="1">
      <alignment horizontal="left"/>
      <protection locked="0"/>
    </xf>
    <xf numFmtId="0" fontId="13" fillId="33" borderId="10" xfId="0" applyNumberFormat="1" applyFont="1" applyFill="1" applyBorder="1" applyAlignment="1" applyProtection="1">
      <alignment horizontal="left"/>
    </xf>
    <xf numFmtId="0" fontId="13" fillId="33" borderId="30" xfId="0" applyNumberFormat="1" applyFont="1" applyFill="1" applyBorder="1" applyAlignment="1" applyProtection="1">
      <alignment horizontal="left"/>
    </xf>
    <xf numFmtId="4" fontId="16" fillId="34" borderId="28" xfId="0" applyNumberFormat="1" applyFont="1" applyFill="1" applyBorder="1" applyAlignment="1" applyProtection="1">
      <alignment horizontal="left" vertical="center"/>
    </xf>
    <xf numFmtId="4" fontId="16" fillId="34" borderId="29" xfId="0" applyNumberFormat="1" applyFont="1" applyFill="1" applyBorder="1" applyAlignment="1" applyProtection="1">
      <alignment horizontal="left" vertical="center"/>
    </xf>
    <xf numFmtId="4" fontId="16" fillId="34" borderId="22" xfId="0" applyNumberFormat="1" applyFont="1" applyFill="1" applyBorder="1" applyAlignment="1" applyProtection="1">
      <alignment horizontal="left" vertical="center"/>
    </xf>
    <xf numFmtId="4" fontId="16" fillId="34" borderId="0" xfId="0" applyNumberFormat="1" applyFont="1" applyFill="1" applyAlignment="1" applyProtection="1">
      <alignment horizontal="left" vertical="center"/>
    </xf>
    <xf numFmtId="0" fontId="14" fillId="0" borderId="20" xfId="0" applyNumberFormat="1" applyFont="1" applyFill="1" applyBorder="1" applyAlignment="1" applyProtection="1">
      <alignment horizontal="left" vertical="center"/>
    </xf>
    <xf numFmtId="0" fontId="14" fillId="0" borderId="25" xfId="0" applyNumberFormat="1" applyFont="1" applyFill="1" applyBorder="1" applyAlignment="1" applyProtection="1">
      <alignment horizontal="left" vertical="center"/>
    </xf>
    <xf numFmtId="0" fontId="14" fillId="0" borderId="19" xfId="0" applyNumberFormat="1" applyFont="1" applyFill="1" applyBorder="1" applyAlignment="1" applyProtection="1">
      <alignment horizontal="left" vertical="center"/>
    </xf>
    <xf numFmtId="165" fontId="17" fillId="35" borderId="20" xfId="0" applyNumberFormat="1" applyFont="1" applyFill="1" applyBorder="1" applyAlignment="1" applyProtection="1">
      <alignment horizontal="left" wrapText="1"/>
    </xf>
    <xf numFmtId="165" fontId="17" fillId="35" borderId="19" xfId="0" applyNumberFormat="1" applyFont="1" applyFill="1" applyBorder="1" applyAlignment="1" applyProtection="1">
      <alignment horizontal="left" wrapText="1"/>
    </xf>
    <xf numFmtId="0" fontId="2" fillId="33" borderId="0" xfId="0" applyNumberFormat="1" applyFont="1" applyFill="1" applyAlignment="1" applyProtection="1">
      <alignment horizontal="left"/>
    </xf>
    <xf numFmtId="165" fontId="17" fillId="35" borderId="24" xfId="0" applyNumberFormat="1" applyFont="1" applyFill="1" applyBorder="1" applyAlignment="1" applyProtection="1">
      <alignment horizontal="left" wrapText="1"/>
    </xf>
    <xf numFmtId="165" fontId="17" fillId="35" borderId="16" xfId="0" applyNumberFormat="1" applyFont="1" applyFill="1" applyBorder="1" applyAlignment="1" applyProtection="1">
      <alignment horizontal="left" wrapText="1"/>
    </xf>
    <xf numFmtId="170" fontId="13" fillId="33" borderId="10" xfId="0" applyNumberFormat="1" applyFont="1" applyFill="1" applyBorder="1" applyAlignment="1" applyProtection="1">
      <alignment horizontal="left"/>
    </xf>
    <xf numFmtId="0" fontId="10" fillId="33" borderId="16" xfId="0" applyNumberFormat="1" applyFont="1" applyFill="1" applyBorder="1" applyAlignment="1" applyProtection="1">
      <alignment horizontal="left"/>
    </xf>
    <xf numFmtId="166" fontId="13" fillId="33" borderId="10" xfId="0" applyNumberFormat="1" applyFont="1" applyFill="1" applyBorder="1" applyAlignment="1" applyProtection="1">
      <alignment horizontal="left"/>
    </xf>
    <xf numFmtId="49" fontId="3" fillId="33" borderId="26" xfId="0" applyNumberFormat="1" applyFont="1" applyFill="1" applyBorder="1" applyAlignment="1" applyProtection="1">
      <alignment horizontal="left" vertical="top" wrapText="1"/>
    </xf>
    <xf numFmtId="49" fontId="3" fillId="33" borderId="0" xfId="0" applyNumberFormat="1" applyFont="1" applyFill="1" applyAlignment="1" applyProtection="1">
      <alignment horizontal="left" vertical="top" wrapText="1"/>
    </xf>
    <xf numFmtId="49" fontId="3" fillId="33" borderId="27" xfId="0" applyNumberFormat="1" applyFont="1" applyFill="1" applyBorder="1" applyAlignment="1" applyProtection="1">
      <alignment horizontal="left" vertical="top" wrapText="1"/>
    </xf>
    <xf numFmtId="0" fontId="3" fillId="33" borderId="18" xfId="0" applyNumberFormat="1" applyFont="1" applyFill="1" applyBorder="1" applyAlignment="1" applyProtection="1">
      <alignment horizontal="left"/>
    </xf>
    <xf numFmtId="0" fontId="13" fillId="33" borderId="23" xfId="0" applyNumberFormat="1" applyFont="1" applyFill="1" applyBorder="1" applyAlignment="1" applyProtection="1">
      <alignment horizontal="left"/>
    </xf>
    <xf numFmtId="49" fontId="13" fillId="33" borderId="0" xfId="0" applyNumberFormat="1" applyFont="1" applyFill="1" applyAlignment="1" applyProtection="1">
      <alignment horizontal="left"/>
      <protection locked="0"/>
    </xf>
    <xf numFmtId="0" fontId="3" fillId="33" borderId="10" xfId="0" applyNumberFormat="1" applyFont="1" applyFill="1" applyBorder="1" applyAlignment="1" applyProtection="1">
      <alignment horizontal="left"/>
    </xf>
    <xf numFmtId="49" fontId="16" fillId="34" borderId="20" xfId="0" applyNumberFormat="1" applyFont="1" applyFill="1" applyBorder="1" applyAlignment="1" applyProtection="1">
      <alignment horizontal="left" vertical="center"/>
    </xf>
    <xf numFmtId="49" fontId="16" fillId="34" borderId="19" xfId="0" applyNumberFormat="1" applyFont="1" applyFill="1" applyBorder="1" applyAlignment="1" applyProtection="1">
      <alignment horizontal="left" vertical="center"/>
    </xf>
    <xf numFmtId="4" fontId="16" fillId="3" borderId="20" xfId="0" applyNumberFormat="1" applyFont="1" applyFill="1" applyBorder="1" applyAlignment="1" applyProtection="1">
      <alignment horizontal="right" vertical="center"/>
      <protection locked="0"/>
    </xf>
    <xf numFmtId="168" fontId="16" fillId="3" borderId="19" xfId="0" applyNumberFormat="1" applyFont="1" applyFill="1" applyBorder="1" applyAlignment="1" applyProtection="1">
      <alignment horizontal="right" vertical="center"/>
      <protection locked="0"/>
    </xf>
    <xf numFmtId="0" fontId="23" fillId="3" borderId="20" xfId="0" applyNumberFormat="1" applyFont="1" applyFill="1" applyBorder="1" applyAlignment="1" applyProtection="1">
      <alignment horizontal="left"/>
      <protection locked="0"/>
    </xf>
    <xf numFmtId="0" fontId="23" fillId="3" borderId="25" xfId="0" applyNumberFormat="1" applyFont="1" applyFill="1" applyBorder="1" applyAlignment="1" applyProtection="1">
      <alignment horizontal="left"/>
      <protection locked="0"/>
    </xf>
    <xf numFmtId="0" fontId="23" fillId="3" borderId="19" xfId="0" applyNumberFormat="1" applyFont="1" applyFill="1" applyBorder="1" applyAlignment="1" applyProtection="1">
      <alignment horizontal="left"/>
      <protection locked="0"/>
    </xf>
    <xf numFmtId="4" fontId="7" fillId="37" borderId="20" xfId="0" applyNumberFormat="1" applyFont="1" applyFill="1" applyBorder="1" applyAlignment="1" applyProtection="1">
      <alignment horizontal="left"/>
      <protection locked="0"/>
    </xf>
    <xf numFmtId="169" fontId="7" fillId="37" borderId="19" xfId="0" applyNumberFormat="1" applyFont="1" applyFill="1" applyBorder="1" applyAlignment="1" applyProtection="1">
      <alignment horizontal="left"/>
      <protection locked="0"/>
    </xf>
  </cellXfs>
  <cellStyles count="47">
    <cellStyle name="20% - Accent1" xfId="25"/>
    <cellStyle name="20% - Accent2" xfId="28"/>
    <cellStyle name="20% - Accent3" xfId="32"/>
    <cellStyle name="20% - Accent4" xfId="36"/>
    <cellStyle name="20% - Accent5" xfId="40"/>
    <cellStyle name="20% - Accent6" xfId="44"/>
    <cellStyle name="40% - Accent1" xfId="9"/>
    <cellStyle name="40% - Accent2" xfId="29"/>
    <cellStyle name="40% - Accent3" xfId="33"/>
    <cellStyle name="40% - Accent4" xfId="37"/>
    <cellStyle name="40% - Accent5" xfId="41"/>
    <cellStyle name="40% - Accent6" xfId="45"/>
    <cellStyle name="60% - Accent1" xfId="26"/>
    <cellStyle name="60% - Accent2" xfId="30"/>
    <cellStyle name="60% - Accent3" xfId="34"/>
    <cellStyle name="60% - Accent4" xfId="38"/>
    <cellStyle name="60% - Accent5" xfId="42"/>
    <cellStyle name="60% - Accent6" xfId="46"/>
    <cellStyle name="Accent1" xfId="24"/>
    <cellStyle name="Accent2" xfId="27"/>
    <cellStyle name="Accent3" xfId="31"/>
    <cellStyle name="Accent4" xfId="35"/>
    <cellStyle name="Accent5" xfId="39"/>
    <cellStyle name="Accent6" xfId="43"/>
    <cellStyle name="Bad" xfId="14"/>
    <cellStyle name="Calculation" xfId="8"/>
    <cellStyle name="Check Cell" xfId="19"/>
    <cellStyle name="Comma" xfId="4"/>
    <cellStyle name="Comma [0]" xfId="5"/>
    <cellStyle name="Currency" xfId="2"/>
    <cellStyle name="Currency [0]" xfId="3"/>
    <cellStyle name="Explanatory Text" xfId="22"/>
    <cellStyle name="Good" xfId="13"/>
    <cellStyle name="Heading 1" xfId="6"/>
    <cellStyle name="Heading 2" xfId="11"/>
    <cellStyle name="Heading 3" xfId="7"/>
    <cellStyle name="Heading 4" xfId="12"/>
    <cellStyle name="Input" xfId="16"/>
    <cellStyle name="Linked Cell" xfId="18"/>
    <cellStyle name="Neutral" xfId="15"/>
    <cellStyle name="Normal" xfId="0" builtinId="0"/>
    <cellStyle name="Note" xfId="21"/>
    <cellStyle name="Output" xfId="17"/>
    <cellStyle name="Percent" xfId="1"/>
    <cellStyle name="Title" xfId="10"/>
    <cellStyle name="Total" xfId="23"/>
    <cellStyle name="Warning Text" xfId="2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 xmlns:x="http://schemas.openxmlformats.org/spreadsheetml/2006/main" xmlns:x15="http://schemas.microsoft.com/office/spreadsheetml/2010/11/main">
    <x:ext uri="{9260A510-F301-46a8-8635-F512D64BE5F5}">
      <x15:timelineStyles defaultTimelineStyle="TimeSlicerStyleLight1"/>
    </x: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155"/>
  <sheetViews>
    <sheetView showGridLines="0" tabSelected="1" topLeftCell="A109" workbookViewId="0">
      <selection activeCell="J115" sqref="J115:K115"/>
    </sheetView>
  </sheetViews>
  <sheetFormatPr defaultColWidth="9.140625" defaultRowHeight="12.75"/>
  <cols>
    <col min="1" max="1" width="5.7109375" style="19" customWidth="1"/>
    <col min="2" max="2" width="13" style="19" hidden="1" customWidth="1"/>
    <col min="3" max="3" width="11.140625" style="19" customWidth="1"/>
    <col min="4" max="4" width="14.42578125" style="19" customWidth="1"/>
    <col min="5" max="5" width="31.28515625" style="19" customWidth="1"/>
    <col min="6" max="6" width="15.85546875" style="19" customWidth="1"/>
    <col min="7" max="7" width="19.28515625" style="19" customWidth="1"/>
    <col min="8" max="9" width="13.5703125" style="19" customWidth="1"/>
    <col min="10" max="10" width="5.7109375" style="19" customWidth="1"/>
    <col min="11" max="11" width="10.28515625" style="19" customWidth="1"/>
    <col min="12" max="12" width="9.5703125" style="19" customWidth="1"/>
    <col min="13" max="13" width="9.42578125" style="19" customWidth="1"/>
    <col min="14" max="14" width="18.140625" style="19" customWidth="1"/>
    <col min="15" max="15" width="15.28515625" style="19" customWidth="1"/>
    <col min="16" max="16" width="13.5703125" style="19" customWidth="1"/>
    <col min="17" max="17" width="8.85546875" style="19" bestFit="1" customWidth="1"/>
    <col min="18" max="19" width="9.5703125" style="19" customWidth="1"/>
    <col min="20" max="20" width="12" style="34" customWidth="1"/>
    <col min="21" max="23" width="9.140625" style="19" hidden="1" customWidth="1"/>
    <col min="24" max="24" width="9.140625" style="19" customWidth="1"/>
    <col min="25" max="16384" width="9.140625" style="19"/>
  </cols>
  <sheetData>
    <row r="1" spans="1:20" ht="51" customHeight="1">
      <c r="A1" s="28"/>
      <c r="B1" s="28" t="s">
        <v>0</v>
      </c>
      <c r="C1" s="28"/>
      <c r="E1" s="29"/>
      <c r="F1" s="29"/>
      <c r="G1" s="29"/>
      <c r="J1" s="29"/>
      <c r="K1" s="5" t="s">
        <v>1</v>
      </c>
      <c r="L1" s="5"/>
      <c r="M1" s="5"/>
      <c r="N1" s="5"/>
      <c r="O1" s="5"/>
      <c r="P1" s="5"/>
      <c r="Q1" s="5"/>
      <c r="R1" s="5"/>
      <c r="S1" s="30"/>
      <c r="T1" s="31"/>
    </row>
    <row r="2" spans="1:20" ht="5.25" customHeight="1">
      <c r="A2" s="32"/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5" customHeight="1">
      <c r="A3" s="135" t="s">
        <v>2</v>
      </c>
      <c r="B3" s="135"/>
      <c r="C3" s="135"/>
      <c r="D3" s="135"/>
      <c r="E3" s="135"/>
      <c r="F3" s="35"/>
      <c r="G3" s="35"/>
      <c r="Q3" s="36"/>
      <c r="R3" s="36"/>
      <c r="S3" s="36"/>
    </row>
    <row r="4" spans="1:20" ht="22.5" customHeight="1">
      <c r="A4" s="141" t="s">
        <v>3</v>
      </c>
      <c r="B4" s="141"/>
      <c r="C4" s="141"/>
      <c r="D4" s="141"/>
      <c r="E4" s="141"/>
      <c r="F4" s="141"/>
      <c r="G4" s="141"/>
      <c r="H4" s="141"/>
      <c r="I4" s="141"/>
      <c r="K4" s="114" t="s">
        <v>4</v>
      </c>
      <c r="L4" s="114"/>
      <c r="M4" s="115" t="s">
        <v>5</v>
      </c>
      <c r="N4" s="115"/>
      <c r="O4" s="115"/>
      <c r="P4" s="115"/>
      <c r="Q4" s="37"/>
      <c r="R4" s="37"/>
      <c r="S4" s="37"/>
      <c r="T4" s="38"/>
    </row>
    <row r="5" spans="1:20" ht="21" customHeight="1">
      <c r="A5" s="142"/>
      <c r="B5" s="142"/>
      <c r="C5" s="142"/>
      <c r="D5" s="142"/>
      <c r="E5" s="142"/>
      <c r="F5" s="142"/>
      <c r="G5" s="142"/>
      <c r="H5" s="142"/>
      <c r="I5" s="142"/>
      <c r="K5" s="116" t="s">
        <v>6</v>
      </c>
      <c r="L5" s="116"/>
      <c r="M5" s="117" t="s">
        <v>7</v>
      </c>
      <c r="N5" s="117"/>
      <c r="O5" s="117"/>
      <c r="P5" s="117"/>
      <c r="Q5" s="37"/>
      <c r="R5" s="37"/>
      <c r="S5" s="37"/>
      <c r="T5" s="38"/>
    </row>
    <row r="6" spans="1:20" s="39" customFormat="1" ht="14.1" customHeight="1">
      <c r="A6" s="142"/>
      <c r="B6" s="142"/>
      <c r="C6" s="142"/>
      <c r="D6" s="142"/>
      <c r="E6" s="142"/>
      <c r="F6" s="142"/>
      <c r="G6" s="142"/>
      <c r="H6" s="142"/>
      <c r="I6" s="142"/>
      <c r="K6" s="124" t="s">
        <v>8</v>
      </c>
      <c r="L6" s="124"/>
      <c r="M6" s="138">
        <v>43843</v>
      </c>
      <c r="N6" s="138"/>
      <c r="O6" s="138"/>
      <c r="P6" s="138"/>
      <c r="Q6" s="37"/>
      <c r="R6" s="37"/>
      <c r="S6" s="37"/>
      <c r="T6" s="38"/>
    </row>
    <row r="7" spans="1:20" s="39" customFormat="1" ht="14.1" customHeight="1">
      <c r="A7" s="142"/>
      <c r="B7" s="142"/>
      <c r="C7" s="142"/>
      <c r="D7" s="142"/>
      <c r="E7" s="142"/>
      <c r="F7" s="142"/>
      <c r="G7" s="142"/>
      <c r="H7" s="142"/>
      <c r="I7" s="142"/>
      <c r="K7" s="124"/>
      <c r="L7" s="124"/>
      <c r="M7" s="118"/>
      <c r="N7" s="118"/>
      <c r="O7" s="118"/>
      <c r="P7" s="118"/>
      <c r="Q7" s="118"/>
      <c r="R7" s="37"/>
      <c r="S7" s="37"/>
      <c r="T7" s="38"/>
    </row>
    <row r="8" spans="1:20" s="39" customFormat="1" ht="13.5" customHeight="1">
      <c r="A8" s="142"/>
      <c r="B8" s="142"/>
      <c r="C8" s="142"/>
      <c r="D8" s="142"/>
      <c r="E8" s="142"/>
      <c r="F8" s="142"/>
      <c r="G8" s="142"/>
      <c r="H8" s="142"/>
      <c r="I8" s="142"/>
      <c r="J8" s="21"/>
      <c r="K8" s="124" t="s">
        <v>9</v>
      </c>
      <c r="L8" s="124"/>
      <c r="M8" s="140">
        <v>43843</v>
      </c>
      <c r="N8" s="140"/>
      <c r="O8" s="40"/>
      <c r="P8" s="37"/>
      <c r="Q8" s="20"/>
      <c r="R8" s="20"/>
      <c r="S8" s="20"/>
      <c r="T8" s="27"/>
    </row>
    <row r="9" spans="1:20" s="39" customFormat="1" ht="15" customHeight="1">
      <c r="A9" s="142"/>
      <c r="B9" s="142"/>
      <c r="C9" s="142"/>
      <c r="D9" s="142"/>
      <c r="E9" s="142"/>
      <c r="F9" s="142"/>
      <c r="G9" s="142"/>
      <c r="H9" s="142"/>
      <c r="I9" s="142"/>
      <c r="J9" s="21"/>
      <c r="K9" s="22" t="s">
        <v>10</v>
      </c>
      <c r="L9" s="23"/>
      <c r="M9" s="118" t="s">
        <v>11</v>
      </c>
      <c r="N9" s="118"/>
      <c r="O9" s="118"/>
      <c r="P9" s="118"/>
      <c r="Q9" s="118"/>
      <c r="R9" s="20"/>
      <c r="S9" s="20"/>
      <c r="T9" s="27"/>
    </row>
    <row r="10" spans="1:20" s="39" customFormat="1" ht="15" customHeight="1">
      <c r="A10" s="142"/>
      <c r="B10" s="142"/>
      <c r="C10" s="142"/>
      <c r="D10" s="142"/>
      <c r="E10" s="142"/>
      <c r="F10" s="142"/>
      <c r="G10" s="142"/>
      <c r="H10" s="142"/>
      <c r="I10" s="142"/>
      <c r="J10" s="21"/>
      <c r="K10" s="22" t="s">
        <v>12</v>
      </c>
      <c r="L10" s="23"/>
      <c r="M10" s="138"/>
      <c r="N10" s="138"/>
      <c r="O10" s="40"/>
      <c r="P10" s="23"/>
      <c r="Q10" s="20"/>
      <c r="R10" s="20"/>
      <c r="S10" s="20"/>
      <c r="T10" s="27"/>
    </row>
    <row r="11" spans="1:20" s="39" customFormat="1" ht="15" customHeight="1">
      <c r="A11" s="143"/>
      <c r="B11" s="143"/>
      <c r="C11" s="143"/>
      <c r="D11" s="143"/>
      <c r="E11" s="143"/>
      <c r="F11" s="143"/>
      <c r="G11" s="143"/>
      <c r="H11" s="143"/>
      <c r="I11" s="143"/>
      <c r="J11" s="21"/>
      <c r="K11" s="22" t="s">
        <v>13</v>
      </c>
      <c r="L11" s="23"/>
      <c r="M11" s="24">
        <v>3</v>
      </c>
      <c r="N11" s="25"/>
      <c r="O11" s="26"/>
      <c r="P11" s="20"/>
      <c r="Q11" s="20"/>
      <c r="R11" s="20"/>
      <c r="S11" s="20"/>
      <c r="T11" s="27"/>
    </row>
    <row r="12" spans="1:20" s="39" customFormat="1" ht="15.75" customHeight="1">
      <c r="A12" s="144" t="s">
        <v>14</v>
      </c>
      <c r="B12" s="144"/>
      <c r="C12" s="144"/>
      <c r="D12" s="41"/>
      <c r="E12" s="42"/>
      <c r="F12" s="42"/>
      <c r="G12" s="42"/>
      <c r="H12" s="41"/>
      <c r="I12" s="41"/>
      <c r="K12" s="124" t="s">
        <v>15</v>
      </c>
      <c r="L12" s="125"/>
      <c r="M12" s="121" t="s">
        <v>268</v>
      </c>
      <c r="N12" s="122"/>
      <c r="O12" s="123"/>
      <c r="P12" s="20"/>
      <c r="Q12" s="20"/>
      <c r="R12" s="20"/>
      <c r="S12" s="20"/>
      <c r="T12" s="27"/>
    </row>
    <row r="13" spans="1:20" s="39" customFormat="1" ht="12.75" customHeight="1">
      <c r="A13" s="124" t="s">
        <v>16</v>
      </c>
      <c r="B13" s="124"/>
      <c r="C13" s="124"/>
      <c r="D13" s="118" t="s">
        <v>17</v>
      </c>
      <c r="E13" s="118"/>
      <c r="F13" s="118"/>
      <c r="G13" s="118"/>
      <c r="H13" s="118"/>
      <c r="I13" s="43"/>
      <c r="K13" s="147"/>
      <c r="L13" s="147"/>
      <c r="M13" s="146"/>
      <c r="N13" s="146"/>
      <c r="O13" s="146"/>
      <c r="P13" s="146"/>
      <c r="Q13" s="146"/>
      <c r="R13" s="20"/>
      <c r="S13" s="20"/>
      <c r="T13" s="27"/>
    </row>
    <row r="14" spans="1:20" s="39" customFormat="1" ht="12.75" customHeight="1">
      <c r="A14" s="124" t="s">
        <v>18</v>
      </c>
      <c r="B14" s="124"/>
      <c r="C14" s="124"/>
      <c r="D14" s="118" t="s">
        <v>19</v>
      </c>
      <c r="E14" s="118"/>
      <c r="F14" s="118"/>
      <c r="G14" s="118"/>
      <c r="H14" s="118"/>
      <c r="I14" s="43"/>
      <c r="K14" s="124" t="s">
        <v>20</v>
      </c>
      <c r="L14" s="145"/>
      <c r="M14" s="44" t="s">
        <v>261</v>
      </c>
      <c r="N14" s="23"/>
      <c r="O14" s="23"/>
      <c r="P14" s="45"/>
      <c r="Q14" s="38"/>
      <c r="R14" s="20"/>
      <c r="S14" s="20"/>
      <c r="T14" s="27"/>
    </row>
    <row r="15" spans="1:20" s="39" customFormat="1" ht="12.75" customHeight="1">
      <c r="A15" s="124" t="s">
        <v>21</v>
      </c>
      <c r="B15" s="124"/>
      <c r="C15" s="124"/>
      <c r="D15" s="118"/>
      <c r="E15" s="118"/>
      <c r="F15" s="118"/>
      <c r="G15" s="118"/>
      <c r="H15" s="118"/>
      <c r="I15" s="43"/>
      <c r="K15" s="124" t="s">
        <v>22</v>
      </c>
      <c r="L15" s="145"/>
      <c r="M15" s="46">
        <v>0</v>
      </c>
      <c r="N15" s="47"/>
      <c r="O15" s="48"/>
      <c r="P15" s="45" t="s">
        <v>23</v>
      </c>
      <c r="Q15" s="38"/>
      <c r="R15" s="20"/>
      <c r="S15" s="20"/>
      <c r="T15" s="27"/>
    </row>
    <row r="16" spans="1:20" s="39" customFormat="1" ht="12.75" customHeight="1">
      <c r="A16" s="124" t="s">
        <v>24</v>
      </c>
      <c r="B16" s="124"/>
      <c r="C16" s="124"/>
      <c r="D16" s="118"/>
      <c r="E16" s="118"/>
      <c r="F16" s="118"/>
      <c r="G16" s="118"/>
      <c r="H16" s="118"/>
      <c r="I16" s="43"/>
      <c r="K16" s="124" t="s">
        <v>25</v>
      </c>
      <c r="L16" s="145"/>
      <c r="M16" s="46">
        <v>0</v>
      </c>
      <c r="N16" s="47"/>
      <c r="O16" s="48"/>
      <c r="P16" s="23"/>
      <c r="Q16" s="37"/>
      <c r="R16" s="20"/>
      <c r="S16" s="20"/>
      <c r="T16" s="27"/>
    </row>
    <row r="17" spans="1:20" s="39" customFormat="1" ht="12.75" customHeight="1">
      <c r="A17" s="124" t="s">
        <v>26</v>
      </c>
      <c r="B17" s="124"/>
      <c r="C17" s="124"/>
      <c r="D17" s="118" t="s">
        <v>27</v>
      </c>
      <c r="E17" s="118"/>
      <c r="F17" s="118"/>
      <c r="G17" s="118"/>
      <c r="H17" s="118"/>
      <c r="I17" s="43"/>
      <c r="K17" s="36"/>
      <c r="L17" s="36"/>
      <c r="M17" s="36"/>
      <c r="N17" s="36"/>
      <c r="O17" s="36"/>
      <c r="P17" s="36"/>
      <c r="Q17" s="36"/>
      <c r="R17" s="36"/>
      <c r="S17" s="36"/>
      <c r="T17" s="49"/>
    </row>
    <row r="18" spans="1:20" s="39" customFormat="1" ht="30.75" customHeight="1">
      <c r="A18" s="50"/>
      <c r="B18" s="50"/>
      <c r="C18" s="50"/>
      <c r="D18" s="51"/>
      <c r="E18" s="52"/>
      <c r="F18" s="52"/>
      <c r="G18" s="52"/>
      <c r="H18" s="139"/>
      <c r="I18" s="139"/>
      <c r="J18" s="139"/>
      <c r="K18" s="51"/>
      <c r="L18" s="53"/>
      <c r="M18" s="50"/>
      <c r="N18" s="51"/>
      <c r="O18" s="51"/>
      <c r="P18" s="54"/>
      <c r="Q18" s="51"/>
      <c r="R18" s="54"/>
      <c r="S18" s="54"/>
      <c r="T18" s="49"/>
    </row>
    <row r="19" spans="1:20" s="103" customFormat="1" ht="27" customHeight="1">
      <c r="A19" s="55" t="s">
        <v>28</v>
      </c>
      <c r="B19" s="55"/>
      <c r="C19" s="55" t="s">
        <v>29</v>
      </c>
      <c r="D19" s="133" t="s">
        <v>30</v>
      </c>
      <c r="E19" s="134"/>
      <c r="F19" s="56" t="s">
        <v>31</v>
      </c>
      <c r="G19" s="56" t="s">
        <v>32</v>
      </c>
      <c r="H19" s="57" t="s">
        <v>33</v>
      </c>
      <c r="I19" s="57" t="s">
        <v>34</v>
      </c>
      <c r="J19" s="4" t="str">
        <f>CONCATENATE("Unit Price ","( ",Currency," )")</f>
        <v>Unit Price ( USD )</v>
      </c>
      <c r="K19" s="3"/>
      <c r="L19" s="57" t="s">
        <v>35</v>
      </c>
      <c r="M19" s="57" t="s">
        <v>36</v>
      </c>
      <c r="N19" s="57" t="s">
        <v>37</v>
      </c>
      <c r="O19" s="57" t="s">
        <v>13</v>
      </c>
      <c r="P19" s="4" t="s">
        <v>38</v>
      </c>
      <c r="Q19" s="3"/>
      <c r="R19" s="4" t="s">
        <v>39</v>
      </c>
      <c r="S19" s="3"/>
      <c r="T19" s="58"/>
    </row>
    <row r="20" spans="1:20" ht="24" customHeight="1">
      <c r="A20" s="59">
        <v>1</v>
      </c>
      <c r="B20" s="59">
        <v>99990008655559</v>
      </c>
      <c r="C20" s="60">
        <v>450702</v>
      </c>
      <c r="D20" s="148" t="s">
        <v>40</v>
      </c>
      <c r="E20" s="149"/>
      <c r="F20" s="61">
        <v>450702</v>
      </c>
      <c r="G20" s="61" t="s">
        <v>41</v>
      </c>
      <c r="H20" s="62">
        <v>0</v>
      </c>
      <c r="I20" s="63">
        <v>6</v>
      </c>
      <c r="J20" s="150">
        <v>1.97</v>
      </c>
      <c r="K20" s="151"/>
      <c r="L20" s="63">
        <v>0</v>
      </c>
      <c r="M20" s="63">
        <v>0</v>
      </c>
      <c r="N20" s="64">
        <f t="shared" ref="N20:N51" si="0">ROUND(((I20*J20)-((I20*J20)*L20/100))+(((I20*J20)-((I20*J20)*L20/100))*M20/100),2)</f>
        <v>11.82</v>
      </c>
      <c r="O20" s="62">
        <f>M11</f>
        <v>3</v>
      </c>
      <c r="P20" s="119" t="s">
        <v>269</v>
      </c>
      <c r="Q20" s="120"/>
      <c r="R20" s="2"/>
      <c r="S20" s="1"/>
      <c r="T20" s="69"/>
    </row>
    <row r="21" spans="1:20" ht="24" customHeight="1">
      <c r="A21" s="59">
        <v>2</v>
      </c>
      <c r="B21" s="59">
        <v>99990010270443</v>
      </c>
      <c r="C21" s="60">
        <v>490505</v>
      </c>
      <c r="D21" s="148" t="s">
        <v>42</v>
      </c>
      <c r="E21" s="149"/>
      <c r="F21" s="61">
        <v>490505</v>
      </c>
      <c r="G21" s="61" t="s">
        <v>43</v>
      </c>
      <c r="H21" s="62">
        <v>0</v>
      </c>
      <c r="I21" s="63">
        <v>2</v>
      </c>
      <c r="J21" s="150">
        <v>1.72</v>
      </c>
      <c r="K21" s="151"/>
      <c r="L21" s="63">
        <v>0</v>
      </c>
      <c r="M21" s="63">
        <v>0</v>
      </c>
      <c r="N21" s="64">
        <f t="shared" si="0"/>
        <v>3.44</v>
      </c>
      <c r="O21" s="62">
        <f>M11</f>
        <v>3</v>
      </c>
      <c r="P21" s="65"/>
      <c r="Q21" s="66"/>
      <c r="R21" s="67"/>
      <c r="S21" s="68"/>
      <c r="T21" s="69"/>
    </row>
    <row r="22" spans="1:20" ht="24" customHeight="1">
      <c r="A22" s="59">
        <v>3</v>
      </c>
      <c r="B22" s="59">
        <v>99990010313566</v>
      </c>
      <c r="C22" s="60">
        <v>510138</v>
      </c>
      <c r="D22" s="148" t="s">
        <v>44</v>
      </c>
      <c r="E22" s="149"/>
      <c r="F22" s="61">
        <v>510138</v>
      </c>
      <c r="G22" s="61" t="s">
        <v>43</v>
      </c>
      <c r="H22" s="62">
        <v>0</v>
      </c>
      <c r="I22" s="63">
        <v>10</v>
      </c>
      <c r="J22" s="150">
        <v>0.34</v>
      </c>
      <c r="K22" s="151"/>
      <c r="L22" s="63">
        <v>0</v>
      </c>
      <c r="M22" s="63">
        <v>0</v>
      </c>
      <c r="N22" s="64">
        <f t="shared" si="0"/>
        <v>3.4</v>
      </c>
      <c r="O22" s="62">
        <f>M11</f>
        <v>3</v>
      </c>
      <c r="P22" s="65"/>
      <c r="Q22" s="66"/>
      <c r="R22" s="67"/>
      <c r="S22" s="68"/>
      <c r="T22" s="69"/>
    </row>
    <row r="23" spans="1:20" ht="24" customHeight="1">
      <c r="A23" s="59">
        <v>4</v>
      </c>
      <c r="B23" s="59">
        <v>99990008655455</v>
      </c>
      <c r="C23" s="60">
        <v>174272</v>
      </c>
      <c r="D23" s="148" t="s">
        <v>45</v>
      </c>
      <c r="E23" s="149"/>
      <c r="F23" s="61">
        <v>174272</v>
      </c>
      <c r="G23" s="61" t="s">
        <v>43</v>
      </c>
      <c r="H23" s="62">
        <v>0</v>
      </c>
      <c r="I23" s="63">
        <v>10</v>
      </c>
      <c r="J23" s="150">
        <v>0.83</v>
      </c>
      <c r="K23" s="151"/>
      <c r="L23" s="63">
        <v>0</v>
      </c>
      <c r="M23" s="63">
        <v>0</v>
      </c>
      <c r="N23" s="64">
        <f t="shared" si="0"/>
        <v>8.3000000000000007</v>
      </c>
      <c r="O23" s="62">
        <f>M11</f>
        <v>3</v>
      </c>
      <c r="P23" s="65"/>
      <c r="Q23" s="66"/>
      <c r="R23" s="67"/>
      <c r="S23" s="68"/>
      <c r="T23" s="69"/>
    </row>
    <row r="24" spans="1:20" ht="24" customHeight="1">
      <c r="A24" s="59">
        <v>5</v>
      </c>
      <c r="B24" s="59">
        <v>99990008655578</v>
      </c>
      <c r="C24" s="60">
        <v>510801</v>
      </c>
      <c r="D24" s="148" t="s">
        <v>46</v>
      </c>
      <c r="E24" s="149"/>
      <c r="F24" s="61">
        <v>510801</v>
      </c>
      <c r="G24" s="61" t="s">
        <v>43</v>
      </c>
      <c r="H24" s="62">
        <v>0</v>
      </c>
      <c r="I24" s="63">
        <v>10</v>
      </c>
      <c r="J24" s="150">
        <v>1.68</v>
      </c>
      <c r="K24" s="151"/>
      <c r="L24" s="63">
        <v>0</v>
      </c>
      <c r="M24" s="63">
        <v>0</v>
      </c>
      <c r="N24" s="64">
        <f t="shared" si="0"/>
        <v>16.8</v>
      </c>
      <c r="O24" s="62">
        <f>M11</f>
        <v>3</v>
      </c>
      <c r="P24" s="65"/>
      <c r="Q24" s="66"/>
      <c r="R24" s="67"/>
      <c r="S24" s="68"/>
      <c r="T24" s="69"/>
    </row>
    <row r="25" spans="1:20" ht="24" customHeight="1">
      <c r="A25" s="59">
        <v>6</v>
      </c>
      <c r="B25" s="59">
        <v>99990008191616</v>
      </c>
      <c r="C25" s="60">
        <v>616760</v>
      </c>
      <c r="D25" s="148" t="s">
        <v>47</v>
      </c>
      <c r="E25" s="149"/>
      <c r="F25" s="61">
        <v>616760</v>
      </c>
      <c r="G25" s="61" t="s">
        <v>43</v>
      </c>
      <c r="H25" s="62">
        <v>0</v>
      </c>
      <c r="I25" s="63">
        <v>1</v>
      </c>
      <c r="J25" s="150">
        <v>2</v>
      </c>
      <c r="K25" s="151"/>
      <c r="L25" s="63">
        <v>0</v>
      </c>
      <c r="M25" s="63">
        <v>0</v>
      </c>
      <c r="N25" s="64">
        <f t="shared" si="0"/>
        <v>2</v>
      </c>
      <c r="O25" s="62">
        <f>M11</f>
        <v>3</v>
      </c>
      <c r="P25" s="65"/>
      <c r="Q25" s="66"/>
      <c r="R25" s="67"/>
      <c r="S25" s="68"/>
      <c r="T25" s="69"/>
    </row>
    <row r="26" spans="1:20" ht="24" customHeight="1">
      <c r="A26" s="59">
        <v>7</v>
      </c>
      <c r="B26" s="59">
        <v>99990008658169</v>
      </c>
      <c r="C26" s="60">
        <v>617017</v>
      </c>
      <c r="D26" s="148" t="s">
        <v>48</v>
      </c>
      <c r="E26" s="149"/>
      <c r="F26" s="61">
        <v>617017</v>
      </c>
      <c r="G26" s="61" t="s">
        <v>43</v>
      </c>
      <c r="H26" s="62">
        <v>0</v>
      </c>
      <c r="I26" s="63">
        <v>4</v>
      </c>
      <c r="J26" s="150">
        <v>1.47</v>
      </c>
      <c r="K26" s="151"/>
      <c r="L26" s="63">
        <v>0</v>
      </c>
      <c r="M26" s="63">
        <v>0</v>
      </c>
      <c r="N26" s="64">
        <f t="shared" si="0"/>
        <v>5.88</v>
      </c>
      <c r="O26" s="62">
        <f>M11</f>
        <v>3</v>
      </c>
      <c r="P26" s="65"/>
      <c r="Q26" s="66"/>
      <c r="R26" s="67"/>
      <c r="S26" s="68"/>
      <c r="T26" s="69"/>
    </row>
    <row r="27" spans="1:20" ht="24" customHeight="1">
      <c r="A27" s="59">
        <v>8</v>
      </c>
      <c r="B27" s="59">
        <v>99990008658037</v>
      </c>
      <c r="C27" s="60">
        <v>613402</v>
      </c>
      <c r="D27" s="148" t="s">
        <v>49</v>
      </c>
      <c r="E27" s="149"/>
      <c r="F27" s="61">
        <v>613402</v>
      </c>
      <c r="G27" s="61" t="s">
        <v>43</v>
      </c>
      <c r="H27" s="62">
        <v>0</v>
      </c>
      <c r="I27" s="63">
        <v>1</v>
      </c>
      <c r="J27" s="150">
        <v>1.29</v>
      </c>
      <c r="K27" s="151"/>
      <c r="L27" s="63">
        <v>0</v>
      </c>
      <c r="M27" s="63">
        <v>0</v>
      </c>
      <c r="N27" s="64">
        <f t="shared" si="0"/>
        <v>1.29</v>
      </c>
      <c r="O27" s="62">
        <f>M11</f>
        <v>3</v>
      </c>
      <c r="P27" s="65"/>
      <c r="Q27" s="66"/>
      <c r="R27" s="67"/>
      <c r="S27" s="68"/>
      <c r="T27" s="69"/>
    </row>
    <row r="28" spans="1:20" ht="24" customHeight="1">
      <c r="A28" s="59">
        <v>9</v>
      </c>
      <c r="B28" s="59">
        <v>99990011222854</v>
      </c>
      <c r="C28" s="60">
        <v>617716</v>
      </c>
      <c r="D28" s="148" t="s">
        <v>50</v>
      </c>
      <c r="E28" s="149"/>
      <c r="F28" s="61">
        <v>617716</v>
      </c>
      <c r="G28" s="61" t="s">
        <v>43</v>
      </c>
      <c r="H28" s="62">
        <v>0</v>
      </c>
      <c r="I28" s="63">
        <v>1</v>
      </c>
      <c r="J28" s="150">
        <v>5.73</v>
      </c>
      <c r="K28" s="151"/>
      <c r="L28" s="63">
        <v>0</v>
      </c>
      <c r="M28" s="63">
        <v>0</v>
      </c>
      <c r="N28" s="64">
        <f t="shared" si="0"/>
        <v>5.73</v>
      </c>
      <c r="O28" s="62">
        <f>M11</f>
        <v>3</v>
      </c>
      <c r="P28" s="65"/>
      <c r="Q28" s="66"/>
      <c r="R28" s="67"/>
      <c r="S28" s="68"/>
      <c r="T28" s="69"/>
    </row>
    <row r="29" spans="1:20" ht="24" customHeight="1">
      <c r="A29" s="59">
        <v>10</v>
      </c>
      <c r="B29" s="59">
        <v>99990008658191</v>
      </c>
      <c r="C29" s="60">
        <v>630138</v>
      </c>
      <c r="D29" s="148" t="s">
        <v>51</v>
      </c>
      <c r="E29" s="149"/>
      <c r="F29" s="61">
        <v>630138</v>
      </c>
      <c r="G29" s="61" t="s">
        <v>43</v>
      </c>
      <c r="H29" s="62">
        <v>0</v>
      </c>
      <c r="I29" s="63">
        <v>6</v>
      </c>
      <c r="J29" s="150">
        <v>0.26</v>
      </c>
      <c r="K29" s="151"/>
      <c r="L29" s="63">
        <v>0</v>
      </c>
      <c r="M29" s="63">
        <v>0</v>
      </c>
      <c r="N29" s="64">
        <f t="shared" si="0"/>
        <v>1.56</v>
      </c>
      <c r="O29" s="62">
        <f>M11</f>
        <v>3</v>
      </c>
      <c r="P29" s="65"/>
      <c r="Q29" s="66"/>
      <c r="R29" s="67"/>
      <c r="S29" s="68"/>
      <c r="T29" s="69"/>
    </row>
    <row r="30" spans="1:20" ht="24" customHeight="1">
      <c r="A30" s="59">
        <v>11</v>
      </c>
      <c r="B30" s="59">
        <v>99990008658193</v>
      </c>
      <c r="C30" s="60">
        <v>630148</v>
      </c>
      <c r="D30" s="148" t="s">
        <v>52</v>
      </c>
      <c r="E30" s="149"/>
      <c r="F30" s="61">
        <v>630148</v>
      </c>
      <c r="G30" s="61" t="s">
        <v>43</v>
      </c>
      <c r="H30" s="62">
        <v>0</v>
      </c>
      <c r="I30" s="63">
        <v>5</v>
      </c>
      <c r="J30" s="150">
        <v>0.36</v>
      </c>
      <c r="K30" s="151"/>
      <c r="L30" s="63">
        <v>0</v>
      </c>
      <c r="M30" s="63">
        <v>0</v>
      </c>
      <c r="N30" s="64">
        <f t="shared" si="0"/>
        <v>1.8</v>
      </c>
      <c r="O30" s="62">
        <f>M11</f>
        <v>3</v>
      </c>
      <c r="P30" s="65"/>
      <c r="Q30" s="66"/>
      <c r="R30" s="67"/>
      <c r="S30" s="68"/>
      <c r="T30" s="69"/>
    </row>
    <row r="31" spans="1:20" ht="24" customHeight="1">
      <c r="A31" s="59">
        <v>12</v>
      </c>
      <c r="B31" s="59">
        <v>99990008656226</v>
      </c>
      <c r="C31" s="60">
        <v>591172</v>
      </c>
      <c r="D31" s="148" t="s">
        <v>53</v>
      </c>
      <c r="E31" s="149"/>
      <c r="F31" s="61">
        <v>591172</v>
      </c>
      <c r="G31" s="61" t="s">
        <v>54</v>
      </c>
      <c r="H31" s="62">
        <v>0</v>
      </c>
      <c r="I31" s="63">
        <v>1</v>
      </c>
      <c r="J31" s="150">
        <v>32.450000000000003</v>
      </c>
      <c r="K31" s="151"/>
      <c r="L31" s="63">
        <v>0</v>
      </c>
      <c r="M31" s="63">
        <v>0</v>
      </c>
      <c r="N31" s="64">
        <f t="shared" si="0"/>
        <v>32.450000000000003</v>
      </c>
      <c r="O31" s="62">
        <f>M11</f>
        <v>3</v>
      </c>
      <c r="P31" s="65" t="s">
        <v>270</v>
      </c>
      <c r="Q31" s="66"/>
      <c r="R31" s="67"/>
      <c r="S31" s="68"/>
      <c r="T31" s="69"/>
    </row>
    <row r="32" spans="1:20" ht="24" customHeight="1">
      <c r="A32" s="59">
        <v>13</v>
      </c>
      <c r="B32" s="59">
        <v>99990010839544</v>
      </c>
      <c r="C32" s="60">
        <v>591173</v>
      </c>
      <c r="D32" s="148" t="s">
        <v>55</v>
      </c>
      <c r="E32" s="149"/>
      <c r="F32" s="61">
        <v>591173</v>
      </c>
      <c r="G32" s="61" t="s">
        <v>56</v>
      </c>
      <c r="H32" s="62">
        <v>0</v>
      </c>
      <c r="I32" s="63">
        <v>1</v>
      </c>
      <c r="J32" s="150">
        <v>1.4</v>
      </c>
      <c r="K32" s="151"/>
      <c r="L32" s="63">
        <v>0</v>
      </c>
      <c r="M32" s="63">
        <v>0</v>
      </c>
      <c r="N32" s="64">
        <f t="shared" si="0"/>
        <v>1.4</v>
      </c>
      <c r="O32" s="62">
        <f>M11</f>
        <v>3</v>
      </c>
      <c r="P32" s="65" t="s">
        <v>271</v>
      </c>
      <c r="Q32" s="66"/>
      <c r="R32" s="67"/>
      <c r="S32" s="68"/>
      <c r="T32" s="69"/>
    </row>
    <row r="33" spans="1:20" ht="24" customHeight="1">
      <c r="A33" s="59">
        <v>14</v>
      </c>
      <c r="B33" s="59">
        <v>99990008656227</v>
      </c>
      <c r="C33" s="60">
        <v>591174</v>
      </c>
      <c r="D33" s="148" t="s">
        <v>57</v>
      </c>
      <c r="E33" s="149"/>
      <c r="F33" s="61">
        <v>591174</v>
      </c>
      <c r="G33" s="61" t="s">
        <v>43</v>
      </c>
      <c r="H33" s="62">
        <v>0</v>
      </c>
      <c r="I33" s="63">
        <v>1</v>
      </c>
      <c r="J33" s="150">
        <v>6.9</v>
      </c>
      <c r="K33" s="151"/>
      <c r="L33" s="63">
        <v>0</v>
      </c>
      <c r="M33" s="63">
        <v>0</v>
      </c>
      <c r="N33" s="64">
        <f t="shared" si="0"/>
        <v>6.9</v>
      </c>
      <c r="O33" s="62">
        <f>M11</f>
        <v>3</v>
      </c>
      <c r="P33" s="65" t="s">
        <v>272</v>
      </c>
      <c r="Q33" s="66"/>
      <c r="R33" s="67"/>
      <c r="S33" s="68"/>
      <c r="T33" s="69"/>
    </row>
    <row r="34" spans="1:20" ht="24" customHeight="1">
      <c r="A34" s="59">
        <v>15</v>
      </c>
      <c r="B34" s="59">
        <v>99990010763549</v>
      </c>
      <c r="C34" s="60">
        <v>691137</v>
      </c>
      <c r="D34" s="148" t="s">
        <v>58</v>
      </c>
      <c r="E34" s="149"/>
      <c r="F34" s="61">
        <v>691137</v>
      </c>
      <c r="G34" s="61" t="s">
        <v>54</v>
      </c>
      <c r="H34" s="62">
        <v>0</v>
      </c>
      <c r="I34" s="63">
        <v>100</v>
      </c>
      <c r="J34" s="150">
        <v>0.03</v>
      </c>
      <c r="K34" s="151"/>
      <c r="L34" s="63">
        <v>0</v>
      </c>
      <c r="M34" s="63">
        <v>0</v>
      </c>
      <c r="N34" s="64">
        <f t="shared" si="0"/>
        <v>3</v>
      </c>
      <c r="O34" s="62">
        <f>M11</f>
        <v>3</v>
      </c>
      <c r="P34" s="65"/>
      <c r="Q34" s="66"/>
      <c r="R34" s="67"/>
      <c r="S34" s="68"/>
      <c r="T34" s="69"/>
    </row>
    <row r="35" spans="1:20" ht="24" customHeight="1">
      <c r="A35" s="59">
        <v>16</v>
      </c>
      <c r="B35" s="59">
        <v>99990008655577</v>
      </c>
      <c r="C35" s="60">
        <v>510787</v>
      </c>
      <c r="D35" s="148" t="s">
        <v>59</v>
      </c>
      <c r="E35" s="149"/>
      <c r="F35" s="61">
        <v>510787</v>
      </c>
      <c r="G35" s="61" t="s">
        <v>43</v>
      </c>
      <c r="H35" s="62">
        <v>0</v>
      </c>
      <c r="I35" s="63">
        <v>10</v>
      </c>
      <c r="J35" s="150">
        <v>0.5</v>
      </c>
      <c r="K35" s="151"/>
      <c r="L35" s="63">
        <v>0</v>
      </c>
      <c r="M35" s="63">
        <v>0</v>
      </c>
      <c r="N35" s="64">
        <f t="shared" si="0"/>
        <v>5</v>
      </c>
      <c r="O35" s="62">
        <f>M11</f>
        <v>3</v>
      </c>
      <c r="P35" s="65"/>
      <c r="Q35" s="66"/>
      <c r="R35" s="67"/>
      <c r="S35" s="68"/>
      <c r="T35" s="69"/>
    </row>
    <row r="36" spans="1:20" ht="24" customHeight="1">
      <c r="A36" s="59">
        <v>17</v>
      </c>
      <c r="B36" s="59">
        <v>99990008656316</v>
      </c>
      <c r="C36" s="60">
        <v>610771</v>
      </c>
      <c r="D36" s="148" t="s">
        <v>60</v>
      </c>
      <c r="E36" s="149"/>
      <c r="F36" s="61">
        <v>610771</v>
      </c>
      <c r="G36" s="61" t="s">
        <v>43</v>
      </c>
      <c r="H36" s="62">
        <v>0</v>
      </c>
      <c r="I36" s="63">
        <v>2</v>
      </c>
      <c r="J36" s="150">
        <v>1</v>
      </c>
      <c r="K36" s="151"/>
      <c r="L36" s="63">
        <v>0</v>
      </c>
      <c r="M36" s="63">
        <v>0</v>
      </c>
      <c r="N36" s="64">
        <f t="shared" si="0"/>
        <v>2</v>
      </c>
      <c r="O36" s="62">
        <f>M11</f>
        <v>3</v>
      </c>
      <c r="P36" s="65"/>
      <c r="Q36" s="66"/>
      <c r="R36" s="67"/>
      <c r="S36" s="68"/>
      <c r="T36" s="69"/>
    </row>
    <row r="37" spans="1:20" ht="24" customHeight="1">
      <c r="A37" s="59">
        <v>18</v>
      </c>
      <c r="B37" s="59">
        <v>99990008656317</v>
      </c>
      <c r="C37" s="60">
        <v>610772</v>
      </c>
      <c r="D37" s="148" t="s">
        <v>61</v>
      </c>
      <c r="E37" s="149"/>
      <c r="F37" s="61">
        <v>610772</v>
      </c>
      <c r="G37" s="61" t="s">
        <v>43</v>
      </c>
      <c r="H37" s="62">
        <v>0</v>
      </c>
      <c r="I37" s="63">
        <v>2</v>
      </c>
      <c r="J37" s="150">
        <v>1.17</v>
      </c>
      <c r="K37" s="151"/>
      <c r="L37" s="63">
        <v>0</v>
      </c>
      <c r="M37" s="63">
        <v>0</v>
      </c>
      <c r="N37" s="64">
        <f t="shared" si="0"/>
        <v>2.34</v>
      </c>
      <c r="O37" s="62">
        <f>M11</f>
        <v>3</v>
      </c>
      <c r="P37" s="65"/>
      <c r="Q37" s="66"/>
      <c r="R37" s="67"/>
      <c r="S37" s="68"/>
      <c r="T37" s="69"/>
    </row>
    <row r="38" spans="1:20" ht="24" customHeight="1">
      <c r="A38" s="59">
        <v>19</v>
      </c>
      <c r="B38" s="59">
        <v>99990008656313</v>
      </c>
      <c r="C38" s="60">
        <v>610768</v>
      </c>
      <c r="D38" s="148" t="s">
        <v>62</v>
      </c>
      <c r="E38" s="149"/>
      <c r="F38" s="61">
        <v>610768</v>
      </c>
      <c r="G38" s="61" t="s">
        <v>43</v>
      </c>
      <c r="H38" s="62">
        <v>0</v>
      </c>
      <c r="I38" s="63">
        <v>2</v>
      </c>
      <c r="J38" s="150">
        <v>0.72</v>
      </c>
      <c r="K38" s="151"/>
      <c r="L38" s="63">
        <v>0</v>
      </c>
      <c r="M38" s="63">
        <v>0</v>
      </c>
      <c r="N38" s="64">
        <f t="shared" si="0"/>
        <v>1.44</v>
      </c>
      <c r="O38" s="62">
        <f>M11</f>
        <v>3</v>
      </c>
      <c r="P38" s="65"/>
      <c r="Q38" s="66"/>
      <c r="R38" s="67"/>
      <c r="S38" s="68"/>
      <c r="T38" s="69"/>
    </row>
    <row r="39" spans="1:20" ht="24" customHeight="1">
      <c r="A39" s="59">
        <v>20</v>
      </c>
      <c r="B39" s="59">
        <v>99990008657543</v>
      </c>
      <c r="C39" s="60">
        <v>811288</v>
      </c>
      <c r="D39" s="148" t="s">
        <v>63</v>
      </c>
      <c r="E39" s="149"/>
      <c r="F39" s="61">
        <v>811288</v>
      </c>
      <c r="G39" s="61" t="s">
        <v>54</v>
      </c>
      <c r="H39" s="62">
        <v>0</v>
      </c>
      <c r="I39" s="63">
        <v>1</v>
      </c>
      <c r="J39" s="150">
        <v>32.909999999999997</v>
      </c>
      <c r="K39" s="151"/>
      <c r="L39" s="63">
        <v>0</v>
      </c>
      <c r="M39" s="63">
        <v>0</v>
      </c>
      <c r="N39" s="64">
        <f t="shared" si="0"/>
        <v>32.909999999999997</v>
      </c>
      <c r="O39" s="62">
        <f>M11</f>
        <v>3</v>
      </c>
      <c r="P39" s="65"/>
      <c r="Q39" s="66"/>
      <c r="R39" s="67"/>
      <c r="S39" s="68"/>
      <c r="T39" s="69"/>
    </row>
    <row r="40" spans="1:20" ht="24" customHeight="1">
      <c r="A40" s="59">
        <v>21</v>
      </c>
      <c r="B40" s="59">
        <v>99990010545728</v>
      </c>
      <c r="C40" s="60">
        <v>812344</v>
      </c>
      <c r="D40" s="148" t="s">
        <v>64</v>
      </c>
      <c r="E40" s="149"/>
      <c r="F40" s="61">
        <v>812344</v>
      </c>
      <c r="G40" s="61" t="s">
        <v>54</v>
      </c>
      <c r="H40" s="62">
        <v>0</v>
      </c>
      <c r="I40" s="63">
        <v>1</v>
      </c>
      <c r="J40" s="150">
        <v>16.25</v>
      </c>
      <c r="K40" s="151"/>
      <c r="L40" s="63">
        <v>0</v>
      </c>
      <c r="M40" s="63">
        <v>0</v>
      </c>
      <c r="N40" s="64">
        <f t="shared" si="0"/>
        <v>16.25</v>
      </c>
      <c r="O40" s="62">
        <f>M11</f>
        <v>3</v>
      </c>
      <c r="P40" s="65" t="s">
        <v>273</v>
      </c>
      <c r="Q40" s="66"/>
      <c r="R40" s="67"/>
      <c r="S40" s="68"/>
      <c r="T40" s="69"/>
    </row>
    <row r="41" spans="1:20" ht="24" customHeight="1">
      <c r="A41" s="59">
        <v>22</v>
      </c>
      <c r="B41" s="59">
        <v>99990008655869</v>
      </c>
      <c r="C41" s="60">
        <v>812501</v>
      </c>
      <c r="D41" s="148" t="s">
        <v>65</v>
      </c>
      <c r="E41" s="149"/>
      <c r="F41" s="61">
        <v>812501</v>
      </c>
      <c r="G41" s="61" t="s">
        <v>43</v>
      </c>
      <c r="H41" s="62">
        <v>0</v>
      </c>
      <c r="I41" s="63">
        <v>10</v>
      </c>
      <c r="J41" s="150">
        <v>0.18</v>
      </c>
      <c r="K41" s="151"/>
      <c r="L41" s="63">
        <v>0</v>
      </c>
      <c r="M41" s="63">
        <v>0</v>
      </c>
      <c r="N41" s="64">
        <f t="shared" si="0"/>
        <v>1.8</v>
      </c>
      <c r="O41" s="62">
        <f>M11</f>
        <v>3</v>
      </c>
      <c r="P41" s="65"/>
      <c r="Q41" s="66"/>
      <c r="R41" s="67"/>
      <c r="S41" s="68"/>
      <c r="T41" s="69"/>
    </row>
    <row r="42" spans="1:20" ht="24" customHeight="1">
      <c r="A42" s="59">
        <v>23</v>
      </c>
      <c r="B42" s="59">
        <v>99990008656942</v>
      </c>
      <c r="C42" s="60">
        <v>812702</v>
      </c>
      <c r="D42" s="148" t="s">
        <v>66</v>
      </c>
      <c r="E42" s="149"/>
      <c r="F42" s="61">
        <v>812702</v>
      </c>
      <c r="G42" s="61" t="s">
        <v>67</v>
      </c>
      <c r="H42" s="62">
        <v>0</v>
      </c>
      <c r="I42" s="63">
        <v>6</v>
      </c>
      <c r="J42" s="150">
        <v>1.2</v>
      </c>
      <c r="K42" s="151"/>
      <c r="L42" s="63">
        <v>0</v>
      </c>
      <c r="M42" s="63">
        <v>0</v>
      </c>
      <c r="N42" s="64">
        <f t="shared" si="0"/>
        <v>7.2</v>
      </c>
      <c r="O42" s="62">
        <f>M11</f>
        <v>3</v>
      </c>
      <c r="P42" s="65"/>
      <c r="Q42" s="66"/>
      <c r="R42" s="67"/>
      <c r="S42" s="68"/>
      <c r="T42" s="69"/>
    </row>
    <row r="43" spans="1:20" ht="24" customHeight="1">
      <c r="A43" s="59">
        <v>24</v>
      </c>
      <c r="B43" s="59">
        <v>99990008656965</v>
      </c>
      <c r="C43" s="60">
        <v>813101</v>
      </c>
      <c r="D43" s="148" t="s">
        <v>68</v>
      </c>
      <c r="E43" s="149"/>
      <c r="F43" s="61">
        <v>813101</v>
      </c>
      <c r="G43" s="61" t="s">
        <v>69</v>
      </c>
      <c r="H43" s="62">
        <v>0</v>
      </c>
      <c r="I43" s="63">
        <v>25</v>
      </c>
      <c r="J43" s="150">
        <v>0.98</v>
      </c>
      <c r="K43" s="151"/>
      <c r="L43" s="63">
        <v>0</v>
      </c>
      <c r="M43" s="63">
        <v>0</v>
      </c>
      <c r="N43" s="64">
        <f t="shared" si="0"/>
        <v>24.5</v>
      </c>
      <c r="O43" s="62">
        <f>M11</f>
        <v>3</v>
      </c>
      <c r="P43" s="65" t="s">
        <v>274</v>
      </c>
      <c r="Q43" s="66"/>
      <c r="R43" s="67"/>
      <c r="S43" s="68"/>
      <c r="T43" s="69"/>
    </row>
    <row r="44" spans="1:20" ht="24" customHeight="1">
      <c r="A44" s="59">
        <v>25</v>
      </c>
      <c r="B44" s="59">
        <v>99990008656915</v>
      </c>
      <c r="C44" s="60">
        <v>232921</v>
      </c>
      <c r="D44" s="148" t="s">
        <v>70</v>
      </c>
      <c r="E44" s="149"/>
      <c r="F44" s="61">
        <v>232921</v>
      </c>
      <c r="G44" s="61" t="s">
        <v>71</v>
      </c>
      <c r="H44" s="62">
        <v>0</v>
      </c>
      <c r="I44" s="63">
        <v>2</v>
      </c>
      <c r="J44" s="150">
        <v>30.28</v>
      </c>
      <c r="K44" s="151"/>
      <c r="L44" s="63">
        <v>0</v>
      </c>
      <c r="M44" s="63">
        <v>0</v>
      </c>
      <c r="N44" s="64">
        <f t="shared" si="0"/>
        <v>60.56</v>
      </c>
      <c r="O44" s="62">
        <f>M11</f>
        <v>3</v>
      </c>
      <c r="P44" s="65"/>
      <c r="Q44" s="66"/>
      <c r="R44" s="67"/>
      <c r="S44" s="68"/>
      <c r="T44" s="69"/>
    </row>
    <row r="45" spans="1:20" ht="24" customHeight="1">
      <c r="A45" s="59">
        <v>26</v>
      </c>
      <c r="B45" s="59">
        <v>99990008655440</v>
      </c>
      <c r="C45" s="60">
        <v>174171</v>
      </c>
      <c r="D45" s="148" t="s">
        <v>72</v>
      </c>
      <c r="E45" s="149"/>
      <c r="F45" s="61">
        <v>174171</v>
      </c>
      <c r="G45" s="61" t="s">
        <v>56</v>
      </c>
      <c r="H45" s="62">
        <v>0</v>
      </c>
      <c r="I45" s="63">
        <v>10</v>
      </c>
      <c r="J45" s="150">
        <v>0.49</v>
      </c>
      <c r="K45" s="151"/>
      <c r="L45" s="63">
        <v>0</v>
      </c>
      <c r="M45" s="63">
        <v>0</v>
      </c>
      <c r="N45" s="64">
        <f t="shared" si="0"/>
        <v>4.9000000000000004</v>
      </c>
      <c r="O45" s="62">
        <f>M11</f>
        <v>3</v>
      </c>
      <c r="P45" s="65"/>
      <c r="Q45" s="66"/>
      <c r="R45" s="67"/>
      <c r="S45" s="68"/>
      <c r="T45" s="69"/>
    </row>
    <row r="46" spans="1:20" ht="24" customHeight="1">
      <c r="A46" s="59">
        <v>27</v>
      </c>
      <c r="B46" s="59">
        <v>99990008655515</v>
      </c>
      <c r="C46" s="60">
        <v>232907</v>
      </c>
      <c r="D46" s="148" t="s">
        <v>73</v>
      </c>
      <c r="E46" s="149"/>
      <c r="F46" s="61">
        <v>232907</v>
      </c>
      <c r="G46" s="61" t="s">
        <v>74</v>
      </c>
      <c r="H46" s="62">
        <v>0</v>
      </c>
      <c r="I46" s="63">
        <v>100</v>
      </c>
      <c r="J46" s="150">
        <v>1.06</v>
      </c>
      <c r="K46" s="151"/>
      <c r="L46" s="63">
        <v>0</v>
      </c>
      <c r="M46" s="63">
        <v>0</v>
      </c>
      <c r="N46" s="64">
        <f t="shared" si="0"/>
        <v>106</v>
      </c>
      <c r="O46" s="62">
        <f>M11</f>
        <v>3</v>
      </c>
      <c r="P46" s="65" t="s">
        <v>275</v>
      </c>
      <c r="Q46" s="66"/>
      <c r="R46" s="67"/>
      <c r="S46" s="68"/>
      <c r="T46" s="69"/>
    </row>
    <row r="47" spans="1:20" ht="24" customHeight="1">
      <c r="A47" s="59">
        <v>28</v>
      </c>
      <c r="B47" s="59">
        <v>99990009813152</v>
      </c>
      <c r="C47" s="60">
        <v>756601</v>
      </c>
      <c r="D47" s="148" t="s">
        <v>75</v>
      </c>
      <c r="E47" s="149"/>
      <c r="F47" s="61">
        <v>756601</v>
      </c>
      <c r="G47" s="61" t="s">
        <v>43</v>
      </c>
      <c r="H47" s="62">
        <v>0</v>
      </c>
      <c r="I47" s="63">
        <v>2</v>
      </c>
      <c r="J47" s="150">
        <v>1.56</v>
      </c>
      <c r="K47" s="151"/>
      <c r="L47" s="63">
        <v>0</v>
      </c>
      <c r="M47" s="63">
        <v>0</v>
      </c>
      <c r="N47" s="64">
        <f t="shared" si="0"/>
        <v>3.12</v>
      </c>
      <c r="O47" s="62">
        <f>M11</f>
        <v>3</v>
      </c>
      <c r="P47" s="65"/>
      <c r="Q47" s="66"/>
      <c r="R47" s="67"/>
      <c r="S47" s="68"/>
      <c r="T47" s="69"/>
    </row>
    <row r="48" spans="1:20" ht="24" customHeight="1">
      <c r="A48" s="59">
        <v>29</v>
      </c>
      <c r="B48" s="59">
        <v>99990009573620</v>
      </c>
      <c r="C48" s="60">
        <v>2136569</v>
      </c>
      <c r="D48" s="148" t="s">
        <v>76</v>
      </c>
      <c r="E48" s="149"/>
      <c r="F48" s="61">
        <v>756603</v>
      </c>
      <c r="G48" s="61" t="s">
        <v>43</v>
      </c>
      <c r="H48" s="62">
        <v>0</v>
      </c>
      <c r="I48" s="63">
        <v>2</v>
      </c>
      <c r="J48" s="150">
        <v>2.2000000000000002</v>
      </c>
      <c r="K48" s="151"/>
      <c r="L48" s="63">
        <v>0</v>
      </c>
      <c r="M48" s="63">
        <v>0</v>
      </c>
      <c r="N48" s="64">
        <f t="shared" si="0"/>
        <v>4.4000000000000004</v>
      </c>
      <c r="O48" s="62">
        <f>M11</f>
        <v>3</v>
      </c>
      <c r="P48" s="65"/>
      <c r="Q48" s="66"/>
      <c r="R48" s="67"/>
      <c r="S48" s="68"/>
      <c r="T48" s="69"/>
    </row>
    <row r="49" spans="1:20" ht="24" customHeight="1">
      <c r="A49" s="59">
        <v>30</v>
      </c>
      <c r="B49" s="59">
        <v>99990008656213</v>
      </c>
      <c r="C49" s="60">
        <v>590721</v>
      </c>
      <c r="D49" s="148" t="s">
        <v>77</v>
      </c>
      <c r="E49" s="149"/>
      <c r="F49" s="61">
        <v>590721</v>
      </c>
      <c r="G49" s="61" t="s">
        <v>54</v>
      </c>
      <c r="H49" s="62">
        <v>0</v>
      </c>
      <c r="I49" s="63">
        <v>1</v>
      </c>
      <c r="J49" s="150">
        <v>39.299999999999997</v>
      </c>
      <c r="K49" s="151"/>
      <c r="L49" s="63">
        <v>0</v>
      </c>
      <c r="M49" s="63">
        <v>0</v>
      </c>
      <c r="N49" s="64">
        <f t="shared" si="0"/>
        <v>39.299999999999997</v>
      </c>
      <c r="O49" s="62">
        <f>M11</f>
        <v>3</v>
      </c>
      <c r="P49" s="65" t="s">
        <v>276</v>
      </c>
      <c r="Q49" s="66"/>
      <c r="R49" s="67"/>
      <c r="S49" s="68"/>
      <c r="T49" s="69"/>
    </row>
    <row r="50" spans="1:20" ht="24" customHeight="1">
      <c r="A50" s="59">
        <v>31</v>
      </c>
      <c r="B50" s="59">
        <v>99990011922628</v>
      </c>
      <c r="C50" s="60" t="s">
        <v>78</v>
      </c>
      <c r="D50" s="148" t="s">
        <v>79</v>
      </c>
      <c r="E50" s="149"/>
      <c r="F50" s="61" t="s">
        <v>78</v>
      </c>
      <c r="G50" s="61" t="s">
        <v>43</v>
      </c>
      <c r="H50" s="62">
        <v>0</v>
      </c>
      <c r="I50" s="63">
        <v>1</v>
      </c>
      <c r="J50" s="150">
        <v>2</v>
      </c>
      <c r="K50" s="151"/>
      <c r="L50" s="63">
        <v>0</v>
      </c>
      <c r="M50" s="63">
        <v>0</v>
      </c>
      <c r="N50" s="64">
        <f t="shared" si="0"/>
        <v>2</v>
      </c>
      <c r="O50" s="62">
        <f>M11</f>
        <v>3</v>
      </c>
      <c r="P50" s="65"/>
      <c r="Q50" s="66"/>
      <c r="R50" s="67"/>
      <c r="S50" s="68"/>
      <c r="T50" s="69"/>
    </row>
    <row r="51" spans="1:20" ht="24" customHeight="1">
      <c r="A51" s="59">
        <v>32</v>
      </c>
      <c r="B51" s="59">
        <v>99990011922632</v>
      </c>
      <c r="C51" s="60" t="s">
        <v>80</v>
      </c>
      <c r="D51" s="148" t="s">
        <v>81</v>
      </c>
      <c r="E51" s="149"/>
      <c r="F51" s="61" t="s">
        <v>80</v>
      </c>
      <c r="G51" s="61" t="s">
        <v>43</v>
      </c>
      <c r="H51" s="62">
        <v>0</v>
      </c>
      <c r="I51" s="63">
        <v>1</v>
      </c>
      <c r="J51" s="150">
        <v>7</v>
      </c>
      <c r="K51" s="151"/>
      <c r="L51" s="63">
        <v>0</v>
      </c>
      <c r="M51" s="63">
        <v>0</v>
      </c>
      <c r="N51" s="64">
        <f t="shared" si="0"/>
        <v>7</v>
      </c>
      <c r="O51" s="62">
        <f>M11</f>
        <v>3</v>
      </c>
      <c r="P51" s="65"/>
      <c r="Q51" s="66"/>
      <c r="R51" s="67"/>
      <c r="S51" s="68"/>
      <c r="T51" s="69"/>
    </row>
    <row r="52" spans="1:20" ht="24" customHeight="1">
      <c r="A52" s="59">
        <v>33</v>
      </c>
      <c r="B52" s="59">
        <v>99990011920138</v>
      </c>
      <c r="C52" s="60" t="s">
        <v>82</v>
      </c>
      <c r="D52" s="148" t="s">
        <v>83</v>
      </c>
      <c r="E52" s="149"/>
      <c r="F52" s="61" t="s">
        <v>82</v>
      </c>
      <c r="G52" s="61" t="s">
        <v>43</v>
      </c>
      <c r="H52" s="62">
        <v>0</v>
      </c>
      <c r="I52" s="63">
        <v>2</v>
      </c>
      <c r="J52" s="150">
        <v>19.260000000000002</v>
      </c>
      <c r="K52" s="151"/>
      <c r="L52" s="63">
        <v>0</v>
      </c>
      <c r="M52" s="63">
        <v>0</v>
      </c>
      <c r="N52" s="64">
        <f t="shared" ref="N52:N83" si="1">ROUND(((I52*J52)-((I52*J52)*L52/100))+(((I52*J52)-((I52*J52)*L52/100))*M52/100),2)</f>
        <v>38.520000000000003</v>
      </c>
      <c r="O52" s="62">
        <f>M11</f>
        <v>3</v>
      </c>
      <c r="P52" s="65" t="s">
        <v>276</v>
      </c>
      <c r="Q52" s="66"/>
      <c r="R52" s="67"/>
      <c r="S52" s="68"/>
      <c r="T52" s="69"/>
    </row>
    <row r="53" spans="1:20" ht="24" customHeight="1">
      <c r="A53" s="59">
        <v>34</v>
      </c>
      <c r="B53" s="59">
        <v>99990011920135</v>
      </c>
      <c r="C53" s="60" t="s">
        <v>84</v>
      </c>
      <c r="D53" s="148" t="s">
        <v>85</v>
      </c>
      <c r="E53" s="149"/>
      <c r="F53" s="61" t="s">
        <v>84</v>
      </c>
      <c r="G53" s="61" t="s">
        <v>43</v>
      </c>
      <c r="H53" s="62">
        <v>0</v>
      </c>
      <c r="I53" s="63">
        <v>3</v>
      </c>
      <c r="J53" s="150">
        <v>19.260000000000002</v>
      </c>
      <c r="K53" s="151"/>
      <c r="L53" s="63">
        <v>0</v>
      </c>
      <c r="M53" s="63">
        <v>0</v>
      </c>
      <c r="N53" s="64">
        <f t="shared" si="1"/>
        <v>57.78</v>
      </c>
      <c r="O53" s="62">
        <f>M11</f>
        <v>3</v>
      </c>
      <c r="P53" s="65" t="s">
        <v>277</v>
      </c>
      <c r="Q53" s="66"/>
      <c r="R53" s="67"/>
      <c r="S53" s="68"/>
      <c r="T53" s="69"/>
    </row>
    <row r="54" spans="1:20" ht="24" customHeight="1">
      <c r="A54" s="59">
        <v>35</v>
      </c>
      <c r="B54" s="59">
        <v>99990011922876</v>
      </c>
      <c r="C54" s="60" t="s">
        <v>86</v>
      </c>
      <c r="D54" s="148" t="s">
        <v>87</v>
      </c>
      <c r="E54" s="149"/>
      <c r="F54" s="61" t="s">
        <v>86</v>
      </c>
      <c r="G54" s="61" t="s">
        <v>43</v>
      </c>
      <c r="H54" s="62">
        <v>0</v>
      </c>
      <c r="I54" s="63">
        <v>5</v>
      </c>
      <c r="J54" s="150">
        <v>0.87</v>
      </c>
      <c r="K54" s="151"/>
      <c r="L54" s="63">
        <v>0</v>
      </c>
      <c r="M54" s="63">
        <v>0</v>
      </c>
      <c r="N54" s="64">
        <f t="shared" si="1"/>
        <v>4.3499999999999996</v>
      </c>
      <c r="O54" s="62">
        <f>M11</f>
        <v>3</v>
      </c>
      <c r="P54" s="65"/>
      <c r="Q54" s="66"/>
      <c r="R54" s="67"/>
      <c r="S54" s="68"/>
      <c r="T54" s="69"/>
    </row>
    <row r="55" spans="1:20" ht="24" customHeight="1">
      <c r="A55" s="59">
        <v>36</v>
      </c>
      <c r="B55" s="59">
        <v>99990011922846</v>
      </c>
      <c r="C55" s="60" t="s">
        <v>88</v>
      </c>
      <c r="D55" s="148" t="s">
        <v>89</v>
      </c>
      <c r="E55" s="149"/>
      <c r="F55" s="61" t="s">
        <v>88</v>
      </c>
      <c r="G55" s="61" t="s">
        <v>43</v>
      </c>
      <c r="H55" s="62">
        <v>0</v>
      </c>
      <c r="I55" s="63">
        <v>5</v>
      </c>
      <c r="J55" s="150">
        <v>0</v>
      </c>
      <c r="K55" s="151"/>
      <c r="L55" s="63">
        <v>0</v>
      </c>
      <c r="M55" s="63">
        <v>0</v>
      </c>
      <c r="N55" s="64">
        <f t="shared" si="1"/>
        <v>0</v>
      </c>
      <c r="O55" s="62">
        <f>M11</f>
        <v>3</v>
      </c>
      <c r="P55" s="65" t="s">
        <v>278</v>
      </c>
      <c r="Q55" s="66"/>
      <c r="R55" s="67"/>
      <c r="S55" s="68"/>
      <c r="T55" s="69"/>
    </row>
    <row r="56" spans="1:20" ht="24" customHeight="1">
      <c r="A56" s="59">
        <v>37</v>
      </c>
      <c r="B56" s="59">
        <v>99990011922798</v>
      </c>
      <c r="C56" s="60" t="s">
        <v>90</v>
      </c>
      <c r="D56" s="148" t="s">
        <v>91</v>
      </c>
      <c r="E56" s="149"/>
      <c r="F56" s="61" t="s">
        <v>90</v>
      </c>
      <c r="G56" s="61" t="s">
        <v>43</v>
      </c>
      <c r="H56" s="62">
        <v>0</v>
      </c>
      <c r="I56" s="63">
        <v>1</v>
      </c>
      <c r="J56" s="150">
        <v>1.32</v>
      </c>
      <c r="K56" s="151"/>
      <c r="L56" s="63">
        <v>0</v>
      </c>
      <c r="M56" s="63">
        <v>0</v>
      </c>
      <c r="N56" s="64">
        <f t="shared" si="1"/>
        <v>1.32</v>
      </c>
      <c r="O56" s="62">
        <f>M11</f>
        <v>3</v>
      </c>
      <c r="P56" s="65"/>
      <c r="Q56" s="66"/>
      <c r="R56" s="67"/>
      <c r="S56" s="68"/>
      <c r="T56" s="69"/>
    </row>
    <row r="57" spans="1:20" ht="24" customHeight="1">
      <c r="A57" s="59">
        <v>38</v>
      </c>
      <c r="B57" s="59">
        <v>99990011922626</v>
      </c>
      <c r="C57" s="60" t="s">
        <v>92</v>
      </c>
      <c r="D57" s="148" t="s">
        <v>93</v>
      </c>
      <c r="E57" s="149"/>
      <c r="F57" s="61" t="s">
        <v>92</v>
      </c>
      <c r="G57" s="61" t="s">
        <v>43</v>
      </c>
      <c r="H57" s="62">
        <v>0</v>
      </c>
      <c r="I57" s="63">
        <v>1</v>
      </c>
      <c r="J57" s="150">
        <v>0.04</v>
      </c>
      <c r="K57" s="151"/>
      <c r="L57" s="63">
        <v>0</v>
      </c>
      <c r="M57" s="63">
        <v>0</v>
      </c>
      <c r="N57" s="64">
        <f t="shared" si="1"/>
        <v>0.04</v>
      </c>
      <c r="O57" s="62">
        <f>M11</f>
        <v>3</v>
      </c>
      <c r="P57" s="65"/>
      <c r="Q57" s="66"/>
      <c r="R57" s="67"/>
      <c r="S57" s="68"/>
      <c r="T57" s="69"/>
    </row>
    <row r="58" spans="1:20" ht="24" customHeight="1">
      <c r="A58" s="59">
        <v>39</v>
      </c>
      <c r="B58" s="59">
        <v>99990011921005</v>
      </c>
      <c r="C58" s="60" t="s">
        <v>94</v>
      </c>
      <c r="D58" s="148" t="s">
        <v>95</v>
      </c>
      <c r="E58" s="149"/>
      <c r="F58" s="61" t="s">
        <v>94</v>
      </c>
      <c r="G58" s="61" t="s">
        <v>43</v>
      </c>
      <c r="H58" s="62">
        <v>0</v>
      </c>
      <c r="I58" s="63">
        <v>100</v>
      </c>
      <c r="J58" s="150">
        <v>0.61</v>
      </c>
      <c r="K58" s="151"/>
      <c r="L58" s="63">
        <v>0</v>
      </c>
      <c r="M58" s="63">
        <v>0</v>
      </c>
      <c r="N58" s="64">
        <f t="shared" si="1"/>
        <v>61</v>
      </c>
      <c r="O58" s="62">
        <f>M11</f>
        <v>3</v>
      </c>
      <c r="P58" s="65"/>
      <c r="Q58" s="66"/>
      <c r="R58" s="67"/>
      <c r="S58" s="68"/>
      <c r="T58" s="69"/>
    </row>
    <row r="59" spans="1:20" ht="24" customHeight="1">
      <c r="A59" s="59">
        <v>40</v>
      </c>
      <c r="B59" s="59">
        <v>99990011921670</v>
      </c>
      <c r="C59" s="60" t="s">
        <v>96</v>
      </c>
      <c r="D59" s="148" t="s">
        <v>97</v>
      </c>
      <c r="E59" s="149"/>
      <c r="F59" s="61" t="s">
        <v>96</v>
      </c>
      <c r="G59" s="61" t="s">
        <v>43</v>
      </c>
      <c r="H59" s="62">
        <v>0</v>
      </c>
      <c r="I59" s="63">
        <v>2</v>
      </c>
      <c r="J59" s="150">
        <v>10.26</v>
      </c>
      <c r="K59" s="151"/>
      <c r="L59" s="63">
        <v>0</v>
      </c>
      <c r="M59" s="63">
        <v>0</v>
      </c>
      <c r="N59" s="64">
        <f t="shared" si="1"/>
        <v>20.52</v>
      </c>
      <c r="O59" s="62">
        <f>M11</f>
        <v>3</v>
      </c>
      <c r="P59" s="65" t="s">
        <v>279</v>
      </c>
      <c r="Q59" s="66"/>
      <c r="R59" s="67"/>
      <c r="S59" s="68"/>
      <c r="T59" s="69"/>
    </row>
    <row r="60" spans="1:20" ht="24" customHeight="1">
      <c r="A60" s="59">
        <v>41</v>
      </c>
      <c r="B60" s="59">
        <v>99990011920444</v>
      </c>
      <c r="C60" s="60" t="s">
        <v>98</v>
      </c>
      <c r="D60" s="148" t="s">
        <v>99</v>
      </c>
      <c r="E60" s="149"/>
      <c r="F60" s="61" t="s">
        <v>98</v>
      </c>
      <c r="G60" s="61" t="s">
        <v>43</v>
      </c>
      <c r="H60" s="62">
        <v>0</v>
      </c>
      <c r="I60" s="63">
        <v>100</v>
      </c>
      <c r="J60" s="150">
        <v>0.49</v>
      </c>
      <c r="K60" s="151"/>
      <c r="L60" s="63">
        <v>0</v>
      </c>
      <c r="M60" s="63">
        <v>0</v>
      </c>
      <c r="N60" s="64">
        <f t="shared" si="1"/>
        <v>49</v>
      </c>
      <c r="O60" s="62">
        <f>M11</f>
        <v>3</v>
      </c>
      <c r="P60" s="65" t="s">
        <v>280</v>
      </c>
      <c r="Q60" s="66"/>
      <c r="R60" s="67"/>
      <c r="S60" s="68"/>
      <c r="T60" s="69"/>
    </row>
    <row r="61" spans="1:20" ht="24" customHeight="1">
      <c r="A61" s="59">
        <v>42</v>
      </c>
      <c r="B61" s="59">
        <v>99990011920936</v>
      </c>
      <c r="C61" s="60" t="s">
        <v>100</v>
      </c>
      <c r="D61" s="148" t="s">
        <v>101</v>
      </c>
      <c r="E61" s="149"/>
      <c r="F61" s="61" t="s">
        <v>100</v>
      </c>
      <c r="G61" s="61" t="s">
        <v>43</v>
      </c>
      <c r="H61" s="62">
        <v>0</v>
      </c>
      <c r="I61" s="63">
        <v>36</v>
      </c>
      <c r="J61" s="150">
        <v>1.74</v>
      </c>
      <c r="K61" s="151"/>
      <c r="L61" s="63">
        <v>0</v>
      </c>
      <c r="M61" s="63">
        <v>0</v>
      </c>
      <c r="N61" s="64">
        <f t="shared" si="1"/>
        <v>62.64</v>
      </c>
      <c r="O61" s="62">
        <f>M11</f>
        <v>3</v>
      </c>
      <c r="P61" s="65" t="s">
        <v>281</v>
      </c>
      <c r="Q61" s="66"/>
      <c r="R61" s="67"/>
      <c r="S61" s="68"/>
      <c r="T61" s="69"/>
    </row>
    <row r="62" spans="1:20" ht="24" customHeight="1">
      <c r="A62" s="59">
        <v>43</v>
      </c>
      <c r="B62" s="59">
        <v>99990011923028</v>
      </c>
      <c r="C62" s="60" t="s">
        <v>102</v>
      </c>
      <c r="D62" s="148" t="s">
        <v>103</v>
      </c>
      <c r="E62" s="149"/>
      <c r="F62" s="61" t="s">
        <v>102</v>
      </c>
      <c r="G62" s="61" t="s">
        <v>43</v>
      </c>
      <c r="H62" s="62">
        <v>0</v>
      </c>
      <c r="I62" s="63">
        <v>2</v>
      </c>
      <c r="J62" s="150">
        <v>5.9</v>
      </c>
      <c r="K62" s="151"/>
      <c r="L62" s="63">
        <v>0</v>
      </c>
      <c r="M62" s="63">
        <v>0</v>
      </c>
      <c r="N62" s="64">
        <f t="shared" si="1"/>
        <v>11.8</v>
      </c>
      <c r="O62" s="62">
        <f>M11</f>
        <v>3</v>
      </c>
      <c r="P62" s="65" t="s">
        <v>282</v>
      </c>
      <c r="Q62" s="66"/>
      <c r="R62" s="67"/>
      <c r="S62" s="68"/>
      <c r="T62" s="69"/>
    </row>
    <row r="63" spans="1:20" ht="24" customHeight="1">
      <c r="A63" s="59">
        <v>44</v>
      </c>
      <c r="B63" s="59">
        <v>99990008656891</v>
      </c>
      <c r="C63" s="60">
        <v>795431</v>
      </c>
      <c r="D63" s="148" t="s">
        <v>104</v>
      </c>
      <c r="E63" s="149"/>
      <c r="F63" s="61">
        <v>795431</v>
      </c>
      <c r="G63" s="61" t="s">
        <v>105</v>
      </c>
      <c r="H63" s="62">
        <v>0</v>
      </c>
      <c r="I63" s="63">
        <v>6</v>
      </c>
      <c r="J63" s="150">
        <v>0.18</v>
      </c>
      <c r="K63" s="151"/>
      <c r="L63" s="63">
        <v>0</v>
      </c>
      <c r="M63" s="63">
        <v>0</v>
      </c>
      <c r="N63" s="64">
        <f t="shared" si="1"/>
        <v>1.08</v>
      </c>
      <c r="O63" s="62">
        <f>M11</f>
        <v>3</v>
      </c>
      <c r="P63" s="65" t="s">
        <v>283</v>
      </c>
      <c r="Q63" s="66"/>
      <c r="R63" s="67"/>
      <c r="S63" s="68"/>
      <c r="T63" s="69"/>
    </row>
    <row r="64" spans="1:20" ht="24" customHeight="1">
      <c r="A64" s="59">
        <v>45</v>
      </c>
      <c r="B64" s="59">
        <v>99990008656872</v>
      </c>
      <c r="C64" s="60">
        <v>794851</v>
      </c>
      <c r="D64" s="148" t="s">
        <v>106</v>
      </c>
      <c r="E64" s="149"/>
      <c r="F64" s="61">
        <v>794851</v>
      </c>
      <c r="G64" s="61" t="s">
        <v>43</v>
      </c>
      <c r="H64" s="62">
        <v>0</v>
      </c>
      <c r="I64" s="63">
        <v>300</v>
      </c>
      <c r="J64" s="150">
        <v>0.01</v>
      </c>
      <c r="K64" s="151"/>
      <c r="L64" s="63">
        <v>0</v>
      </c>
      <c r="M64" s="63">
        <v>0</v>
      </c>
      <c r="N64" s="64">
        <f t="shared" si="1"/>
        <v>3</v>
      </c>
      <c r="O64" s="62">
        <f>M11</f>
        <v>3</v>
      </c>
      <c r="P64" s="65"/>
      <c r="Q64" s="66"/>
      <c r="R64" s="67"/>
      <c r="S64" s="68"/>
      <c r="T64" s="69"/>
    </row>
    <row r="65" spans="1:20" ht="24" customHeight="1">
      <c r="A65" s="59">
        <v>46</v>
      </c>
      <c r="B65" s="59">
        <v>99990008656874</v>
      </c>
      <c r="C65" s="60">
        <v>794853</v>
      </c>
      <c r="D65" s="148" t="s">
        <v>107</v>
      </c>
      <c r="E65" s="149"/>
      <c r="F65" s="61">
        <v>794853</v>
      </c>
      <c r="G65" s="61" t="s">
        <v>43</v>
      </c>
      <c r="H65" s="62">
        <v>0</v>
      </c>
      <c r="I65" s="63">
        <v>200</v>
      </c>
      <c r="J65" s="150">
        <v>0.01</v>
      </c>
      <c r="K65" s="151"/>
      <c r="L65" s="63">
        <v>0</v>
      </c>
      <c r="M65" s="63">
        <v>0</v>
      </c>
      <c r="N65" s="64">
        <f t="shared" si="1"/>
        <v>2</v>
      </c>
      <c r="O65" s="62">
        <f>M11</f>
        <v>3</v>
      </c>
      <c r="P65" s="65"/>
      <c r="Q65" s="66"/>
      <c r="R65" s="67"/>
      <c r="S65" s="68"/>
      <c r="T65" s="69"/>
    </row>
    <row r="66" spans="1:20" ht="24" customHeight="1">
      <c r="A66" s="59">
        <v>47</v>
      </c>
      <c r="B66" s="59">
        <v>99990008656876</v>
      </c>
      <c r="C66" s="60">
        <v>794855</v>
      </c>
      <c r="D66" s="148" t="s">
        <v>108</v>
      </c>
      <c r="E66" s="149"/>
      <c r="F66" s="61">
        <v>794855</v>
      </c>
      <c r="G66" s="61" t="s">
        <v>43</v>
      </c>
      <c r="H66" s="62">
        <v>0</v>
      </c>
      <c r="I66" s="63">
        <v>200</v>
      </c>
      <c r="J66" s="150">
        <v>0.02</v>
      </c>
      <c r="K66" s="151"/>
      <c r="L66" s="63">
        <v>0</v>
      </c>
      <c r="M66" s="63">
        <v>0</v>
      </c>
      <c r="N66" s="64">
        <f t="shared" si="1"/>
        <v>4</v>
      </c>
      <c r="O66" s="62">
        <f>M11</f>
        <v>3</v>
      </c>
      <c r="P66" s="65"/>
      <c r="Q66" s="66"/>
      <c r="R66" s="67"/>
      <c r="S66" s="68"/>
      <c r="T66" s="69"/>
    </row>
    <row r="67" spans="1:20" ht="24" customHeight="1">
      <c r="A67" s="59">
        <v>48</v>
      </c>
      <c r="B67" s="59">
        <v>99990009843184</v>
      </c>
      <c r="C67" s="60">
        <v>792423</v>
      </c>
      <c r="D67" s="148" t="s">
        <v>109</v>
      </c>
      <c r="E67" s="149"/>
      <c r="F67" s="61">
        <v>792423</v>
      </c>
      <c r="G67" s="61" t="s">
        <v>43</v>
      </c>
      <c r="H67" s="62">
        <v>0</v>
      </c>
      <c r="I67" s="63">
        <v>50</v>
      </c>
      <c r="J67" s="150">
        <v>0.13</v>
      </c>
      <c r="K67" s="151"/>
      <c r="L67" s="63">
        <v>0</v>
      </c>
      <c r="M67" s="63">
        <v>0</v>
      </c>
      <c r="N67" s="64">
        <f t="shared" si="1"/>
        <v>6.5</v>
      </c>
      <c r="O67" s="62">
        <f>M11</f>
        <v>3</v>
      </c>
      <c r="P67" s="65"/>
      <c r="Q67" s="66"/>
      <c r="R67" s="67"/>
      <c r="S67" s="68"/>
      <c r="T67" s="69"/>
    </row>
    <row r="68" spans="1:20" ht="24" customHeight="1">
      <c r="A68" s="59">
        <v>49</v>
      </c>
      <c r="B68" s="59">
        <v>99990008656772</v>
      </c>
      <c r="C68" s="60">
        <v>792424</v>
      </c>
      <c r="D68" s="148" t="s">
        <v>110</v>
      </c>
      <c r="E68" s="149"/>
      <c r="F68" s="61">
        <v>792424</v>
      </c>
      <c r="G68" s="61" t="s">
        <v>43</v>
      </c>
      <c r="H68" s="62">
        <v>0</v>
      </c>
      <c r="I68" s="63">
        <v>50</v>
      </c>
      <c r="J68" s="150">
        <v>0.1</v>
      </c>
      <c r="K68" s="151"/>
      <c r="L68" s="63">
        <v>0</v>
      </c>
      <c r="M68" s="63">
        <v>0</v>
      </c>
      <c r="N68" s="64">
        <f t="shared" si="1"/>
        <v>5</v>
      </c>
      <c r="O68" s="62">
        <f>M11</f>
        <v>3</v>
      </c>
      <c r="P68" s="65"/>
      <c r="Q68" s="66"/>
      <c r="R68" s="67"/>
      <c r="S68" s="68"/>
      <c r="T68" s="69"/>
    </row>
    <row r="69" spans="1:20" ht="24" customHeight="1">
      <c r="A69" s="59">
        <v>50</v>
      </c>
      <c r="B69" s="59">
        <v>99990008656775</v>
      </c>
      <c r="C69" s="60">
        <v>792435</v>
      </c>
      <c r="D69" s="148" t="s">
        <v>111</v>
      </c>
      <c r="E69" s="149"/>
      <c r="F69" s="61">
        <v>792435</v>
      </c>
      <c r="G69" s="61" t="s">
        <v>43</v>
      </c>
      <c r="H69" s="62">
        <v>0</v>
      </c>
      <c r="I69" s="63">
        <v>30</v>
      </c>
      <c r="J69" s="150">
        <v>1.25</v>
      </c>
      <c r="K69" s="151"/>
      <c r="L69" s="63">
        <v>0</v>
      </c>
      <c r="M69" s="63">
        <v>0</v>
      </c>
      <c r="N69" s="64">
        <f t="shared" si="1"/>
        <v>37.5</v>
      </c>
      <c r="O69" s="62">
        <f>M11</f>
        <v>3</v>
      </c>
      <c r="P69" s="65"/>
      <c r="Q69" s="66"/>
      <c r="R69" s="67"/>
      <c r="S69" s="68"/>
      <c r="T69" s="69"/>
    </row>
    <row r="70" spans="1:20" ht="24" customHeight="1">
      <c r="A70" s="59">
        <v>51</v>
      </c>
      <c r="B70" s="59">
        <v>99990009813325</v>
      </c>
      <c r="C70" s="60">
        <v>790693</v>
      </c>
      <c r="D70" s="148" t="s">
        <v>112</v>
      </c>
      <c r="E70" s="149"/>
      <c r="F70" s="61">
        <v>790693</v>
      </c>
      <c r="G70" s="61" t="s">
        <v>43</v>
      </c>
      <c r="H70" s="62">
        <v>0</v>
      </c>
      <c r="I70" s="63">
        <v>100</v>
      </c>
      <c r="J70" s="150">
        <v>0.1</v>
      </c>
      <c r="K70" s="151"/>
      <c r="L70" s="63">
        <v>0</v>
      </c>
      <c r="M70" s="63">
        <v>0</v>
      </c>
      <c r="N70" s="64">
        <f t="shared" si="1"/>
        <v>10</v>
      </c>
      <c r="O70" s="62">
        <f>M11</f>
        <v>3</v>
      </c>
      <c r="P70" s="65"/>
      <c r="Q70" s="66"/>
      <c r="R70" s="67"/>
      <c r="S70" s="68"/>
      <c r="T70" s="69"/>
    </row>
    <row r="71" spans="1:20" ht="24" customHeight="1">
      <c r="A71" s="59">
        <v>52</v>
      </c>
      <c r="B71" s="59">
        <v>99990008656786</v>
      </c>
      <c r="C71" s="60">
        <v>792892</v>
      </c>
      <c r="D71" s="148" t="s">
        <v>113</v>
      </c>
      <c r="E71" s="149"/>
      <c r="F71" s="61">
        <v>792892</v>
      </c>
      <c r="G71" s="61" t="s">
        <v>43</v>
      </c>
      <c r="H71" s="62">
        <v>0</v>
      </c>
      <c r="I71" s="63">
        <v>5</v>
      </c>
      <c r="J71" s="150">
        <v>1.57</v>
      </c>
      <c r="K71" s="151"/>
      <c r="L71" s="63">
        <v>0</v>
      </c>
      <c r="M71" s="63">
        <v>0</v>
      </c>
      <c r="N71" s="64">
        <f t="shared" si="1"/>
        <v>7.85</v>
      </c>
      <c r="O71" s="62">
        <f>M11</f>
        <v>3</v>
      </c>
      <c r="P71" s="65"/>
      <c r="Q71" s="66"/>
      <c r="R71" s="67"/>
      <c r="S71" s="68"/>
      <c r="T71" s="69"/>
    </row>
    <row r="72" spans="1:20" ht="24" customHeight="1">
      <c r="A72" s="59">
        <v>53</v>
      </c>
      <c r="B72" s="59">
        <v>99990009798367</v>
      </c>
      <c r="C72" s="60">
        <v>792891</v>
      </c>
      <c r="D72" s="148" t="s">
        <v>114</v>
      </c>
      <c r="E72" s="149"/>
      <c r="F72" s="61">
        <v>792891</v>
      </c>
      <c r="G72" s="61" t="s">
        <v>43</v>
      </c>
      <c r="H72" s="62">
        <v>0</v>
      </c>
      <c r="I72" s="63">
        <v>3</v>
      </c>
      <c r="J72" s="150">
        <v>1.28</v>
      </c>
      <c r="K72" s="151"/>
      <c r="L72" s="63">
        <v>0</v>
      </c>
      <c r="M72" s="63">
        <v>0</v>
      </c>
      <c r="N72" s="64">
        <f t="shared" si="1"/>
        <v>3.84</v>
      </c>
      <c r="O72" s="62">
        <f>M11</f>
        <v>3</v>
      </c>
      <c r="P72" s="65"/>
      <c r="Q72" s="66"/>
      <c r="R72" s="67"/>
      <c r="S72" s="68"/>
      <c r="T72" s="69"/>
    </row>
    <row r="73" spans="1:20" ht="24" customHeight="1">
      <c r="A73" s="59">
        <v>54</v>
      </c>
      <c r="B73" s="59">
        <v>99990008656783</v>
      </c>
      <c r="C73" s="60">
        <v>792881</v>
      </c>
      <c r="D73" s="148" t="s">
        <v>115</v>
      </c>
      <c r="E73" s="149"/>
      <c r="F73" s="61">
        <v>792881</v>
      </c>
      <c r="G73" s="61" t="s">
        <v>43</v>
      </c>
      <c r="H73" s="62">
        <v>0</v>
      </c>
      <c r="I73" s="63">
        <v>5</v>
      </c>
      <c r="J73" s="150">
        <v>2.12</v>
      </c>
      <c r="K73" s="151"/>
      <c r="L73" s="63">
        <v>0</v>
      </c>
      <c r="M73" s="63">
        <v>0</v>
      </c>
      <c r="N73" s="64">
        <f t="shared" si="1"/>
        <v>10.6</v>
      </c>
      <c r="O73" s="62">
        <f>M11</f>
        <v>3</v>
      </c>
      <c r="P73" s="65"/>
      <c r="Q73" s="66"/>
      <c r="R73" s="67"/>
      <c r="S73" s="68"/>
      <c r="T73" s="69"/>
    </row>
    <row r="74" spans="1:20" ht="24" customHeight="1">
      <c r="A74" s="59">
        <v>55</v>
      </c>
      <c r="B74" s="59">
        <v>99990010155444</v>
      </c>
      <c r="C74" s="60">
        <v>793007</v>
      </c>
      <c r="D74" s="148" t="s">
        <v>116</v>
      </c>
      <c r="E74" s="149"/>
      <c r="F74" s="61">
        <v>793007</v>
      </c>
      <c r="G74" s="61" t="s">
        <v>43</v>
      </c>
      <c r="H74" s="62">
        <v>0</v>
      </c>
      <c r="I74" s="63">
        <v>10</v>
      </c>
      <c r="J74" s="150">
        <v>0.9</v>
      </c>
      <c r="K74" s="151"/>
      <c r="L74" s="63">
        <v>0</v>
      </c>
      <c r="M74" s="63">
        <v>0</v>
      </c>
      <c r="N74" s="64">
        <f t="shared" si="1"/>
        <v>9</v>
      </c>
      <c r="O74" s="62">
        <f>M11</f>
        <v>3</v>
      </c>
      <c r="P74" s="65"/>
      <c r="Q74" s="66"/>
      <c r="R74" s="67"/>
      <c r="S74" s="68"/>
      <c r="T74" s="69"/>
    </row>
    <row r="75" spans="1:20" ht="24" customHeight="1">
      <c r="A75" s="59">
        <v>56</v>
      </c>
      <c r="B75" s="59">
        <v>99990008656801</v>
      </c>
      <c r="C75" s="60">
        <v>793509</v>
      </c>
      <c r="D75" s="148" t="s">
        <v>117</v>
      </c>
      <c r="E75" s="149"/>
      <c r="F75" s="61">
        <v>793509</v>
      </c>
      <c r="G75" s="61" t="s">
        <v>43</v>
      </c>
      <c r="H75" s="62">
        <v>0</v>
      </c>
      <c r="I75" s="63">
        <v>10</v>
      </c>
      <c r="J75" s="150">
        <v>0.87</v>
      </c>
      <c r="K75" s="151"/>
      <c r="L75" s="63">
        <v>0</v>
      </c>
      <c r="M75" s="63">
        <v>0</v>
      </c>
      <c r="N75" s="64">
        <f t="shared" si="1"/>
        <v>8.6999999999999993</v>
      </c>
      <c r="O75" s="62">
        <f>M11</f>
        <v>3</v>
      </c>
      <c r="P75" s="65"/>
      <c r="Q75" s="66"/>
      <c r="R75" s="67"/>
      <c r="S75" s="68"/>
      <c r="T75" s="69"/>
    </row>
    <row r="76" spans="1:20" ht="24" customHeight="1">
      <c r="A76" s="59">
        <v>57</v>
      </c>
      <c r="B76" s="59">
        <v>99990010092106</v>
      </c>
      <c r="C76" s="60">
        <v>793652</v>
      </c>
      <c r="D76" s="148" t="s">
        <v>118</v>
      </c>
      <c r="E76" s="149"/>
      <c r="F76" s="61">
        <v>793652</v>
      </c>
      <c r="G76" s="61" t="s">
        <v>43</v>
      </c>
      <c r="H76" s="62">
        <v>0</v>
      </c>
      <c r="I76" s="63">
        <v>50</v>
      </c>
      <c r="J76" s="150">
        <v>0.05</v>
      </c>
      <c r="K76" s="151"/>
      <c r="L76" s="63">
        <v>0</v>
      </c>
      <c r="M76" s="63">
        <v>0</v>
      </c>
      <c r="N76" s="64">
        <f t="shared" si="1"/>
        <v>2.5</v>
      </c>
      <c r="O76" s="62">
        <f>M11</f>
        <v>3</v>
      </c>
      <c r="P76" s="65"/>
      <c r="Q76" s="66"/>
      <c r="R76" s="67"/>
      <c r="S76" s="68"/>
      <c r="T76" s="69"/>
    </row>
    <row r="77" spans="1:20" ht="24" customHeight="1">
      <c r="A77" s="59">
        <v>58</v>
      </c>
      <c r="B77" s="59">
        <v>99990011750995</v>
      </c>
      <c r="C77" s="60">
        <v>794705</v>
      </c>
      <c r="D77" s="148" t="s">
        <v>119</v>
      </c>
      <c r="E77" s="149"/>
      <c r="F77" s="61">
        <v>794705</v>
      </c>
      <c r="G77" s="61" t="s">
        <v>43</v>
      </c>
      <c r="H77" s="62">
        <v>0</v>
      </c>
      <c r="I77" s="63">
        <v>100</v>
      </c>
      <c r="J77" s="150">
        <v>0.04</v>
      </c>
      <c r="K77" s="151"/>
      <c r="L77" s="63">
        <v>0</v>
      </c>
      <c r="M77" s="63">
        <v>0</v>
      </c>
      <c r="N77" s="64">
        <f t="shared" si="1"/>
        <v>4</v>
      </c>
      <c r="O77" s="62">
        <f>M11</f>
        <v>3</v>
      </c>
      <c r="P77" s="65"/>
      <c r="Q77" s="66"/>
      <c r="R77" s="67"/>
      <c r="S77" s="68"/>
      <c r="T77" s="69"/>
    </row>
    <row r="78" spans="1:20" ht="24" customHeight="1">
      <c r="A78" s="59">
        <v>59</v>
      </c>
      <c r="B78" s="59">
        <v>99990011675835</v>
      </c>
      <c r="C78" s="60">
        <v>616228</v>
      </c>
      <c r="D78" s="148" t="s">
        <v>120</v>
      </c>
      <c r="E78" s="149"/>
      <c r="F78" s="61">
        <v>616228</v>
      </c>
      <c r="G78" s="61" t="s">
        <v>121</v>
      </c>
      <c r="H78" s="62">
        <v>0</v>
      </c>
      <c r="I78" s="63">
        <v>1</v>
      </c>
      <c r="J78" s="150">
        <v>1.32</v>
      </c>
      <c r="K78" s="151"/>
      <c r="L78" s="63">
        <v>0</v>
      </c>
      <c r="M78" s="63">
        <v>0</v>
      </c>
      <c r="N78" s="64">
        <f t="shared" si="1"/>
        <v>1.32</v>
      </c>
      <c r="O78" s="62">
        <f>M11</f>
        <v>3</v>
      </c>
      <c r="P78" s="65" t="s">
        <v>276</v>
      </c>
      <c r="Q78" s="66"/>
      <c r="R78" s="67"/>
      <c r="S78" s="68"/>
      <c r="T78" s="69"/>
    </row>
    <row r="79" spans="1:20" ht="24" customHeight="1">
      <c r="A79" s="59">
        <v>60</v>
      </c>
      <c r="B79" s="59">
        <v>99990008656691</v>
      </c>
      <c r="C79" s="60">
        <v>791263</v>
      </c>
      <c r="D79" s="148" t="s">
        <v>122</v>
      </c>
      <c r="E79" s="149"/>
      <c r="F79" s="61">
        <v>791263</v>
      </c>
      <c r="G79" s="61" t="s">
        <v>43</v>
      </c>
      <c r="H79" s="62">
        <v>0</v>
      </c>
      <c r="I79" s="63">
        <v>200</v>
      </c>
      <c r="J79" s="150">
        <v>0.45</v>
      </c>
      <c r="K79" s="151"/>
      <c r="L79" s="63">
        <v>0</v>
      </c>
      <c r="M79" s="63">
        <v>0</v>
      </c>
      <c r="N79" s="64">
        <f t="shared" si="1"/>
        <v>90</v>
      </c>
      <c r="O79" s="62">
        <f>M11</f>
        <v>3</v>
      </c>
      <c r="P79" s="65"/>
      <c r="Q79" s="66"/>
      <c r="R79" s="67"/>
      <c r="S79" s="68"/>
      <c r="T79" s="69"/>
    </row>
    <row r="80" spans="1:20" ht="24" customHeight="1">
      <c r="A80" s="59">
        <v>61</v>
      </c>
      <c r="B80" s="59">
        <v>99990008656736</v>
      </c>
      <c r="C80" s="60">
        <v>791504</v>
      </c>
      <c r="D80" s="148" t="s">
        <v>123</v>
      </c>
      <c r="E80" s="149"/>
      <c r="F80" s="61">
        <v>791504</v>
      </c>
      <c r="G80" s="61" t="s">
        <v>43</v>
      </c>
      <c r="H80" s="62">
        <v>0</v>
      </c>
      <c r="I80" s="63">
        <v>50</v>
      </c>
      <c r="J80" s="150">
        <v>0.12</v>
      </c>
      <c r="K80" s="151"/>
      <c r="L80" s="63">
        <v>0</v>
      </c>
      <c r="M80" s="63">
        <v>0</v>
      </c>
      <c r="N80" s="64">
        <f t="shared" si="1"/>
        <v>6</v>
      </c>
      <c r="O80" s="62">
        <f>M11</f>
        <v>3</v>
      </c>
      <c r="P80" s="65"/>
      <c r="Q80" s="66"/>
      <c r="R80" s="67"/>
      <c r="S80" s="68"/>
      <c r="T80" s="69"/>
    </row>
    <row r="81" spans="1:20" ht="24" customHeight="1">
      <c r="A81" s="59">
        <v>62</v>
      </c>
      <c r="B81" s="59">
        <v>99990008656737</v>
      </c>
      <c r="C81" s="60">
        <v>791505</v>
      </c>
      <c r="D81" s="148" t="s">
        <v>124</v>
      </c>
      <c r="E81" s="149"/>
      <c r="F81" s="61">
        <v>791505</v>
      </c>
      <c r="G81" s="61" t="s">
        <v>43</v>
      </c>
      <c r="H81" s="62">
        <v>0</v>
      </c>
      <c r="I81" s="63">
        <v>50</v>
      </c>
      <c r="J81" s="150">
        <v>0.12</v>
      </c>
      <c r="K81" s="151"/>
      <c r="L81" s="63">
        <v>0</v>
      </c>
      <c r="M81" s="63">
        <v>0</v>
      </c>
      <c r="N81" s="64">
        <f t="shared" si="1"/>
        <v>6</v>
      </c>
      <c r="O81" s="62">
        <f>M11</f>
        <v>3</v>
      </c>
      <c r="P81" s="65"/>
      <c r="Q81" s="66"/>
      <c r="R81" s="67"/>
      <c r="S81" s="68"/>
      <c r="T81" s="69"/>
    </row>
    <row r="82" spans="1:20" ht="24" customHeight="1">
      <c r="A82" s="59">
        <v>63</v>
      </c>
      <c r="B82" s="59">
        <v>99990008656692</v>
      </c>
      <c r="C82" s="60">
        <v>791272</v>
      </c>
      <c r="D82" s="148" t="s">
        <v>125</v>
      </c>
      <c r="E82" s="149"/>
      <c r="F82" s="61">
        <v>791272</v>
      </c>
      <c r="G82" s="61" t="s">
        <v>43</v>
      </c>
      <c r="H82" s="62">
        <v>0</v>
      </c>
      <c r="I82" s="63">
        <v>10</v>
      </c>
      <c r="J82" s="150">
        <v>1.83</v>
      </c>
      <c r="K82" s="151"/>
      <c r="L82" s="63">
        <v>0</v>
      </c>
      <c r="M82" s="63">
        <v>0</v>
      </c>
      <c r="N82" s="64">
        <f t="shared" si="1"/>
        <v>18.3</v>
      </c>
      <c r="O82" s="62">
        <f>M11</f>
        <v>3</v>
      </c>
      <c r="P82" s="65"/>
      <c r="Q82" s="66"/>
      <c r="R82" s="67"/>
      <c r="S82" s="68"/>
      <c r="T82" s="69"/>
    </row>
    <row r="83" spans="1:20" ht="24" customHeight="1">
      <c r="A83" s="59">
        <v>64</v>
      </c>
      <c r="B83" s="59">
        <v>99990008656710</v>
      </c>
      <c r="C83" s="60">
        <v>791418</v>
      </c>
      <c r="D83" s="148" t="s">
        <v>126</v>
      </c>
      <c r="E83" s="149"/>
      <c r="F83" s="61">
        <v>791418</v>
      </c>
      <c r="G83" s="61" t="s">
        <v>43</v>
      </c>
      <c r="H83" s="62">
        <v>0</v>
      </c>
      <c r="I83" s="63">
        <v>150</v>
      </c>
      <c r="J83" s="150">
        <v>0.59</v>
      </c>
      <c r="K83" s="151"/>
      <c r="L83" s="63">
        <v>0</v>
      </c>
      <c r="M83" s="63">
        <v>0</v>
      </c>
      <c r="N83" s="64">
        <f t="shared" si="1"/>
        <v>88.5</v>
      </c>
      <c r="O83" s="62">
        <f>M11</f>
        <v>3</v>
      </c>
      <c r="P83" s="65"/>
      <c r="Q83" s="66"/>
      <c r="R83" s="67"/>
      <c r="S83" s="68"/>
      <c r="T83" s="69"/>
    </row>
    <row r="84" spans="1:20" ht="24" customHeight="1">
      <c r="A84" s="59">
        <v>65</v>
      </c>
      <c r="B84" s="59">
        <v>99990008656794</v>
      </c>
      <c r="C84" s="60">
        <v>792961</v>
      </c>
      <c r="D84" s="148" t="s">
        <v>127</v>
      </c>
      <c r="E84" s="149"/>
      <c r="F84" s="61">
        <v>792961</v>
      </c>
      <c r="G84" s="61" t="s">
        <v>43</v>
      </c>
      <c r="H84" s="62">
        <v>0</v>
      </c>
      <c r="I84" s="63">
        <v>6</v>
      </c>
      <c r="J84" s="150">
        <v>0.23</v>
      </c>
      <c r="K84" s="151"/>
      <c r="L84" s="63">
        <v>0</v>
      </c>
      <c r="M84" s="63">
        <v>0</v>
      </c>
      <c r="N84" s="64">
        <f t="shared" ref="N84:N115" si="2">ROUND(((I84*J84)-((I84*J84)*L84/100))+(((I84*J84)-((I84*J84)*L84/100))*M84/100),2)</f>
        <v>1.38</v>
      </c>
      <c r="O84" s="62">
        <f>M11</f>
        <v>3</v>
      </c>
      <c r="P84" s="65"/>
      <c r="Q84" s="66"/>
      <c r="R84" s="67"/>
      <c r="S84" s="68"/>
      <c r="T84" s="69"/>
    </row>
    <row r="85" spans="1:20" ht="24" customHeight="1">
      <c r="A85" s="59">
        <v>66</v>
      </c>
      <c r="B85" s="59">
        <v>99990008657678</v>
      </c>
      <c r="C85" s="60">
        <v>692025</v>
      </c>
      <c r="D85" s="148" t="s">
        <v>128</v>
      </c>
      <c r="E85" s="149"/>
      <c r="F85" s="61">
        <v>692025</v>
      </c>
      <c r="G85" s="61" t="s">
        <v>43</v>
      </c>
      <c r="H85" s="62">
        <v>0</v>
      </c>
      <c r="I85" s="63">
        <v>2</v>
      </c>
      <c r="J85" s="150">
        <v>0.41</v>
      </c>
      <c r="K85" s="151"/>
      <c r="L85" s="63">
        <v>0</v>
      </c>
      <c r="M85" s="63">
        <v>0</v>
      </c>
      <c r="N85" s="64">
        <f t="shared" si="2"/>
        <v>0.82</v>
      </c>
      <c r="O85" s="62">
        <f>M11</f>
        <v>3</v>
      </c>
      <c r="P85" s="65"/>
      <c r="Q85" s="66"/>
      <c r="R85" s="67"/>
      <c r="S85" s="68"/>
      <c r="T85" s="69"/>
    </row>
    <row r="86" spans="1:20" ht="24" customHeight="1">
      <c r="A86" s="59">
        <v>67</v>
      </c>
      <c r="B86" s="59">
        <v>99990008657679</v>
      </c>
      <c r="C86" s="60">
        <v>692026</v>
      </c>
      <c r="D86" s="148" t="s">
        <v>129</v>
      </c>
      <c r="E86" s="149"/>
      <c r="F86" s="61">
        <v>692026</v>
      </c>
      <c r="G86" s="61" t="s">
        <v>43</v>
      </c>
      <c r="H86" s="62">
        <v>0</v>
      </c>
      <c r="I86" s="63">
        <v>2</v>
      </c>
      <c r="J86" s="150">
        <v>0.61</v>
      </c>
      <c r="K86" s="151"/>
      <c r="L86" s="63">
        <v>0</v>
      </c>
      <c r="M86" s="63">
        <v>0</v>
      </c>
      <c r="N86" s="64">
        <f t="shared" si="2"/>
        <v>1.22</v>
      </c>
      <c r="O86" s="62">
        <f>M11</f>
        <v>3</v>
      </c>
      <c r="P86" s="65"/>
      <c r="Q86" s="66"/>
      <c r="R86" s="67"/>
      <c r="S86" s="68"/>
      <c r="T86" s="69"/>
    </row>
    <row r="87" spans="1:20" ht="24" customHeight="1">
      <c r="A87" s="59">
        <v>68</v>
      </c>
      <c r="B87" s="59">
        <v>99990008657680</v>
      </c>
      <c r="C87" s="60">
        <v>692027</v>
      </c>
      <c r="D87" s="148" t="s">
        <v>130</v>
      </c>
      <c r="E87" s="149"/>
      <c r="F87" s="61">
        <v>692027</v>
      </c>
      <c r="G87" s="61" t="s">
        <v>43</v>
      </c>
      <c r="H87" s="62">
        <v>0</v>
      </c>
      <c r="I87" s="63">
        <v>2</v>
      </c>
      <c r="J87" s="150">
        <v>0.81</v>
      </c>
      <c r="K87" s="151"/>
      <c r="L87" s="63">
        <v>0</v>
      </c>
      <c r="M87" s="63">
        <v>0</v>
      </c>
      <c r="N87" s="64">
        <f t="shared" si="2"/>
        <v>1.62</v>
      </c>
      <c r="O87" s="62">
        <f>M11</f>
        <v>3</v>
      </c>
      <c r="P87" s="65"/>
      <c r="Q87" s="66"/>
      <c r="R87" s="67"/>
      <c r="S87" s="68"/>
      <c r="T87" s="69"/>
    </row>
    <row r="88" spans="1:20" ht="24" customHeight="1">
      <c r="A88" s="59">
        <v>69</v>
      </c>
      <c r="B88" s="59">
        <v>99990008657681</v>
      </c>
      <c r="C88" s="60">
        <v>692029</v>
      </c>
      <c r="D88" s="148" t="s">
        <v>131</v>
      </c>
      <c r="E88" s="149"/>
      <c r="F88" s="61">
        <v>692029</v>
      </c>
      <c r="G88" s="61" t="s">
        <v>43</v>
      </c>
      <c r="H88" s="62">
        <v>0</v>
      </c>
      <c r="I88" s="63">
        <v>2</v>
      </c>
      <c r="J88" s="150">
        <v>1.62</v>
      </c>
      <c r="K88" s="151"/>
      <c r="L88" s="63">
        <v>0</v>
      </c>
      <c r="M88" s="63">
        <v>0</v>
      </c>
      <c r="N88" s="64">
        <f t="shared" si="2"/>
        <v>3.24</v>
      </c>
      <c r="O88" s="62">
        <f>M11</f>
        <v>3</v>
      </c>
      <c r="P88" s="65"/>
      <c r="Q88" s="66"/>
      <c r="R88" s="67"/>
      <c r="S88" s="68"/>
      <c r="T88" s="69"/>
    </row>
    <row r="89" spans="1:20" ht="24" customHeight="1">
      <c r="A89" s="59">
        <v>70</v>
      </c>
      <c r="B89" s="59">
        <v>99990009546322</v>
      </c>
      <c r="C89" s="60">
        <v>2121073</v>
      </c>
      <c r="D89" s="148" t="s">
        <v>132</v>
      </c>
      <c r="E89" s="149"/>
      <c r="F89" s="61">
        <v>692031</v>
      </c>
      <c r="G89" s="61" t="s">
        <v>54</v>
      </c>
      <c r="H89" s="62">
        <v>0</v>
      </c>
      <c r="I89" s="63">
        <v>2</v>
      </c>
      <c r="J89" s="150">
        <v>3.14</v>
      </c>
      <c r="K89" s="151"/>
      <c r="L89" s="63">
        <v>0</v>
      </c>
      <c r="M89" s="63">
        <v>0</v>
      </c>
      <c r="N89" s="64">
        <f t="shared" si="2"/>
        <v>6.28</v>
      </c>
      <c r="O89" s="62">
        <f>M11</f>
        <v>3</v>
      </c>
      <c r="P89" s="65"/>
      <c r="Q89" s="66"/>
      <c r="R89" s="67"/>
      <c r="S89" s="68"/>
      <c r="T89" s="69"/>
    </row>
    <row r="90" spans="1:20" ht="24" customHeight="1">
      <c r="A90" s="59">
        <v>71</v>
      </c>
      <c r="B90" s="59">
        <v>99990009355642</v>
      </c>
      <c r="C90" s="60">
        <v>2093284</v>
      </c>
      <c r="D90" s="148" t="s">
        <v>133</v>
      </c>
      <c r="E90" s="149"/>
      <c r="F90" s="61">
        <v>812672</v>
      </c>
      <c r="G90" s="61" t="s">
        <v>43</v>
      </c>
      <c r="H90" s="62">
        <v>0</v>
      </c>
      <c r="I90" s="63">
        <v>10</v>
      </c>
      <c r="J90" s="150">
        <v>2.85</v>
      </c>
      <c r="K90" s="151"/>
      <c r="L90" s="63">
        <v>0</v>
      </c>
      <c r="M90" s="63">
        <v>0</v>
      </c>
      <c r="N90" s="64">
        <f t="shared" si="2"/>
        <v>28.5</v>
      </c>
      <c r="O90" s="62">
        <f>M11</f>
        <v>3</v>
      </c>
      <c r="P90" s="65"/>
      <c r="Q90" s="66"/>
      <c r="R90" s="67"/>
      <c r="S90" s="68"/>
      <c r="T90" s="69"/>
    </row>
    <row r="91" spans="1:20" ht="24" customHeight="1">
      <c r="A91" s="59">
        <v>72</v>
      </c>
      <c r="B91" s="59">
        <v>99990008658072</v>
      </c>
      <c r="C91" s="60">
        <v>614054</v>
      </c>
      <c r="D91" s="148" t="s">
        <v>134</v>
      </c>
      <c r="E91" s="149"/>
      <c r="F91" s="61">
        <v>614054</v>
      </c>
      <c r="G91" s="61" t="s">
        <v>43</v>
      </c>
      <c r="H91" s="62">
        <v>0</v>
      </c>
      <c r="I91" s="63">
        <v>10</v>
      </c>
      <c r="J91" s="150">
        <v>0.06</v>
      </c>
      <c r="K91" s="151"/>
      <c r="L91" s="63">
        <v>0</v>
      </c>
      <c r="M91" s="63">
        <v>0</v>
      </c>
      <c r="N91" s="64">
        <f t="shared" si="2"/>
        <v>0.6</v>
      </c>
      <c r="O91" s="62">
        <f>M11</f>
        <v>3</v>
      </c>
      <c r="P91" s="65"/>
      <c r="Q91" s="66"/>
      <c r="R91" s="67"/>
      <c r="S91" s="68"/>
      <c r="T91" s="69"/>
    </row>
    <row r="92" spans="1:20" ht="24" customHeight="1">
      <c r="A92" s="59">
        <v>73</v>
      </c>
      <c r="B92" s="59">
        <v>99990008658073</v>
      </c>
      <c r="C92" s="60">
        <v>614055</v>
      </c>
      <c r="D92" s="148" t="s">
        <v>135</v>
      </c>
      <c r="E92" s="149"/>
      <c r="F92" s="61">
        <v>614055</v>
      </c>
      <c r="G92" s="61" t="s">
        <v>43</v>
      </c>
      <c r="H92" s="62">
        <v>0</v>
      </c>
      <c r="I92" s="63">
        <v>10</v>
      </c>
      <c r="J92" s="150">
        <v>0.06</v>
      </c>
      <c r="K92" s="151"/>
      <c r="L92" s="63">
        <v>0</v>
      </c>
      <c r="M92" s="63">
        <v>0</v>
      </c>
      <c r="N92" s="64">
        <f t="shared" si="2"/>
        <v>0.6</v>
      </c>
      <c r="O92" s="62">
        <f>M11</f>
        <v>3</v>
      </c>
      <c r="P92" s="65"/>
      <c r="Q92" s="66"/>
      <c r="R92" s="67"/>
      <c r="S92" s="68"/>
      <c r="T92" s="69"/>
    </row>
    <row r="93" spans="1:20" ht="24" customHeight="1">
      <c r="A93" s="59">
        <v>74</v>
      </c>
      <c r="B93" s="59">
        <v>99990008658074</v>
      </c>
      <c r="C93" s="60">
        <v>614056</v>
      </c>
      <c r="D93" s="148" t="s">
        <v>136</v>
      </c>
      <c r="E93" s="149"/>
      <c r="F93" s="61">
        <v>614056</v>
      </c>
      <c r="G93" s="61" t="s">
        <v>43</v>
      </c>
      <c r="H93" s="62">
        <v>0</v>
      </c>
      <c r="I93" s="63">
        <v>10</v>
      </c>
      <c r="J93" s="150">
        <v>7.0000000000000007E-2</v>
      </c>
      <c r="K93" s="151"/>
      <c r="L93" s="63">
        <v>0</v>
      </c>
      <c r="M93" s="63">
        <v>0</v>
      </c>
      <c r="N93" s="64">
        <f t="shared" si="2"/>
        <v>0.7</v>
      </c>
      <c r="O93" s="62">
        <f>M11</f>
        <v>3</v>
      </c>
      <c r="P93" s="65"/>
      <c r="Q93" s="66"/>
      <c r="R93" s="67"/>
      <c r="S93" s="68"/>
      <c r="T93" s="69"/>
    </row>
    <row r="94" spans="1:20" ht="24" customHeight="1">
      <c r="A94" s="59">
        <v>75</v>
      </c>
      <c r="B94" s="59">
        <v>99990008658075</v>
      </c>
      <c r="C94" s="60">
        <v>614057</v>
      </c>
      <c r="D94" s="148" t="s">
        <v>137</v>
      </c>
      <c r="E94" s="149"/>
      <c r="F94" s="61">
        <v>614057</v>
      </c>
      <c r="G94" s="61" t="s">
        <v>43</v>
      </c>
      <c r="H94" s="62">
        <v>0</v>
      </c>
      <c r="I94" s="63">
        <v>10</v>
      </c>
      <c r="J94" s="150">
        <v>0.09</v>
      </c>
      <c r="K94" s="151"/>
      <c r="L94" s="63">
        <v>0</v>
      </c>
      <c r="M94" s="63">
        <v>0</v>
      </c>
      <c r="N94" s="64">
        <f t="shared" si="2"/>
        <v>0.9</v>
      </c>
      <c r="O94" s="62">
        <f>M11</f>
        <v>3</v>
      </c>
      <c r="P94" s="65"/>
      <c r="Q94" s="66"/>
      <c r="R94" s="67"/>
      <c r="S94" s="68"/>
      <c r="T94" s="69"/>
    </row>
    <row r="95" spans="1:20" ht="24" customHeight="1">
      <c r="A95" s="59">
        <v>76</v>
      </c>
      <c r="B95" s="59">
        <v>99990008658076</v>
      </c>
      <c r="C95" s="60">
        <v>614058</v>
      </c>
      <c r="D95" s="148" t="s">
        <v>138</v>
      </c>
      <c r="E95" s="149"/>
      <c r="F95" s="61">
        <v>614058</v>
      </c>
      <c r="G95" s="61" t="s">
        <v>43</v>
      </c>
      <c r="H95" s="62">
        <v>0</v>
      </c>
      <c r="I95" s="63">
        <v>10</v>
      </c>
      <c r="J95" s="150">
        <v>0.09</v>
      </c>
      <c r="K95" s="151"/>
      <c r="L95" s="63">
        <v>0</v>
      </c>
      <c r="M95" s="63">
        <v>0</v>
      </c>
      <c r="N95" s="64">
        <f t="shared" si="2"/>
        <v>0.9</v>
      </c>
      <c r="O95" s="62">
        <f>M11</f>
        <v>3</v>
      </c>
      <c r="P95" s="65"/>
      <c r="Q95" s="66"/>
      <c r="R95" s="67"/>
      <c r="S95" s="68"/>
      <c r="T95" s="69"/>
    </row>
    <row r="96" spans="1:20" ht="24" customHeight="1">
      <c r="A96" s="59">
        <v>77</v>
      </c>
      <c r="B96" s="59">
        <v>99990008655650</v>
      </c>
      <c r="C96" s="60">
        <v>615007</v>
      </c>
      <c r="D96" s="148" t="s">
        <v>139</v>
      </c>
      <c r="E96" s="149"/>
      <c r="F96" s="61">
        <v>615007</v>
      </c>
      <c r="G96" s="61" t="s">
        <v>54</v>
      </c>
      <c r="H96" s="62">
        <v>0</v>
      </c>
      <c r="I96" s="63">
        <v>1</v>
      </c>
      <c r="J96" s="150">
        <v>34.74</v>
      </c>
      <c r="K96" s="151"/>
      <c r="L96" s="63">
        <v>0</v>
      </c>
      <c r="M96" s="63">
        <v>0</v>
      </c>
      <c r="N96" s="64">
        <f t="shared" si="2"/>
        <v>34.74</v>
      </c>
      <c r="O96" s="62">
        <f>M11</f>
        <v>3</v>
      </c>
      <c r="P96" s="65" t="s">
        <v>284</v>
      </c>
      <c r="Q96" s="66"/>
      <c r="R96" s="67"/>
      <c r="S96" s="68"/>
      <c r="T96" s="69"/>
    </row>
    <row r="97" spans="1:20" ht="24" customHeight="1">
      <c r="A97" s="59">
        <v>78</v>
      </c>
      <c r="B97" s="59">
        <v>99990008655651</v>
      </c>
      <c r="C97" s="60">
        <v>615009</v>
      </c>
      <c r="D97" s="148" t="s">
        <v>140</v>
      </c>
      <c r="E97" s="149"/>
      <c r="F97" s="61">
        <v>615009</v>
      </c>
      <c r="G97" s="61" t="s">
        <v>54</v>
      </c>
      <c r="H97" s="62">
        <v>0</v>
      </c>
      <c r="I97" s="63">
        <v>1</v>
      </c>
      <c r="J97" s="150">
        <v>48.91</v>
      </c>
      <c r="K97" s="151"/>
      <c r="L97" s="63">
        <v>0</v>
      </c>
      <c r="M97" s="63">
        <v>0</v>
      </c>
      <c r="N97" s="64">
        <f t="shared" si="2"/>
        <v>48.91</v>
      </c>
      <c r="O97" s="62">
        <f>M11</f>
        <v>3</v>
      </c>
      <c r="P97" s="65" t="s">
        <v>284</v>
      </c>
      <c r="Q97" s="66"/>
      <c r="R97" s="67"/>
      <c r="S97" s="68"/>
      <c r="T97" s="69"/>
    </row>
    <row r="98" spans="1:20" ht="24" customHeight="1">
      <c r="A98" s="59">
        <v>79</v>
      </c>
      <c r="B98" s="59">
        <v>99990008655730</v>
      </c>
      <c r="C98" s="60">
        <v>633801</v>
      </c>
      <c r="D98" s="148" t="s">
        <v>141</v>
      </c>
      <c r="E98" s="149"/>
      <c r="F98" s="61">
        <v>633801</v>
      </c>
      <c r="G98" s="61" t="s">
        <v>43</v>
      </c>
      <c r="H98" s="62">
        <v>0</v>
      </c>
      <c r="I98" s="63">
        <v>1</v>
      </c>
      <c r="J98" s="150">
        <v>5.99</v>
      </c>
      <c r="K98" s="151"/>
      <c r="L98" s="63">
        <v>0</v>
      </c>
      <c r="M98" s="63">
        <v>0</v>
      </c>
      <c r="N98" s="64">
        <f t="shared" si="2"/>
        <v>5.99</v>
      </c>
      <c r="O98" s="62">
        <f>M11</f>
        <v>3</v>
      </c>
      <c r="P98" s="65"/>
      <c r="Q98" s="66"/>
      <c r="R98" s="67"/>
      <c r="S98" s="68"/>
      <c r="T98" s="69"/>
    </row>
    <row r="99" spans="1:20" ht="24" customHeight="1">
      <c r="A99" s="59">
        <v>80</v>
      </c>
      <c r="B99" s="59">
        <v>99990010190521</v>
      </c>
      <c r="C99" s="60">
        <v>616578</v>
      </c>
      <c r="D99" s="148" t="s">
        <v>142</v>
      </c>
      <c r="E99" s="149"/>
      <c r="F99" s="61">
        <v>616578</v>
      </c>
      <c r="G99" s="61" t="s">
        <v>43</v>
      </c>
      <c r="H99" s="62">
        <v>0</v>
      </c>
      <c r="I99" s="63">
        <v>1</v>
      </c>
      <c r="J99" s="150">
        <v>2.95</v>
      </c>
      <c r="K99" s="151"/>
      <c r="L99" s="63">
        <v>0</v>
      </c>
      <c r="M99" s="63">
        <v>0</v>
      </c>
      <c r="N99" s="64">
        <f t="shared" si="2"/>
        <v>2.95</v>
      </c>
      <c r="O99" s="62">
        <f>M11</f>
        <v>3</v>
      </c>
      <c r="P99" s="65"/>
      <c r="Q99" s="66"/>
      <c r="R99" s="67"/>
      <c r="S99" s="68"/>
      <c r="T99" s="69"/>
    </row>
    <row r="100" spans="1:20" ht="24" customHeight="1">
      <c r="A100" s="59">
        <v>81</v>
      </c>
      <c r="B100" s="59">
        <v>99990010185174</v>
      </c>
      <c r="C100" s="60">
        <v>614590</v>
      </c>
      <c r="D100" s="148" t="s">
        <v>143</v>
      </c>
      <c r="E100" s="149"/>
      <c r="F100" s="61">
        <v>614590</v>
      </c>
      <c r="G100" s="61" t="s">
        <v>43</v>
      </c>
      <c r="H100" s="62">
        <v>0</v>
      </c>
      <c r="I100" s="63">
        <v>5</v>
      </c>
      <c r="J100" s="150">
        <v>0.16</v>
      </c>
      <c r="K100" s="151"/>
      <c r="L100" s="63">
        <v>0</v>
      </c>
      <c r="M100" s="63">
        <v>0</v>
      </c>
      <c r="N100" s="64">
        <f t="shared" si="2"/>
        <v>0.8</v>
      </c>
      <c r="O100" s="62">
        <f>M11</f>
        <v>3</v>
      </c>
      <c r="P100" s="65"/>
      <c r="Q100" s="66"/>
      <c r="R100" s="67"/>
      <c r="S100" s="68"/>
      <c r="T100" s="69"/>
    </row>
    <row r="101" spans="1:20" ht="24" customHeight="1">
      <c r="A101" s="59">
        <v>82</v>
      </c>
      <c r="B101" s="59">
        <v>99990008658127</v>
      </c>
      <c r="C101" s="60">
        <v>614566</v>
      </c>
      <c r="D101" s="148" t="s">
        <v>144</v>
      </c>
      <c r="E101" s="149"/>
      <c r="F101" s="61">
        <v>614566</v>
      </c>
      <c r="G101" s="61" t="s">
        <v>43</v>
      </c>
      <c r="H101" s="62">
        <v>0</v>
      </c>
      <c r="I101" s="63">
        <v>5</v>
      </c>
      <c r="J101" s="150">
        <v>0.16</v>
      </c>
      <c r="K101" s="151"/>
      <c r="L101" s="63">
        <v>0</v>
      </c>
      <c r="M101" s="63">
        <v>0</v>
      </c>
      <c r="N101" s="64">
        <f t="shared" si="2"/>
        <v>0.8</v>
      </c>
      <c r="O101" s="62">
        <f>M11</f>
        <v>3</v>
      </c>
      <c r="P101" s="65"/>
      <c r="Q101" s="66"/>
      <c r="R101" s="67"/>
      <c r="S101" s="68"/>
      <c r="T101" s="69"/>
    </row>
    <row r="102" spans="1:20" ht="24" customHeight="1">
      <c r="A102" s="59">
        <v>83</v>
      </c>
      <c r="B102" s="59">
        <v>99990008655576</v>
      </c>
      <c r="C102" s="60">
        <v>510786</v>
      </c>
      <c r="D102" s="148" t="s">
        <v>145</v>
      </c>
      <c r="E102" s="149"/>
      <c r="F102" s="61">
        <v>510786</v>
      </c>
      <c r="G102" s="61" t="s">
        <v>43</v>
      </c>
      <c r="H102" s="62">
        <v>0</v>
      </c>
      <c r="I102" s="63">
        <v>20</v>
      </c>
      <c r="J102" s="150">
        <v>0.4</v>
      </c>
      <c r="K102" s="151"/>
      <c r="L102" s="63">
        <v>0</v>
      </c>
      <c r="M102" s="63">
        <v>0</v>
      </c>
      <c r="N102" s="64">
        <f t="shared" si="2"/>
        <v>8</v>
      </c>
      <c r="O102" s="62">
        <f>M11</f>
        <v>3</v>
      </c>
      <c r="P102" s="65"/>
      <c r="Q102" s="66"/>
      <c r="R102" s="67"/>
      <c r="S102" s="68"/>
      <c r="T102" s="69"/>
    </row>
    <row r="103" spans="1:20" ht="24" customHeight="1">
      <c r="A103" s="59">
        <v>84</v>
      </c>
      <c r="B103" s="59">
        <v>99990011693157</v>
      </c>
      <c r="C103" s="60">
        <v>611337</v>
      </c>
      <c r="D103" s="148" t="s">
        <v>146</v>
      </c>
      <c r="E103" s="149"/>
      <c r="F103" s="61">
        <v>611337</v>
      </c>
      <c r="G103" s="61" t="s">
        <v>43</v>
      </c>
      <c r="H103" s="62">
        <v>0</v>
      </c>
      <c r="I103" s="63">
        <v>1</v>
      </c>
      <c r="J103" s="150">
        <v>15.18</v>
      </c>
      <c r="K103" s="151"/>
      <c r="L103" s="63">
        <v>0</v>
      </c>
      <c r="M103" s="63">
        <v>0</v>
      </c>
      <c r="N103" s="64">
        <f t="shared" si="2"/>
        <v>15.18</v>
      </c>
      <c r="O103" s="62">
        <f>M11</f>
        <v>3</v>
      </c>
      <c r="P103" s="65"/>
      <c r="Q103" s="66"/>
      <c r="R103" s="67"/>
      <c r="S103" s="68"/>
      <c r="T103" s="69"/>
    </row>
    <row r="104" spans="1:20" ht="24" customHeight="1">
      <c r="A104" s="59">
        <v>85</v>
      </c>
      <c r="B104" s="59">
        <v>99990008657960</v>
      </c>
      <c r="C104" s="60">
        <v>612525</v>
      </c>
      <c r="D104" s="148" t="s">
        <v>147</v>
      </c>
      <c r="E104" s="149"/>
      <c r="F104" s="61">
        <v>612525</v>
      </c>
      <c r="G104" s="61" t="s">
        <v>43</v>
      </c>
      <c r="H104" s="62">
        <v>0</v>
      </c>
      <c r="I104" s="63">
        <v>1</v>
      </c>
      <c r="J104" s="150">
        <v>4.99</v>
      </c>
      <c r="K104" s="151"/>
      <c r="L104" s="63">
        <v>0</v>
      </c>
      <c r="M104" s="63">
        <v>0</v>
      </c>
      <c r="N104" s="64">
        <f t="shared" si="2"/>
        <v>4.99</v>
      </c>
      <c r="O104" s="62">
        <f>M11</f>
        <v>3</v>
      </c>
      <c r="P104" s="65"/>
      <c r="Q104" s="66"/>
      <c r="R104" s="67"/>
      <c r="S104" s="68"/>
      <c r="T104" s="69"/>
    </row>
    <row r="105" spans="1:20" ht="24" customHeight="1">
      <c r="A105" s="59">
        <v>86</v>
      </c>
      <c r="B105" s="59">
        <v>99990008656470</v>
      </c>
      <c r="C105" s="60">
        <v>611823</v>
      </c>
      <c r="D105" s="148" t="s">
        <v>148</v>
      </c>
      <c r="E105" s="149"/>
      <c r="F105" s="61">
        <v>611823</v>
      </c>
      <c r="G105" s="61" t="s">
        <v>121</v>
      </c>
      <c r="H105" s="62">
        <v>0</v>
      </c>
      <c r="I105" s="63">
        <v>1</v>
      </c>
      <c r="J105" s="150">
        <v>2.66</v>
      </c>
      <c r="K105" s="151"/>
      <c r="L105" s="63">
        <v>0</v>
      </c>
      <c r="M105" s="63">
        <v>0</v>
      </c>
      <c r="N105" s="64">
        <f t="shared" si="2"/>
        <v>2.66</v>
      </c>
      <c r="O105" s="62">
        <f>M11</f>
        <v>3</v>
      </c>
      <c r="P105" s="65"/>
      <c r="Q105" s="66"/>
      <c r="R105" s="67"/>
      <c r="S105" s="68"/>
      <c r="T105" s="69"/>
    </row>
    <row r="106" spans="1:20" ht="24" customHeight="1">
      <c r="A106" s="59">
        <v>87</v>
      </c>
      <c r="B106" s="59">
        <v>99990015084245</v>
      </c>
      <c r="C106" s="60">
        <v>2990867</v>
      </c>
      <c r="D106" s="148" t="s">
        <v>149</v>
      </c>
      <c r="E106" s="149"/>
      <c r="F106" s="61">
        <v>190101</v>
      </c>
      <c r="G106" s="61" t="s">
        <v>150</v>
      </c>
      <c r="H106" s="62">
        <v>0</v>
      </c>
      <c r="I106" s="63">
        <v>10</v>
      </c>
      <c r="J106" s="150">
        <v>1.68</v>
      </c>
      <c r="K106" s="151"/>
      <c r="L106" s="63">
        <v>0</v>
      </c>
      <c r="M106" s="63">
        <v>0</v>
      </c>
      <c r="N106" s="64">
        <f t="shared" si="2"/>
        <v>16.8</v>
      </c>
      <c r="O106" s="62">
        <f>M11</f>
        <v>3</v>
      </c>
      <c r="P106" s="65"/>
      <c r="Q106" s="66"/>
      <c r="R106" s="67"/>
      <c r="S106" s="68"/>
      <c r="T106" s="69"/>
    </row>
    <row r="107" spans="1:20" ht="24" customHeight="1">
      <c r="A107" s="59">
        <v>88</v>
      </c>
      <c r="B107" s="59">
        <v>99990009843210</v>
      </c>
      <c r="C107" s="60">
        <v>614729</v>
      </c>
      <c r="D107" s="148" t="s">
        <v>151</v>
      </c>
      <c r="E107" s="149"/>
      <c r="F107" s="61">
        <v>614729</v>
      </c>
      <c r="G107" s="61" t="s">
        <v>152</v>
      </c>
      <c r="H107" s="62">
        <v>0</v>
      </c>
      <c r="I107" s="63">
        <v>2</v>
      </c>
      <c r="J107" s="150">
        <v>6.88</v>
      </c>
      <c r="K107" s="151"/>
      <c r="L107" s="63">
        <v>0</v>
      </c>
      <c r="M107" s="63">
        <v>0</v>
      </c>
      <c r="N107" s="64">
        <f t="shared" si="2"/>
        <v>13.76</v>
      </c>
      <c r="O107" s="62">
        <f>M11</f>
        <v>3</v>
      </c>
      <c r="P107" s="65"/>
      <c r="Q107" s="66"/>
      <c r="R107" s="67"/>
      <c r="S107" s="68"/>
      <c r="T107" s="69"/>
    </row>
    <row r="108" spans="1:20" ht="24" customHeight="1">
      <c r="A108" s="59">
        <v>89</v>
      </c>
      <c r="B108" s="59">
        <v>99990009869780</v>
      </c>
      <c r="C108" s="60" t="s">
        <v>153</v>
      </c>
      <c r="D108" s="148" t="s">
        <v>154</v>
      </c>
      <c r="E108" s="149"/>
      <c r="F108" s="61">
        <v>614731</v>
      </c>
      <c r="G108" s="61" t="s">
        <v>155</v>
      </c>
      <c r="H108" s="62">
        <v>0</v>
      </c>
      <c r="I108" s="63">
        <v>2</v>
      </c>
      <c r="J108" s="150">
        <v>6.88</v>
      </c>
      <c r="K108" s="151"/>
      <c r="L108" s="63">
        <v>0</v>
      </c>
      <c r="M108" s="63">
        <v>0</v>
      </c>
      <c r="N108" s="64">
        <f t="shared" si="2"/>
        <v>13.76</v>
      </c>
      <c r="O108" s="62">
        <f>M11</f>
        <v>3</v>
      </c>
      <c r="P108" s="65"/>
      <c r="Q108" s="66"/>
      <c r="R108" s="67"/>
      <c r="S108" s="68"/>
      <c r="T108" s="69"/>
    </row>
    <row r="109" spans="1:20" ht="24" customHeight="1">
      <c r="A109" s="59">
        <v>90</v>
      </c>
      <c r="B109" s="59">
        <v>99990010474389</v>
      </c>
      <c r="C109" s="60">
        <v>614735</v>
      </c>
      <c r="D109" s="148" t="s">
        <v>156</v>
      </c>
      <c r="E109" s="149"/>
      <c r="F109" s="61">
        <v>614735</v>
      </c>
      <c r="G109" s="61" t="s">
        <v>155</v>
      </c>
      <c r="H109" s="62">
        <v>0</v>
      </c>
      <c r="I109" s="63">
        <v>2</v>
      </c>
      <c r="J109" s="150">
        <v>6.88</v>
      </c>
      <c r="K109" s="151"/>
      <c r="L109" s="63">
        <v>0</v>
      </c>
      <c r="M109" s="63">
        <v>0</v>
      </c>
      <c r="N109" s="64">
        <f t="shared" si="2"/>
        <v>13.76</v>
      </c>
      <c r="O109" s="62">
        <f>M11</f>
        <v>3</v>
      </c>
      <c r="P109" s="65"/>
      <c r="Q109" s="66"/>
      <c r="R109" s="67"/>
      <c r="S109" s="68"/>
      <c r="T109" s="69"/>
    </row>
    <row r="110" spans="1:20" ht="24" customHeight="1">
      <c r="A110" s="59">
        <v>91</v>
      </c>
      <c r="B110" s="59">
        <v>99990005568931</v>
      </c>
      <c r="C110" s="60">
        <v>1778733</v>
      </c>
      <c r="D110" s="148" t="s">
        <v>157</v>
      </c>
      <c r="E110" s="149"/>
      <c r="F110" s="61">
        <v>270602</v>
      </c>
      <c r="G110" s="61" t="s">
        <v>43</v>
      </c>
      <c r="H110" s="62">
        <v>0</v>
      </c>
      <c r="I110" s="63">
        <v>1</v>
      </c>
      <c r="J110" s="150">
        <v>6.22</v>
      </c>
      <c r="K110" s="151"/>
      <c r="L110" s="63">
        <v>0</v>
      </c>
      <c r="M110" s="63">
        <v>0</v>
      </c>
      <c r="N110" s="64">
        <f t="shared" si="2"/>
        <v>6.22</v>
      </c>
      <c r="O110" s="62">
        <f>M11</f>
        <v>3</v>
      </c>
      <c r="P110" s="65"/>
      <c r="Q110" s="66"/>
      <c r="R110" s="67"/>
      <c r="S110" s="68"/>
      <c r="T110" s="69"/>
    </row>
    <row r="111" spans="1:20" ht="24" customHeight="1">
      <c r="A111" s="59">
        <v>92</v>
      </c>
      <c r="B111" s="59">
        <v>99990013732155</v>
      </c>
      <c r="C111" s="60">
        <v>450591</v>
      </c>
      <c r="D111" s="148" t="s">
        <v>158</v>
      </c>
      <c r="E111" s="149"/>
      <c r="F111" s="61">
        <v>450591</v>
      </c>
      <c r="G111" s="61" t="s">
        <v>41</v>
      </c>
      <c r="H111" s="62">
        <v>0</v>
      </c>
      <c r="I111" s="63">
        <v>5</v>
      </c>
      <c r="J111" s="150">
        <v>5.56</v>
      </c>
      <c r="K111" s="151"/>
      <c r="L111" s="63">
        <v>0</v>
      </c>
      <c r="M111" s="63">
        <v>0</v>
      </c>
      <c r="N111" s="64">
        <f t="shared" si="2"/>
        <v>27.8</v>
      </c>
      <c r="O111" s="62">
        <f>M11</f>
        <v>3</v>
      </c>
      <c r="P111" s="65" t="s">
        <v>285</v>
      </c>
      <c r="Q111" s="66"/>
      <c r="R111" s="67"/>
      <c r="S111" s="68"/>
      <c r="T111" s="69"/>
    </row>
    <row r="112" spans="1:20" ht="24" customHeight="1">
      <c r="A112" s="59">
        <v>93</v>
      </c>
      <c r="B112" s="59">
        <v>99990005568879</v>
      </c>
      <c r="C112" s="60">
        <v>1778687</v>
      </c>
      <c r="D112" s="148" t="s">
        <v>159</v>
      </c>
      <c r="E112" s="149"/>
      <c r="F112" s="61">
        <v>651427</v>
      </c>
      <c r="G112" s="61" t="s">
        <v>43</v>
      </c>
      <c r="H112" s="62">
        <v>0</v>
      </c>
      <c r="I112" s="63">
        <v>1</v>
      </c>
      <c r="J112" s="150">
        <v>10.81</v>
      </c>
      <c r="K112" s="151"/>
      <c r="L112" s="63">
        <v>0</v>
      </c>
      <c r="M112" s="63">
        <v>0</v>
      </c>
      <c r="N112" s="64">
        <f t="shared" si="2"/>
        <v>10.81</v>
      </c>
      <c r="O112" s="62">
        <f>M11</f>
        <v>3</v>
      </c>
      <c r="P112" s="65"/>
      <c r="Q112" s="66"/>
      <c r="R112" s="67"/>
      <c r="S112" s="68"/>
      <c r="T112" s="69"/>
    </row>
    <row r="113" spans="1:20" ht="24" customHeight="1">
      <c r="A113" s="59">
        <v>94</v>
      </c>
      <c r="B113" s="59">
        <v>99990005568933</v>
      </c>
      <c r="C113" s="60">
        <v>1778735</v>
      </c>
      <c r="D113" s="148" t="s">
        <v>160</v>
      </c>
      <c r="E113" s="149"/>
      <c r="F113" s="61">
        <v>270612</v>
      </c>
      <c r="G113" s="61" t="s">
        <v>43</v>
      </c>
      <c r="H113" s="62">
        <v>0</v>
      </c>
      <c r="I113" s="63">
        <v>2</v>
      </c>
      <c r="J113" s="150">
        <v>2.95</v>
      </c>
      <c r="K113" s="151"/>
      <c r="L113" s="63">
        <v>0</v>
      </c>
      <c r="M113" s="63">
        <v>0</v>
      </c>
      <c r="N113" s="64">
        <f t="shared" si="2"/>
        <v>5.9</v>
      </c>
      <c r="O113" s="62">
        <f>M11</f>
        <v>3</v>
      </c>
      <c r="P113" s="65" t="s">
        <v>286</v>
      </c>
      <c r="Q113" s="66"/>
      <c r="R113" s="67"/>
      <c r="S113" s="68"/>
      <c r="T113" s="69"/>
    </row>
    <row r="114" spans="1:20" ht="24" customHeight="1">
      <c r="A114" s="59">
        <v>95</v>
      </c>
      <c r="B114" s="59">
        <v>99990008655471</v>
      </c>
      <c r="C114" s="60">
        <v>232191</v>
      </c>
      <c r="D114" s="148" t="s">
        <v>161</v>
      </c>
      <c r="E114" s="149"/>
      <c r="F114" s="61">
        <v>232191</v>
      </c>
      <c r="G114" s="61" t="s">
        <v>43</v>
      </c>
      <c r="H114" s="62">
        <v>0</v>
      </c>
      <c r="I114" s="63">
        <v>4</v>
      </c>
      <c r="J114" s="150">
        <v>4.1150000000000002</v>
      </c>
      <c r="K114" s="151"/>
      <c r="L114" s="63">
        <v>0</v>
      </c>
      <c r="M114" s="63">
        <v>0</v>
      </c>
      <c r="N114" s="64">
        <f t="shared" si="2"/>
        <v>16.46</v>
      </c>
      <c r="O114" s="62">
        <f>M11</f>
        <v>3</v>
      </c>
      <c r="P114" s="65" t="s">
        <v>287</v>
      </c>
      <c r="Q114" s="66"/>
      <c r="R114" s="67" t="s">
        <v>162</v>
      </c>
      <c r="S114" s="68"/>
      <c r="T114" s="69"/>
    </row>
    <row r="115" spans="1:20" ht="24" customHeight="1">
      <c r="A115" s="59">
        <v>96</v>
      </c>
      <c r="B115" s="59">
        <v>99990008174375</v>
      </c>
      <c r="C115" s="60">
        <v>233967</v>
      </c>
      <c r="D115" s="148" t="s">
        <v>163</v>
      </c>
      <c r="E115" s="149"/>
      <c r="F115" s="61">
        <v>233967</v>
      </c>
      <c r="G115" s="61" t="s">
        <v>43</v>
      </c>
      <c r="H115" s="62">
        <v>0</v>
      </c>
      <c r="I115" s="63">
        <v>4</v>
      </c>
      <c r="J115" s="150">
        <v>1.67</v>
      </c>
      <c r="K115" s="151"/>
      <c r="L115" s="63">
        <v>0</v>
      </c>
      <c r="M115" s="63">
        <v>0</v>
      </c>
      <c r="N115" s="64">
        <f t="shared" si="2"/>
        <v>6.68</v>
      </c>
      <c r="O115" s="62">
        <f>M11</f>
        <v>3</v>
      </c>
      <c r="P115" s="65"/>
      <c r="Q115" s="66"/>
      <c r="R115" s="67"/>
      <c r="S115" s="68"/>
      <c r="T115" s="69"/>
    </row>
    <row r="116" spans="1:20" ht="24" customHeight="1">
      <c r="A116" s="59">
        <v>97</v>
      </c>
      <c r="B116" s="59">
        <v>99990008174267</v>
      </c>
      <c r="C116" s="60">
        <v>233843</v>
      </c>
      <c r="D116" s="148" t="s">
        <v>164</v>
      </c>
      <c r="E116" s="149"/>
      <c r="F116" s="61">
        <v>233843</v>
      </c>
      <c r="G116" s="61" t="s">
        <v>43</v>
      </c>
      <c r="H116" s="62">
        <v>0</v>
      </c>
      <c r="I116" s="63">
        <v>4</v>
      </c>
      <c r="J116" s="150">
        <v>1.57</v>
      </c>
      <c r="K116" s="151"/>
      <c r="L116" s="63">
        <v>0</v>
      </c>
      <c r="M116" s="63">
        <v>0</v>
      </c>
      <c r="N116" s="64">
        <f t="shared" ref="N116:N147" si="3">ROUND(((I116*J116)-((I116*J116)*L116/100))+(((I116*J116)-((I116*J116)*L116/100))*M116/100),2)</f>
        <v>6.28</v>
      </c>
      <c r="O116" s="62">
        <f>M11</f>
        <v>3</v>
      </c>
      <c r="P116" s="65"/>
      <c r="Q116" s="66"/>
      <c r="R116" s="67"/>
      <c r="S116" s="68"/>
      <c r="T116" s="69"/>
    </row>
    <row r="117" spans="1:20" ht="24" customHeight="1">
      <c r="A117" s="59">
        <v>98</v>
      </c>
      <c r="B117" s="59">
        <v>99990008656062</v>
      </c>
      <c r="C117" s="60">
        <v>231455</v>
      </c>
      <c r="D117" s="148" t="s">
        <v>165</v>
      </c>
      <c r="E117" s="149"/>
      <c r="F117" s="61">
        <v>231455</v>
      </c>
      <c r="G117" s="61" t="s">
        <v>43</v>
      </c>
      <c r="H117" s="62">
        <v>0</v>
      </c>
      <c r="I117" s="63">
        <v>4</v>
      </c>
      <c r="J117" s="150">
        <v>0.98</v>
      </c>
      <c r="K117" s="151"/>
      <c r="L117" s="63">
        <v>0</v>
      </c>
      <c r="M117" s="63">
        <v>0</v>
      </c>
      <c r="N117" s="64">
        <f t="shared" si="3"/>
        <v>3.92</v>
      </c>
      <c r="O117" s="62">
        <f>M11</f>
        <v>3</v>
      </c>
      <c r="P117" s="65"/>
      <c r="Q117" s="66"/>
      <c r="R117" s="67"/>
      <c r="S117" s="68"/>
      <c r="T117" s="69"/>
    </row>
    <row r="118" spans="1:20" ht="15" customHeight="1">
      <c r="A118" s="15"/>
      <c r="B118" s="99"/>
      <c r="C118" s="100"/>
      <c r="D118" s="100"/>
      <c r="E118" s="100"/>
      <c r="F118" s="100"/>
      <c r="G118" s="100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2"/>
    </row>
    <row r="119" spans="1:20" ht="12.75" customHeight="1">
      <c r="A119" s="96" t="s">
        <v>28</v>
      </c>
      <c r="B119" s="96"/>
      <c r="C119" s="136" t="s">
        <v>166</v>
      </c>
      <c r="D119" s="137"/>
      <c r="E119" s="137"/>
      <c r="F119" s="137"/>
      <c r="G119" s="137"/>
      <c r="H119" s="137"/>
      <c r="I119" s="97"/>
      <c r="J119" s="113" t="s">
        <v>167</v>
      </c>
      <c r="K119" s="113"/>
      <c r="L119" s="97" t="s">
        <v>35</v>
      </c>
      <c r="M119" s="97" t="s">
        <v>36</v>
      </c>
      <c r="N119" s="98" t="s">
        <v>168</v>
      </c>
      <c r="O119" s="112" t="s">
        <v>38</v>
      </c>
      <c r="P119" s="112"/>
      <c r="Q119" s="112"/>
      <c r="R119" s="112"/>
      <c r="S119" s="112"/>
      <c r="T119" s="58"/>
    </row>
    <row r="120" spans="1:20" ht="15" customHeight="1">
      <c r="A120" s="87">
        <v>1</v>
      </c>
      <c r="B120" s="88"/>
      <c r="C120" s="152" t="s">
        <v>169</v>
      </c>
      <c r="D120" s="153" t="s">
        <v>169</v>
      </c>
      <c r="E120" s="153" t="s">
        <v>169</v>
      </c>
      <c r="F120" s="153" t="s">
        <v>169</v>
      </c>
      <c r="G120" s="153" t="s">
        <v>169</v>
      </c>
      <c r="H120" s="154" t="s">
        <v>169</v>
      </c>
      <c r="I120" s="89"/>
      <c r="J120" s="155">
        <v>0</v>
      </c>
      <c r="K120" s="156"/>
      <c r="L120" s="90">
        <v>0</v>
      </c>
      <c r="M120" s="90">
        <v>0</v>
      </c>
      <c r="N120" s="95">
        <f>(J120-(J120*L120/100)+((J120-(J120*L120/100))*M120/100))</f>
        <v>0</v>
      </c>
      <c r="O120" s="106"/>
      <c r="P120" s="107"/>
      <c r="Q120" s="107"/>
      <c r="R120" s="107"/>
      <c r="S120" s="108"/>
      <c r="T120" s="93"/>
    </row>
    <row r="121" spans="1:20" ht="15" customHeight="1">
      <c r="A121" s="87">
        <v>2</v>
      </c>
      <c r="B121" s="88"/>
      <c r="C121" s="152" t="s">
        <v>170</v>
      </c>
      <c r="D121" s="153" t="s">
        <v>170</v>
      </c>
      <c r="E121" s="153" t="s">
        <v>170</v>
      </c>
      <c r="F121" s="153" t="s">
        <v>170</v>
      </c>
      <c r="G121" s="153" t="s">
        <v>170</v>
      </c>
      <c r="H121" s="154" t="s">
        <v>170</v>
      </c>
      <c r="I121" s="94"/>
      <c r="J121" s="155">
        <v>0</v>
      </c>
      <c r="K121" s="156"/>
      <c r="L121" s="90">
        <v>0</v>
      </c>
      <c r="M121" s="90">
        <v>0</v>
      </c>
      <c r="N121" s="92">
        <f>(J121-(J121*L121/100)+((J121-(J121*L121/100))*M121/100))</f>
        <v>0</v>
      </c>
      <c r="O121" s="109"/>
      <c r="P121" s="110"/>
      <c r="Q121" s="110"/>
      <c r="R121" s="110"/>
      <c r="S121" s="111"/>
      <c r="T121" s="93"/>
    </row>
    <row r="122" spans="1:20" ht="15" customHeight="1">
      <c r="A122" s="87">
        <v>3</v>
      </c>
      <c r="B122" s="88"/>
      <c r="C122" s="152"/>
      <c r="D122" s="153"/>
      <c r="E122" s="153"/>
      <c r="F122" s="153"/>
      <c r="G122" s="153"/>
      <c r="H122" s="154"/>
      <c r="I122" s="89"/>
      <c r="J122" s="155">
        <v>0</v>
      </c>
      <c r="K122" s="156"/>
      <c r="L122" s="90">
        <v>0</v>
      </c>
      <c r="M122" s="90">
        <v>0</v>
      </c>
      <c r="N122" s="92">
        <f>(J122-(J122*L122/100)+((J122-(J122*L122/100))*M122/100))</f>
        <v>0</v>
      </c>
      <c r="O122" s="109"/>
      <c r="P122" s="110"/>
      <c r="Q122" s="110"/>
      <c r="R122" s="110"/>
      <c r="S122" s="111"/>
      <c r="T122" s="93"/>
    </row>
    <row r="123" spans="1:20" ht="15.75" customHeight="1">
      <c r="A123" s="87">
        <v>4</v>
      </c>
      <c r="B123" s="88"/>
      <c r="C123" s="152"/>
      <c r="D123" s="153"/>
      <c r="E123" s="153"/>
      <c r="F123" s="153"/>
      <c r="G123" s="153"/>
      <c r="H123" s="154"/>
      <c r="I123" s="89"/>
      <c r="J123" s="155">
        <v>0</v>
      </c>
      <c r="K123" s="156"/>
      <c r="L123" s="90">
        <v>0</v>
      </c>
      <c r="M123" s="91">
        <v>0</v>
      </c>
      <c r="N123" s="92">
        <f>(J123-(J123*L123/100)+((J123-(J123*L123/100))*M123/100))</f>
        <v>0</v>
      </c>
      <c r="O123" s="109"/>
      <c r="P123" s="110"/>
      <c r="Q123" s="110"/>
      <c r="R123" s="110"/>
      <c r="S123" s="111"/>
      <c r="T123" s="93"/>
    </row>
    <row r="124" spans="1:20" ht="15.95" customHeight="1">
      <c r="A124" s="75"/>
      <c r="B124" s="75"/>
      <c r="C124" s="76"/>
      <c r="D124" s="76"/>
      <c r="J124" s="16" t="s">
        <v>171</v>
      </c>
      <c r="K124" s="17"/>
      <c r="L124" s="16"/>
      <c r="M124" s="17"/>
      <c r="N124" s="86">
        <f>SUM(ItmPrice)</f>
        <v>1373.0800000000004</v>
      </c>
      <c r="O124" s="126"/>
      <c r="P124" s="127"/>
    </row>
    <row r="125" spans="1:20" ht="15" customHeight="1">
      <c r="A125" s="75"/>
      <c r="B125" s="75"/>
      <c r="C125" s="76"/>
      <c r="D125" s="76"/>
      <c r="J125" s="130" t="s">
        <v>172</v>
      </c>
      <c r="K125" s="131"/>
      <c r="L125" s="131"/>
      <c r="M125" s="132"/>
      <c r="N125" s="86">
        <f>SUM(N120:N124)</f>
        <v>1373.0800000000004</v>
      </c>
      <c r="O125" s="128"/>
      <c r="P125" s="129"/>
    </row>
    <row r="126" spans="1:20" ht="2.25" hidden="1" customHeight="1">
      <c r="A126" s="80">
        <v>0</v>
      </c>
      <c r="B126" s="80">
        <v>0</v>
      </c>
      <c r="C126" s="81">
        <v>0</v>
      </c>
      <c r="D126" s="76"/>
      <c r="E126" s="76"/>
      <c r="F126" s="82">
        <v>1</v>
      </c>
      <c r="G126" s="76"/>
      <c r="H126" s="76"/>
      <c r="I126" s="76"/>
      <c r="J126" s="76"/>
      <c r="K126" s="83"/>
      <c r="L126" s="84">
        <v>0</v>
      </c>
      <c r="M126" s="85">
        <v>0</v>
      </c>
      <c r="N126" s="18" t="s">
        <v>173</v>
      </c>
      <c r="O126" s="79"/>
      <c r="P126" s="85">
        <v>995</v>
      </c>
      <c r="Q126" s="76" t="s">
        <v>174</v>
      </c>
      <c r="R126" s="76"/>
      <c r="S126" s="76"/>
    </row>
    <row r="127" spans="1:20" ht="18.75" customHeight="1">
      <c r="A127" s="75"/>
      <c r="B127" s="75"/>
      <c r="C127" s="75"/>
      <c r="H127" s="79"/>
      <c r="J127" s="76"/>
      <c r="K127" s="76"/>
      <c r="L127" s="76"/>
      <c r="M127" s="76"/>
      <c r="N127" s="76"/>
      <c r="O127" s="76"/>
      <c r="P127" s="76"/>
      <c r="R127" s="76"/>
      <c r="S127" s="76"/>
    </row>
    <row r="128" spans="1:20" ht="127.5" customHeight="1">
      <c r="A128" s="7" t="s">
        <v>175</v>
      </c>
      <c r="B128" s="7"/>
      <c r="C128" s="7"/>
      <c r="D128" s="6"/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78"/>
    </row>
    <row r="129" spans="1:20" ht="129.75" customHeight="1">
      <c r="A129" s="7" t="s">
        <v>38</v>
      </c>
      <c r="B129" s="7"/>
      <c r="C129" s="7"/>
      <c r="D129" s="6"/>
      <c r="E129" s="12" t="s">
        <v>288</v>
      </c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77"/>
    </row>
    <row r="130" spans="1:20" ht="15.95" customHeight="1">
      <c r="A130" s="75"/>
      <c r="B130" s="75"/>
      <c r="C130" s="75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</row>
    <row r="131" spans="1:20" ht="15.95" customHeight="1">
      <c r="A131" s="73" t="s">
        <v>176</v>
      </c>
      <c r="B131" s="73"/>
      <c r="C131" s="73"/>
      <c r="D131" s="73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74"/>
    </row>
    <row r="132" spans="1:20" ht="12.75" customHeigh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72"/>
    </row>
    <row r="133" spans="1:20" ht="12.75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72"/>
    </row>
    <row r="134" spans="1:20" ht="7.5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72"/>
    </row>
    <row r="135" spans="1:20" ht="12.75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72"/>
    </row>
    <row r="136" spans="1:20" ht="12.75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72"/>
    </row>
    <row r="137" spans="1:20" ht="12.75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72"/>
    </row>
    <row r="138" spans="1:20" ht="7.5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72"/>
    </row>
    <row r="139" spans="1:20" ht="12.75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72"/>
    </row>
    <row r="140" spans="1:20" ht="12.75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72"/>
    </row>
    <row r="141" spans="1:20" ht="12.75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72"/>
    </row>
    <row r="142" spans="1:20" ht="12.75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72"/>
    </row>
    <row r="143" spans="1:20" ht="12.75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72"/>
    </row>
    <row r="144" spans="1:20" ht="12.7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72"/>
    </row>
    <row r="145" spans="1:20" ht="7.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72"/>
    </row>
    <row r="146" spans="1:20" ht="12.7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72"/>
    </row>
    <row r="147" spans="1:20" ht="12.7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72"/>
    </row>
    <row r="148" spans="1:20" ht="12.7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72"/>
    </row>
    <row r="149" spans="1:20" ht="12.7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72"/>
    </row>
    <row r="150" spans="1:20" ht="12.7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72"/>
    </row>
    <row r="151" spans="1:20" ht="7.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72"/>
    </row>
    <row r="152" spans="1:20" ht="12.7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72"/>
    </row>
    <row r="153" spans="1:20" ht="12.7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72"/>
    </row>
    <row r="154" spans="1:20" ht="12.75" customHeight="1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71"/>
    </row>
    <row r="155" spans="1:20">
      <c r="A155" s="70" t="s">
        <v>177</v>
      </c>
      <c r="B155" s="70"/>
      <c r="C155" s="70"/>
      <c r="D155" s="70"/>
      <c r="E155" s="70"/>
      <c r="F155" s="70"/>
      <c r="G155" s="70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261">
    <mergeCell ref="D117:E117"/>
    <mergeCell ref="J117:K117"/>
    <mergeCell ref="C120:H120"/>
    <mergeCell ref="J120:K120"/>
    <mergeCell ref="C121:H121"/>
    <mergeCell ref="J121:K121"/>
    <mergeCell ref="C122:H122"/>
    <mergeCell ref="J122:K122"/>
    <mergeCell ref="C123:H123"/>
    <mergeCell ref="J123:K123"/>
    <mergeCell ref="D112:E112"/>
    <mergeCell ref="J112:K112"/>
    <mergeCell ref="D113:E113"/>
    <mergeCell ref="J113:K113"/>
    <mergeCell ref="D114:E114"/>
    <mergeCell ref="J114:K114"/>
    <mergeCell ref="D115:E115"/>
    <mergeCell ref="J115:K115"/>
    <mergeCell ref="D116:E116"/>
    <mergeCell ref="J116:K116"/>
    <mergeCell ref="D107:E107"/>
    <mergeCell ref="J107:K107"/>
    <mergeCell ref="D108:E108"/>
    <mergeCell ref="J108:K108"/>
    <mergeCell ref="D109:E109"/>
    <mergeCell ref="J109:K109"/>
    <mergeCell ref="D110:E110"/>
    <mergeCell ref="J110:K110"/>
    <mergeCell ref="D111:E111"/>
    <mergeCell ref="J111:K11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97:E97"/>
    <mergeCell ref="J97:K97"/>
    <mergeCell ref="D98:E98"/>
    <mergeCell ref="J98:K98"/>
    <mergeCell ref="D99:E99"/>
    <mergeCell ref="J99:K99"/>
    <mergeCell ref="D100:E100"/>
    <mergeCell ref="J100:K100"/>
    <mergeCell ref="D101:E101"/>
    <mergeCell ref="J101:K10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87:E87"/>
    <mergeCell ref="J87:K87"/>
    <mergeCell ref="D88:E88"/>
    <mergeCell ref="J88:K88"/>
    <mergeCell ref="D89:E89"/>
    <mergeCell ref="J89:K89"/>
    <mergeCell ref="D90:E90"/>
    <mergeCell ref="J90:K90"/>
    <mergeCell ref="D91:E91"/>
    <mergeCell ref="J91:K91"/>
    <mergeCell ref="D82:E82"/>
    <mergeCell ref="J82:K82"/>
    <mergeCell ref="D83:E83"/>
    <mergeCell ref="J83:K83"/>
    <mergeCell ref="D84:E84"/>
    <mergeCell ref="J84:K84"/>
    <mergeCell ref="D85:E85"/>
    <mergeCell ref="J85:K85"/>
    <mergeCell ref="D86:E86"/>
    <mergeCell ref="J86:K86"/>
    <mergeCell ref="D77:E77"/>
    <mergeCell ref="J77:K77"/>
    <mergeCell ref="D78:E78"/>
    <mergeCell ref="J78:K78"/>
    <mergeCell ref="D79:E79"/>
    <mergeCell ref="J79:K79"/>
    <mergeCell ref="D80:E80"/>
    <mergeCell ref="J80:K80"/>
    <mergeCell ref="D81:E81"/>
    <mergeCell ref="J81:K81"/>
    <mergeCell ref="D72:E72"/>
    <mergeCell ref="J72:K72"/>
    <mergeCell ref="D73:E73"/>
    <mergeCell ref="J73:K73"/>
    <mergeCell ref="D74:E74"/>
    <mergeCell ref="J74:K74"/>
    <mergeCell ref="D75:E75"/>
    <mergeCell ref="J75:K75"/>
    <mergeCell ref="D76:E76"/>
    <mergeCell ref="J76:K7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A3:E3"/>
    <mergeCell ref="C119:H11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J125:M125"/>
    <mergeCell ref="O122:S122"/>
    <mergeCell ref="O123:S123"/>
    <mergeCell ref="D16:H16"/>
    <mergeCell ref="A13:C13"/>
    <mergeCell ref="D19:E19"/>
    <mergeCell ref="D13:H13"/>
    <mergeCell ref="D14:H14"/>
    <mergeCell ref="D15:H15"/>
    <mergeCell ref="D17:H17"/>
    <mergeCell ref="A14:C14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E128:S128"/>
    <mergeCell ref="E129:S129"/>
    <mergeCell ref="E131:S131"/>
    <mergeCell ref="A132:S153"/>
    <mergeCell ref="A154:S154"/>
    <mergeCell ref="A128:D128"/>
    <mergeCell ref="A129:D129"/>
    <mergeCell ref="K1:R1"/>
    <mergeCell ref="R19:S19"/>
    <mergeCell ref="R20:S20"/>
    <mergeCell ref="O120:S120"/>
    <mergeCell ref="O121:S121"/>
    <mergeCell ref="O119:S119"/>
    <mergeCell ref="J119:K119"/>
    <mergeCell ref="K4:L4"/>
    <mergeCell ref="M4:P4"/>
    <mergeCell ref="K5:L5"/>
    <mergeCell ref="M5:P5"/>
    <mergeCell ref="M7:Q7"/>
    <mergeCell ref="P20:Q20"/>
    <mergeCell ref="M12:O12"/>
    <mergeCell ref="K12:L12"/>
    <mergeCell ref="O124:P124"/>
    <mergeCell ref="O125:P125"/>
  </mergeCells>
  <dataValidations count="40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decimal" operator="greaterThanOrEqual" allowBlank="1" showInputMessage="1" showErrorMessage="1" sqref="I76">
      <formula1>0</formula1>
    </dataValidation>
    <dataValidation type="decimal" operator="greaterThanOrEqual" allowBlank="1" showInputMessage="1" showErrorMessage="1" sqref="J76">
      <formula1>0</formula1>
    </dataValidation>
    <dataValidation type="decimal" allowBlank="1" showInputMessage="1" showErrorMessage="1" sqref="L76">
      <formula1>0</formula1>
      <formula2>100</formula2>
    </dataValidation>
    <dataValidation type="decimal" allowBlank="1" showInputMessage="1" showErrorMessage="1" sqref="M76">
      <formula1>0</formula1>
      <formula2>100</formula2>
    </dataValidation>
    <dataValidation type="decimal" operator="greaterThanOrEqual" allowBlank="1" showInputMessage="1" showErrorMessage="1" sqref="I77">
      <formula1>0</formula1>
    </dataValidation>
    <dataValidation type="decimal" operator="greaterThanOrEqual" allowBlank="1" showInputMessage="1" showErrorMessage="1" sqref="J77">
      <formula1>0</formula1>
    </dataValidation>
    <dataValidation type="decimal" allowBlank="1" showInputMessage="1" showErrorMessage="1" sqref="L77">
      <formula1>0</formula1>
      <formula2>100</formula2>
    </dataValidation>
    <dataValidation type="decimal" allowBlank="1" showInputMessage="1" showErrorMessage="1" sqref="M77">
      <formula1>0</formula1>
      <formula2>100</formula2>
    </dataValidation>
    <dataValidation type="decimal" operator="greaterThanOrEqual" allowBlank="1" showInputMessage="1" showErrorMessage="1" sqref="I78">
      <formula1>0</formula1>
    </dataValidation>
    <dataValidation type="decimal" operator="greaterThanOrEqual" allowBlank="1" showInputMessage="1" showErrorMessage="1" sqref="J78">
      <formula1>0</formula1>
    </dataValidation>
    <dataValidation type="decimal" allowBlank="1" showInputMessage="1" showErrorMessage="1" sqref="L78">
      <formula1>0</formula1>
      <formula2>100</formula2>
    </dataValidation>
    <dataValidation type="decimal" allowBlank="1" showInputMessage="1" showErrorMessage="1" sqref="M78">
      <formula1>0</formula1>
      <formula2>100</formula2>
    </dataValidation>
    <dataValidation type="decimal" operator="greaterThanOrEqual" allowBlank="1" showInputMessage="1" showErrorMessage="1" sqref="I79">
      <formula1>0</formula1>
    </dataValidation>
    <dataValidation type="decimal" operator="greaterThanOrEqual" allowBlank="1" showInputMessage="1" showErrorMessage="1" sqref="J79">
      <formula1>0</formula1>
    </dataValidation>
    <dataValidation type="decimal" allowBlank="1" showInputMessage="1" showErrorMessage="1" sqref="L79">
      <formula1>0</formula1>
      <formula2>100</formula2>
    </dataValidation>
    <dataValidation type="decimal" allowBlank="1" showInputMessage="1" showErrorMessage="1" sqref="M79">
      <formula1>0</formula1>
      <formula2>100</formula2>
    </dataValidation>
    <dataValidation type="decimal" operator="greaterThanOrEqual" allowBlank="1" showInputMessage="1" showErrorMessage="1" sqref="I80">
      <formula1>0</formula1>
    </dataValidation>
    <dataValidation type="decimal" operator="greaterThanOrEqual" allowBlank="1" showInputMessage="1" showErrorMessage="1" sqref="J80">
      <formula1>0</formula1>
    </dataValidation>
    <dataValidation type="decimal" allowBlank="1" showInputMessage="1" showErrorMessage="1" sqref="L80">
      <formula1>0</formula1>
      <formula2>100</formula2>
    </dataValidation>
    <dataValidation type="decimal" allowBlank="1" showInputMessage="1" showErrorMessage="1" sqref="M80">
      <formula1>0</formula1>
      <formula2>100</formula2>
    </dataValidation>
    <dataValidation type="decimal" operator="greaterThanOrEqual" allowBlank="1" showInputMessage="1" showErrorMessage="1" sqref="I81">
      <formula1>0</formula1>
    </dataValidation>
    <dataValidation type="decimal" operator="greaterThanOrEqual" allowBlank="1" showInputMessage="1" showErrorMessage="1" sqref="J81">
      <formula1>0</formula1>
    </dataValidation>
    <dataValidation type="decimal" allowBlank="1" showInputMessage="1" showErrorMessage="1" sqref="L81">
      <formula1>0</formula1>
      <formula2>100</formula2>
    </dataValidation>
    <dataValidation type="decimal" allowBlank="1" showInputMessage="1" showErrorMessage="1" sqref="M81">
      <formula1>0</formula1>
      <formula2>100</formula2>
    </dataValidation>
    <dataValidation type="decimal" operator="greaterThanOrEqual" allowBlank="1" showInputMessage="1" showErrorMessage="1" sqref="I82">
      <formula1>0</formula1>
    </dataValidation>
    <dataValidation type="decimal" operator="greaterThanOrEqual" allowBlank="1" showInputMessage="1" showErrorMessage="1" sqref="J82">
      <formula1>0</formula1>
    </dataValidation>
    <dataValidation type="decimal" allowBlank="1" showInputMessage="1" showErrorMessage="1" sqref="L82">
      <formula1>0</formula1>
      <formula2>100</formula2>
    </dataValidation>
    <dataValidation type="decimal" allowBlank="1" showInputMessage="1" showErrorMessage="1" sqref="M82">
      <formula1>0</formula1>
      <formula2>100</formula2>
    </dataValidation>
    <dataValidation type="decimal" operator="greaterThanOrEqual" allowBlank="1" showInputMessage="1" showErrorMessage="1" sqref="I83">
      <formula1>0</formula1>
    </dataValidation>
    <dataValidation type="decimal" operator="greaterThanOrEqual" allowBlank="1" showInputMessage="1" showErrorMessage="1" sqref="J83">
      <formula1>0</formula1>
    </dataValidation>
    <dataValidation type="decimal" allowBlank="1" showInputMessage="1" showErrorMessage="1" sqref="L83">
      <formula1>0</formula1>
      <formula2>100</formula2>
    </dataValidation>
    <dataValidation type="decimal" allowBlank="1" showInputMessage="1" showErrorMessage="1" sqref="M83">
      <formula1>0</formula1>
      <formula2>100</formula2>
    </dataValidation>
    <dataValidation type="decimal" operator="greaterThanOrEqual" allowBlank="1" showInputMessage="1" showErrorMessage="1" sqref="I84">
      <formula1>0</formula1>
    </dataValidation>
    <dataValidation type="decimal" operator="greaterThanOrEqual" allowBlank="1" showInputMessage="1" showErrorMessage="1" sqref="J84">
      <formula1>0</formula1>
    </dataValidation>
    <dataValidation type="decimal" allowBlank="1" showInputMessage="1" showErrorMessage="1" sqref="L84">
      <formula1>0</formula1>
      <formula2>100</formula2>
    </dataValidation>
    <dataValidation type="decimal" allowBlank="1" showInputMessage="1" showErrorMessage="1" sqref="M84">
      <formula1>0</formula1>
      <formula2>100</formula2>
    </dataValidation>
    <dataValidation type="decimal" operator="greaterThanOrEqual" allowBlank="1" showInputMessage="1" showErrorMessage="1" sqref="I85">
      <formula1>0</formula1>
    </dataValidation>
    <dataValidation type="decimal" operator="greaterThanOrEqual" allowBlank="1" showInputMessage="1" showErrorMessage="1" sqref="J85">
      <formula1>0</formula1>
    </dataValidation>
    <dataValidation type="decimal" allowBlank="1" showInputMessage="1" showErrorMessage="1" sqref="L85">
      <formula1>0</formula1>
      <formula2>100</formula2>
    </dataValidation>
    <dataValidation type="decimal" allowBlank="1" showInputMessage="1" showErrorMessage="1" sqref="M85">
      <formula1>0</formula1>
      <formula2>100</formula2>
    </dataValidation>
    <dataValidation type="decimal" operator="greaterThanOrEqual" allowBlank="1" showInputMessage="1" showErrorMessage="1" sqref="I86">
      <formula1>0</formula1>
    </dataValidation>
    <dataValidation type="decimal" operator="greaterThanOrEqual" allowBlank="1" showInputMessage="1" showErrorMessage="1" sqref="J86">
      <formula1>0</formula1>
    </dataValidation>
    <dataValidation type="decimal" allowBlank="1" showInputMessage="1" showErrorMessage="1" sqref="L86">
      <formula1>0</formula1>
      <formula2>100</formula2>
    </dataValidation>
    <dataValidation type="decimal" allowBlank="1" showInputMessage="1" showErrorMessage="1" sqref="M86">
      <formula1>0</formula1>
      <formula2>100</formula2>
    </dataValidation>
    <dataValidation type="decimal" operator="greaterThanOrEqual" allowBlank="1" showInputMessage="1" showErrorMessage="1" sqref="I87">
      <formula1>0</formula1>
    </dataValidation>
    <dataValidation type="decimal" operator="greaterThanOrEqual" allowBlank="1" showInputMessage="1" showErrorMessage="1" sqref="J87">
      <formula1>0</formula1>
    </dataValidation>
    <dataValidation type="decimal" allowBlank="1" showInputMessage="1" showErrorMessage="1" sqref="L87">
      <formula1>0</formula1>
      <formula2>100</formula2>
    </dataValidation>
    <dataValidation type="decimal" allowBlank="1" showInputMessage="1" showErrorMessage="1" sqref="M87">
      <formula1>0</formula1>
      <formula2>100</formula2>
    </dataValidation>
    <dataValidation type="decimal" operator="greaterThanOrEqual" allowBlank="1" showInputMessage="1" showErrorMessage="1" sqref="I88">
      <formula1>0</formula1>
    </dataValidation>
    <dataValidation type="decimal" operator="greaterThanOrEqual" allowBlank="1" showInputMessage="1" showErrorMessage="1" sqref="J88">
      <formula1>0</formula1>
    </dataValidation>
    <dataValidation type="decimal" allowBlank="1" showInputMessage="1" showErrorMessage="1" sqref="L88">
      <formula1>0</formula1>
      <formula2>100</formula2>
    </dataValidation>
    <dataValidation type="decimal" allowBlank="1" showInputMessage="1" showErrorMessage="1" sqref="M88">
      <formula1>0</formula1>
      <formula2>100</formula2>
    </dataValidation>
    <dataValidation type="decimal" operator="greaterThanOrEqual" allowBlank="1" showInputMessage="1" showErrorMessage="1" sqref="I89">
      <formula1>0</formula1>
    </dataValidation>
    <dataValidation type="decimal" operator="greaterThanOrEqual" allowBlank="1" showInputMessage="1" showErrorMessage="1" sqref="J89">
      <formula1>0</formula1>
    </dataValidation>
    <dataValidation type="decimal" allowBlank="1" showInputMessage="1" showErrorMessage="1" sqref="L89">
      <formula1>0</formula1>
      <formula2>100</formula2>
    </dataValidation>
    <dataValidation type="decimal" allowBlank="1" showInputMessage="1" showErrorMessage="1" sqref="M89">
      <formula1>0</formula1>
      <formula2>100</formula2>
    </dataValidation>
    <dataValidation type="decimal" operator="greaterThanOrEqual" allowBlank="1" showInputMessage="1" showErrorMessage="1" sqref="I90">
      <formula1>0</formula1>
    </dataValidation>
    <dataValidation type="decimal" operator="greaterThanOrEqual" allowBlank="1" showInputMessage="1" showErrorMessage="1" sqref="J90">
      <formula1>0</formula1>
    </dataValidation>
    <dataValidation type="decimal" allowBlank="1" showInputMessage="1" showErrorMessage="1" sqref="L90">
      <formula1>0</formula1>
      <formula2>100</formula2>
    </dataValidation>
    <dataValidation type="decimal" allowBlank="1" showInputMessage="1" showErrorMessage="1" sqref="M90">
      <formula1>0</formula1>
      <formula2>100</formula2>
    </dataValidation>
    <dataValidation type="decimal" operator="greaterThanOrEqual" allowBlank="1" showInputMessage="1" showErrorMessage="1" sqref="I91">
      <formula1>0</formula1>
    </dataValidation>
    <dataValidation type="decimal" operator="greaterThanOrEqual" allowBlank="1" showInputMessage="1" showErrorMessage="1" sqref="J91">
      <formula1>0</formula1>
    </dataValidation>
    <dataValidation type="decimal" allowBlank="1" showInputMessage="1" showErrorMessage="1" sqref="L91">
      <formula1>0</formula1>
      <formula2>100</formula2>
    </dataValidation>
    <dataValidation type="decimal" allowBlank="1" showInputMessage="1" showErrorMessage="1" sqref="M91">
      <formula1>0</formula1>
      <formula2>100</formula2>
    </dataValidation>
    <dataValidation type="decimal" operator="greaterThanOrEqual" allowBlank="1" showInputMessage="1" showErrorMessage="1" sqref="I92">
      <formula1>0</formula1>
    </dataValidation>
    <dataValidation type="decimal" operator="greaterThanOrEqual" allowBlank="1" showInputMessage="1" showErrorMessage="1" sqref="J92">
      <formula1>0</formula1>
    </dataValidation>
    <dataValidation type="decimal" allowBlank="1" showInputMessage="1" showErrorMessage="1" sqref="L92">
      <formula1>0</formula1>
      <formula2>100</formula2>
    </dataValidation>
    <dataValidation type="decimal" allowBlank="1" showInputMessage="1" showErrorMessage="1" sqref="M92">
      <formula1>0</formula1>
      <formula2>100</formula2>
    </dataValidation>
    <dataValidation type="decimal" operator="greaterThanOrEqual" allowBlank="1" showInputMessage="1" showErrorMessage="1" sqref="I93">
      <formula1>0</formula1>
    </dataValidation>
    <dataValidation type="decimal" operator="greaterThanOrEqual" allowBlank="1" showInputMessage="1" showErrorMessage="1" sqref="J93">
      <formula1>0</formula1>
    </dataValidation>
    <dataValidation type="decimal" allowBlank="1" showInputMessage="1" showErrorMessage="1" sqref="L93">
      <formula1>0</formula1>
      <formula2>100</formula2>
    </dataValidation>
    <dataValidation type="decimal" allowBlank="1" showInputMessage="1" showErrorMessage="1" sqref="M93">
      <formula1>0</formula1>
      <formula2>100</formula2>
    </dataValidation>
    <dataValidation type="decimal" operator="greaterThanOrEqual" allowBlank="1" showInputMessage="1" showErrorMessage="1" sqref="I94">
      <formula1>0</formula1>
    </dataValidation>
    <dataValidation type="decimal" operator="greaterThanOrEqual" allowBlank="1" showInputMessage="1" showErrorMessage="1" sqref="J94">
      <formula1>0</formula1>
    </dataValidation>
    <dataValidation type="decimal" allowBlank="1" showInputMessage="1" showErrorMessage="1" sqref="L94">
      <formula1>0</formula1>
      <formula2>100</formula2>
    </dataValidation>
    <dataValidation type="decimal" allowBlank="1" showInputMessage="1" showErrorMessage="1" sqref="M94">
      <formula1>0</formula1>
      <formula2>100</formula2>
    </dataValidation>
    <dataValidation type="decimal" operator="greaterThanOrEqual" allowBlank="1" showInputMessage="1" showErrorMessage="1" sqref="I95">
      <formula1>0</formula1>
    </dataValidation>
    <dataValidation type="decimal" operator="greaterThanOrEqual" allowBlank="1" showInputMessage="1" showErrorMessage="1" sqref="J95">
      <formula1>0</formula1>
    </dataValidation>
    <dataValidation type="decimal" allowBlank="1" showInputMessage="1" showErrorMessage="1" sqref="L95">
      <formula1>0</formula1>
      <formula2>100</formula2>
    </dataValidation>
    <dataValidation type="decimal" allowBlank="1" showInputMessage="1" showErrorMessage="1" sqref="M95">
      <formula1>0</formula1>
      <formula2>100</formula2>
    </dataValidation>
    <dataValidation type="decimal" operator="greaterThanOrEqual" allowBlank="1" showInputMessage="1" showErrorMessage="1" sqref="I96">
      <formula1>0</formula1>
    </dataValidation>
    <dataValidation type="decimal" operator="greaterThanOrEqual" allowBlank="1" showInputMessage="1" showErrorMessage="1" sqref="J96">
      <formula1>0</formula1>
    </dataValidation>
    <dataValidation type="decimal" allowBlank="1" showInputMessage="1" showErrorMessage="1" sqref="L96">
      <formula1>0</formula1>
      <formula2>100</formula2>
    </dataValidation>
    <dataValidation type="decimal" allowBlank="1" showInputMessage="1" showErrorMessage="1" sqref="M96">
      <formula1>0</formula1>
      <formula2>100</formula2>
    </dataValidation>
    <dataValidation type="decimal" operator="greaterThanOrEqual" allowBlank="1" showInputMessage="1" showErrorMessage="1" sqref="I97">
      <formula1>0</formula1>
    </dataValidation>
    <dataValidation type="decimal" operator="greaterThanOrEqual" allowBlank="1" showInputMessage="1" showErrorMessage="1" sqref="J97">
      <formula1>0</formula1>
    </dataValidation>
    <dataValidation type="decimal" allowBlank="1" showInputMessage="1" showErrorMessage="1" sqref="L97">
      <formula1>0</formula1>
      <formula2>100</formula2>
    </dataValidation>
    <dataValidation type="decimal" allowBlank="1" showInputMessage="1" showErrorMessage="1" sqref="M97">
      <formula1>0</formula1>
      <formula2>100</formula2>
    </dataValidation>
    <dataValidation type="decimal" operator="greaterThanOrEqual" allowBlank="1" showInputMessage="1" showErrorMessage="1" sqref="I98">
      <formula1>0</formula1>
    </dataValidation>
    <dataValidation type="decimal" operator="greaterThanOrEqual" allowBlank="1" showInputMessage="1" showErrorMessage="1" sqref="J98">
      <formula1>0</formula1>
    </dataValidation>
    <dataValidation type="decimal" allowBlank="1" showInputMessage="1" showErrorMessage="1" sqref="L98">
      <formula1>0</formula1>
      <formula2>100</formula2>
    </dataValidation>
    <dataValidation type="decimal" allowBlank="1" showInputMessage="1" showErrorMessage="1" sqref="M98">
      <formula1>0</formula1>
      <formula2>100</formula2>
    </dataValidation>
    <dataValidation type="decimal" operator="greaterThanOrEqual" allowBlank="1" showInputMessage="1" showErrorMessage="1" sqref="I99">
      <formula1>0</formula1>
    </dataValidation>
    <dataValidation type="decimal" operator="greaterThanOrEqual" allowBlank="1" showInputMessage="1" showErrorMessage="1" sqref="J99">
      <formula1>0</formula1>
    </dataValidation>
    <dataValidation type="decimal" allowBlank="1" showInputMessage="1" showErrorMessage="1" sqref="L99">
      <formula1>0</formula1>
      <formula2>100</formula2>
    </dataValidation>
    <dataValidation type="decimal" allowBlank="1" showInputMessage="1" showErrorMessage="1" sqref="M99">
      <formula1>0</formula1>
      <formula2>100</formula2>
    </dataValidation>
    <dataValidation type="decimal" operator="greaterThanOrEqual" allowBlank="1" showInputMessage="1" showErrorMessage="1" sqref="I100">
      <formula1>0</formula1>
    </dataValidation>
    <dataValidation type="decimal" operator="greaterThanOrEqual" allowBlank="1" showInputMessage="1" showErrorMessage="1" sqref="J100">
      <formula1>0</formula1>
    </dataValidation>
    <dataValidation type="decimal" allowBlank="1" showInputMessage="1" showErrorMessage="1" sqref="L100">
      <formula1>0</formula1>
      <formula2>100</formula2>
    </dataValidation>
    <dataValidation type="decimal" allowBlank="1" showInputMessage="1" showErrorMessage="1" sqref="M100">
      <formula1>0</formula1>
      <formula2>100</formula2>
    </dataValidation>
    <dataValidation type="decimal" operator="greaterThanOrEqual" allowBlank="1" showInputMessage="1" showErrorMessage="1" sqref="I101">
      <formula1>0</formula1>
    </dataValidation>
    <dataValidation type="decimal" operator="greaterThanOrEqual" allowBlank="1" showInputMessage="1" showErrorMessage="1" sqref="J101">
      <formula1>0</formula1>
    </dataValidation>
    <dataValidation type="decimal" allowBlank="1" showInputMessage="1" showErrorMessage="1" sqref="L101">
      <formula1>0</formula1>
      <formula2>100</formula2>
    </dataValidation>
    <dataValidation type="decimal" allowBlank="1" showInputMessage="1" showErrorMessage="1" sqref="M101">
      <formula1>0</formula1>
      <formula2>100</formula2>
    </dataValidation>
    <dataValidation type="decimal" operator="greaterThanOrEqual" allowBlank="1" showInputMessage="1" showErrorMessage="1" sqref="I102">
      <formula1>0</formula1>
    </dataValidation>
    <dataValidation type="decimal" operator="greaterThanOrEqual" allowBlank="1" showInputMessage="1" showErrorMessage="1" sqref="J102">
      <formula1>0</formula1>
    </dataValidation>
    <dataValidation type="decimal" allowBlank="1" showInputMessage="1" showErrorMessage="1" sqref="L102">
      <formula1>0</formula1>
      <formula2>100</formula2>
    </dataValidation>
    <dataValidation type="decimal" allowBlank="1" showInputMessage="1" showErrorMessage="1" sqref="M102">
      <formula1>0</formula1>
      <formula2>100</formula2>
    </dataValidation>
    <dataValidation type="decimal" operator="greaterThanOrEqual" allowBlank="1" showInputMessage="1" showErrorMessage="1" sqref="I103">
      <formula1>0</formula1>
    </dataValidation>
    <dataValidation type="decimal" operator="greaterThanOrEqual" allowBlank="1" showInputMessage="1" showErrorMessage="1" sqref="J103">
      <formula1>0</formula1>
    </dataValidation>
    <dataValidation type="decimal" allowBlank="1" showInputMessage="1" showErrorMessage="1" sqref="L103">
      <formula1>0</formula1>
      <formula2>100</formula2>
    </dataValidation>
    <dataValidation type="decimal" allowBlank="1" showInputMessage="1" showErrorMessage="1" sqref="M103">
      <formula1>0</formula1>
      <formula2>100</formula2>
    </dataValidation>
    <dataValidation type="decimal" operator="greaterThanOrEqual" allowBlank="1" showInputMessage="1" showErrorMessage="1" sqref="I104">
      <formula1>0</formula1>
    </dataValidation>
    <dataValidation type="decimal" operator="greaterThanOrEqual" allowBlank="1" showInputMessage="1" showErrorMessage="1" sqref="J104">
      <formula1>0</formula1>
    </dataValidation>
    <dataValidation type="decimal" allowBlank="1" showInputMessage="1" showErrorMessage="1" sqref="L104">
      <formula1>0</formula1>
      <formula2>100</formula2>
    </dataValidation>
    <dataValidation type="decimal" allowBlank="1" showInputMessage="1" showErrorMessage="1" sqref="M104">
      <formula1>0</formula1>
      <formula2>100</formula2>
    </dataValidation>
    <dataValidation type="decimal" operator="greaterThanOrEqual" allowBlank="1" showInputMessage="1" showErrorMessage="1" sqref="I105">
      <formula1>0</formula1>
    </dataValidation>
    <dataValidation type="decimal" operator="greaterThanOrEqual" allowBlank="1" showInputMessage="1" showErrorMessage="1" sqref="J105">
      <formula1>0</formula1>
    </dataValidation>
    <dataValidation type="decimal" allowBlank="1" showInputMessage="1" showErrorMessage="1" sqref="L105">
      <formula1>0</formula1>
      <formula2>100</formula2>
    </dataValidation>
    <dataValidation type="decimal" allowBlank="1" showInputMessage="1" showErrorMessage="1" sqref="M105">
      <formula1>0</formula1>
      <formula2>100</formula2>
    </dataValidation>
    <dataValidation type="decimal" operator="greaterThanOrEqual" allowBlank="1" showInputMessage="1" showErrorMessage="1" sqref="I106">
      <formula1>0</formula1>
    </dataValidation>
    <dataValidation type="decimal" operator="greaterThanOrEqual" allowBlank="1" showInputMessage="1" showErrorMessage="1" sqref="J106">
      <formula1>0</formula1>
    </dataValidation>
    <dataValidation type="decimal" allowBlank="1" showInputMessage="1" showErrorMessage="1" sqref="L106">
      <formula1>0</formula1>
      <formula2>100</formula2>
    </dataValidation>
    <dataValidation type="decimal" allowBlank="1" showInputMessage="1" showErrorMessage="1" sqref="M106">
      <formula1>0</formula1>
      <formula2>100</formula2>
    </dataValidation>
    <dataValidation type="decimal" operator="greaterThanOrEqual" allowBlank="1" showInputMessage="1" showErrorMessage="1" sqref="I107">
      <formula1>0</formula1>
    </dataValidation>
    <dataValidation type="decimal" operator="greaterThanOrEqual" allowBlank="1" showInputMessage="1" showErrorMessage="1" sqref="J107">
      <formula1>0</formula1>
    </dataValidation>
    <dataValidation type="decimal" allowBlank="1" showInputMessage="1" showErrorMessage="1" sqref="L107">
      <formula1>0</formula1>
      <formula2>100</formula2>
    </dataValidation>
    <dataValidation type="decimal" allowBlank="1" showInputMessage="1" showErrorMessage="1" sqref="M107">
      <formula1>0</formula1>
      <formula2>100</formula2>
    </dataValidation>
    <dataValidation type="decimal" operator="greaterThanOrEqual" allowBlank="1" showInputMessage="1" showErrorMessage="1" sqref="I108">
      <formula1>0</formula1>
    </dataValidation>
    <dataValidation type="decimal" operator="greaterThanOrEqual" allowBlank="1" showInputMessage="1" showErrorMessage="1" sqref="J108">
      <formula1>0</formula1>
    </dataValidation>
    <dataValidation type="decimal" allowBlank="1" showInputMessage="1" showErrorMessage="1" sqref="L108">
      <formula1>0</formula1>
      <formula2>100</formula2>
    </dataValidation>
    <dataValidation type="decimal" allowBlank="1" showInputMessage="1" showErrorMessage="1" sqref="M108">
      <formula1>0</formula1>
      <formula2>100</formula2>
    </dataValidation>
    <dataValidation type="decimal" operator="greaterThanOrEqual" allowBlank="1" showInputMessage="1" showErrorMessage="1" sqref="I109">
      <formula1>0</formula1>
    </dataValidation>
    <dataValidation type="decimal" operator="greaterThanOrEqual" allowBlank="1" showInputMessage="1" showErrorMessage="1" sqref="J109">
      <formula1>0</formula1>
    </dataValidation>
    <dataValidation type="decimal" allowBlank="1" showInputMessage="1" showErrorMessage="1" sqref="L109">
      <formula1>0</formula1>
      <formula2>100</formula2>
    </dataValidation>
    <dataValidation type="decimal" allowBlank="1" showInputMessage="1" showErrorMessage="1" sqref="M109">
      <formula1>0</formula1>
      <formula2>100</formula2>
    </dataValidation>
    <dataValidation type="decimal" operator="greaterThanOrEqual" allowBlank="1" showInputMessage="1" showErrorMessage="1" sqref="I110">
      <formula1>0</formula1>
    </dataValidation>
    <dataValidation type="decimal" operator="greaterThanOrEqual" allowBlank="1" showInputMessage="1" showErrorMessage="1" sqref="J110">
      <formula1>0</formula1>
    </dataValidation>
    <dataValidation type="decimal" allowBlank="1" showInputMessage="1" showErrorMessage="1" sqref="L110">
      <formula1>0</formula1>
      <formula2>100</formula2>
    </dataValidation>
    <dataValidation type="decimal" allowBlank="1" showInputMessage="1" showErrorMessage="1" sqref="M110">
      <formula1>0</formula1>
      <formula2>100</formula2>
    </dataValidation>
    <dataValidation type="decimal" operator="greaterThanOrEqual" allowBlank="1" showInputMessage="1" showErrorMessage="1" sqref="I111">
      <formula1>0</formula1>
    </dataValidation>
    <dataValidation type="decimal" operator="greaterThanOrEqual" allowBlank="1" showInputMessage="1" showErrorMessage="1" sqref="J111">
      <formula1>0</formula1>
    </dataValidation>
    <dataValidation type="decimal" allowBlank="1" showInputMessage="1" showErrorMessage="1" sqref="L111">
      <formula1>0</formula1>
      <formula2>100</formula2>
    </dataValidation>
    <dataValidation type="decimal" allowBlank="1" showInputMessage="1" showErrorMessage="1" sqref="M111">
      <formula1>0</formula1>
      <formula2>100</formula2>
    </dataValidation>
    <dataValidation type="decimal" operator="greaterThanOrEqual" allowBlank="1" showInputMessage="1" showErrorMessage="1" sqref="I112">
      <formula1>0</formula1>
    </dataValidation>
    <dataValidation type="decimal" operator="greaterThanOrEqual" allowBlank="1" showInputMessage="1" showErrorMessage="1" sqref="J112">
      <formula1>0</formula1>
    </dataValidation>
    <dataValidation type="decimal" allowBlank="1" showInputMessage="1" showErrorMessage="1" sqref="L112">
      <formula1>0</formula1>
      <formula2>100</formula2>
    </dataValidation>
    <dataValidation type="decimal" allowBlank="1" showInputMessage="1" showErrorMessage="1" sqref="M112">
      <formula1>0</formula1>
      <formula2>100</formula2>
    </dataValidation>
    <dataValidation type="decimal" operator="greaterThanOrEqual" allowBlank="1" showInputMessage="1" showErrorMessage="1" sqref="I113">
      <formula1>0</formula1>
    </dataValidation>
    <dataValidation type="decimal" operator="greaterThanOrEqual" allowBlank="1" showInputMessage="1" showErrorMessage="1" sqref="J113">
      <formula1>0</formula1>
    </dataValidation>
    <dataValidation type="decimal" allowBlank="1" showInputMessage="1" showErrorMessage="1" sqref="L113">
      <formula1>0</formula1>
      <formula2>100</formula2>
    </dataValidation>
    <dataValidation type="decimal" allowBlank="1" showInputMessage="1" showErrorMessage="1" sqref="M113">
      <formula1>0</formula1>
      <formula2>100</formula2>
    </dataValidation>
    <dataValidation type="decimal" operator="greaterThanOrEqual" allowBlank="1" showInputMessage="1" showErrorMessage="1" sqref="I114">
      <formula1>0</formula1>
    </dataValidation>
    <dataValidation type="decimal" operator="greaterThanOrEqual" allowBlank="1" showInputMessage="1" showErrorMessage="1" sqref="J114">
      <formula1>0</formula1>
    </dataValidation>
    <dataValidation type="decimal" allowBlank="1" showInputMessage="1" showErrorMessage="1" sqref="L114">
      <formula1>0</formula1>
      <formula2>100</formula2>
    </dataValidation>
    <dataValidation type="decimal" allowBlank="1" showInputMessage="1" showErrorMessage="1" sqref="M114">
      <formula1>0</formula1>
      <formula2>100</formula2>
    </dataValidation>
    <dataValidation type="decimal" operator="greaterThanOrEqual" allowBlank="1" showInputMessage="1" showErrorMessage="1" sqref="I115">
      <formula1>0</formula1>
    </dataValidation>
    <dataValidation type="decimal" operator="greaterThanOrEqual" allowBlank="1" showInputMessage="1" showErrorMessage="1" sqref="J115">
      <formula1>0</formula1>
    </dataValidation>
    <dataValidation type="decimal" allowBlank="1" showInputMessage="1" showErrorMessage="1" sqref="L115">
      <formula1>0</formula1>
      <formula2>100</formula2>
    </dataValidation>
    <dataValidation type="decimal" allowBlank="1" showInputMessage="1" showErrorMessage="1" sqref="M115">
      <formula1>0</formula1>
      <formula2>100</formula2>
    </dataValidation>
    <dataValidation type="decimal" operator="greaterThanOrEqual" allowBlank="1" showInputMessage="1" showErrorMessage="1" sqref="I116">
      <formula1>0</formula1>
    </dataValidation>
    <dataValidation type="decimal" operator="greaterThanOrEqual" allowBlank="1" showInputMessage="1" showErrorMessage="1" sqref="J116">
      <formula1>0</formula1>
    </dataValidation>
    <dataValidation type="decimal" allowBlank="1" showInputMessage="1" showErrorMessage="1" sqref="L116">
      <formula1>0</formula1>
      <formula2>100</formula2>
    </dataValidation>
    <dataValidation type="decimal" allowBlank="1" showInputMessage="1" showErrorMessage="1" sqref="M116">
      <formula1>0</formula1>
      <formula2>100</formula2>
    </dataValidation>
    <dataValidation type="decimal" operator="greaterThanOrEqual" allowBlank="1" showInputMessage="1" showErrorMessage="1" sqref="I117">
      <formula1>0</formula1>
    </dataValidation>
    <dataValidation type="decimal" operator="greaterThanOrEqual" allowBlank="1" showInputMessage="1" showErrorMessage="1" sqref="J117">
      <formula1>0</formula1>
    </dataValidation>
    <dataValidation type="decimal" allowBlank="1" showInputMessage="1" showErrorMessage="1" sqref="L117">
      <formula1>0</formula1>
      <formula2>100</formula2>
    </dataValidation>
    <dataValidation type="decimal" allowBlank="1" showInputMessage="1" showErrorMessage="1" sqref="M117">
      <formula1>0</formula1>
      <formula2>100</formula2>
    </dataValidation>
    <dataValidation type="list" allowBlank="1" showInputMessage="1" showErrorMessage="1" sqref="C120:H120">
      <formula1>MasterData!$H$1:$H$14</formula1>
    </dataValidation>
    <dataValidation type="list" allowBlank="1" showInputMessage="1" showErrorMessage="1" sqref="C121:H121">
      <formula1>MasterData!$H$1:$H$14</formula1>
    </dataValidation>
    <dataValidation type="list" allowBlank="1" showInputMessage="1" showErrorMessage="1" sqref="C122:H122">
      <formula1>MasterData!$H$1:$H$14</formula1>
    </dataValidation>
    <dataValidation type="list" allowBlank="1" showInputMessage="1" showErrorMessage="1" sqref="C123:H123">
      <formula1>MasterData!$H$1:$H$14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O70"/>
  <sheetViews>
    <sheetView topLeftCell="A46" workbookViewId="0">
      <selection activeCell="O67" sqref="O67 O67"/>
    </sheetView>
  </sheetViews>
  <sheetFormatPr defaultColWidth="9.140625" defaultRowHeight="12.75"/>
  <cols>
    <col min="1" max="12" width="9.140625" style="18" customWidth="1"/>
    <col min="13" max="13" width="17.5703125" style="18" bestFit="1" customWidth="1"/>
    <col min="14" max="14" width="42.85546875" style="18" customWidth="1"/>
    <col min="15" max="15" width="8" style="18" customWidth="1"/>
  </cols>
  <sheetData>
    <row r="1" spans="7:15">
      <c r="G1" s="18">
        <v>1001307</v>
      </c>
      <c r="H1" s="18" t="s">
        <v>169</v>
      </c>
      <c r="M1" s="104" t="s">
        <v>178</v>
      </c>
      <c r="N1" s="105" t="s">
        <v>0</v>
      </c>
      <c r="O1" s="18" t="s">
        <v>179</v>
      </c>
    </row>
    <row r="2" spans="7:15">
      <c r="G2" s="18">
        <v>1001310</v>
      </c>
      <c r="H2" s="18" t="s">
        <v>170</v>
      </c>
      <c r="M2" s="104" t="s">
        <v>180</v>
      </c>
      <c r="N2" s="105">
        <v>1020786906</v>
      </c>
      <c r="O2" s="18" t="s">
        <v>181</v>
      </c>
    </row>
    <row r="3" spans="7:15">
      <c r="G3" s="18">
        <v>1012729</v>
      </c>
      <c r="H3" s="18" t="s">
        <v>182</v>
      </c>
      <c r="M3" s="104" t="s">
        <v>183</v>
      </c>
      <c r="N3" s="105">
        <v>99990000449743</v>
      </c>
      <c r="O3" s="18" t="s">
        <v>184</v>
      </c>
    </row>
    <row r="4" spans="7:15">
      <c r="G4" s="18">
        <v>1012730</v>
      </c>
      <c r="H4" s="18" t="s">
        <v>185</v>
      </c>
      <c r="M4" s="104" t="s">
        <v>186</v>
      </c>
      <c r="N4" s="105">
        <v>1022058909</v>
      </c>
      <c r="O4" s="18" t="s">
        <v>187</v>
      </c>
    </row>
    <row r="5" spans="7:15">
      <c r="G5" s="18">
        <v>1012731</v>
      </c>
      <c r="H5" s="18" t="s">
        <v>188</v>
      </c>
      <c r="M5" s="104" t="s">
        <v>189</v>
      </c>
      <c r="N5" s="105"/>
      <c r="O5" s="18" t="s">
        <v>190</v>
      </c>
    </row>
    <row r="6" spans="7:15">
      <c r="G6" s="18">
        <v>1012732</v>
      </c>
      <c r="H6" s="18" t="s">
        <v>191</v>
      </c>
      <c r="M6" s="104" t="s">
        <v>192</v>
      </c>
      <c r="N6" s="105" t="s">
        <v>193</v>
      </c>
      <c r="O6" s="18" t="s">
        <v>194</v>
      </c>
    </row>
    <row r="7" spans="7:15">
      <c r="G7" s="18">
        <v>1012733</v>
      </c>
      <c r="H7" s="18" t="s">
        <v>195</v>
      </c>
      <c r="M7" s="104" t="s">
        <v>196</v>
      </c>
      <c r="N7" s="105">
        <v>0</v>
      </c>
      <c r="O7" s="18" t="s">
        <v>197</v>
      </c>
    </row>
    <row r="8" spans="7:15">
      <c r="G8" s="18">
        <v>1012735</v>
      </c>
      <c r="H8" s="18" t="s">
        <v>198</v>
      </c>
      <c r="O8" s="18" t="s">
        <v>199</v>
      </c>
    </row>
    <row r="9" spans="7:15">
      <c r="G9" s="18">
        <v>1012736</v>
      </c>
      <c r="H9" s="18" t="s">
        <v>200</v>
      </c>
      <c r="O9" s="18" t="s">
        <v>201</v>
      </c>
    </row>
    <row r="10" spans="7:15">
      <c r="G10" s="18">
        <v>1012737</v>
      </c>
      <c r="H10" s="18" t="s">
        <v>202</v>
      </c>
      <c r="O10" s="18" t="s">
        <v>203</v>
      </c>
    </row>
    <row r="11" spans="7:15">
      <c r="G11" s="18">
        <v>1012741</v>
      </c>
      <c r="H11" s="18" t="s">
        <v>204</v>
      </c>
      <c r="O11" s="18" t="s">
        <v>205</v>
      </c>
    </row>
    <row r="12" spans="7:15">
      <c r="G12" s="18">
        <v>1012742</v>
      </c>
      <c r="H12" s="18" t="s">
        <v>206</v>
      </c>
      <c r="O12" s="18" t="s">
        <v>207</v>
      </c>
    </row>
    <row r="13" spans="7:15">
      <c r="G13" s="18">
        <v>1012743</v>
      </c>
      <c r="H13" s="18" t="s">
        <v>208</v>
      </c>
      <c r="O13" s="18" t="s">
        <v>209</v>
      </c>
    </row>
    <row r="14" spans="7:15">
      <c r="G14" s="18">
        <v>1012744</v>
      </c>
      <c r="H14" s="18" t="s">
        <v>210</v>
      </c>
      <c r="O14" s="18" t="s">
        <v>211</v>
      </c>
    </row>
    <row r="15" spans="7:15">
      <c r="O15" s="18" t="s">
        <v>212</v>
      </c>
    </row>
    <row r="16" spans="7:15">
      <c r="O16" s="18" t="s">
        <v>213</v>
      </c>
    </row>
    <row r="17" spans="15:15">
      <c r="O17" s="18" t="s">
        <v>214</v>
      </c>
    </row>
    <row r="18" spans="15:15">
      <c r="O18" s="18" t="s">
        <v>215</v>
      </c>
    </row>
    <row r="19" spans="15:15">
      <c r="O19" s="18" t="s">
        <v>216</v>
      </c>
    </row>
    <row r="20" spans="15:15">
      <c r="O20" s="18" t="s">
        <v>217</v>
      </c>
    </row>
    <row r="21" spans="15:15">
      <c r="O21" s="18" t="s">
        <v>218</v>
      </c>
    </row>
    <row r="22" spans="15:15">
      <c r="O22" s="18" t="s">
        <v>219</v>
      </c>
    </row>
    <row r="23" spans="15:15">
      <c r="O23" s="18" t="s">
        <v>220</v>
      </c>
    </row>
    <row r="24" spans="15:15">
      <c r="O24" s="18" t="s">
        <v>221</v>
      </c>
    </row>
    <row r="25" spans="15:15">
      <c r="O25" s="18" t="s">
        <v>222</v>
      </c>
    </row>
    <row r="26" spans="15:15">
      <c r="O26" s="18" t="s">
        <v>223</v>
      </c>
    </row>
    <row r="27" spans="15:15">
      <c r="O27" s="18" t="s">
        <v>224</v>
      </c>
    </row>
    <row r="28" spans="15:15">
      <c r="O28" s="18" t="s">
        <v>225</v>
      </c>
    </row>
    <row r="29" spans="15:15">
      <c r="O29" s="18" t="s">
        <v>226</v>
      </c>
    </row>
    <row r="30" spans="15:15">
      <c r="O30" s="18" t="s">
        <v>227</v>
      </c>
    </row>
    <row r="31" spans="15:15">
      <c r="O31" s="18" t="s">
        <v>228</v>
      </c>
    </row>
    <row r="32" spans="15:15">
      <c r="O32" s="18" t="s">
        <v>229</v>
      </c>
    </row>
    <row r="33" spans="15:15">
      <c r="O33" s="18" t="s">
        <v>230</v>
      </c>
    </row>
    <row r="34" spans="15:15">
      <c r="O34" s="18" t="s">
        <v>231</v>
      </c>
    </row>
    <row r="35" spans="15:15">
      <c r="O35" s="18" t="s">
        <v>232</v>
      </c>
    </row>
    <row r="36" spans="15:15">
      <c r="O36" s="18" t="s">
        <v>233</v>
      </c>
    </row>
    <row r="37" spans="15:15">
      <c r="O37" s="18" t="s">
        <v>234</v>
      </c>
    </row>
    <row r="38" spans="15:15">
      <c r="O38" s="18" t="s">
        <v>235</v>
      </c>
    </row>
    <row r="39" spans="15:15">
      <c r="O39" s="18" t="s">
        <v>236</v>
      </c>
    </row>
    <row r="40" spans="15:15">
      <c r="O40" s="18" t="s">
        <v>237</v>
      </c>
    </row>
    <row r="41" spans="15:15">
      <c r="O41" s="18" t="s">
        <v>238</v>
      </c>
    </row>
    <row r="42" spans="15:15">
      <c r="O42" s="18" t="s">
        <v>239</v>
      </c>
    </row>
    <row r="43" spans="15:15">
      <c r="O43" s="18" t="s">
        <v>240</v>
      </c>
    </row>
    <row r="44" spans="15:15">
      <c r="O44" s="18" t="s">
        <v>241</v>
      </c>
    </row>
    <row r="45" spans="15:15">
      <c r="O45" s="18" t="s">
        <v>242</v>
      </c>
    </row>
    <row r="46" spans="15:15">
      <c r="O46" s="18" t="s">
        <v>243</v>
      </c>
    </row>
    <row r="47" spans="15:15">
      <c r="O47" s="18" t="s">
        <v>244</v>
      </c>
    </row>
    <row r="48" spans="15:15">
      <c r="O48" s="18" t="s">
        <v>245</v>
      </c>
    </row>
    <row r="49" spans="15:15">
      <c r="O49" s="18" t="s">
        <v>246</v>
      </c>
    </row>
    <row r="50" spans="15:15">
      <c r="O50" s="18" t="s">
        <v>247</v>
      </c>
    </row>
    <row r="51" spans="15:15">
      <c r="O51" s="18" t="s">
        <v>248</v>
      </c>
    </row>
    <row r="52" spans="15:15">
      <c r="O52" s="18" t="s">
        <v>249</v>
      </c>
    </row>
    <row r="53" spans="15:15">
      <c r="O53" s="18" t="s">
        <v>250</v>
      </c>
    </row>
    <row r="54" spans="15:15">
      <c r="O54" s="18" t="s">
        <v>251</v>
      </c>
    </row>
    <row r="55" spans="15:15">
      <c r="O55" s="18" t="s">
        <v>252</v>
      </c>
    </row>
    <row r="56" spans="15:15">
      <c r="O56" s="18" t="s">
        <v>253</v>
      </c>
    </row>
    <row r="57" spans="15:15">
      <c r="O57" s="18" t="s">
        <v>254</v>
      </c>
    </row>
    <row r="58" spans="15:15">
      <c r="O58" s="18" t="s">
        <v>255</v>
      </c>
    </row>
    <row r="59" spans="15:15">
      <c r="O59" s="18" t="s">
        <v>256</v>
      </c>
    </row>
    <row r="60" spans="15:15">
      <c r="O60" s="18" t="s">
        <v>257</v>
      </c>
    </row>
    <row r="61" spans="15:15">
      <c r="O61" s="18" t="s">
        <v>258</v>
      </c>
    </row>
    <row r="62" spans="15:15">
      <c r="O62" s="18" t="s">
        <v>259</v>
      </c>
    </row>
    <row r="63" spans="15:15">
      <c r="O63" s="18" t="s">
        <v>260</v>
      </c>
    </row>
    <row r="64" spans="15:15">
      <c r="O64" s="18" t="s">
        <v>261</v>
      </c>
    </row>
    <row r="65" spans="15:15">
      <c r="O65" s="18" t="s">
        <v>262</v>
      </c>
    </row>
    <row r="66" spans="15:15">
      <c r="O66" s="18" t="s">
        <v>263</v>
      </c>
    </row>
    <row r="67" spans="15:15">
      <c r="O67" s="18" t="s">
        <v>264</v>
      </c>
    </row>
    <row r="68" spans="15:15">
      <c r="O68" s="18" t="s">
        <v>265</v>
      </c>
    </row>
    <row r="69" spans="15:15">
      <c r="O69" s="18" t="s">
        <v>266</v>
      </c>
    </row>
    <row r="70" spans="15:15">
      <c r="O70" s="18" t="s">
        <v>267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Quote</vt:lpstr>
      <vt:lpstr>MasterData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ItmPrice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Quote!Print_Area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</vt:vector>
  </TitlesOfParts>
  <Manager/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admin</cp:lastModifiedBy>
  <dcterms:modified xsi:type="dcterms:W3CDTF">2020-01-15T05:31:47Z</dcterms:modified>
  <cp:category/>
  <cp:contentType/>
  <cp:contentStatus/>
</cp:coreProperties>
</file>