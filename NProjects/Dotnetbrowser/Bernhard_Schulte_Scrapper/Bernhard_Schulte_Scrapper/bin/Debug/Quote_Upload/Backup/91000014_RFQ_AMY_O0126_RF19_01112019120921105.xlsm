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ac="http://schemas.microsoft.com/office/spreadsheetml/2010/11/ac" xmlns:mc="http://schemas.openxmlformats.org/markup-compatibility/2006" xmlns:x15="http://schemas.microsoft.com/office/spreadsheetml/2010/11/main" xmlns:x="http://schemas.openxmlformats.org/spreadsheetml/2006/main" mc:Ignorable="x15">
  <fileVersion appName="xl" lastEdited="7" lowestEdited="5" rupBuild="18431" codeName="{7A2D7E96-6E34-419A-AE5F-296B3A7E7977}"/>
  <workbookPr codeName="ThisWorkbook" defaultThemeVersion="124226"/>
  <bookViews>
    <workbookView xWindow="65521" yWindow="7245" windowWidth="15570" windowHeight="5145" activeTab="0"/>
  </bookViews>
  <sheets>
    <sheet name="Quote" sheetId="1" r:id="rId1"/>
    <sheet name="MasterData" sheetId="2" state="hidden" r:id="rId2"/>
  </sheets>
  <definedNames>
    <definedName name="_xlnm.Print_Area" localSheetId="0">Quote!$A$1:$R$48</definedName>
    <definedName name="CompanyName" comment="Company Name">Quote!$A$4</definedName>
    <definedName name="Currency" comment="Currency">Quote!$M$14</definedName>
    <definedName name="Days">Quote!$M$11</definedName>
    <definedName name="Daysa">Quote!$M$11</definedName>
    <definedName name="Discount_All">Quote!$M$15</definedName>
    <definedName name="Enquiry_ID" comment="Enquiry_ID">Quote!$A$29</definedName>
    <definedName name="Enquiry_To_Vendor_ID" comment="Enquiry to Vendor ID">Quote!$C$29</definedName>
    <definedName name="GrandTotal">Quote!$N$28</definedName>
    <definedName name="HeaderID">MasterData!$N$4</definedName>
    <definedName name="InvoiceTo">Quote!$A$4:$E$11</definedName>
    <definedName name="ItemID" comment="Item ID">Quote!$B$19</definedName>
    <definedName name="ItemListEndRow" comment="Item List End Row">Quote!$A$21</definedName>
    <definedName name="ItemListStartupRow" comment="Item List Start Up Row">Quote!$A$19</definedName>
    <definedName name="ItemSubTotal">Quote!$N$27</definedName>
    <definedName name="ItemSubTotalTitle">Quote!$J$27</definedName>
    <definedName name="LeadDay">Quote!$M$11</definedName>
    <definedName name="Lock">Quote!$M$29</definedName>
    <definedName name="LoggedInEmailID">Quote!$N$29</definedName>
    <definedName name="LoggedInPwd">Quote!$O$29</definedName>
    <definedName name="OtherCharges">Quote!$C$23</definedName>
    <definedName name="OtherChargesLastRow">Quote!$A$27</definedName>
    <definedName name="OtherChargesStartRow">Quote!$A$22</definedName>
    <definedName name="Port">Quote!$P$29</definedName>
    <definedName name="PortOfDelivery" comment="Port of Delivery">Quote!$M$9</definedName>
    <definedName name="PurchaserName">Quote!$J$29</definedName>
    <definedName name="QuoteBefore">Quote!$M$8</definedName>
    <definedName name="QuoteID">MasterData!$N$7</definedName>
    <definedName name="QuoteSubject">Quote!$E$29</definedName>
    <definedName name="Remarks">Quote!$E$31</definedName>
    <definedName name="ReqNumber" comment="Requisition Number">Quote!$M$7</definedName>
    <definedName name="RequestForQuoteID">MasterData!$N$3</definedName>
    <definedName name="RFQ_ID">MasterData!$N$2</definedName>
    <definedName name="RFQCategory">MasterData!$N$6</definedName>
    <definedName name="RFQDate" comment="RFQ Date">Quote!$M$6</definedName>
    <definedName name="RFQFileType">MasterData!$N$1</definedName>
    <definedName name="RFQNumber" comment="RFQ Number">Quote!$M$5</definedName>
    <definedName name="SentDate">Quote!$K$29</definedName>
    <definedName name="SentIndex">Quote!$L$29</definedName>
    <definedName name="Server">Quote!$Q$29</definedName>
    <definedName name="Terms">Quote!$A$35:$T$56</definedName>
    <definedName name="ToEmailID">Quote!$I$29</definedName>
    <definedName name="ToEmailPwd">Quote!$H$29</definedName>
    <definedName name="VAL">Quote!$F$29</definedName>
    <definedName name="VAT_All">Quote!$M$16</definedName>
    <definedName name="Vendor_ID" comment="Vendor ID">Quote!$B$29</definedName>
    <definedName name="VendorAddress" comment="Vendor Address">Quote!$D$14</definedName>
    <definedName name="VendorAddressCity" comment="Vendor Address City">Quote!$D$15</definedName>
    <definedName name="VendorAddressEmail" comment="Vendor Address Email">Quote!$D$17</definedName>
    <definedName name="VendorAddressPhone" comment="Vendor Address Phone">Quote!$D$16</definedName>
    <definedName name="VendorEmailID">Quote!$D$29</definedName>
    <definedName name="VendorID">MasterData!$N$5</definedName>
    <definedName name="VendorName" comment="Vendor Name">Quote!$D$13</definedName>
    <definedName name="VendorReference" comment="Vendor Reference">Quote!$M$12</definedName>
    <definedName name="VendorRemarks" comment="VendorRemarks">Quote!$E$32</definedName>
    <definedName name="VesselETA" comment="Vessel ETA">Quote!$M$10</definedName>
    <definedName name="VesselName" comment="Vessel Name">Quote!$M$4</definedName>
    <definedName name="ItmPrice">Quote!$N$20:$N$20</definedName>
  </definedNames>
  <calcPr fullCalcOnLoad="1"/>
</workbook>
</file>

<file path=xl/sharedStrings.xml><?xml version="1.0" encoding="utf-8"?>
<sst xmlns="http://schemas.openxmlformats.org/spreadsheetml/2006/main" count="168" uniqueCount="148">
  <si>
    <t>RFQ</t>
  </si>
  <si>
    <t>Request for Quote</t>
  </si>
  <si>
    <t>Invoice To</t>
  </si>
  <si>
    <t>Bernhard Schulte Shipmanagement (Singapore) Pte. Ltd.
Invoice To:  MASTER  &amp; OWNER OF TRUST AMITY,
             REGD. OWNER: TRUST ENERGY RESOURCES PTE LTD,
             AS AGENTS: BERNHARD SCHULTE SHIPMANAGEMENT (SINGAPORE) PTE LTD
             152 BEACH ROAD, #32-00, GATEWAY EAST, 
             SINGAPORE 189721
             ATTN:- Accounts Department
             PLEASE SEND SOFT COPY TO:- sg-smc-acct@bs-shipmanagement.com</t>
  </si>
  <si>
    <t>Vessel</t>
  </si>
  <si>
    <t>Trust Amity</t>
  </si>
  <si>
    <t>RFQ No.</t>
  </si>
  <si>
    <t>AMY/O0126/RF19</t>
  </si>
  <si>
    <t>RFQ Date</t>
  </si>
  <si>
    <t>Submit Quote Before:</t>
  </si>
  <si>
    <t>Port of Delivery</t>
  </si>
  <si>
    <t>Singapore</t>
  </si>
  <si>
    <t>Vessel ETA</t>
  </si>
  <si>
    <t>Lead Days</t>
  </si>
  <si>
    <t>Vendor Details</t>
  </si>
  <si>
    <t>Vendor Reference</t>
  </si>
  <si>
    <t>Name</t>
  </si>
  <si>
    <t>AMOS INTERNATIONAL (S) PTE LTD</t>
  </si>
  <si>
    <t>Address</t>
  </si>
  <si>
    <t>156 Gul Circle, Singapore 629613</t>
  </si>
  <si>
    <r>
      <rPr>
        <b/>
        <sz val="10"/>
        <color theme="3"/>
        <rFont val="Calibri"/>
        <family val="2"/>
      </rPr>
      <t xml:space="preserve">Select Currency </t>
    </r>
    <r>
      <rPr>
        <b/>
        <sz val="10"/>
        <color rgb="FFFF0000"/>
        <rFont val="Calibri"/>
        <family val="2"/>
      </rPr>
      <t>*</t>
    </r>
  </si>
  <si>
    <t>City</t>
  </si>
  <si>
    <t>Discount (%) for all items</t>
  </si>
  <si>
    <t>0</t>
  </si>
  <si>
    <t>Phone</t>
  </si>
  <si>
    <t>VAT(%) for all items</t>
  </si>
  <si>
    <t>Email</t>
  </si>
  <si>
    <t>sales.ms.sg@amosgroup.com,sales.ms.sg@amosgroup.com</t>
  </si>
  <si>
    <t>No</t>
  </si>
  <si>
    <t>Product Code</t>
  </si>
  <si>
    <t>Description</t>
  </si>
  <si>
    <t>Part No</t>
  </si>
  <si>
    <t>Unit</t>
  </si>
  <si>
    <t>Contract Price</t>
  </si>
  <si>
    <t>Quantity</t>
  </si>
  <si>
    <t>Discount %</t>
  </si>
  <si>
    <t>VAT %</t>
  </si>
  <si>
    <t>Total Price</t>
  </si>
  <si>
    <t>Vendor Remarks</t>
  </si>
  <si>
    <t>Office Remarks</t>
  </si>
  <si>
    <t>Desktop</t>
  </si>
  <si>
    <t>PCS</t>
  </si>
  <si>
    <t>Other Charges</t>
  </si>
  <si>
    <t>Amount</t>
  </si>
  <si>
    <t>Price</t>
  </si>
  <si>
    <t>Packing cost</t>
  </si>
  <si>
    <t>Freight charge</t>
  </si>
  <si>
    <t>Item Sub Total :</t>
  </si>
  <si>
    <t>Grand Total :</t>
  </si>
  <si>
    <t>Pal-pms-quotations@bs-shipmanagement.com</t>
  </si>
  <si>
    <t>194.42.133.180</t>
  </si>
  <si>
    <t>Buyer Remarks</t>
  </si>
  <si>
    <t>1 Desktop for Bridge :- Bridge do not have designated Desktop computer for BSM Pal, Noon Reports and CCTV monitoring of ECR during UMS/ presently using Chartco PC.
1 Desktop for Officer Recreation Room:- Present Desktop computer for Officer recreation room is not operational 
kindly supply only 24 inches LED monitor.
HP ProDesk 400 G4 Desktop Mini PC Single Unit Win 10 Pro 64, Intel Core i5-8500T 2.1 6C 35W 16GB (1x16GB) DDR4 2666SSD 512GB SATA TLC localization 1 HDMI Port 1 DisplayPort Only G4/G5 DM 35W SATA Drive Intel 9560 ac 2x2 nvP +BT 5 WW 65 Watt DM Ext Power Adapter EPS 3/3/3 DM Warranty, HDMI-Display Bundled with keyboard, Mouse and Mouse Pad
ETA Singapore: 16th Nov 2019</t>
  </si>
  <si>
    <t>Your Quotation is subjected to :</t>
  </si>
  <si>
    <t>“This order is placed for and on behalf of the Owners as Agents only.”</t>
  </si>
  <si>
    <t>RFQFileType</t>
  </si>
  <si>
    <t>ADP</t>
  </si>
  <si>
    <t>RFQ_ID</t>
  </si>
  <si>
    <t>AED</t>
  </si>
  <si>
    <t>ADDITIONAL JOBS</t>
  </si>
  <si>
    <t>RequestForQuoteID</t>
  </si>
  <si>
    <t>AFA</t>
  </si>
  <si>
    <t>AGENCY FEE</t>
  </si>
  <si>
    <t>HeaderID</t>
  </si>
  <si>
    <t>AUD</t>
  </si>
  <si>
    <t>HANDLING CHARGE</t>
  </si>
  <si>
    <t>VendorID</t>
  </si>
  <si>
    <t>BAD</t>
  </si>
  <si>
    <t>PACKING CHARGE</t>
  </si>
  <si>
    <t>RFQCategory</t>
  </si>
  <si>
    <t>CP - SS : IT EQUIPMENTS</t>
  </si>
  <si>
    <t>BAM</t>
  </si>
  <si>
    <t>SPARE USED</t>
  </si>
  <si>
    <t>QuoteID</t>
  </si>
  <si>
    <t>BBD</t>
  </si>
  <si>
    <t>WAREHOUSING</t>
  </si>
  <si>
    <t>BHD</t>
  </si>
  <si>
    <t>CRANAGE</t>
  </si>
  <si>
    <t>BMD</t>
  </si>
  <si>
    <t>CUSTOMS</t>
  </si>
  <si>
    <t>BOL</t>
  </si>
  <si>
    <t>LAUNCH HIRE CHARGE</t>
  </si>
  <si>
    <t>BRL</t>
  </si>
  <si>
    <t>ROUNDING ADJUSTMENT</t>
  </si>
  <si>
    <t>BSD</t>
  </si>
  <si>
    <t>BOAT CHARGES</t>
  </si>
  <si>
    <t>CAD</t>
  </si>
  <si>
    <t>MINIMUM QUANTITY CHARGE</t>
  </si>
  <si>
    <t>CDZ</t>
  </si>
  <si>
    <t>CHF</t>
  </si>
  <si>
    <t>CLP</t>
  </si>
  <si>
    <t>CNY</t>
  </si>
  <si>
    <t>CYP</t>
  </si>
  <si>
    <t>CZK</t>
  </si>
  <si>
    <t>DEM</t>
  </si>
  <si>
    <t>DKK</t>
  </si>
  <si>
    <t>EGP</t>
  </si>
  <si>
    <t>ESP</t>
  </si>
  <si>
    <t>ETB</t>
  </si>
  <si>
    <t>EUR</t>
  </si>
  <si>
    <t>FKP</t>
  </si>
  <si>
    <t>GBP</t>
  </si>
  <si>
    <t>GEK</t>
  </si>
  <si>
    <t>GEL</t>
  </si>
  <si>
    <t>GRD</t>
  </si>
  <si>
    <t>HKD</t>
  </si>
  <si>
    <t>HRK</t>
  </si>
  <si>
    <t>IDR</t>
  </si>
  <si>
    <t>INR</t>
  </si>
  <si>
    <t>JPY</t>
  </si>
  <si>
    <t>KRW</t>
  </si>
  <si>
    <t>KWD</t>
  </si>
  <si>
    <t>MAD</t>
  </si>
  <si>
    <t>MDL</t>
  </si>
  <si>
    <t>MXN</t>
  </si>
  <si>
    <t>MYR</t>
  </si>
  <si>
    <t>NAD</t>
  </si>
  <si>
    <t>NOK</t>
  </si>
  <si>
    <t>NZD</t>
  </si>
  <si>
    <t>OMR</t>
  </si>
  <si>
    <t>PGK</t>
  </si>
  <si>
    <t>PHP</t>
  </si>
  <si>
    <t>PLN</t>
  </si>
  <si>
    <t>QAR</t>
  </si>
  <si>
    <t>RON</t>
  </si>
  <si>
    <t>RUB</t>
  </si>
  <si>
    <t>SAR</t>
  </si>
  <si>
    <t>SDG</t>
  </si>
  <si>
    <t>SEK</t>
  </si>
  <si>
    <t>SGD</t>
  </si>
  <si>
    <t>SLL</t>
  </si>
  <si>
    <t>STD</t>
  </si>
  <si>
    <t>THB</t>
  </si>
  <si>
    <t>TRY</t>
  </si>
  <si>
    <t>TWD</t>
  </si>
  <si>
    <t>UAH</t>
  </si>
  <si>
    <t>UAK</t>
  </si>
  <si>
    <t>UGS</t>
  </si>
  <si>
    <t>USD</t>
  </si>
  <si>
    <t>UYU</t>
  </si>
  <si>
    <t>VEF</t>
  </si>
  <si>
    <t>VND</t>
  </si>
  <si>
    <t>ZAR</t>
  </si>
  <si>
    <t>ZRZ</t>
  </si>
  <si>
    <t>ZWD</t>
  </si>
  <si>
    <t>T-SQ-191101045</t>
  </si>
  <si>
    <t>OFFER: DELL 24" ULTRATHIN S2419H LED MONITOR    
(3 – 4 WORKING DAYS, NON-RETURNABLE)</t>
  </si>
  <si>
    <t xml:space="preserve">1 DESKTOP FOR BRIDGE :- BRIDGE DO NOT HAVE DESIGNATED DESKTOP COMPUTER FOR BSM PAL, NOON REPORTS AND CCTV MONITORING OF ECR DURING UMS/ PRESENTLY USING CHARTCO PC. 1 DESKTOP FOR OFFICER RECREATION ROOM:- PRESENT DESKTOP COMPUTER FOR OFFICER RECREATION ROOM IS NOT OPERATIONAL KINDLY SUPPLY ONLY 24 INCHES LED MONITOR. HP PRODESK 400 G4 DESKTOP MINI PC SINGLE UNIT WIN 10 PRO 64, INTEL CORE I5-8500T 2.1 6C 35W 16GB (1X16GB) DDR4 2666SSD 512GB SATA TLC LOCALIZATION 1 HDMI PORT 1 DISPLAYPORT ONLY G4/G5 DM 35W SATA DRIVE INTEL 9560 AC 2X2 NVP +BT 5 WW 65 WATT DM EXT POWER ADAPTER EPS 3/3/3 DM WARRANTY, HDMI-DISPLAY BUNDLED WITH KEYBOARD, MOUSE AND MOUSE PAD ETA SINGAPORE: 16TH NOV 2019
</t>
  </si>
</sst>
</file>

<file path=xl/styles.xml><?xml version="1.0" encoding="utf-8"?>
<styleSheet xmlns="http://schemas.openxmlformats.org/spreadsheetml/2006/main"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numFmts count="12">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 d\,\ yyyy;@"/>
    <numFmt numFmtId="165" formatCode="m/d/yy;@"/>
    <numFmt numFmtId="166" formatCode="[$-409]d/mmm/yyyy;@"/>
    <numFmt numFmtId="167" formatCode=";;;"/>
    <numFmt numFmtId="168" formatCode="#,##0.000"/>
    <numFmt numFmtId="169" formatCode="0.000"/>
    <numFmt numFmtId="170" formatCode="[$-409]d\-mmm\-yyyy;@"/>
    <numFmt numFmtId="175" formatCode="#,##0.00"/>
  </numFmts>
  <fonts count="45">
    <font>
      <sz val="10"/>
      <name val="Arial"/>
      <family val="2"/>
    </font>
    <font>
      <sz val="11"/>
      <color theme="1"/>
      <name val="Calibri"/>
      <family val="2"/>
      <scheme val="minor"/>
    </font>
    <font>
      <sz val="8"/>
      <name val="Arial"/>
      <family val="2"/>
    </font>
    <font>
      <b/>
      <sz val="15"/>
      <color theme="3"/>
      <name val="Calibri"/>
      <family val="2"/>
      <scheme val="minor"/>
    </font>
    <font>
      <b/>
      <sz val="11"/>
      <color theme="3"/>
      <name val="Calibri"/>
      <family val="2"/>
      <scheme val="minor"/>
    </font>
    <font>
      <b/>
      <sz val="11"/>
      <color rgb="FFFA7D00"/>
      <name val="Calibri"/>
      <family val="2"/>
      <scheme val="minor"/>
    </font>
    <font>
      <sz val="8"/>
      <color indexed="61"/>
      <name val="Calibri"/>
      <family val="2"/>
      <scheme val="minor"/>
    </font>
    <font>
      <sz val="12"/>
      <name val="Calibri"/>
      <family val="2"/>
      <scheme val="minor"/>
    </font>
    <font>
      <sz val="10"/>
      <name val="Calibri"/>
      <family val="2"/>
      <scheme val="minor"/>
    </font>
    <font>
      <i/>
      <sz val="38"/>
      <color indexed="41"/>
      <name val="Calibri"/>
      <family val="2"/>
      <scheme val="minor"/>
    </font>
    <font>
      <sz val="8"/>
      <name val="Calibri"/>
      <family val="2"/>
      <scheme val="minor"/>
    </font>
    <font>
      <b/>
      <sz val="8"/>
      <color indexed="61"/>
      <name val="Calibri"/>
      <family val="2"/>
      <scheme val="minor"/>
    </font>
    <font>
      <i/>
      <sz val="8"/>
      <name val="Calibri"/>
      <family val="2"/>
      <scheme val="minor"/>
    </font>
    <font>
      <b/>
      <sz val="9"/>
      <name val="Calibri"/>
      <family val="2"/>
      <scheme val="minor"/>
    </font>
    <font>
      <b/>
      <sz val="10"/>
      <color theme="3"/>
      <name val="Calibri"/>
      <family val="2"/>
      <scheme val="minor"/>
    </font>
    <font>
      <b/>
      <sz val="8"/>
      <color theme="3" tint="-0.499969989061356"/>
      <name val="Calibri"/>
      <family val="2"/>
      <scheme val="minor"/>
    </font>
    <font>
      <b/>
      <sz val="10"/>
      <color theme="3" tint="-0.499969989061356"/>
      <name val="Calibri"/>
      <family val="2"/>
      <scheme val="minor"/>
    </font>
    <font>
      <sz val="8"/>
      <color theme="3" tint="-0.499969989061356"/>
      <name val="Calibri"/>
      <family val="2"/>
      <scheme val="minor"/>
    </font>
    <font>
      <b/>
      <sz val="9"/>
      <color theme="3" tint="-0.499969989061356"/>
      <name val="Calibri"/>
      <family val="2"/>
      <scheme val="minor"/>
    </font>
    <font>
      <sz val="10"/>
      <color theme="3" tint="-0.499969989061356"/>
      <name val="Calibri"/>
      <family val="2"/>
      <scheme val="minor"/>
    </font>
    <font>
      <b/>
      <i/>
      <sz val="36"/>
      <color indexed="41"/>
      <name val="Calibri"/>
      <family val="2"/>
      <scheme val="minor"/>
    </font>
    <font>
      <b/>
      <sz val="14"/>
      <color theme="3"/>
      <name val="Calibri"/>
      <family val="2"/>
      <scheme val="minor"/>
    </font>
    <font>
      <sz val="9"/>
      <color theme="3" tint="-0.499969989061356"/>
      <name val="Calibri"/>
      <family val="2"/>
      <scheme val="minor"/>
    </font>
    <font>
      <sz val="9"/>
      <name val="Calibri"/>
      <family val="2"/>
      <scheme val="minor"/>
    </font>
    <font>
      <b/>
      <sz val="9"/>
      <color theme="1"/>
      <name val="Calibri"/>
      <family val="2"/>
      <scheme val="minor"/>
    </font>
    <font>
      <b/>
      <sz val="8"/>
      <name val="Calibri"/>
      <family val="2"/>
      <scheme val="minor"/>
    </font>
    <font>
      <b/>
      <sz val="11"/>
      <name val="Calibri"/>
      <family val="2"/>
      <scheme val="minor"/>
    </font>
    <font>
      <b/>
      <sz val="10"/>
      <name val="Calibri"/>
      <family val="2"/>
      <scheme val="minor"/>
    </font>
    <font>
      <b/>
      <sz val="18"/>
      <color theme="3"/>
      <name val="Cambria"/>
      <family val="2"/>
      <scheme val="major"/>
    </font>
    <font>
      <b/>
      <sz val="13"/>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rgb="FFFF0000"/>
      <name val="Calibri"/>
      <family val="2"/>
      <scheme val="minor"/>
    </font>
    <font>
      <sz val="11"/>
      <color rgb="FF000000"/>
      <name val="Calibri"/>
      <family val="2"/>
    </font>
    <font>
      <b/>
      <sz val="10"/>
      <color theme="3"/>
      <name val="Calibri"/>
      <family val="2"/>
    </font>
    <font>
      <b/>
      <sz val="10"/>
      <color rgb="FFFF0000"/>
      <name val="Calibri"/>
      <family val="2"/>
    </font>
  </fonts>
  <fills count="38">
    <fill>
      <patternFill/>
    </fill>
    <fill>
      <patternFill patternType="gray125"/>
    </fill>
    <fill>
      <patternFill patternType="solid">
        <fgColor rgb="FFF2F2F2"/>
        <bgColor indexed="64"/>
      </patternFill>
    </fill>
    <fill>
      <patternFill patternType="solid">
        <fgColor theme="4" tint="0.599990010261536"/>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rgb="FFA5A5A5"/>
        <bgColor indexed="64"/>
      </patternFill>
    </fill>
    <fill>
      <patternFill patternType="solid">
        <fgColor rgb="FFFFFFCC"/>
        <bgColor indexed="64"/>
      </patternFill>
    </fill>
    <fill>
      <patternFill patternType="solid">
        <fgColor theme="4"/>
        <bgColor indexed="64"/>
      </patternFill>
    </fill>
    <fill>
      <patternFill patternType="solid">
        <fgColor theme="4" tint="0.799979984760284"/>
        <bgColor indexed="64"/>
      </patternFill>
    </fill>
    <fill>
      <patternFill patternType="solid">
        <fgColor theme="4" tint="0.399980008602142"/>
        <bgColor indexed="64"/>
      </patternFill>
    </fill>
    <fill>
      <patternFill patternType="solid">
        <fgColor theme="5"/>
        <bgColor indexed="64"/>
      </patternFill>
    </fill>
    <fill>
      <patternFill patternType="solid">
        <fgColor theme="5" tint="0.799979984760284"/>
        <bgColor indexed="64"/>
      </patternFill>
    </fill>
    <fill>
      <patternFill patternType="solid">
        <fgColor theme="5" tint="0.599990010261536"/>
        <bgColor indexed="64"/>
      </patternFill>
    </fill>
    <fill>
      <patternFill patternType="solid">
        <fgColor theme="5" tint="0.399980008602142"/>
        <bgColor indexed="64"/>
      </patternFill>
    </fill>
    <fill>
      <patternFill patternType="solid">
        <fgColor theme="6"/>
        <bgColor indexed="64"/>
      </patternFill>
    </fill>
    <fill>
      <patternFill patternType="solid">
        <fgColor theme="6" tint="0.799979984760284"/>
        <bgColor indexed="64"/>
      </patternFill>
    </fill>
    <fill>
      <patternFill patternType="solid">
        <fgColor theme="6" tint="0.599990010261536"/>
        <bgColor indexed="64"/>
      </patternFill>
    </fill>
    <fill>
      <patternFill patternType="solid">
        <fgColor theme="6" tint="0.399980008602142"/>
        <bgColor indexed="64"/>
      </patternFill>
    </fill>
    <fill>
      <patternFill patternType="solid">
        <fgColor theme="7"/>
        <bgColor indexed="64"/>
      </patternFill>
    </fill>
    <fill>
      <patternFill patternType="solid">
        <fgColor theme="7" tint="0.799979984760284"/>
        <bgColor indexed="64"/>
      </patternFill>
    </fill>
    <fill>
      <patternFill patternType="solid">
        <fgColor theme="7" tint="0.599990010261536"/>
        <bgColor indexed="64"/>
      </patternFill>
    </fill>
    <fill>
      <patternFill patternType="solid">
        <fgColor theme="7" tint="0.399980008602142"/>
        <bgColor indexed="64"/>
      </patternFill>
    </fill>
    <fill>
      <patternFill patternType="solid">
        <fgColor theme="8"/>
        <bgColor indexed="64"/>
      </patternFill>
    </fill>
    <fill>
      <patternFill patternType="solid">
        <fgColor theme="8" tint="0.799979984760284"/>
        <bgColor indexed="64"/>
      </patternFill>
    </fill>
    <fill>
      <patternFill patternType="solid">
        <fgColor theme="8" tint="0.599990010261536"/>
        <bgColor indexed="64"/>
      </patternFill>
    </fill>
    <fill>
      <patternFill patternType="solid">
        <fgColor theme="8" tint="0.399980008602142"/>
        <bgColor indexed="64"/>
      </patternFill>
    </fill>
    <fill>
      <patternFill patternType="solid">
        <fgColor theme="9"/>
        <bgColor indexed="64"/>
      </patternFill>
    </fill>
    <fill>
      <patternFill patternType="solid">
        <fgColor theme="9" tint="0.799979984760284"/>
        <bgColor indexed="64"/>
      </patternFill>
    </fill>
    <fill>
      <patternFill patternType="solid">
        <fgColor theme="9" tint="0.599990010261536"/>
        <bgColor indexed="64"/>
      </patternFill>
    </fill>
    <fill>
      <patternFill patternType="solid">
        <fgColor theme="9" tint="0.3999800086021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theme="0"/>
        <bgColor indexed="64"/>
      </patternFill>
    </fill>
    <fill>
      <patternFill patternType="solid">
        <fgColor theme="4" tint="0.599960029125214"/>
        <bgColor indexed="64"/>
      </patternFill>
    </fill>
  </fills>
  <borders count="32">
    <border>
      <left/>
      <right/>
      <top/>
      <bottom/>
      <diagonal/>
    </border>
    <border>
      <left/>
      <right/>
      <top/>
      <bottom style="thick">
        <color theme="4"/>
      </bottom>
    </border>
    <border>
      <left/>
      <right/>
      <top/>
      <bottom style="medium">
        <color theme="4" tint="0.399980008602142"/>
      </bottom>
    </border>
    <border>
      <left style="thin">
        <color rgb="FF7F7F7F"/>
      </left>
      <right style="thin">
        <color rgb="FF7F7F7F"/>
      </right>
      <top style="thin">
        <color rgb="FF7F7F7F"/>
      </top>
      <bottom style="thin">
        <color rgb="FF7F7F7F"/>
      </bottom>
    </border>
    <border>
      <left/>
      <right/>
      <top/>
      <bottom style="thick">
        <color theme="4" tint="0.499980002641678"/>
      </bottom>
    </border>
    <border>
      <left style="thin">
        <color rgb="FF3F3F3F"/>
      </left>
      <right style="thin">
        <color rgb="FF3F3F3F"/>
      </right>
      <top style="thin">
        <color rgb="FF3F3F3F"/>
      </top>
      <bottom style="thin">
        <color rgb="FF3F3F3F"/>
      </bottom>
    </border>
    <border>
      <left/>
      <right/>
      <top/>
      <bottom style="double">
        <color rgb="FFFF8001"/>
      </bottom>
    </border>
    <border>
      <left style="double">
        <color rgb="FF3F3F3F"/>
      </left>
      <right style="double">
        <color rgb="FF3F3F3F"/>
      </right>
      <top style="double">
        <color rgb="FF3F3F3F"/>
      </top>
      <bottom style="double">
        <color rgb="FF3F3F3F"/>
      </bottom>
    </border>
    <border>
      <left style="thin">
        <color rgb="FFB2B2B2"/>
      </left>
      <right style="thin">
        <color rgb="FFB2B2B2"/>
      </right>
      <top style="thin">
        <color rgb="FFB2B2B2"/>
      </top>
      <bottom style="thin">
        <color rgb="FFB2B2B2"/>
      </bottom>
    </border>
    <border>
      <left/>
      <right/>
      <top style="thin">
        <color theme="4"/>
      </top>
      <bottom style="double">
        <color theme="4"/>
      </bottom>
    </border>
    <border>
      <left/>
      <right/>
      <top style="medium">
        <color theme="4" tint="0.399980008602142"/>
      </top>
      <bottom style="medium">
        <color theme="4" tint="0.399980008602142"/>
      </bottom>
    </border>
    <border>
      <left style="thin">
        <color indexed="41"/>
      </left>
      <right style="thin">
        <color indexed="41"/>
      </right>
      <top style="thin">
        <color indexed="41"/>
      </top>
      <bottom style="thin">
        <color indexed="41"/>
      </bottom>
    </border>
    <border>
      <left style="thin">
        <color indexed="41"/>
      </left>
      <right/>
      <top style="thin">
        <color indexed="41"/>
      </top>
      <bottom style="thin">
        <color indexed="41"/>
      </bottom>
    </border>
    <border>
      <left style="thin">
        <color indexed="41"/>
      </left>
      <right style="thin">
        <color indexed="41"/>
      </right>
      <top/>
      <bottom style="thin">
        <color indexed="41"/>
      </bottom>
    </border>
    <border>
      <left style="thin"/>
      <right style="thin"/>
      <top style="thin"/>
      <bottom style="thin"/>
    </border>
    <border>
      <left style="thin">
        <color indexed="44"/>
      </left>
      <right/>
      <top/>
      <bottom/>
    </border>
    <border>
      <left/>
      <right/>
      <top/>
      <bottom style="thin"/>
    </border>
    <border>
      <left style="thin">
        <color rgb="FF7F7F7F"/>
      </left>
      <right style="thin">
        <color rgb="FF7F7F7F"/>
      </right>
      <top style="medium">
        <color theme="4" tint="0.399980008602142"/>
      </top>
      <bottom/>
    </border>
    <border>
      <left/>
      <right/>
      <top style="medium">
        <color theme="4" tint="0.399949997663498"/>
      </top>
      <bottom style="medium">
        <color theme="4" tint="0.399980008602142"/>
      </bottom>
    </border>
    <border>
      <left/>
      <right style="thin"/>
      <top style="thin"/>
      <bottom style="thin"/>
    </border>
    <border>
      <left style="thin"/>
      <right/>
      <top style="thin"/>
      <bottom style="thin"/>
    </border>
    <border>
      <left/>
      <right style="thin"/>
      <top/>
      <bottom style="thin"/>
    </border>
    <border>
      <left style="thin"/>
      <right/>
      <top/>
      <bottom/>
    </border>
    <border>
      <left/>
      <right style="thin">
        <color rgb="FF7F7F7F"/>
      </right>
      <top style="medium">
        <color theme="4" tint="0.399980008602142"/>
      </top>
      <bottom style="medium">
        <color theme="4" tint="0.399980008602142"/>
      </bottom>
    </border>
    <border>
      <left style="thin">
        <color indexed="44"/>
      </left>
      <right/>
      <top/>
      <bottom style="thin"/>
    </border>
    <border>
      <left/>
      <right/>
      <top style="thin"/>
      <bottom style="thin"/>
    </border>
    <border>
      <left/>
      <right/>
      <top style="thick">
        <color theme="4"/>
      </top>
      <bottom/>
    </border>
    <border>
      <left/>
      <right/>
      <top/>
      <bottom style="medium">
        <color theme="4" tint="0.399949997663498"/>
      </bottom>
    </border>
    <border>
      <left style="thin"/>
      <right/>
      <top style="thin"/>
      <bottom/>
    </border>
    <border>
      <left/>
      <right/>
      <top style="thin"/>
      <bottom/>
    </border>
    <border>
      <left/>
      <right style="thin"/>
      <top style="medium">
        <color theme="4" tint="0.399980008602142"/>
      </top>
      <bottom style="medium">
        <color theme="4" tint="0.399980008602142"/>
      </bottom>
    </border>
    <border>
      <left/>
      <right style="thin">
        <color indexed="44"/>
      </right>
      <top/>
      <bottom/>
    </border>
  </borders>
  <cellStyleXfs count="61">
    <xf numFmtId="0" fontId="0" fillId="0" borderId="0">
      <alignment/>
      <protection/>
    </xf>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9" fontId="0" fillId="0" borderId="0" applyFont="0" applyFill="0" applyBorder="0" applyAlignment="0" applyProtection="0"/>
    <xf numFmtId="44" fontId="0" fillId="0" borderId="0" applyFont="0" applyFill="0" applyBorder="0" applyAlignment="0" applyProtection="0"/>
    <xf numFmtId="42" fontId="0" fillId="0" borderId="0" applyFont="0" applyFill="0" applyBorder="0" applyAlignment="0" applyProtection="0"/>
    <xf numFmtId="43" fontId="0" fillId="0" borderId="0" applyFont="0" applyFill="0" applyBorder="0" applyAlignment="0" applyProtection="0"/>
    <xf numFmtId="41" fontId="0" fillId="0" borderId="0" applyFon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2" borderId="3" applyNumberFormat="0" applyAlignment="0" applyProtection="0"/>
    <xf numFmtId="0" fontId="1" fillId="3" borderId="0" applyNumberFormat="0" applyBorder="0" applyAlignment="0" applyProtection="0"/>
    <xf numFmtId="0" fontId="28" fillId="0" borderId="0" applyNumberFormat="0" applyFill="0" applyBorder="0" applyAlignment="0" applyProtection="0"/>
    <xf numFmtId="0" fontId="29" fillId="0" borderId="4" applyNumberFormat="0" applyFill="0" applyAlignment="0" applyProtection="0"/>
    <xf numFmtId="0" fontId="4" fillId="0" borderId="0" applyNumberFormat="0" applyFill="0" applyBorder="0" applyAlignment="0" applyProtection="0"/>
    <xf numFmtId="0" fontId="30" fillId="4" borderId="0" applyNumberFormat="0" applyBorder="0" applyAlignment="0" applyProtection="0"/>
    <xf numFmtId="0" fontId="31" fillId="5" borderId="0" applyNumberFormat="0" applyBorder="0" applyAlignment="0" applyProtection="0"/>
    <xf numFmtId="0" fontId="32" fillId="6" borderId="0" applyNumberFormat="0" applyBorder="0" applyAlignment="0" applyProtection="0"/>
    <xf numFmtId="0" fontId="33" fillId="7" borderId="3" applyNumberFormat="0" applyAlignment="0" applyProtection="0"/>
    <xf numFmtId="0" fontId="34" fillId="2" borderId="5" applyNumberFormat="0" applyAlignment="0" applyProtection="0"/>
    <xf numFmtId="0" fontId="35" fillId="0" borderId="6" applyNumberFormat="0" applyFill="0" applyAlignment="0" applyProtection="0"/>
    <xf numFmtId="0" fontId="36" fillId="8" borderId="7" applyNumberFormat="0" applyAlignment="0" applyProtection="0"/>
    <xf numFmtId="0" fontId="37" fillId="0" borderId="0" applyNumberFormat="0" applyFill="0" applyBorder="0" applyAlignment="0" applyProtection="0"/>
    <xf numFmtId="0" fontId="0" fillId="9" borderId="8" applyNumberFormat="0" applyFont="0" applyAlignment="0" applyProtection="0"/>
    <xf numFmtId="0" fontId="38" fillId="0" borderId="0" applyNumberFormat="0" applyFill="0" applyBorder="0" applyAlignment="0" applyProtection="0"/>
    <xf numFmtId="0" fontId="39" fillId="0" borderId="9" applyNumberFormat="0" applyFill="0" applyAlignment="0" applyProtection="0"/>
    <xf numFmtId="0" fontId="40" fillId="10" borderId="0" applyNumberFormat="0" applyBorder="0" applyAlignment="0" applyProtection="0"/>
    <xf numFmtId="0" fontId="1" fillId="11" borderId="0" applyNumberFormat="0" applyBorder="0" applyAlignment="0" applyProtection="0"/>
    <xf numFmtId="0" fontId="40" fillId="12" borderId="0" applyNumberFormat="0" applyBorder="0" applyAlignment="0" applyProtection="0"/>
    <xf numFmtId="0" fontId="40"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40" fillId="16" borderId="0" applyNumberFormat="0" applyBorder="0" applyAlignment="0" applyProtection="0"/>
    <xf numFmtId="0" fontId="40"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40" fillId="20" borderId="0" applyNumberFormat="0" applyBorder="0" applyAlignment="0" applyProtection="0"/>
    <xf numFmtId="0" fontId="40"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40" fillId="24" borderId="0" applyNumberFormat="0" applyBorder="0" applyAlignment="0" applyProtection="0"/>
    <xf numFmtId="0" fontId="40"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40" fillId="28" borderId="0" applyNumberFormat="0" applyBorder="0" applyAlignment="0" applyProtection="0"/>
    <xf numFmtId="0" fontId="40"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40" fillId="32" borderId="0" applyNumberFormat="0" applyBorder="0" applyAlignment="0" applyProtection="0"/>
  </cellStyleXfs>
  <cellXfs count="302">
    <xf numFmtId="0" fontId="0" fillId="0" borderId="0" xfId="0"/>
    <xf numFmtId="0" fontId="7" fillId="33" borderId="0" xfId="0" applyFont="1" applyFill="1" applyBorder="1" applyAlignment="1" applyProtection="1">
      <alignment horizontal="left" indent="1"/>
      <protection/>
    </xf>
    <xf numFmtId="0" fontId="8" fillId="0" borderId="0" xfId="0" applyFont="1" applyProtection="1">
      <protection/>
    </xf>
    <xf numFmtId="0" fontId="9" fillId="33" borderId="0" xfId="0" applyFont="1" applyFill="1" applyBorder="1" applyAlignment="1" applyProtection="1">
      <alignment/>
      <protection/>
    </xf>
    <xf numFmtId="0" fontId="7" fillId="33" borderId="0" xfId="0" applyFont="1" applyFill="1" applyBorder="1" applyAlignment="1" applyProtection="1">
      <alignment horizontal="left"/>
      <protection/>
    </xf>
    <xf numFmtId="164" fontId="10" fillId="33" borderId="0" xfId="0" applyNumberFormat="1" applyFont="1" applyFill="1" applyAlignment="1" applyProtection="1">
      <alignment horizontal="left"/>
      <protection/>
    </xf>
    <xf numFmtId="0" fontId="6" fillId="33" borderId="0" xfId="0" applyFont="1" applyFill="1" applyAlignment="1" applyProtection="1">
      <alignment horizontal="left"/>
      <protection/>
    </xf>
    <xf numFmtId="0" fontId="10" fillId="0" borderId="0" xfId="0" applyFont="1" applyProtection="1">
      <protection/>
    </xf>
    <xf numFmtId="0" fontId="6" fillId="33" borderId="0" xfId="0" applyFont="1" applyFill="1" applyAlignment="1" applyProtection="1">
      <alignment vertical="top"/>
      <protection/>
    </xf>
    <xf numFmtId="0" fontId="10" fillId="33" borderId="0" xfId="0" applyFont="1" applyFill="1" applyBorder="1" applyAlignment="1" applyProtection="1">
      <alignment/>
      <protection/>
    </xf>
    <xf numFmtId="0" fontId="6" fillId="33" borderId="0" xfId="0" applyFont="1" applyFill="1" applyAlignment="1" applyProtection="1">
      <alignment/>
      <protection/>
    </xf>
    <xf numFmtId="166" fontId="11" fillId="33" borderId="0" xfId="0" applyNumberFormat="1" applyFont="1" applyFill="1" applyAlignment="1" applyProtection="1">
      <alignment/>
      <protection/>
    </xf>
    <xf numFmtId="166" fontId="11" fillId="33" borderId="0" xfId="0" applyNumberFormat="1" applyFont="1" applyFill="1" applyAlignment="1" applyProtection="1">
      <alignment horizontal="left"/>
      <protection/>
    </xf>
    <xf numFmtId="0" fontId="8" fillId="0" borderId="0" xfId="0" applyFont="1" applyAlignment="1" applyProtection="1">
      <alignment wrapText="1"/>
      <protection/>
    </xf>
    <xf numFmtId="0" fontId="10" fillId="0" borderId="0" xfId="0" applyNumberFormat="1" applyFont="1" applyBorder="1" applyAlignment="1" applyProtection="1">
      <alignment horizontal="left"/>
      <protection/>
    </xf>
    <xf numFmtId="0" fontId="10" fillId="0" borderId="0" xfId="0" applyFont="1" applyBorder="1" applyAlignment="1" applyProtection="1">
      <alignment horizontal="left"/>
      <protection/>
    </xf>
    <xf numFmtId="0" fontId="6" fillId="0" borderId="0" xfId="0" applyFont="1" applyBorder="1" applyAlignment="1" applyProtection="1">
      <alignment horizontal="right"/>
      <protection/>
    </xf>
    <xf numFmtId="0" fontId="12" fillId="33" borderId="0" xfId="0" applyFont="1" applyFill="1" applyBorder="1" applyProtection="1">
      <protection/>
    </xf>
    <xf numFmtId="44" fontId="13" fillId="33" borderId="0" xfId="0" applyNumberFormat="1" applyFont="1" applyFill="1" applyBorder="1" applyAlignment="1" applyProtection="1">
      <alignment/>
      <protection/>
    </xf>
    <xf numFmtId="0" fontId="10" fillId="0" borderId="0" xfId="0" applyFont="1" applyAlignment="1" applyProtection="1">
      <alignment/>
      <protection/>
    </xf>
    <xf numFmtId="1" fontId="6" fillId="0" borderId="0" xfId="0" applyNumberFormat="1" applyFont="1" applyFill="1" applyBorder="1" applyAlignment="1">
      <alignment horizontal="right" vertical="center"/>
    </xf>
    <xf numFmtId="1" fontId="12" fillId="33" borderId="0" xfId="0" applyNumberFormat="1" applyFont="1" applyFill="1" applyBorder="1" applyProtection="1">
      <protection/>
    </xf>
    <xf numFmtId="1" fontId="13" fillId="33" borderId="0" xfId="0" applyNumberFormat="1" applyFont="1" applyFill="1" applyBorder="1" applyAlignment="1" applyProtection="1">
      <alignment/>
      <protection/>
    </xf>
    <xf numFmtId="0" fontId="14" fillId="33" borderId="0" xfId="0" applyFont="1" applyFill="1" applyAlignment="1" applyProtection="1">
      <alignment/>
      <protection/>
    </xf>
    <xf numFmtId="0" fontId="14" fillId="0" borderId="0" xfId="0" applyFont="1" applyProtection="1">
      <protection/>
    </xf>
    <xf numFmtId="0" fontId="14" fillId="33" borderId="0" xfId="0" applyFont="1" applyFill="1" applyAlignment="1" applyProtection="1">
      <alignment vertical="top"/>
      <protection/>
    </xf>
    <xf numFmtId="166" fontId="14" fillId="33" borderId="10" xfId="0" applyNumberFormat="1" applyFont="1" applyFill="1" applyBorder="1" applyAlignment="1" applyProtection="1">
      <alignment/>
      <protection/>
    </xf>
    <xf numFmtId="1" fontId="17" fillId="34" borderId="11" xfId="0" applyNumberFormat="1" applyFont="1" applyFill="1" applyBorder="1" applyAlignment="1" applyProtection="1">
      <alignment horizontal="right" vertical="center"/>
      <protection/>
    </xf>
    <xf numFmtId="1" fontId="17" fillId="34" borderId="12" xfId="0" applyNumberFormat="1" applyFont="1" applyFill="1" applyBorder="1" applyAlignment="1" applyProtection="1">
      <alignment horizontal="right" vertical="center"/>
      <protection/>
    </xf>
    <xf numFmtId="49" fontId="13" fillId="33" borderId="0" xfId="0" applyNumberFormat="1" applyFont="1" applyFill="1" applyBorder="1" applyAlignment="1" applyProtection="1">
      <alignment/>
      <protection/>
    </xf>
    <xf numFmtId="166" fontId="14" fillId="33" borderId="2" xfId="0" applyNumberFormat="1" applyFont="1" applyFill="1" applyBorder="1" applyAlignment="1" applyProtection="1">
      <alignment/>
      <protection/>
    </xf>
    <xf numFmtId="0" fontId="14" fillId="0" borderId="0" xfId="0" applyFont="1" applyBorder="1" applyAlignment="1" applyProtection="1">
      <alignment horizontal="right"/>
      <protection/>
    </xf>
    <xf numFmtId="1" fontId="6" fillId="0" borderId="13" xfId="0" applyNumberFormat="1" applyFont="1" applyFill="1" applyBorder="1" applyAlignment="1">
      <alignment horizontal="right" vertical="center"/>
    </xf>
    <xf numFmtId="1" fontId="17" fillId="34" borderId="14" xfId="0" applyNumberFormat="1" applyFont="1" applyFill="1" applyBorder="1" applyAlignment="1" applyProtection="1">
      <alignment horizontal="right" vertical="center"/>
      <protection/>
    </xf>
    <xf numFmtId="4" fontId="17" fillId="3" borderId="14" xfId="0" applyNumberFormat="1" applyFont="1" applyFill="1" applyBorder="1" applyAlignment="1" applyProtection="1">
      <alignment vertical="center"/>
      <protection locked="0"/>
    </xf>
    <xf numFmtId="165" fontId="18" fillId="35" borderId="14" xfId="0" applyNumberFormat="1" applyFont="1" applyFill="1" applyBorder="1" applyAlignment="1" applyProtection="1">
      <alignment horizontal="left" wrapText="1"/>
      <protection/>
    </xf>
    <xf numFmtId="49" fontId="17" fillId="34" borderId="14" xfId="0" applyNumberFormat="1" applyFont="1" applyFill="1" applyBorder="1" applyAlignment="1" applyProtection="1">
      <alignment horizontal="left" vertical="center"/>
      <protection/>
    </xf>
    <xf numFmtId="165" fontId="18" fillId="35" borderId="15" xfId="0" applyNumberFormat="1" applyFont="1" applyFill="1" applyBorder="1" applyAlignment="1" applyProtection="1">
      <alignment horizontal="left" wrapText="1"/>
      <protection/>
    </xf>
    <xf numFmtId="165" fontId="18" fillId="35" borderId="0" xfId="0" applyNumberFormat="1" applyFont="1" applyFill="1" applyBorder="1" applyAlignment="1" applyProtection="1">
      <alignment horizontal="left" wrapText="1"/>
      <protection/>
    </xf>
    <xf numFmtId="0" fontId="11" fillId="33" borderId="0" xfId="0" applyFont="1" applyFill="1" applyAlignment="1" applyProtection="1">
      <alignment horizontal="left"/>
      <protection/>
    </xf>
    <xf numFmtId="166" fontId="14" fillId="33" borderId="0" xfId="0" applyNumberFormat="1" applyFont="1" applyFill="1" applyAlignment="1" applyProtection="1">
      <alignment horizontal="left"/>
      <protection/>
    </xf>
    <xf numFmtId="0" fontId="14" fillId="33" borderId="0" xfId="0" applyFont="1" applyFill="1" applyAlignment="1" applyProtection="1">
      <alignment horizontal="left"/>
      <protection/>
    </xf>
    <xf numFmtId="49" fontId="14" fillId="33" borderId="0" xfId="0" applyNumberFormat="1" applyFont="1" applyFill="1" applyAlignment="1" applyProtection="1">
      <alignment horizontal="left"/>
      <protection/>
    </xf>
    <xf numFmtId="0" fontId="18" fillId="35" borderId="14" xfId="0" applyFont="1" applyFill="1" applyBorder="1" applyAlignment="1" applyProtection="1">
      <alignment horizontal="left" wrapText="1"/>
      <protection/>
    </xf>
    <xf numFmtId="0" fontId="4" fillId="33" borderId="0" xfId="0" applyFont="1" applyFill="1" applyAlignment="1" applyProtection="1">
      <alignment horizontal="left"/>
      <protection/>
    </xf>
    <xf numFmtId="0" fontId="18" fillId="35" borderId="16" xfId="0" applyFont="1" applyFill="1" applyBorder="1" applyAlignment="1" applyProtection="1">
      <alignment/>
      <protection/>
    </xf>
    <xf numFmtId="44" fontId="13" fillId="33" borderId="0" xfId="0" applyNumberFormat="1" applyFont="1" applyFill="1" applyBorder="1" applyAlignment="1" applyProtection="1">
      <alignment/>
      <protection locked="0"/>
    </xf>
    <xf numFmtId="4" fontId="27" fillId="3" borderId="17" xfId="0" applyNumberFormat="1" applyFont="1" applyFill="1" applyBorder="1" applyAlignment="1" applyProtection="1">
      <alignment horizontal="right"/>
      <protection locked="0"/>
    </xf>
    <xf numFmtId="3" fontId="13" fillId="33" borderId="0" xfId="0" applyNumberFormat="1" applyFont="1" applyFill="1" applyProtection="1">
      <protection locked="0"/>
    </xf>
    <xf numFmtId="44" fontId="13" fillId="33" borderId="0" xfId="0" applyNumberFormat="1" applyFont="1" applyFill="1" applyProtection="1">
      <protection locked="0"/>
    </xf>
    <xf numFmtId="37" fontId="13" fillId="33" borderId="0" xfId="0" applyNumberFormat="1" applyFont="1" applyFill="1" applyBorder="1" applyAlignment="1" applyProtection="1">
      <alignment/>
      <protection/>
    </xf>
    <xf numFmtId="0" fontId="27" fillId="0" borderId="0" xfId="0" applyFont="1" applyProtection="1">
      <protection/>
    </xf>
    <xf numFmtId="0" fontId="4" fillId="33" borderId="18" xfId="0" applyFont="1" applyFill="1" applyBorder="1" applyAlignment="1" applyProtection="1">
      <alignment/>
      <protection/>
    </xf>
    <xf numFmtId="165" fontId="18" fillId="35" borderId="19" xfId="0" applyNumberFormat="1" applyFont="1" applyFill="1" applyBorder="1" applyAlignment="1" applyProtection="1">
      <alignment horizontal="left" wrapText="1"/>
      <protection/>
    </xf>
    <xf numFmtId="49" fontId="17" fillId="34" borderId="19" xfId="0" applyNumberFormat="1" applyFont="1" applyFill="1" applyBorder="1" applyAlignment="1" applyProtection="1">
      <alignment horizontal="left" vertical="center"/>
      <protection/>
    </xf>
    <xf numFmtId="0" fontId="3" fillId="33" borderId="0" xfId="0" applyFont="1" applyFill="1" applyAlignment="1" applyProtection="1">
      <alignment horizontal="left"/>
      <protection/>
    </xf>
    <xf numFmtId="37" fontId="13" fillId="33" borderId="0" xfId="0" applyNumberFormat="1" applyFont="1" applyFill="1" applyBorder="1" applyAlignment="1" applyProtection="1">
      <alignment/>
      <protection locked="0"/>
    </xf>
    <xf numFmtId="0" fontId="10" fillId="0" borderId="0" xfId="0" applyFont="1" applyProtection="1">
      <protection locked="0"/>
    </xf>
    <xf numFmtId="0" fontId="15" fillId="0" borderId="20" xfId="0" applyNumberFormat="1" applyFont="1" applyFill="1" applyBorder="1" applyAlignment="1" applyProtection="1">
      <alignment vertical="center"/>
      <protection/>
    </xf>
    <xf numFmtId="0" fontId="15" fillId="0" borderId="19" xfId="0" applyNumberFormat="1" applyFont="1" applyFill="1" applyBorder="1" applyAlignment="1" applyProtection="1">
      <alignment vertical="center"/>
      <protection/>
    </xf>
    <xf numFmtId="167" fontId="14" fillId="0" borderId="0" xfId="0" applyNumberFormat="1" applyFont="1" applyProtection="1">
      <protection/>
    </xf>
    <xf numFmtId="168" fontId="17" fillId="3" borderId="14" xfId="0" applyNumberFormat="1" applyFont="1" applyFill="1" applyBorder="1" applyAlignment="1" applyProtection="1">
      <alignment vertical="center"/>
      <protection locked="0"/>
    </xf>
    <xf numFmtId="168" fontId="17" fillId="34" borderId="14" xfId="0" applyNumberFormat="1" applyFont="1" applyFill="1" applyBorder="1" applyAlignment="1" applyProtection="1">
      <alignment vertical="center"/>
      <protection/>
    </xf>
    <xf numFmtId="168" fontId="15" fillId="34" borderId="14" xfId="0" applyNumberFormat="1" applyFont="1" applyFill="1" applyBorder="1" applyAlignment="1" applyProtection="1">
      <alignment vertical="center"/>
      <protection/>
    </xf>
    <xf numFmtId="169" fontId="25" fillId="3" borderId="0" xfId="0" applyNumberFormat="1" applyFont="1" applyFill="1" applyAlignment="1" applyProtection="1">
      <alignment horizontal="right"/>
      <protection locked="0"/>
    </xf>
    <xf numFmtId="167" fontId="14" fillId="33" borderId="0" xfId="0" applyNumberFormat="1" applyFont="1" applyFill="1" applyAlignment="1" applyProtection="1">
      <alignment horizontal="left"/>
      <protection/>
    </xf>
    <xf numFmtId="165" fontId="16" fillId="35" borderId="0" xfId="0" applyNumberFormat="1" applyFont="1" applyFill="1" applyBorder="1" applyAlignment="1" applyProtection="1">
      <alignment horizontal="left" wrapText="1"/>
      <protection/>
    </xf>
    <xf numFmtId="0" fontId="8" fillId="36" borderId="0" xfId="0" applyFont="1" applyFill="1" applyProtection="1">
      <protection/>
    </xf>
    <xf numFmtId="0" fontId="10" fillId="36" borderId="0" xfId="0" applyFont="1" applyFill="1" applyAlignment="1" applyProtection="1">
      <alignment/>
      <protection/>
    </xf>
    <xf numFmtId="169" fontId="25" fillId="3" borderId="14" xfId="0" applyNumberFormat="1" applyFont="1" applyFill="1" applyBorder="1" applyAlignment="1" applyProtection="1">
      <alignment horizontal="right"/>
      <protection/>
    </xf>
    <xf numFmtId="168" fontId="25" fillId="3" borderId="14" xfId="0" applyNumberFormat="1" applyFont="1" applyFill="1" applyBorder="1" applyAlignment="1" applyProtection="1">
      <alignment horizontal="right"/>
      <protection/>
    </xf>
    <xf numFmtId="169" fontId="8" fillId="37" borderId="14" xfId="0" applyNumberFormat="1" applyFont="1" applyFill="1" applyBorder="1" applyProtection="1">
      <protection locked="0"/>
    </xf>
    <xf numFmtId="169" fontId="8" fillId="37" borderId="21" xfId="0" applyNumberFormat="1" applyFont="1" applyFill="1" applyBorder="1" applyProtection="1">
      <protection locked="0"/>
    </xf>
    <xf numFmtId="0" fontId="20" fillId="33" borderId="0" xfId="0" applyFont="1" applyFill="1" applyBorder="1" applyAlignment="1" applyProtection="1">
      <alignment horizontal="center"/>
      <protection/>
    </xf>
    <xf numFmtId="167" fontId="20" fillId="33" borderId="0" xfId="0" applyNumberFormat="1" applyFont="1" applyFill="1" applyBorder="1" applyAlignment="1" applyProtection="1">
      <alignment horizontal="right"/>
      <protection/>
    </xf>
    <xf numFmtId="167" fontId="8" fillId="0" borderId="0" xfId="0" applyNumberFormat="1" applyFont="1" applyBorder="1" applyProtection="1">
      <protection/>
    </xf>
    <xf numFmtId="167" fontId="14" fillId="33" borderId="0" xfId="0" applyNumberFormat="1" applyFont="1" applyFill="1" applyBorder="1" applyAlignment="1" applyProtection="1">
      <alignment horizontal="left"/>
      <protection/>
    </xf>
    <xf numFmtId="167" fontId="14" fillId="33" borderId="0" xfId="0" applyNumberFormat="1" applyFont="1" applyFill="1" applyBorder="1" applyAlignment="1" applyProtection="1">
      <alignment vertical="top"/>
      <protection/>
    </xf>
    <xf numFmtId="167" fontId="10" fillId="0" borderId="0" xfId="0" applyNumberFormat="1" applyFont="1" applyBorder="1" applyProtection="1">
      <protection/>
    </xf>
    <xf numFmtId="167" fontId="18" fillId="36" borderId="0" xfId="0" applyNumberFormat="1" applyFont="1" applyFill="1" applyBorder="1" applyAlignment="1" applyProtection="1">
      <alignment horizontal="left" wrapText="1"/>
      <protection/>
    </xf>
    <xf numFmtId="167" fontId="23" fillId="36" borderId="0" xfId="0" applyNumberFormat="1" applyFont="1" applyFill="1" applyBorder="1" applyAlignment="1" applyProtection="1">
      <alignment horizontal="left"/>
      <protection/>
    </xf>
    <xf numFmtId="167" fontId="8" fillId="36" borderId="0" xfId="0" applyNumberFormat="1" applyFont="1" applyFill="1" applyBorder="1" applyProtection="1">
      <protection/>
    </xf>
    <xf numFmtId="167" fontId="13" fillId="36" borderId="0" xfId="0" applyNumberFormat="1" applyFont="1" applyFill="1" applyBorder="1" applyAlignment="1" applyProtection="1">
      <alignment horizontal="left"/>
      <protection locked="0"/>
    </xf>
    <xf numFmtId="167" fontId="8" fillId="0" borderId="0" xfId="0" applyNumberFormat="1" applyFont="1" applyProtection="1">
      <protection/>
    </xf>
    <xf numFmtId="167" fontId="17" fillId="36" borderId="0" xfId="0" applyNumberFormat="1" applyFont="1" applyFill="1" applyBorder="1" applyAlignment="1" applyProtection="1">
      <alignment horizontal="left" vertical="center" wrapText="1"/>
      <protection/>
    </xf>
    <xf numFmtId="167" fontId="19" fillId="36" borderId="0" xfId="0" applyNumberFormat="1" applyFont="1" applyFill="1" applyBorder="1" applyAlignment="1" applyProtection="1">
      <alignment horizontal="left" vertical="center" wrapText="1"/>
      <protection locked="0"/>
    </xf>
    <xf numFmtId="167" fontId="16" fillId="36" borderId="0" xfId="0" applyNumberFormat="1" applyFont="1" applyFill="1" applyBorder="1" applyAlignment="1" applyProtection="1">
      <alignment horizontal="left" wrapText="1"/>
      <protection/>
    </xf>
    <xf numFmtId="167" fontId="15" fillId="36" borderId="0" xfId="0" applyNumberFormat="1" applyFont="1" applyFill="1" applyBorder="1" applyAlignment="1" applyProtection="1">
      <alignment horizontal="left" vertical="top" wrapText="1"/>
      <protection/>
    </xf>
    <xf numFmtId="167" fontId="17" fillId="36" borderId="0" xfId="0" applyNumberFormat="1" applyFont="1" applyFill="1" applyBorder="1" applyAlignment="1" applyProtection="1">
      <alignment horizontal="center" vertical="top" wrapText="1"/>
      <protection/>
    </xf>
    <xf numFmtId="165" fontId="18" fillId="35" borderId="19" xfId="0" applyNumberFormat="1" applyFont="1" applyFill="1" applyBorder="1" applyAlignment="1" applyProtection="1">
      <alignment horizontal="left" wrapText="1"/>
      <protection/>
    </xf>
    <xf numFmtId="168" fontId="17" fillId="3" borderId="14" xfId="0" applyNumberFormat="1" applyFont="1" applyFill="1" applyBorder="1" applyAlignment="1" applyProtection="1">
      <alignment vertical="center"/>
      <protection/>
    </xf>
    <xf numFmtId="4" fontId="17" fillId="3" borderId="14" xfId="0" applyNumberFormat="1" applyFont="1" applyFill="1" applyBorder="1" applyAlignment="1" applyProtection="1">
      <alignment vertical="center"/>
      <protection/>
    </xf>
    <xf numFmtId="0" fontId="25" fillId="3" borderId="0" xfId="0" applyFont="1" applyFill="1" applyAlignment="1" applyProtection="1">
      <alignment horizontal="left"/>
      <protection locked="0"/>
    </xf>
    <xf numFmtId="0" fontId="0" fillId="0" borderId="22" xfId="0" applyBorder="1"/>
    <xf numFmtId="49" fontId="0" fillId="0" borderId="0" xfId="0" applyNumberFormat="1" applyBorder="1"/>
    <xf numFmtId="0" fontId="14" fillId="33" borderId="10" xfId="0" applyFont="1" applyFill="1" applyBorder="1" applyAlignment="1" applyProtection="1">
      <alignment horizontal="left"/>
      <protection/>
    </xf>
    <xf numFmtId="0" fontId="14" fillId="33" borderId="23" xfId="0" applyFont="1" applyFill="1" applyBorder="1" applyAlignment="1" applyProtection="1">
      <alignment horizontal="left"/>
      <protection/>
    </xf>
    <xf numFmtId="0" fontId="18" fillId="35" borderId="20" xfId="0" applyFont="1" applyFill="1" applyBorder="1" applyAlignment="1" applyProtection="1">
      <alignment horizontal="left" wrapText="1"/>
      <protection/>
    </xf>
    <xf numFmtId="0" fontId="18" fillId="35" borderId="19" xfId="0" applyFont="1" applyFill="1" applyBorder="1" applyAlignment="1" applyProtection="1">
      <alignment horizontal="left" wrapText="1"/>
      <protection/>
    </xf>
    <xf numFmtId="49" fontId="14" fillId="33" borderId="0" xfId="0" applyNumberFormat="1" applyFont="1" applyFill="1" applyAlignment="1" applyProtection="1">
      <alignment horizontal="left"/>
      <protection locked="0"/>
    </xf>
    <xf numFmtId="0" fontId="4" fillId="33" borderId="10" xfId="0" applyFont="1" applyFill="1" applyBorder="1" applyAlignment="1" applyProtection="1">
      <alignment horizontal="left"/>
      <protection/>
    </xf>
    <xf numFmtId="0" fontId="3" fillId="33" borderId="0" xfId="0" applyFont="1" applyFill="1" applyAlignment="1" applyProtection="1">
      <alignment horizontal="left"/>
      <protection/>
    </xf>
    <xf numFmtId="165" fontId="18" fillId="35" borderId="24" xfId="0" applyNumberFormat="1" applyFont="1" applyFill="1" applyBorder="1" applyAlignment="1" applyProtection="1">
      <alignment horizontal="left" wrapText="1"/>
      <protection/>
    </xf>
    <xf numFmtId="165" fontId="18" fillId="35" borderId="16" xfId="0" applyNumberFormat="1" applyFont="1" applyFill="1" applyBorder="1" applyAlignment="1" applyProtection="1">
      <alignment horizontal="left" wrapText="1"/>
      <protection/>
    </xf>
    <xf numFmtId="0" fontId="24" fillId="3" borderId="20" xfId="0" applyFont="1" applyFill="1" applyBorder="1" applyAlignment="1" applyProtection="1">
      <alignment horizontal="left"/>
      <protection locked="0"/>
    </xf>
    <xf numFmtId="0" fontId="24" fillId="3" borderId="25" xfId="0" applyFont="1" applyFill="1" applyBorder="1" applyAlignment="1" applyProtection="1">
      <alignment horizontal="left"/>
      <protection locked="0"/>
    </xf>
    <xf numFmtId="0" fontId="24" fillId="3" borderId="19" xfId="0" applyFont="1" applyFill="1" applyBorder="1" applyAlignment="1" applyProtection="1">
      <alignment horizontal="left"/>
      <protection locked="0"/>
    </xf>
    <xf numFmtId="170" fontId="14" fillId="33" borderId="10" xfId="0" applyNumberFormat="1" applyFont="1" applyFill="1" applyBorder="1" applyAlignment="1" applyProtection="1">
      <alignment horizontal="left"/>
      <protection/>
    </xf>
    <xf numFmtId="49" fontId="14" fillId="33" borderId="10" xfId="0" applyNumberFormat="1" applyFont="1" applyFill="1" applyBorder="1" applyAlignment="1" applyProtection="1">
      <alignment horizontal="left"/>
      <protection/>
    </xf>
    <xf numFmtId="0" fontId="11" fillId="33" borderId="16" xfId="0" applyFont="1" applyFill="1" applyBorder="1" applyAlignment="1" applyProtection="1">
      <alignment horizontal="left"/>
      <protection/>
    </xf>
    <xf numFmtId="166" fontId="14" fillId="33" borderId="10" xfId="0" applyNumberFormat="1" applyFont="1" applyFill="1" applyBorder="1" applyAlignment="1" applyProtection="1">
      <alignment horizontal="left"/>
      <protection/>
    </xf>
    <xf numFmtId="49" fontId="4" fillId="33" borderId="26" xfId="0" applyNumberFormat="1" applyFont="1" applyFill="1" applyBorder="1" applyAlignment="1" applyProtection="1">
      <alignment horizontal="left" vertical="top" wrapText="1"/>
      <protection/>
    </xf>
    <xf numFmtId="49" fontId="4" fillId="33" borderId="0" xfId="0" applyNumberFormat="1" applyFont="1" applyFill="1" applyBorder="1" applyAlignment="1" applyProtection="1">
      <alignment horizontal="left" vertical="top" wrapText="1"/>
      <protection/>
    </xf>
    <xf numFmtId="49" fontId="4" fillId="33" borderId="27" xfId="0" applyNumberFormat="1" applyFont="1" applyFill="1" applyBorder="1" applyAlignment="1" applyProtection="1">
      <alignment horizontal="left" vertical="top" wrapText="1"/>
      <protection/>
    </xf>
    <xf numFmtId="0" fontId="4" fillId="33" borderId="18" xfId="0" applyFont="1" applyFill="1" applyBorder="1" applyAlignment="1" applyProtection="1">
      <alignment horizontal="left"/>
      <protection/>
    </xf>
    <xf numFmtId="165" fontId="18" fillId="35" borderId="20" xfId="0" applyNumberFormat="1" applyFont="1" applyFill="1" applyBorder="1" applyAlignment="1" applyProtection="1">
      <alignment horizontal="left" wrapText="1"/>
      <protection/>
    </xf>
    <xf numFmtId="165" fontId="18" fillId="35" borderId="19" xfId="0" applyNumberFormat="1" applyFont="1" applyFill="1" applyBorder="1" applyAlignment="1" applyProtection="1">
      <alignment horizontal="left" wrapText="1"/>
      <protection/>
    </xf>
    <xf numFmtId="49" fontId="17" fillId="34" borderId="20" xfId="0" applyNumberFormat="1" applyFont="1" applyFill="1" applyBorder="1" applyAlignment="1" applyProtection="1">
      <alignment horizontal="left" vertical="center"/>
      <protection/>
    </xf>
    <xf numFmtId="49" fontId="17" fillId="34" borderId="19" xfId="0" applyNumberFormat="1" applyFont="1" applyFill="1" applyBorder="1" applyAlignment="1" applyProtection="1">
      <alignment horizontal="left" vertical="center"/>
      <protection/>
    </xf>
    <xf numFmtId="4" fontId="17" fillId="34" borderId="28" xfId="0" applyNumberFormat="1" applyFont="1" applyFill="1" applyBorder="1" applyAlignment="1" applyProtection="1">
      <alignment horizontal="center" vertical="center"/>
      <protection/>
    </xf>
    <xf numFmtId="4" fontId="17" fillId="34" borderId="29" xfId="0" applyNumberFormat="1" applyFont="1" applyFill="1" applyBorder="1" applyAlignment="1" applyProtection="1">
      <alignment horizontal="center" vertical="center"/>
      <protection/>
    </xf>
    <xf numFmtId="4" fontId="17" fillId="34" borderId="22" xfId="0" applyNumberFormat="1" applyFont="1" applyFill="1" applyBorder="1" applyAlignment="1" applyProtection="1">
      <alignment horizontal="center" vertical="center"/>
      <protection/>
    </xf>
    <xf numFmtId="4" fontId="17" fillId="34" borderId="0" xfId="0" applyNumberFormat="1" applyFont="1" applyFill="1" applyBorder="1" applyAlignment="1" applyProtection="1">
      <alignment horizontal="center" vertical="center"/>
      <protection/>
    </xf>
    <xf numFmtId="0" fontId="15" fillId="0" borderId="20" xfId="0" applyNumberFormat="1" applyFont="1" applyFill="1" applyBorder="1" applyAlignment="1" applyProtection="1">
      <alignment horizontal="left" vertical="center"/>
      <protection/>
    </xf>
    <xf numFmtId="0" fontId="15" fillId="0" borderId="25" xfId="0" applyNumberFormat="1" applyFont="1" applyFill="1" applyBorder="1" applyAlignment="1" applyProtection="1">
      <alignment horizontal="left" vertical="center"/>
      <protection/>
    </xf>
    <xf numFmtId="0" fontId="15" fillId="0" borderId="19" xfId="0" applyNumberFormat="1" applyFont="1" applyFill="1" applyBorder="1" applyAlignment="1" applyProtection="1">
      <alignment horizontal="left" vertical="center"/>
      <protection/>
    </xf>
    <xf numFmtId="169" fontId="8" fillId="37" borderId="20" xfId="0" applyNumberFormat="1" applyFont="1" applyFill="1" applyBorder="1" applyProtection="1">
      <protection locked="0"/>
    </xf>
    <xf numFmtId="169" fontId="8" fillId="37" borderId="19" xfId="0" applyNumberFormat="1" applyFont="1" applyFill="1" applyBorder="1" applyProtection="1">
      <protection locked="0"/>
    </xf>
    <xf numFmtId="4" fontId="13" fillId="3" borderId="20" xfId="0" applyNumberFormat="1" applyFont="1" applyFill="1" applyBorder="1" applyAlignment="1" applyProtection="1">
      <alignment horizontal="left"/>
      <protection locked="0"/>
    </xf>
    <xf numFmtId="4" fontId="13" fillId="3" borderId="25" xfId="0" applyNumberFormat="1" applyFont="1" applyFill="1" applyBorder="1" applyAlignment="1" applyProtection="1">
      <alignment horizontal="left"/>
      <protection locked="0"/>
    </xf>
    <xf numFmtId="4" fontId="13" fillId="3" borderId="19" xfId="0" applyNumberFormat="1" applyFont="1" applyFill="1" applyBorder="1" applyAlignment="1" applyProtection="1">
      <alignment horizontal="left"/>
      <protection locked="0"/>
    </xf>
    <xf numFmtId="0" fontId="20" fillId="33" borderId="0" xfId="0" applyFont="1" applyFill="1" applyBorder="1" applyAlignment="1" applyProtection="1">
      <alignment horizontal="center"/>
      <protection/>
    </xf>
    <xf numFmtId="0" fontId="18" fillId="35" borderId="20" xfId="0" applyFont="1" applyFill="1" applyBorder="1" applyAlignment="1" applyProtection="1">
      <alignment horizontal="left" wrapText="1"/>
      <protection/>
    </xf>
    <xf numFmtId="0" fontId="18" fillId="35" borderId="19" xfId="0" applyFont="1" applyFill="1" applyBorder="1" applyAlignment="1" applyProtection="1">
      <alignment horizontal="left" wrapText="1"/>
      <protection/>
    </xf>
    <xf numFmtId="0" fontId="23" fillId="0" borderId="20" xfId="0" applyFont="1" applyBorder="1" applyAlignment="1" applyProtection="1">
      <alignment horizontal="left"/>
      <protection/>
    </xf>
    <xf numFmtId="0" fontId="23" fillId="0" borderId="19" xfId="0" applyFont="1" applyBorder="1" applyAlignment="1" applyProtection="1">
      <alignment horizontal="left"/>
      <protection/>
    </xf>
    <xf numFmtId="0" fontId="13" fillId="3" borderId="20" xfId="0" applyFont="1" applyFill="1" applyBorder="1" applyAlignment="1" applyProtection="1">
      <alignment horizontal="left"/>
      <protection locked="0"/>
    </xf>
    <xf numFmtId="0" fontId="13" fillId="3" borderId="25" xfId="0" applyFont="1" applyFill="1" applyBorder="1" applyAlignment="1" applyProtection="1">
      <alignment horizontal="left"/>
      <protection locked="0"/>
    </xf>
    <xf numFmtId="0" fontId="13" fillId="3" borderId="19" xfId="0" applyFont="1" applyFill="1" applyBorder="1" applyAlignment="1" applyProtection="1">
      <alignment horizontal="left"/>
      <protection locked="0"/>
    </xf>
    <xf numFmtId="0" fontId="18" fillId="35" borderId="16" xfId="0" applyFont="1" applyFill="1" applyBorder="1" applyAlignment="1" applyProtection="1">
      <alignment horizontal="left" wrapText="1"/>
      <protection/>
    </xf>
    <xf numFmtId="165" fontId="18" fillId="35" borderId="0" xfId="0" applyNumberFormat="1" applyFont="1" applyFill="1" applyBorder="1" applyAlignment="1" applyProtection="1">
      <alignment horizontal="left" wrapText="1"/>
      <protection/>
    </xf>
    <xf numFmtId="0" fontId="21" fillId="33" borderId="0" xfId="0" applyFont="1" applyFill="1" applyAlignment="1" applyProtection="1">
      <alignment horizontal="left"/>
      <protection/>
    </xf>
    <xf numFmtId="49" fontId="21" fillId="33" borderId="0" xfId="0" applyNumberFormat="1" applyFont="1" applyFill="1" applyAlignment="1" applyProtection="1">
      <alignment horizontal="left"/>
      <protection/>
    </xf>
    <xf numFmtId="0" fontId="21" fillId="33" borderId="10" xfId="0" applyFont="1" applyFill="1" applyBorder="1" applyAlignment="1" applyProtection="1">
      <alignment horizontal="left"/>
      <protection/>
    </xf>
    <xf numFmtId="49" fontId="21" fillId="33" borderId="10" xfId="0" applyNumberFormat="1" applyFont="1" applyFill="1" applyBorder="1" applyAlignment="1" applyProtection="1">
      <alignment horizontal="left"/>
      <protection/>
    </xf>
    <xf numFmtId="49" fontId="22" fillId="3" borderId="20" xfId="0" applyNumberFormat="1" applyFont="1" applyFill="1" applyBorder="1" applyAlignment="1" applyProtection="1">
      <alignment horizontal="left" vertical="center"/>
      <protection locked="0"/>
    </xf>
    <xf numFmtId="49" fontId="22" fillId="3" borderId="19" xfId="0" applyNumberFormat="1" applyFont="1" applyFill="1" applyBorder="1" applyAlignment="1" applyProtection="1">
      <alignment horizontal="left" vertical="center"/>
      <protection locked="0"/>
    </xf>
    <xf numFmtId="4" fontId="26" fillId="3" borderId="20" xfId="0" applyNumberFormat="1" applyFont="1" applyFill="1" applyBorder="1" applyAlignment="1" applyProtection="1">
      <alignment horizontal="left"/>
      <protection locked="0"/>
    </xf>
    <xf numFmtId="4" fontId="26" fillId="3" borderId="25" xfId="0" applyNumberFormat="1" applyFont="1" applyFill="1" applyBorder="1" applyAlignment="1" applyProtection="1">
      <alignment horizontal="left"/>
      <protection locked="0"/>
    </xf>
    <xf numFmtId="4" fontId="26" fillId="3" borderId="19" xfId="0" applyNumberFormat="1" applyFont="1" applyFill="1" applyBorder="1" applyAlignment="1" applyProtection="1">
      <alignment horizontal="left"/>
      <protection locked="0"/>
    </xf>
    <xf numFmtId="168" fontId="17" fillId="3" borderId="20" xfId="0" applyNumberFormat="1" applyFont="1" applyFill="1" applyBorder="1" applyAlignment="1" applyProtection="1">
      <alignment horizontal="right" vertical="center"/>
      <protection locked="0"/>
    </xf>
    <xf numFmtId="168" fontId="17" fillId="3" borderId="19" xfId="0" applyNumberFormat="1" applyFont="1" applyFill="1" applyBorder="1" applyAlignment="1" applyProtection="1">
      <alignment horizontal="right" vertical="center"/>
      <protection locked="0"/>
    </xf>
    <xf numFmtId="0" fontId="14" fillId="33" borderId="30" xfId="0" applyFont="1" applyFill="1" applyBorder="1" applyAlignment="1" applyProtection="1">
      <alignment horizontal="left"/>
      <protection/>
    </xf>
    <xf numFmtId="1" fontId="17" fillId="34" borderId="15" xfId="0" applyNumberFormat="1" applyFont="1" applyFill="1" applyBorder="1" applyAlignment="1" applyProtection="1">
      <alignment horizontal="left" vertical="center" wrapText="1"/>
      <protection/>
    </xf>
    <xf numFmtId="1" fontId="17" fillId="34" borderId="0" xfId="0" applyNumberFormat="1" applyFont="1" applyFill="1" applyBorder="1" applyAlignment="1" applyProtection="1">
      <alignment horizontal="left" vertical="center" wrapText="1"/>
      <protection/>
    </xf>
    <xf numFmtId="1" fontId="19" fillId="3" borderId="15" xfId="0" applyNumberFormat="1" applyFont="1" applyFill="1" applyBorder="1" applyAlignment="1" applyProtection="1">
      <alignment vertical="center" wrapText="1"/>
      <protection locked="0"/>
    </xf>
    <xf numFmtId="1" fontId="19" fillId="3" borderId="0" xfId="0" applyNumberFormat="1" applyFont="1" applyFill="1" applyBorder="1" applyAlignment="1" applyProtection="1">
      <alignment vertical="center" wrapText="1"/>
      <protection locked="0"/>
    </xf>
    <xf numFmtId="165" fontId="16" fillId="35" borderId="0" xfId="0" applyNumberFormat="1" applyFont="1" applyFill="1" applyBorder="1" applyAlignment="1" applyProtection="1">
      <alignment horizontal="left" wrapText="1"/>
      <protection/>
    </xf>
    <xf numFmtId="1" fontId="15" fillId="34" borderId="0" xfId="0" applyNumberFormat="1" applyFont="1" applyFill="1" applyBorder="1" applyAlignment="1" applyProtection="1">
      <alignment horizontal="left" vertical="top" wrapText="1"/>
      <protection/>
    </xf>
    <xf numFmtId="1" fontId="17" fillId="34" borderId="0" xfId="0" applyNumberFormat="1" applyFont="1" applyFill="1" applyBorder="1" applyAlignment="1" applyProtection="1">
      <alignment horizontal="center" vertical="top" wrapText="1"/>
      <protection/>
    </xf>
    <xf numFmtId="165" fontId="15" fillId="35" borderId="0" xfId="0" applyNumberFormat="1" applyFont="1" applyFill="1" applyBorder="1" applyAlignment="1" applyProtection="1">
      <alignment horizontal="left" vertical="center" wrapText="1"/>
      <protection/>
    </xf>
    <xf numFmtId="165" fontId="15" fillId="35" borderId="31" xfId="0" applyNumberFormat="1" applyFont="1" applyFill="1" applyBorder="1" applyAlignment="1" applyProtection="1">
      <alignment horizontal="left" vertical="center" wrapText="1"/>
      <protection/>
    </xf>
    <xf numFmtId="0" fontId="0" fillId="0" borderId="0" xfId="0" applyNumberFormat="1" applyFill="1" applyAlignment="1" applyProtection="1">
      <alignment horizontal="left"/>
      <protection/>
    </xf>
    <xf numFmtId="0" fontId="8" fillId="0" borderId="0" xfId="0" applyNumberFormat="1" applyFill="1" applyAlignment="1" applyProtection="1">
      <alignment horizontal="left"/>
      <protection/>
    </xf>
    <xf numFmtId="0" fontId="14" fillId="33" borderId="0" xfId="0" applyNumberFormat="1" applyAlignment="1" applyProtection="1">
      <alignment horizontal="left" vertical="top"/>
      <protection/>
    </xf>
    <xf numFmtId="49" fontId="4" fillId="33" borderId="27" xfId="0" applyNumberFormat="1" applyBorder="1" applyAlignment="1" applyProtection="1">
      <alignment horizontal="left" vertical="top" wrapText="1"/>
      <protection/>
    </xf>
    <xf numFmtId="0" fontId="6" fillId="33" borderId="0" xfId="0" applyNumberFormat="1" applyAlignment="1" applyProtection="1">
      <alignment horizontal="left" vertical="top"/>
      <protection/>
    </xf>
    <xf numFmtId="0" fontId="14" fillId="33" borderId="0" xfId="0" applyNumberFormat="1" applyAlignment="1" applyProtection="1">
      <alignment horizontal="left"/>
      <protection/>
    </xf>
    <xf numFmtId="0" fontId="14" fillId="0" borderId="0" xfId="0" applyNumberFormat="1" applyFill="1" applyAlignment="1" applyProtection="1">
      <alignment horizontal="left"/>
      <protection/>
    </xf>
    <xf numFmtId="4" fontId="27" fillId="3" borderId="17" xfId="0" applyNumberFormat="1" applyBorder="1" applyAlignment="1" applyProtection="1">
      <alignment horizontal="right"/>
      <protection locked="0"/>
    </xf>
    <xf numFmtId="0" fontId="14" fillId="0" borderId="0" xfId="0" applyNumberFormat="1" applyFill="1" applyAlignment="1" applyProtection="1">
      <alignment horizontal="right"/>
      <protection/>
    </xf>
    <xf numFmtId="0" fontId="10" fillId="0" borderId="0" xfId="0" applyNumberFormat="1" applyFill="1" applyAlignment="1" applyProtection="1">
      <alignment horizontal="left"/>
      <protection locked="0"/>
    </xf>
    <xf numFmtId="167" fontId="14" fillId="33" borderId="0" xfId="0" applyNumberFormat="1" applyAlignment="1" applyProtection="1">
      <alignment horizontal="left" vertical="top"/>
      <protection/>
    </xf>
    <xf numFmtId="0" fontId="7" fillId="33" borderId="0" xfId="0" applyNumberFormat="1" applyAlignment="1" applyProtection="1">
      <alignment horizontal="left" indent="1"/>
      <protection/>
    </xf>
    <xf numFmtId="0" fontId="9" fillId="33" borderId="0" xfId="0" applyNumberFormat="1" applyAlignment="1" applyProtection="1">
      <alignment horizontal="left"/>
      <protection/>
    </xf>
    <xf numFmtId="0" fontId="20" fillId="33" borderId="0" xfId="0" applyNumberFormat="1" applyAlignment="1" applyProtection="1">
      <alignment horizontal="left"/>
      <protection/>
    </xf>
    <xf numFmtId="167" fontId="20" fillId="33" borderId="0" xfId="0" applyNumberFormat="1" applyAlignment="1" applyProtection="1">
      <alignment horizontal="right"/>
      <protection/>
    </xf>
    <xf numFmtId="0" fontId="7" fillId="33" borderId="0" xfId="0" applyNumberFormat="1" applyAlignment="1" applyProtection="1">
      <alignment horizontal="left"/>
      <protection/>
    </xf>
    <xf numFmtId="164" fontId="10" fillId="33" borderId="0" xfId="0" applyNumberFormat="1" applyAlignment="1" applyProtection="1">
      <alignment horizontal="left"/>
      <protection/>
    </xf>
    <xf numFmtId="167" fontId="8" fillId="0" borderId="0" xfId="0" applyNumberFormat="1" applyFill="1" applyAlignment="1" applyProtection="1">
      <alignment horizontal="left"/>
      <protection/>
    </xf>
    <xf numFmtId="0" fontId="3" fillId="33" borderId="0" xfId="0" applyNumberFormat="1" applyAlignment="1" applyProtection="1">
      <alignment horizontal="left"/>
      <protection/>
    </xf>
    <xf numFmtId="0" fontId="6" fillId="33" borderId="0" xfId="0" applyNumberFormat="1" applyAlignment="1" applyProtection="1">
      <alignment horizontal="left"/>
      <protection/>
    </xf>
    <xf numFmtId="49" fontId="4" fillId="33" borderId="26" xfId="0" applyNumberFormat="1" applyBorder="1" applyAlignment="1" applyProtection="1">
      <alignment horizontal="left" vertical="top" wrapText="1"/>
      <protection/>
    </xf>
    <xf numFmtId="0" fontId="21" fillId="33" borderId="0" xfId="0" applyNumberFormat="1" applyAlignment="1" applyProtection="1">
      <alignment horizontal="left"/>
      <protection/>
    </xf>
    <xf numFmtId="49" fontId="21" fillId="33" borderId="0" xfId="0" applyNumberFormat="1" applyAlignment="1" applyProtection="1">
      <alignment horizontal="left"/>
      <protection/>
    </xf>
    <xf numFmtId="0" fontId="14" fillId="33" borderId="0" xfId="0" applyNumberFormat="1" applyAlignment="1" applyProtection="1">
      <alignment horizontal="left"/>
      <protection/>
    </xf>
    <xf numFmtId="167" fontId="14" fillId="33" borderId="0" xfId="0" applyNumberFormat="1" applyAlignment="1" applyProtection="1">
      <alignment horizontal="left"/>
      <protection/>
    </xf>
    <xf numFmtId="49" fontId="4" fillId="33" borderId="0" xfId="0" applyNumberFormat="1" applyAlignment="1" applyProtection="1">
      <alignment horizontal="left" vertical="top" wrapText="1"/>
      <protection/>
    </xf>
    <xf numFmtId="0" fontId="21" fillId="33" borderId="10" xfId="0" applyNumberFormat="1" applyBorder="1" applyAlignment="1" applyProtection="1">
      <alignment horizontal="left"/>
      <protection/>
    </xf>
    <xf numFmtId="49" fontId="21" fillId="33" borderId="10" xfId="0" applyNumberFormat="1" applyBorder="1" applyAlignment="1" applyProtection="1">
      <alignment horizontal="left"/>
      <protection/>
    </xf>
    <xf numFmtId="0" fontId="14" fillId="33" borderId="10" xfId="0" applyNumberFormat="1" applyBorder="1" applyAlignment="1" applyProtection="1">
      <alignment horizontal="left"/>
      <protection/>
    </xf>
    <xf numFmtId="170" fontId="14" fillId="33" borderId="10" xfId="0" applyNumberFormat="1" applyBorder="1" applyAlignment="1" applyProtection="1">
      <alignment horizontal="left"/>
      <protection/>
    </xf>
    <xf numFmtId="49" fontId="14" fillId="33" borderId="10" xfId="0" applyNumberFormat="1" applyBorder="1" applyAlignment="1" applyProtection="1">
      <alignment horizontal="left"/>
      <protection/>
    </xf>
    <xf numFmtId="0" fontId="10" fillId="0" borderId="0" xfId="0" applyNumberFormat="1" applyFill="1" applyAlignment="1" applyProtection="1">
      <alignment horizontal="left"/>
      <protection/>
    </xf>
    <xf numFmtId="166" fontId="14" fillId="33" borderId="10" xfId="0" applyNumberFormat="1" applyBorder="1" applyAlignment="1" applyProtection="1">
      <alignment horizontal="left"/>
      <protection/>
    </xf>
    <xf numFmtId="166" fontId="14" fillId="33" borderId="0" xfId="0" applyNumberFormat="1" applyAlignment="1" applyProtection="1">
      <alignment horizontal="left"/>
      <protection/>
    </xf>
    <xf numFmtId="0" fontId="4" fillId="33" borderId="18" xfId="0" applyNumberFormat="1" applyBorder="1" applyAlignment="1" applyProtection="1">
      <alignment horizontal="left"/>
      <protection/>
    </xf>
    <xf numFmtId="0" fontId="4" fillId="33" borderId="18" xfId="0" applyNumberFormat="1" applyBorder="1" applyAlignment="1" applyProtection="1">
      <alignment horizontal="left"/>
      <protection/>
    </xf>
    <xf numFmtId="0" fontId="4" fillId="33" borderId="0" xfId="0" applyNumberFormat="1" applyAlignment="1" applyProtection="1">
      <alignment horizontal="left"/>
      <protection/>
    </xf>
    <xf numFmtId="0" fontId="14" fillId="33" borderId="30" xfId="0" applyNumberFormat="1" applyBorder="1" applyAlignment="1" applyProtection="1">
      <alignment horizontal="left"/>
      <protection/>
    </xf>
    <xf numFmtId="4" fontId="26" fillId="3" borderId="20" xfId="0" applyNumberFormat="1" applyBorder="1" applyAlignment="1" applyProtection="1">
      <alignment horizontal="left"/>
      <protection locked="0"/>
    </xf>
    <xf numFmtId="4" fontId="26" fillId="3" borderId="25" xfId="0" applyNumberFormat="1" applyBorder="1" applyAlignment="1" applyProtection="1">
      <alignment horizontal="left"/>
      <protection locked="0"/>
    </xf>
    <xf numFmtId="4" fontId="26" fillId="3" borderId="19" xfId="0" applyNumberFormat="1" applyBorder="1" applyAlignment="1" applyProtection="1">
      <alignment horizontal="left"/>
      <protection locked="0"/>
    </xf>
    <xf numFmtId="49" fontId="14" fillId="33" borderId="0" xfId="0" applyNumberFormat="1" applyAlignment="1" applyProtection="1">
      <alignment horizontal="left"/>
      <protection/>
    </xf>
    <xf numFmtId="0" fontId="4" fillId="33" borderId="10" xfId="0" applyNumberFormat="1" applyBorder="1" applyAlignment="1" applyProtection="1">
      <alignment horizontal="left"/>
      <protection/>
    </xf>
    <xf numFmtId="49" fontId="14" fillId="33" borderId="0" xfId="0" applyNumberFormat="1" applyAlignment="1" applyProtection="1">
      <alignment horizontal="left"/>
      <protection locked="0"/>
    </xf>
    <xf numFmtId="0" fontId="14" fillId="33" borderId="23" xfId="0" applyNumberFormat="1" applyBorder="1" applyAlignment="1" applyProtection="1">
      <alignment horizontal="left"/>
      <protection/>
    </xf>
    <xf numFmtId="0" fontId="25" fillId="3" borderId="0" xfId="0" applyNumberFormat="1" applyAlignment="1" applyProtection="1">
      <alignment horizontal="left"/>
      <protection locked="0"/>
    </xf>
    <xf numFmtId="167" fontId="14" fillId="0" borderId="0" xfId="0" applyNumberFormat="1" applyFill="1" applyAlignment="1" applyProtection="1">
      <alignment horizontal="left"/>
      <protection/>
    </xf>
    <xf numFmtId="169" fontId="25" fillId="3" borderId="0" xfId="0" applyNumberFormat="1" applyAlignment="1" applyProtection="1">
      <alignment horizontal="right"/>
      <protection locked="0"/>
    </xf>
    <xf numFmtId="166" fontId="14" fillId="33" borderId="10" xfId="0" applyNumberFormat="1" applyBorder="1" applyAlignment="1" applyProtection="1">
      <alignment horizontal="left"/>
      <protection/>
    </xf>
    <xf numFmtId="166" fontId="14" fillId="33" borderId="2" xfId="0" applyNumberFormat="1" applyBorder="1" applyAlignment="1" applyProtection="1">
      <alignment horizontal="left"/>
      <protection/>
    </xf>
    <xf numFmtId="167" fontId="10" fillId="0" borderId="0" xfId="0" applyNumberFormat="1" applyFill="1" applyAlignment="1" applyProtection="1">
      <alignment horizontal="left"/>
      <protection/>
    </xf>
    <xf numFmtId="0" fontId="10" fillId="33" borderId="0" xfId="0" applyNumberFormat="1" applyAlignment="1" applyProtection="1">
      <alignment horizontal="left"/>
      <protection/>
    </xf>
    <xf numFmtId="0" fontId="6" fillId="33" borderId="0" xfId="0" applyNumberFormat="1" applyAlignment="1" applyProtection="1">
      <alignment horizontal="left"/>
      <protection/>
    </xf>
    <xf numFmtId="0" fontId="11" fillId="33" borderId="0" xfId="0" applyNumberFormat="1" applyAlignment="1" applyProtection="1">
      <alignment horizontal="left"/>
      <protection/>
    </xf>
    <xf numFmtId="0" fontId="11" fillId="33" borderId="16" xfId="0" applyNumberFormat="1" applyBorder="1" applyAlignment="1" applyProtection="1">
      <alignment horizontal="left"/>
      <protection/>
    </xf>
    <xf numFmtId="166" fontId="11" fillId="33" borderId="0" xfId="0" applyNumberFormat="1" applyAlignment="1" applyProtection="1">
      <alignment horizontal="left"/>
      <protection/>
    </xf>
    <xf numFmtId="166" fontId="11" fillId="33" borderId="0" xfId="0" applyNumberFormat="1" applyAlignment="1" applyProtection="1">
      <alignment horizontal="left"/>
      <protection/>
    </xf>
    <xf numFmtId="165" fontId="18" fillId="35" borderId="14" xfId="0" applyNumberFormat="1" applyBorder="1" applyAlignment="1" applyProtection="1">
      <alignment horizontal="left" wrapText="1"/>
      <protection/>
    </xf>
    <xf numFmtId="165" fontId="18" fillId="35" borderId="20" xfId="0" applyNumberFormat="1" applyBorder="1" applyAlignment="1" applyProtection="1">
      <alignment horizontal="left" wrapText="1"/>
      <protection/>
    </xf>
    <xf numFmtId="165" fontId="18" fillId="35" borderId="19" xfId="0" applyNumberFormat="1" applyBorder="1" applyAlignment="1" applyProtection="1">
      <alignment horizontal="left" wrapText="1"/>
      <protection/>
    </xf>
    <xf numFmtId="0" fontId="18" fillId="35" borderId="14" xfId="0" applyNumberFormat="1" applyBorder="1" applyAlignment="1" applyProtection="1">
      <alignment horizontal="left" wrapText="1"/>
      <protection/>
    </xf>
    <xf numFmtId="0" fontId="18" fillId="35" borderId="20" xfId="0" applyNumberFormat="1" applyBorder="1" applyAlignment="1" applyProtection="1">
      <alignment horizontal="left" wrapText="1"/>
      <protection/>
    </xf>
    <xf numFmtId="0" fontId="18" fillId="35" borderId="19" xfId="0" applyNumberFormat="1" applyBorder="1" applyAlignment="1" applyProtection="1">
      <alignment horizontal="left" wrapText="1"/>
      <protection/>
    </xf>
    <xf numFmtId="167" fontId="18" fillId="36" borderId="0" xfId="0" applyNumberFormat="1" applyAlignment="1" applyProtection="1">
      <alignment horizontal="left" wrapText="1"/>
      <protection/>
    </xf>
    <xf numFmtId="1" fontId="17" fillId="34" borderId="14" xfId="0" applyNumberFormat="1" applyBorder="1" applyAlignment="1" applyProtection="1">
      <alignment horizontal="right" vertical="center"/>
      <protection/>
    </xf>
    <xf numFmtId="49" fontId="17" fillId="34" borderId="14" xfId="0" applyNumberFormat="1" applyBorder="1" applyAlignment="1" applyProtection="1">
      <alignment horizontal="left" vertical="center"/>
      <protection/>
    </xf>
    <xf numFmtId="49" fontId="17" fillId="34" borderId="20" xfId="0" applyNumberFormat="1" applyBorder="1" applyAlignment="1" applyProtection="1">
      <alignment horizontal="left" vertical="center"/>
      <protection/>
    </xf>
    <xf numFmtId="49" fontId="17" fillId="34" borderId="19" xfId="0" applyNumberFormat="1" applyBorder="1" applyAlignment="1" applyProtection="1">
      <alignment horizontal="left" vertical="center"/>
      <protection/>
    </xf>
    <xf numFmtId="4" fontId="17" fillId="3" borderId="14" xfId="0" applyNumberFormat="1" applyBorder="1" applyAlignment="1" applyProtection="1">
      <alignment horizontal="left" vertical="center"/>
      <protection/>
    </xf>
    <xf numFmtId="175" fontId="17" fillId="3" borderId="14" xfId="0" applyNumberFormat="1" applyBorder="1" applyAlignment="1" applyProtection="1">
      <alignment horizontal="left" vertical="center"/>
      <protection locked="0"/>
    </xf>
    <xf numFmtId="175" fontId="17" fillId="3" borderId="20" xfId="0" applyNumberFormat="1" applyBorder="1" applyAlignment="1" applyProtection="1">
      <alignment horizontal="right" vertical="center"/>
      <protection locked="0"/>
    </xf>
    <xf numFmtId="168" fontId="17" fillId="3" borderId="19" xfId="0" applyNumberFormat="1" applyBorder="1" applyAlignment="1" applyProtection="1">
      <alignment horizontal="right" vertical="center"/>
      <protection locked="0"/>
    </xf>
    <xf numFmtId="168" fontId="17" fillId="34" borderId="14" xfId="0" applyNumberFormat="1" applyBorder="1" applyAlignment="1" applyProtection="1">
      <alignment horizontal="left" vertical="center"/>
      <protection/>
    </xf>
    <xf numFmtId="49" fontId="22" fillId="3" borderId="20" xfId="0" applyNumberFormat="1" applyBorder="1" applyAlignment="1" applyProtection="1">
      <alignment horizontal="left" vertical="center"/>
      <protection locked="0"/>
    </xf>
    <xf numFmtId="49" fontId="22" fillId="3" borderId="19" xfId="0" applyNumberFormat="1" applyBorder="1" applyAlignment="1" applyProtection="1">
      <alignment horizontal="left" vertical="center"/>
      <protection locked="0"/>
    </xf>
    <xf numFmtId="0" fontId="23" fillId="0" borderId="20" xfId="0" applyNumberFormat="1" applyFill="1" applyBorder="1" applyAlignment="1" applyProtection="1">
      <alignment horizontal="left"/>
      <protection/>
    </xf>
    <xf numFmtId="0" fontId="23" fillId="0" borderId="19" xfId="0" applyNumberFormat="1" applyFill="1" applyBorder="1" applyAlignment="1" applyProtection="1">
      <alignment horizontal="left"/>
      <protection/>
    </xf>
    <xf numFmtId="167" fontId="23" fillId="36" borderId="0" xfId="0" applyNumberFormat="1" applyAlignment="1" applyProtection="1">
      <alignment horizontal="left"/>
      <protection/>
    </xf>
    <xf numFmtId="1" fontId="6" fillId="0" borderId="0" xfId="0" applyNumberFormat="1" applyFill="1" applyAlignment="1" applyProtection="1">
      <alignment horizontal="right" vertical="center"/>
      <protection/>
    </xf>
    <xf numFmtId="0" fontId="10" fillId="0" borderId="0" xfId="0" applyNumberFormat="1" applyFill="1" applyAlignment="1" applyProtection="1">
      <alignment horizontal="left"/>
      <protection/>
    </xf>
    <xf numFmtId="0" fontId="6" fillId="0" borderId="0" xfId="0" applyNumberFormat="1" applyFill="1" applyAlignment="1" applyProtection="1">
      <alignment horizontal="right"/>
      <protection/>
    </xf>
    <xf numFmtId="167" fontId="8" fillId="36" borderId="0" xfId="0" applyNumberFormat="1" applyAlignment="1" applyProtection="1">
      <alignment horizontal="left"/>
      <protection/>
    </xf>
    <xf numFmtId="165" fontId="18" fillId="35" borderId="15" xfId="0" applyNumberFormat="1" applyBorder="1" applyAlignment="1" applyProtection="1">
      <alignment horizontal="left" wrapText="1"/>
      <protection/>
    </xf>
    <xf numFmtId="165" fontId="18" fillId="35" borderId="24" xfId="0" applyNumberFormat="1" applyBorder="1" applyAlignment="1" applyProtection="1">
      <alignment horizontal="left" wrapText="1"/>
      <protection/>
    </xf>
    <xf numFmtId="165" fontId="18" fillId="35" borderId="16" xfId="0" applyNumberFormat="1" applyBorder="1" applyAlignment="1" applyProtection="1">
      <alignment horizontal="left" wrapText="1"/>
      <protection/>
    </xf>
    <xf numFmtId="165" fontId="18" fillId="35" borderId="0" xfId="0" applyNumberFormat="1" applyAlignment="1" applyProtection="1">
      <alignment horizontal="left" wrapText="1"/>
      <protection/>
    </xf>
    <xf numFmtId="0" fontId="18" fillId="35" borderId="16" xfId="0" applyNumberFormat="1" applyBorder="1" applyAlignment="1" applyProtection="1">
      <alignment horizontal="left"/>
      <protection/>
    </xf>
    <xf numFmtId="0" fontId="18" fillId="35" borderId="16" xfId="0" applyNumberFormat="1" applyBorder="1" applyAlignment="1" applyProtection="1">
      <alignment horizontal="left" wrapText="1"/>
      <protection/>
    </xf>
    <xf numFmtId="1" fontId="17" fillId="34" borderId="11" xfId="0" applyNumberFormat="1" applyBorder="1" applyAlignment="1" applyProtection="1">
      <alignment horizontal="right" vertical="center"/>
      <protection/>
    </xf>
    <xf numFmtId="1" fontId="17" fillId="34" borderId="12" xfId="0" applyNumberFormat="1" applyBorder="1" applyAlignment="1" applyProtection="1">
      <alignment horizontal="right" vertical="center"/>
      <protection/>
    </xf>
    <xf numFmtId="0" fontId="24" fillId="3" borderId="20" xfId="0" applyNumberFormat="1" applyBorder="1" applyAlignment="1" applyProtection="1">
      <alignment horizontal="left"/>
      <protection locked="0"/>
    </xf>
    <xf numFmtId="0" fontId="24" fillId="3" borderId="25" xfId="0" applyNumberFormat="1" applyBorder="1" applyAlignment="1" applyProtection="1">
      <alignment horizontal="left"/>
      <protection locked="0"/>
    </xf>
    <xf numFmtId="0" fontId="24" fillId="3" borderId="19" xfId="0" applyNumberFormat="1" applyBorder="1" applyAlignment="1" applyProtection="1">
      <alignment horizontal="left"/>
      <protection locked="0"/>
    </xf>
    <xf numFmtId="0" fontId="8" fillId="36" borderId="0" xfId="0" applyNumberFormat="1" applyAlignment="1" applyProtection="1">
      <alignment horizontal="left"/>
      <protection/>
    </xf>
    <xf numFmtId="175" fontId="8" fillId="37" borderId="20" xfId="0" applyNumberFormat="1" applyBorder="1" applyAlignment="1" applyProtection="1">
      <alignment horizontal="left"/>
      <protection locked="0"/>
    </xf>
    <xf numFmtId="169" fontId="8" fillId="37" borderId="19" xfId="0" applyNumberFormat="1" applyBorder="1" applyAlignment="1" applyProtection="1">
      <alignment horizontal="left"/>
      <protection locked="0"/>
    </xf>
    <xf numFmtId="175" fontId="8" fillId="37" borderId="14" xfId="0" applyNumberFormat="1" applyBorder="1" applyAlignment="1" applyProtection="1">
      <alignment horizontal="left"/>
      <protection locked="0"/>
    </xf>
    <xf numFmtId="169" fontId="25" fillId="3" borderId="14" xfId="0" applyNumberFormat="1" applyBorder="1" applyAlignment="1" applyProtection="1">
      <alignment horizontal="right"/>
      <protection/>
    </xf>
    <xf numFmtId="0" fontId="13" fillId="3" borderId="20" xfId="0" applyNumberFormat="1" applyBorder="1" applyAlignment="1" applyProtection="1">
      <alignment horizontal="left"/>
      <protection locked="0"/>
    </xf>
    <xf numFmtId="0" fontId="13" fillId="3" borderId="25" xfId="0" applyNumberFormat="1" applyBorder="1" applyAlignment="1" applyProtection="1">
      <alignment horizontal="left"/>
      <protection locked="0"/>
    </xf>
    <xf numFmtId="0" fontId="13" fillId="3" borderId="19" xfId="0" applyNumberFormat="1" applyBorder="1" applyAlignment="1" applyProtection="1">
      <alignment horizontal="left"/>
      <protection locked="0"/>
    </xf>
    <xf numFmtId="167" fontId="13" fillId="36" borderId="0" xfId="0" applyNumberFormat="1" applyAlignment="1" applyProtection="1">
      <alignment horizontal="left"/>
      <protection locked="0"/>
    </xf>
    <xf numFmtId="0" fontId="10" fillId="36" borderId="0" xfId="0" applyNumberFormat="1" applyAlignment="1" applyProtection="1">
      <alignment horizontal="left"/>
      <protection/>
    </xf>
    <xf numFmtId="168" fontId="25" fillId="3" borderId="14" xfId="0" applyNumberFormat="1" applyBorder="1" applyAlignment="1" applyProtection="1">
      <alignment horizontal="right"/>
      <protection/>
    </xf>
    <xf numFmtId="4" fontId="13" fillId="3" borderId="20" xfId="0" applyNumberFormat="1" applyBorder="1" applyAlignment="1" applyProtection="1">
      <alignment horizontal="left"/>
      <protection locked="0"/>
    </xf>
    <xf numFmtId="4" fontId="13" fillId="3" borderId="25" xfId="0" applyNumberFormat="1" applyBorder="1" applyAlignment="1" applyProtection="1">
      <alignment horizontal="left"/>
      <protection locked="0"/>
    </xf>
    <xf numFmtId="4" fontId="13" fillId="3" borderId="19" xfId="0" applyNumberFormat="1" applyBorder="1" applyAlignment="1" applyProtection="1">
      <alignment horizontal="left"/>
      <protection locked="0"/>
    </xf>
    <xf numFmtId="175" fontId="8" fillId="37" borderId="21" xfId="0" applyNumberFormat="1" applyBorder="1" applyAlignment="1" applyProtection="1">
      <alignment horizontal="left"/>
      <protection locked="0"/>
    </xf>
    <xf numFmtId="0" fontId="12" fillId="33" borderId="0" xfId="0" applyNumberFormat="1" applyAlignment="1" applyProtection="1">
      <alignment horizontal="left"/>
      <protection/>
    </xf>
    <xf numFmtId="44" fontId="13" fillId="33" borderId="0" xfId="0" applyNumberFormat="1" applyAlignment="1" applyProtection="1">
      <alignment horizontal="left"/>
      <protection/>
    </xf>
    <xf numFmtId="168" fontId="15" fillId="34" borderId="14" xfId="0" applyNumberFormat="1" applyBorder="1" applyAlignment="1" applyProtection="1">
      <alignment horizontal="left" vertical="center"/>
      <protection/>
    </xf>
    <xf numFmtId="4" fontId="17" fillId="34" borderId="28" xfId="0" applyNumberFormat="1" applyBorder="1" applyAlignment="1" applyProtection="1">
      <alignment horizontal="left" vertical="center"/>
      <protection/>
    </xf>
    <xf numFmtId="4" fontId="17" fillId="34" borderId="29" xfId="0" applyNumberFormat="1" applyBorder="1" applyAlignment="1" applyProtection="1">
      <alignment horizontal="left" vertical="center"/>
      <protection/>
    </xf>
    <xf numFmtId="4" fontId="17" fillId="34" borderId="22" xfId="0" applyNumberFormat="1" applyBorder="1" applyAlignment="1" applyProtection="1">
      <alignment horizontal="left" vertical="center"/>
      <protection/>
    </xf>
    <xf numFmtId="4" fontId="17" fillId="34" borderId="0" xfId="0" applyNumberFormat="1" applyAlignment="1" applyProtection="1">
      <alignment horizontal="left" vertical="center"/>
      <protection/>
    </xf>
    <xf numFmtId="1" fontId="12" fillId="33" borderId="0" xfId="0" applyNumberFormat="1" applyAlignment="1" applyProtection="1">
      <alignment horizontal="left"/>
      <protection/>
    </xf>
    <xf numFmtId="1" fontId="13" fillId="33" borderId="0" xfId="0" applyNumberFormat="1" applyAlignment="1" applyProtection="1">
      <alignment horizontal="left"/>
      <protection/>
    </xf>
    <xf numFmtId="37" fontId="13" fillId="33" borderId="0" xfId="0" applyNumberFormat="1" applyAlignment="1" applyProtection="1">
      <alignment horizontal="left"/>
      <protection locked="0"/>
    </xf>
    <xf numFmtId="49" fontId="13" fillId="33" borderId="0" xfId="0" applyNumberFormat="1" applyAlignment="1" applyProtection="1">
      <alignment horizontal="left"/>
      <protection/>
    </xf>
    <xf numFmtId="3" fontId="13" fillId="33" borderId="0" xfId="0" applyNumberFormat="1" applyAlignment="1" applyProtection="1">
      <alignment horizontal="left"/>
      <protection locked="0"/>
    </xf>
    <xf numFmtId="37" fontId="13" fillId="33" borderId="0" xfId="0" applyNumberFormat="1" applyAlignment="1" applyProtection="1">
      <alignment horizontal="left"/>
      <protection/>
    </xf>
    <xf numFmtId="44" fontId="13" fillId="33" borderId="0" xfId="0" applyNumberFormat="1" applyAlignment="1" applyProtection="1">
      <alignment horizontal="left"/>
      <protection locked="0"/>
    </xf>
    <xf numFmtId="165" fontId="15" fillId="35" borderId="0" xfId="0" applyNumberFormat="1" applyAlignment="1" applyProtection="1">
      <alignment horizontal="left" vertical="center" wrapText="1"/>
      <protection/>
    </xf>
    <xf numFmtId="165" fontId="15" fillId="35" borderId="31" xfId="0" applyNumberFormat="1" applyBorder="1" applyAlignment="1" applyProtection="1">
      <alignment horizontal="left" vertical="center" wrapText="1"/>
      <protection/>
    </xf>
    <xf numFmtId="1" fontId="17" fillId="34" borderId="15" xfId="0" applyNumberFormat="1" applyBorder="1" applyAlignment="1" applyProtection="1">
      <alignment horizontal="left" vertical="center" wrapText="1"/>
      <protection/>
    </xf>
    <xf numFmtId="1" fontId="17" fillId="34" borderId="0" xfId="0" applyNumberFormat="1" applyAlignment="1" applyProtection="1">
      <alignment horizontal="left" vertical="center" wrapText="1"/>
      <protection/>
    </xf>
    <xf numFmtId="167" fontId="17" fillId="36" borderId="0" xfId="0" applyNumberFormat="1" applyAlignment="1" applyProtection="1">
      <alignment horizontal="left" vertical="center" wrapText="1"/>
      <protection/>
    </xf>
    <xf numFmtId="1" fontId="19" fillId="3" borderId="15" xfId="0" applyNumberFormat="1" applyBorder="1" applyAlignment="1" applyProtection="1">
      <alignment horizontal="left" vertical="center" wrapText="1"/>
      <protection locked="0"/>
    </xf>
    <xf numFmtId="1" fontId="19" fillId="3" borderId="0" xfId="0" applyNumberFormat="1" applyAlignment="1" applyProtection="1">
      <alignment horizontal="left" vertical="center" wrapText="1"/>
      <protection locked="0"/>
    </xf>
    <xf numFmtId="167" fontId="19" fillId="36" borderId="0" xfId="0" applyNumberFormat="1" applyAlignment="1" applyProtection="1">
      <alignment horizontal="left" vertical="center" wrapText="1"/>
      <protection locked="0"/>
    </xf>
    <xf numFmtId="165" fontId="16" fillId="35" borderId="0" xfId="0" applyNumberFormat="1" applyAlignment="1" applyProtection="1">
      <alignment horizontal="left" wrapText="1"/>
      <protection/>
    </xf>
    <xf numFmtId="167" fontId="16" fillId="36" borderId="0" xfId="0" applyNumberFormat="1" applyAlignment="1" applyProtection="1">
      <alignment horizontal="left" wrapText="1"/>
      <protection/>
    </xf>
    <xf numFmtId="1" fontId="15" fillId="34" borderId="0" xfId="0" applyNumberFormat="1" applyAlignment="1" applyProtection="1">
      <alignment horizontal="left" vertical="top" wrapText="1"/>
      <protection/>
    </xf>
    <xf numFmtId="167" fontId="15" fillId="36" borderId="0" xfId="0" applyNumberFormat="1" applyAlignment="1" applyProtection="1">
      <alignment horizontal="left" vertical="top" wrapText="1"/>
      <protection/>
    </xf>
    <xf numFmtId="1" fontId="17" fillId="34" borderId="0" xfId="0" applyNumberFormat="1" applyAlignment="1" applyProtection="1">
      <alignment horizontal="left" vertical="top" wrapText="1"/>
      <protection/>
    </xf>
    <xf numFmtId="167" fontId="17" fillId="36" borderId="0" xfId="0" applyNumberFormat="1" applyAlignment="1" applyProtection="1">
      <alignment horizontal="left" vertical="top" wrapText="1"/>
      <protection/>
    </xf>
    <xf numFmtId="0" fontId="27" fillId="0" borderId="0" xfId="0" applyNumberFormat="1" applyFill="1" applyAlignment="1" applyProtection="1">
      <alignment horizontal="left"/>
      <protection/>
    </xf>
    <xf numFmtId="0" fontId="8" fillId="0" borderId="0" xfId="0" applyNumberFormat="1" applyFill="1" applyAlignment="1" applyProtection="1">
      <alignment horizontal="left" wrapText="1"/>
      <protection/>
    </xf>
    <xf numFmtId="0" fontId="0" fillId="0" borderId="22" xfId="0" applyNumberFormat="1" applyFill="1" applyBorder="1" applyAlignment="1" applyProtection="1">
      <alignment horizontal="left"/>
      <protection/>
    </xf>
    <xf numFmtId="49" fontId="0" fillId="0" borderId="0" xfId="0" applyNumberFormat="1" applyFill="1" applyAlignment="1" applyProtection="1">
      <alignment horizontal="left"/>
      <protection/>
    </xf>
  </cellXfs>
  <cellStyles count="47">
    <cellStyle name="Normal" xfId="0"/>
    <cellStyle name="Percent" xfId="15"/>
    <cellStyle name="Currency" xfId="16"/>
    <cellStyle name="Currency [0]" xfId="17"/>
    <cellStyle name="Comma" xfId="18"/>
    <cellStyle name="Comma [0]" xfId="19"/>
    <cellStyle name="Heading 1" xfId="20"/>
    <cellStyle name="Heading 3" xfId="21"/>
    <cellStyle name="Calculation" xfId="22"/>
    <cellStyle name="40% - Accent1" xfId="23"/>
    <cellStyle name="Title" xfId="24"/>
    <cellStyle name="Heading 2" xfId="25"/>
    <cellStyle name="Heading 4" xfId="26"/>
    <cellStyle name="Good" xfId="27"/>
    <cellStyle name="Bad" xfId="28"/>
    <cellStyle name="Neutral" xfId="29"/>
    <cellStyle name="Input" xfId="30"/>
    <cellStyle name="Output" xfId="31"/>
    <cellStyle name="Linked Cell" xfId="32"/>
    <cellStyle name="Check Cell" xfId="33"/>
    <cellStyle name="Warning Text" xfId="34"/>
    <cellStyle name="Note" xfId="35"/>
    <cellStyle name="Explanatory Text" xfId="36"/>
    <cellStyle name="Total" xfId="37"/>
    <cellStyle name="Accent1" xfId="38"/>
    <cellStyle name="20% - Accent1" xfId="39"/>
    <cellStyle name="60% - Accent1" xfId="40"/>
    <cellStyle name="Accent2" xfId="41"/>
    <cellStyle name="20% - Accent2" xfId="42"/>
    <cellStyle name="40% - Accent2" xfId="43"/>
    <cellStyle name="60% - Accent2" xfId="44"/>
    <cellStyle name="Accent3" xfId="45"/>
    <cellStyle name="20% - Accent3" xfId="46"/>
    <cellStyle name="40% - Accent3" xfId="47"/>
    <cellStyle name="60% - Accent3" xfId="48"/>
    <cellStyle name="Accent4" xfId="49"/>
    <cellStyle name="20% - Accent4" xfId="50"/>
    <cellStyle name="40% - Accent4" xfId="51"/>
    <cellStyle name="60% - Accent4" xfId="52"/>
    <cellStyle name="Accent5" xfId="53"/>
    <cellStyle name="20% - Accent5" xfId="54"/>
    <cellStyle name="40% - Accent5" xfId="55"/>
    <cellStyle name="60% - Accent5" xfId="56"/>
    <cellStyle name="Accent6" xfId="57"/>
    <cellStyle name="20% - Accent6" xfId="58"/>
    <cellStyle name="40% - Accent6" xfId="59"/>
    <cellStyle name="60% - Accent6" xfId="6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C0C0C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E3EDED"/>
      <rgbColor rgb="00D6DCE0"/>
      <rgbColor rgb="00CCFFCC"/>
      <rgbColor rgb="00FFFF99"/>
      <rgbColor rgb="009DBEC3"/>
      <rgbColor rgb="00FF99CC"/>
      <rgbColor rgb="00EDF3F3"/>
      <rgbColor rgb="00FFCC99"/>
      <rgbColor rgb="003366FF"/>
      <rgbColor rgb="0033CCCC"/>
      <rgbColor rgb="0099CC00"/>
      <rgbColor rgb="00FFCC00"/>
      <rgbColor rgb="00FF9900"/>
      <rgbColor rgb="00FF6600"/>
      <rgbColor rgb="00969696"/>
      <rgbColor rgb="00969696"/>
      <rgbColor rgb="00003366"/>
      <rgbColor rgb="00339966"/>
      <rgbColor rgb="00003300"/>
      <rgbColor rgb="00333300"/>
      <rgbColor rgb="00993300"/>
      <rgbColor rgb="004B7279"/>
      <rgbColor rgb="00969696"/>
      <rgbColor rgb="00333333"/>
    </indexedColors>
  </colors>
  <extLst>
    <x:ext xmlns:x15="http://schemas.microsoft.com/office/spreadsheetml/2010/11/main" uri="{9260A510-F301-46a8-8635-F512D64BE5F5}">
      <x15:timelineStyles defaultTimelineStyle="TimeSlicerStyleLight1"/>
    </x: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microsoft.com/office/2006/relationships/vbaProject" Target="vbaProject.bin"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114300</xdr:colOff>
      <xdr:row>0</xdr:row>
      <xdr:rowOff>200025</xdr:rowOff>
    </xdr:from>
    <xdr:to>
      <xdr:col>2</xdr:col>
      <xdr:colOff>408453</xdr:colOff>
      <xdr:row>1</xdr:row>
      <xdr:rowOff>263</xdr:rowOff>
    </xdr:to>
    <xdr:pic>
      <xdr:nvPicPr>
        <xdr:cNvPr id="11" name="Picture 10"/>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114300" y="200025"/>
          <a:ext cx="676275" cy="447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14="http://schemas.microsoft.com/office/spreadsheetml/2009/9/main" xmlns:xm="http://schemas.microsoft.com/office/excel/2006/main" xmlns:mc="http://schemas.openxmlformats.org/markup-compatibility/2006" xmlns:x14ac="http://schemas.microsoft.com/office/spreadsheetml/2009/9/ac" xmlns:x="http://schemas.openxmlformats.org/spreadsheetml/2006/main" mc:Ignorable="x14ac">
  <sheetPr codeName="Sheet1"/>
  <dimension ref="A1:X58"/>
  <sheetViews>
    <sheetView showGridLines="0" tabSelected="1" workbookViewId="0" topLeftCell="G4">
      <selection pane="topLeft" activeCell="S11" sqref="S11 S11"/>
    </sheetView>
  </sheetViews>
  <sheetFormatPr defaultColWidth="9.140625" defaultRowHeight="12.75"/>
  <cols>
    <col min="1" max="1" width="5.71428571428571" style="163" customWidth="1"/>
    <col min="2" max="2" width="13" style="163" hidden="1" customWidth="1"/>
    <col min="3" max="3" width="11.1428571428571" style="163" customWidth="1"/>
    <col min="4" max="4" width="14.4285714285714" style="163" customWidth="1"/>
    <col min="5" max="5" width="31.2857142857143" style="163" customWidth="1"/>
    <col min="6" max="6" width="15.8571428571429" style="163" customWidth="1"/>
    <col min="7" max="7" width="19.2857142857143" style="163" customWidth="1"/>
    <col min="8" max="9" width="13.5714285714286" style="163" customWidth="1"/>
    <col min="10" max="10" width="5.71428571428571" style="163" customWidth="1"/>
    <col min="11" max="11" width="10.2857142857143" style="163" customWidth="1"/>
    <col min="12" max="12" width="9.57142857142857" style="163" customWidth="1"/>
    <col min="13" max="13" width="9.42857142857143" style="163" customWidth="1"/>
    <col min="14" max="14" width="18.1428571428571" style="163" customWidth="1"/>
    <col min="15" max="15" width="15.2857142857143" style="163" customWidth="1"/>
    <col min="16" max="16" width="13.5714285714286" style="163" customWidth="1"/>
    <col min="17" max="17" width="8.85714285714286" style="163" bestFit="1" customWidth="1"/>
    <col min="18" max="19" width="9.57142857142857" style="163" customWidth="1"/>
    <col min="20" max="20" width="12" style="179" customWidth="1"/>
    <col min="21" max="21" width="9.14285714285714" style="163" hidden="1" customWidth="1"/>
    <col min="22" max="22" width="9.14285714285714" style="163" hidden="1" customWidth="1"/>
    <col min="23" max="23" width="9.14285714285714" style="163" hidden="1" customWidth="1"/>
    <col min="24" max="16384" width="9.14285714285714" style="163" customWidth="1"/>
  </cols>
  <sheetData>
    <row r="1" spans="1:20" ht="51" customHeight="1">
      <c r="A1" s="173"/>
      <c r="B1" s="173" t="s">
        <v>0</v>
      </c>
      <c r="C1" s="173"/>
      <c r="E1" s="174"/>
      <c r="F1" s="174"/>
      <c r="G1" s="174"/>
      <c r="J1" s="174"/>
      <c r="K1" s="175" t="s">
        <v>1</v>
      </c>
      <c r="L1" s="175"/>
      <c r="M1" s="175"/>
      <c r="N1" s="175"/>
      <c r="O1" s="175"/>
      <c r="P1" s="175"/>
      <c r="Q1" s="175"/>
      <c r="R1" s="175"/>
      <c r="S1" s="175"/>
      <c r="T1" s="176"/>
    </row>
    <row r="2" spans="1:20" ht="5.25" customHeight="1">
      <c r="A2" s="177"/>
      <c r="B2" s="177"/>
      <c r="C2" s="177"/>
      <c r="D2" s="177"/>
      <c r="E2" s="177"/>
      <c r="F2" s="177"/>
      <c r="G2" s="177"/>
      <c r="H2" s="178"/>
      <c r="I2" s="178"/>
      <c r="J2" s="178"/>
      <c r="K2" s="178"/>
      <c r="L2" s="178"/>
      <c r="M2" s="178"/>
      <c r="N2" s="178"/>
      <c r="O2" s="178"/>
      <c r="P2" s="178"/>
      <c r="Q2" s="178"/>
      <c r="R2" s="178"/>
      <c r="S2" s="178"/>
      <c r="T2" s="179"/>
    </row>
    <row r="3" spans="1:20" ht="15" customHeight="1">
      <c r="A3" s="180" t="s">
        <v>2</v>
      </c>
      <c r="B3" s="180"/>
      <c r="C3" s="180"/>
      <c r="D3" s="180"/>
      <c r="E3" s="180"/>
      <c r="F3" s="180"/>
      <c r="G3" s="180"/>
      <c r="Q3" s="181"/>
      <c r="R3" s="181"/>
      <c r="S3" s="181"/>
      <c r="T3" s="179"/>
    </row>
    <row r="4" spans="1:20" ht="22.5" customHeight="1">
      <c r="A4" s="182" t="s">
        <v>3</v>
      </c>
      <c r="B4" s="182"/>
      <c r="C4" s="182"/>
      <c r="D4" s="182"/>
      <c r="E4" s="182"/>
      <c r="F4" s="182"/>
      <c r="G4" s="182"/>
      <c r="H4" s="182"/>
      <c r="I4" s="182"/>
      <c r="K4" s="183" t="s">
        <v>4</v>
      </c>
      <c r="L4" s="183"/>
      <c r="M4" s="184" t="s">
        <v>5</v>
      </c>
      <c r="N4" s="184"/>
      <c r="O4" s="184"/>
      <c r="P4" s="184"/>
      <c r="Q4" s="185"/>
      <c r="R4" s="185"/>
      <c r="S4" s="185"/>
      <c r="T4" s="186"/>
    </row>
    <row r="5" spans="1:20" ht="21" customHeight="1">
      <c r="A5" s="187"/>
      <c r="B5" s="187"/>
      <c r="C5" s="187"/>
      <c r="D5" s="187"/>
      <c r="E5" s="187"/>
      <c r="F5" s="187"/>
      <c r="G5" s="187"/>
      <c r="H5" s="187"/>
      <c r="I5" s="187"/>
      <c r="K5" s="188" t="s">
        <v>6</v>
      </c>
      <c r="L5" s="188"/>
      <c r="M5" s="189" t="s">
        <v>7</v>
      </c>
      <c r="N5" s="189"/>
      <c r="O5" s="189"/>
      <c r="P5" s="189"/>
      <c r="Q5" s="185"/>
      <c r="R5" s="185"/>
      <c r="S5" s="185"/>
      <c r="T5" s="186"/>
    </row>
    <row r="6" spans="1:20" s="193" customFormat="1" ht="14.1" customHeight="1">
      <c r="A6" s="187"/>
      <c r="B6" s="187"/>
      <c r="C6" s="187"/>
      <c r="D6" s="187"/>
      <c r="E6" s="187"/>
      <c r="F6" s="187"/>
      <c r="G6" s="187"/>
      <c r="H6" s="187"/>
      <c r="I6" s="187"/>
      <c r="K6" s="190" t="s">
        <v>8</v>
      </c>
      <c r="L6" s="190"/>
      <c r="M6" s="191">
        <v>43770</v>
      </c>
      <c r="N6" s="191"/>
      <c r="O6" s="191"/>
      <c r="P6" s="191"/>
      <c r="Q6" s="185"/>
      <c r="R6" s="185"/>
      <c r="S6" s="185"/>
      <c r="T6" s="186"/>
    </row>
    <row r="7" spans="1:24" s="193" customFormat="1" ht="14.1" customHeight="1">
      <c r="A7" s="187"/>
      <c r="B7" s="187"/>
      <c r="C7" s="187"/>
      <c r="D7" s="187"/>
      <c r="E7" s="187"/>
      <c r="F7" s="187"/>
      <c r="G7" s="187"/>
      <c r="H7" s="187"/>
      <c r="I7" s="187"/>
      <c r="K7" s="190"/>
      <c r="L7" s="190"/>
      <c r="M7" s="192"/>
      <c r="N7" s="192"/>
      <c r="O7" s="192"/>
      <c r="P7" s="192"/>
      <c r="Q7" s="192"/>
      <c r="R7" s="185"/>
      <c r="S7" s="185"/>
      <c r="T7" s="186"/>
      <c r="U7" s="193"/>
      <c r="V7" s="193"/>
      <c r="W7" s="193"/>
      <c r="X7" s="193"/>
    </row>
    <row r="8" spans="1:20" s="193" customFormat="1" ht="13.5" customHeight="1">
      <c r="A8" s="187"/>
      <c r="B8" s="187"/>
      <c r="C8" s="187"/>
      <c r="D8" s="187"/>
      <c r="E8" s="187"/>
      <c r="F8" s="187"/>
      <c r="G8" s="187"/>
      <c r="H8" s="187"/>
      <c r="I8" s="187"/>
      <c r="J8" s="166"/>
      <c r="K8" s="190" t="s">
        <v>9</v>
      </c>
      <c r="L8" s="190"/>
      <c r="M8" s="194">
        <v>43770</v>
      </c>
      <c r="N8" s="194"/>
      <c r="O8" s="195"/>
      <c r="P8" s="185"/>
      <c r="Q8" s="164"/>
      <c r="R8" s="164"/>
      <c r="S8" s="164"/>
      <c r="T8" s="172"/>
    </row>
    <row r="9" spans="1:20" s="193" customFormat="1" ht="15" customHeight="1">
      <c r="A9" s="187"/>
      <c r="B9" s="187"/>
      <c r="C9" s="187"/>
      <c r="D9" s="187"/>
      <c r="E9" s="187"/>
      <c r="F9" s="187"/>
      <c r="G9" s="187"/>
      <c r="H9" s="187"/>
      <c r="I9" s="187"/>
      <c r="J9" s="166"/>
      <c r="K9" s="167" t="s">
        <v>10</v>
      </c>
      <c r="L9" s="168"/>
      <c r="M9" s="192" t="s">
        <v>11</v>
      </c>
      <c r="N9" s="192"/>
      <c r="O9" s="192"/>
      <c r="P9" s="192"/>
      <c r="Q9" s="192"/>
      <c r="R9" s="164"/>
      <c r="S9" s="164"/>
      <c r="T9" s="172"/>
    </row>
    <row r="10" spans="1:20" s="193" customFormat="1" ht="15" customHeight="1">
      <c r="A10" s="187"/>
      <c r="B10" s="187"/>
      <c r="C10" s="187"/>
      <c r="D10" s="187"/>
      <c r="E10" s="187"/>
      <c r="F10" s="187"/>
      <c r="G10" s="187"/>
      <c r="H10" s="187"/>
      <c r="I10" s="187"/>
      <c r="J10" s="166"/>
      <c r="K10" s="167" t="s">
        <v>12</v>
      </c>
      <c r="L10" s="168"/>
      <c r="M10" s="191"/>
      <c r="N10" s="191"/>
      <c r="O10" s="195"/>
      <c r="P10" s="168"/>
      <c r="Q10" s="164"/>
      <c r="R10" s="164"/>
      <c r="S10" s="164"/>
      <c r="T10" s="172"/>
    </row>
    <row r="11" spans="1:20" s="193" customFormat="1" ht="15" customHeight="1">
      <c r="A11" s="165"/>
      <c r="B11" s="165"/>
      <c r="C11" s="165"/>
      <c r="D11" s="165"/>
      <c r="E11" s="165"/>
      <c r="F11" s="165"/>
      <c r="G11" s="165"/>
      <c r="H11" s="165"/>
      <c r="I11" s="165"/>
      <c r="J11" s="166"/>
      <c r="K11" s="167" t="s">
        <v>13</v>
      </c>
      <c r="L11" s="168"/>
      <c r="M11" s="169">
        <v>0</v>
      </c>
      <c r="N11" s="170"/>
      <c r="O11" s="171"/>
      <c r="P11" s="164"/>
      <c r="Q11" s="164"/>
      <c r="R11" s="164"/>
      <c r="S11" s="164"/>
      <c r="T11" s="172"/>
    </row>
    <row r="12" spans="1:20" s="193" customFormat="1" ht="15.75" customHeight="1">
      <c r="A12" s="196" t="s">
        <v>14</v>
      </c>
      <c r="B12" s="196"/>
      <c r="C12" s="196"/>
      <c r="D12" s="197"/>
      <c r="E12" s="198"/>
      <c r="F12" s="198"/>
      <c r="G12" s="198"/>
      <c r="H12" s="197"/>
      <c r="I12" s="197"/>
      <c r="K12" s="190" t="s">
        <v>15</v>
      </c>
      <c r="L12" s="199"/>
      <c r="M12" s="200" t="s">
        <v>145</v>
      </c>
      <c r="N12" s="201"/>
      <c r="O12" s="202"/>
      <c r="P12" s="164"/>
      <c r="Q12" s="164"/>
      <c r="R12" s="164"/>
      <c r="S12" s="164"/>
      <c r="T12" s="172"/>
    </row>
    <row r="13" spans="1:20" s="193" customFormat="1" ht="12.75" customHeight="1">
      <c r="A13" s="190" t="s">
        <v>16</v>
      </c>
      <c r="B13" s="190"/>
      <c r="C13" s="190"/>
      <c r="D13" s="192" t="s">
        <v>17</v>
      </c>
      <c r="E13" s="192"/>
      <c r="F13" s="192"/>
      <c r="G13" s="192"/>
      <c r="H13" s="192"/>
      <c r="I13" s="203"/>
      <c r="K13" s="204"/>
      <c r="L13" s="204"/>
      <c r="M13" s="205"/>
      <c r="N13" s="205"/>
      <c r="O13" s="205"/>
      <c r="P13" s="205"/>
      <c r="Q13" s="205"/>
      <c r="R13" s="164"/>
      <c r="S13" s="164"/>
      <c r="T13" s="172"/>
    </row>
    <row r="14" spans="1:20" s="193" customFormat="1" ht="12.75" customHeight="1">
      <c r="A14" s="190" t="s">
        <v>18</v>
      </c>
      <c r="B14" s="190"/>
      <c r="C14" s="190"/>
      <c r="D14" s="192" t="s">
        <v>19</v>
      </c>
      <c r="E14" s="192"/>
      <c r="F14" s="192"/>
      <c r="G14" s="192"/>
      <c r="H14" s="192"/>
      <c r="I14" s="203"/>
      <c r="K14" s="190" t="s">
        <v>20</v>
      </c>
      <c r="L14" s="206"/>
      <c r="M14" s="207" t="s">
        <v>129</v>
      </c>
      <c r="N14" s="168"/>
      <c r="O14" s="168"/>
      <c r="P14" s="208"/>
      <c r="Q14" s="186"/>
      <c r="R14" s="164"/>
      <c r="S14" s="164"/>
      <c r="T14" s="172"/>
    </row>
    <row r="15" spans="1:20" s="193" customFormat="1" ht="12.75" customHeight="1">
      <c r="A15" s="190" t="s">
        <v>21</v>
      </c>
      <c r="B15" s="190"/>
      <c r="C15" s="190"/>
      <c r="D15" s="192"/>
      <c r="E15" s="192"/>
      <c r="F15" s="192"/>
      <c r="G15" s="192"/>
      <c r="H15" s="192"/>
      <c r="I15" s="203"/>
      <c r="K15" s="190" t="s">
        <v>22</v>
      </c>
      <c r="L15" s="206"/>
      <c r="M15" s="209">
        <v>0</v>
      </c>
      <c r="N15" s="210"/>
      <c r="O15" s="211"/>
      <c r="P15" s="208" t="s">
        <v>23</v>
      </c>
      <c r="Q15" s="186"/>
      <c r="R15" s="164"/>
      <c r="S15" s="164"/>
      <c r="T15" s="172"/>
    </row>
    <row r="16" spans="1:20" s="193" customFormat="1" ht="12.75" customHeight="1">
      <c r="A16" s="190" t="s">
        <v>24</v>
      </c>
      <c r="B16" s="190"/>
      <c r="C16" s="190"/>
      <c r="D16" s="192">
        <v>6562622323</v>
      </c>
      <c r="E16" s="192"/>
      <c r="F16" s="192"/>
      <c r="G16" s="192"/>
      <c r="H16" s="192"/>
      <c r="I16" s="203"/>
      <c r="K16" s="190" t="s">
        <v>25</v>
      </c>
      <c r="L16" s="206"/>
      <c r="M16" s="209">
        <v>0</v>
      </c>
      <c r="N16" s="210"/>
      <c r="O16" s="211"/>
      <c r="P16" s="168"/>
      <c r="Q16" s="185"/>
      <c r="R16" s="164"/>
      <c r="S16" s="164"/>
      <c r="T16" s="172"/>
    </row>
    <row r="17" spans="1:20" s="193" customFormat="1" ht="12.75" customHeight="1">
      <c r="A17" s="190" t="s">
        <v>26</v>
      </c>
      <c r="B17" s="190"/>
      <c r="C17" s="190"/>
      <c r="D17" s="192" t="s">
        <v>27</v>
      </c>
      <c r="E17" s="192"/>
      <c r="F17" s="192"/>
      <c r="G17" s="192"/>
      <c r="H17" s="192"/>
      <c r="I17" s="203"/>
      <c r="K17" s="181"/>
      <c r="L17" s="181"/>
      <c r="M17" s="181"/>
      <c r="N17" s="181"/>
      <c r="O17" s="181"/>
      <c r="P17" s="181"/>
      <c r="Q17" s="181"/>
      <c r="R17" s="181"/>
      <c r="S17" s="181"/>
      <c r="T17" s="212"/>
    </row>
    <row r="18" spans="1:20" s="193" customFormat="1" ht="30.75" customHeight="1">
      <c r="A18" s="213"/>
      <c r="B18" s="213"/>
      <c r="C18" s="213"/>
      <c r="D18" s="214"/>
      <c r="E18" s="215"/>
      <c r="F18" s="215"/>
      <c r="G18" s="215"/>
      <c r="H18" s="216"/>
      <c r="I18" s="216"/>
      <c r="J18" s="216"/>
      <c r="K18" s="214"/>
      <c r="L18" s="217"/>
      <c r="M18" s="213"/>
      <c r="N18" s="214"/>
      <c r="O18" s="214"/>
      <c r="P18" s="218"/>
      <c r="Q18" s="214"/>
      <c r="R18" s="218"/>
      <c r="S18" s="218"/>
      <c r="T18" s="212"/>
    </row>
    <row r="19" spans="1:20" s="299" customFormat="1" ht="27" customHeight="1">
      <c r="A19" s="219" t="s">
        <v>28</v>
      </c>
      <c r="B19" s="219"/>
      <c r="C19" s="219" t="s">
        <v>29</v>
      </c>
      <c r="D19" s="220" t="s">
        <v>30</v>
      </c>
      <c r="E19" s="221"/>
      <c r="F19" s="221" t="s">
        <v>31</v>
      </c>
      <c r="G19" s="221" t="s">
        <v>32</v>
      </c>
      <c r="H19" s="222" t="s">
        <v>33</v>
      </c>
      <c r="I19" s="222" t="s">
        <v>34</v>
      </c>
      <c r="J19" s="223">
        <f>CONCATENATE("Unit Price ","( ",Currency," )")</f>
      </c>
      <c r="K19" s="224"/>
      <c r="L19" s="222" t="s">
        <v>35</v>
      </c>
      <c r="M19" s="222" t="s">
        <v>36</v>
      </c>
      <c r="N19" s="222" t="s">
        <v>37</v>
      </c>
      <c r="O19" s="222" t="s">
        <v>13</v>
      </c>
      <c r="P19" s="223" t="s">
        <v>38</v>
      </c>
      <c r="Q19" s="224"/>
      <c r="R19" s="223" t="s">
        <v>39</v>
      </c>
      <c r="S19" s="224"/>
      <c r="T19" s="225"/>
    </row>
    <row r="20" spans="1:20" ht="24" customHeight="1">
      <c r="A20" s="226">
        <v>1</v>
      </c>
      <c r="B20" s="226">
        <v>99990009822135</v>
      </c>
      <c r="C20" s="227">
        <v>99990009822135</v>
      </c>
      <c r="D20" s="228" t="s">
        <v>40</v>
      </c>
      <c r="E20" s="229"/>
      <c r="F20" s="229">
        <v>99990009822135</v>
      </c>
      <c r="G20" s="229" t="s">
        <v>41</v>
      </c>
      <c r="H20" s="230">
        <v>0</v>
      </c>
      <c r="I20" s="231">
        <v>2</v>
      </c>
      <c r="J20" s="232">
        <v>340.1</v>
      </c>
      <c r="K20" s="233"/>
      <c r="L20" s="231">
        <v>0</v>
      </c>
      <c r="M20" s="231">
        <v>0</v>
      </c>
      <c r="N20" s="234">
        <f>ROUND(((I20*J20)-((I20*J20)*L20/100))+(((I20*J20)-((I20*J20)*L20/100))*M20/100),2)</f>
      </c>
      <c r="O20" s="230">
        <f>M11</f>
      </c>
      <c r="P20" s="235" t="s">
        <v>146</v>
      </c>
      <c r="Q20" s="236"/>
      <c r="R20" s="237"/>
      <c r="S20" s="238"/>
      <c r="T20" s="239"/>
    </row>
    <row r="21" spans="1:20" ht="15" customHeight="1">
      <c r="A21" s="32"/>
      <c r="B21" s="240"/>
      <c r="C21" s="241"/>
      <c r="D21" s="241"/>
      <c r="E21" s="241"/>
      <c r="F21" s="241"/>
      <c r="G21" s="241"/>
      <c r="H21" s="242"/>
      <c r="I21" s="242"/>
      <c r="J21" s="242"/>
      <c r="K21" s="242"/>
      <c r="L21" s="242"/>
      <c r="M21" s="242"/>
      <c r="N21" s="242"/>
      <c r="O21" s="242"/>
      <c r="P21" s="242"/>
      <c r="Q21" s="242"/>
      <c r="R21" s="242"/>
      <c r="S21" s="242"/>
      <c r="T21" s="243"/>
    </row>
    <row r="22" spans="1:20" ht="12.75" customHeight="1">
      <c r="A22" s="244" t="s">
        <v>28</v>
      </c>
      <c r="B22" s="244"/>
      <c r="C22" s="245" t="s">
        <v>42</v>
      </c>
      <c r="D22" s="246"/>
      <c r="E22" s="246"/>
      <c r="F22" s="246"/>
      <c r="G22" s="246"/>
      <c r="H22" s="246"/>
      <c r="I22" s="247"/>
      <c r="J22" s="247" t="s">
        <v>43</v>
      </c>
      <c r="K22" s="247"/>
      <c r="L22" s="247" t="s">
        <v>35</v>
      </c>
      <c r="M22" s="247" t="s">
        <v>36</v>
      </c>
      <c r="N22" s="248" t="s">
        <v>44</v>
      </c>
      <c r="O22" s="249" t="s">
        <v>38</v>
      </c>
      <c r="P22" s="249"/>
      <c r="Q22" s="249"/>
      <c r="R22" s="249"/>
      <c r="S22" s="249"/>
      <c r="T22" s="225"/>
    </row>
    <row r="23" spans="1:20" ht="15" customHeight="1">
      <c r="A23" s="250">
        <v>1</v>
      </c>
      <c r="B23" s="251"/>
      <c r="C23" s="252" t="s">
        <v>45</v>
      </c>
      <c r="D23" s="253" t="s">
        <v>45</v>
      </c>
      <c r="E23" s="253" t="s">
        <v>45</v>
      </c>
      <c r="F23" s="253" t="s">
        <v>45</v>
      </c>
      <c r="G23" s="253" t="s">
        <v>45</v>
      </c>
      <c r="H23" s="254" t="s">
        <v>45</v>
      </c>
      <c r="I23" s="255"/>
      <c r="J23" s="256">
        <v>0</v>
      </c>
      <c r="K23" s="257"/>
      <c r="L23" s="258">
        <v>0</v>
      </c>
      <c r="M23" s="258">
        <v>0</v>
      </c>
      <c r="N23" s="259">
        <f>(J23-(J23*L23/100)+((J23-(J23*L23/100))*M23/100))</f>
      </c>
      <c r="O23" s="260"/>
      <c r="P23" s="261"/>
      <c r="Q23" s="261"/>
      <c r="R23" s="261"/>
      <c r="S23" s="262"/>
      <c r="T23" s="263"/>
    </row>
    <row r="24" spans="1:20" ht="15" customHeight="1">
      <c r="A24" s="250">
        <v>2</v>
      </c>
      <c r="B24" s="251"/>
      <c r="C24" s="252" t="s">
        <v>46</v>
      </c>
      <c r="D24" s="253" t="s">
        <v>46</v>
      </c>
      <c r="E24" s="253" t="s">
        <v>46</v>
      </c>
      <c r="F24" s="253" t="s">
        <v>46</v>
      </c>
      <c r="G24" s="253" t="s">
        <v>46</v>
      </c>
      <c r="H24" s="254" t="s">
        <v>46</v>
      </c>
      <c r="I24" s="264"/>
      <c r="J24" s="256">
        <v>0</v>
      </c>
      <c r="K24" s="257"/>
      <c r="L24" s="258">
        <v>0</v>
      </c>
      <c r="M24" s="258">
        <v>0</v>
      </c>
      <c r="N24" s="265">
        <f>(J24-(J24*L24/100)+((J24-(J24*L24/100))*M24/100))</f>
      </c>
      <c r="O24" s="266"/>
      <c r="P24" s="267"/>
      <c r="Q24" s="267"/>
      <c r="R24" s="267"/>
      <c r="S24" s="268"/>
      <c r="T24" s="263"/>
    </row>
    <row r="25" spans="1:20" ht="15" customHeight="1">
      <c r="A25" s="250">
        <v>3</v>
      </c>
      <c r="B25" s="251"/>
      <c r="C25" s="252"/>
      <c r="D25" s="253"/>
      <c r="E25" s="253"/>
      <c r="F25" s="253"/>
      <c r="G25" s="253"/>
      <c r="H25" s="254"/>
      <c r="I25" s="255"/>
      <c r="J25" s="256">
        <v>0</v>
      </c>
      <c r="K25" s="257"/>
      <c r="L25" s="258">
        <v>0</v>
      </c>
      <c r="M25" s="258">
        <v>0</v>
      </c>
      <c r="N25" s="265">
        <f>(J25-(J25*L25/100)+((J25-(J25*L25/100))*M25/100))</f>
      </c>
      <c r="O25" s="266"/>
      <c r="P25" s="267"/>
      <c r="Q25" s="267"/>
      <c r="R25" s="267"/>
      <c r="S25" s="268"/>
      <c r="T25" s="263"/>
    </row>
    <row r="26" spans="1:20" ht="15.75" customHeight="1">
      <c r="A26" s="250">
        <v>4</v>
      </c>
      <c r="B26" s="251"/>
      <c r="C26" s="252"/>
      <c r="D26" s="253"/>
      <c r="E26" s="253"/>
      <c r="F26" s="253"/>
      <c r="G26" s="253"/>
      <c r="H26" s="254"/>
      <c r="I26" s="255"/>
      <c r="J26" s="256">
        <v>0</v>
      </c>
      <c r="K26" s="257"/>
      <c r="L26" s="258">
        <v>0</v>
      </c>
      <c r="M26" s="269">
        <v>0</v>
      </c>
      <c r="N26" s="265">
        <f>(J26-(J26*L26/100)+((J26-(J26*L26/100))*M26/100))</f>
      </c>
      <c r="O26" s="266"/>
      <c r="P26" s="267"/>
      <c r="Q26" s="267"/>
      <c r="R26" s="267"/>
      <c r="S26" s="268"/>
      <c r="T26" s="263"/>
    </row>
    <row r="27" spans="1:16" ht="15.95" customHeight="1">
      <c r="A27" s="270"/>
      <c r="B27" s="270"/>
      <c r="C27" s="271"/>
      <c r="D27" s="271"/>
      <c r="I27" s="163"/>
      <c r="J27" s="58" t="s">
        <v>47</v>
      </c>
      <c r="K27" s="59"/>
      <c r="L27" s="58"/>
      <c r="M27" s="59"/>
      <c r="N27" s="272">
        <f>SUM(ItmPrice)</f>
      </c>
      <c r="O27" s="273"/>
      <c r="P27" s="274"/>
    </row>
    <row r="28" spans="1:16" ht="15" customHeight="1">
      <c r="A28" s="270"/>
      <c r="B28" s="270"/>
      <c r="C28" s="271"/>
      <c r="D28" s="271"/>
      <c r="I28" s="163"/>
      <c r="J28" s="123" t="s">
        <v>48</v>
      </c>
      <c r="K28" s="124"/>
      <c r="L28" s="124"/>
      <c r="M28" s="125"/>
      <c r="N28" s="272">
        <f>SUM(N23:N27)</f>
      </c>
      <c r="O28" s="275"/>
      <c r="P28" s="276"/>
    </row>
    <row r="29" spans="1:19" ht="2.25" customHeight="1" hidden="1">
      <c r="A29" s="277">
        <v>0</v>
      </c>
      <c r="B29" s="277">
        <v>0</v>
      </c>
      <c r="C29" s="278">
        <v>0</v>
      </c>
      <c r="D29" s="271"/>
      <c r="E29" s="271"/>
      <c r="F29" s="279">
        <v>1</v>
      </c>
      <c r="G29" s="271"/>
      <c r="H29" s="271"/>
      <c r="I29" s="271"/>
      <c r="J29" s="271"/>
      <c r="K29" s="280"/>
      <c r="L29" s="281">
        <v>0</v>
      </c>
      <c r="M29" s="282">
        <v>0</v>
      </c>
      <c r="N29" s="162" t="s">
        <v>49</v>
      </c>
      <c r="O29" s="283"/>
      <c r="P29" s="282">
        <v>995</v>
      </c>
      <c r="Q29" s="271" t="s">
        <v>50</v>
      </c>
      <c r="R29" s="271"/>
      <c r="S29" s="271"/>
    </row>
    <row r="30" spans="1:19" ht="18.75" customHeight="1">
      <c r="A30" s="270"/>
      <c r="B30" s="270"/>
      <c r="C30" s="270"/>
      <c r="H30" s="283"/>
      <c r="I30" s="163"/>
      <c r="J30" s="271"/>
      <c r="K30" s="271"/>
      <c r="L30" s="271"/>
      <c r="M30" s="271"/>
      <c r="N30" s="271"/>
      <c r="O30" s="271"/>
      <c r="P30" s="271"/>
      <c r="R30" s="271"/>
      <c r="S30" s="271"/>
    </row>
    <row r="31" spans="1:20" ht="127.5" customHeight="1">
      <c r="A31" s="284" t="s">
        <v>51</v>
      </c>
      <c r="B31" s="284"/>
      <c r="C31" s="284"/>
      <c r="D31" s="285"/>
      <c r="E31" s="286" t="s">
        <v>52</v>
      </c>
      <c r="F31" s="287"/>
      <c r="G31" s="287"/>
      <c r="H31" s="287"/>
      <c r="I31" s="287"/>
      <c r="J31" s="287"/>
      <c r="K31" s="287"/>
      <c r="L31" s="287"/>
      <c r="M31" s="287"/>
      <c r="N31" s="287"/>
      <c r="O31" s="287"/>
      <c r="P31" s="287"/>
      <c r="Q31" s="287"/>
      <c r="R31" s="287"/>
      <c r="S31" s="287"/>
      <c r="T31" s="288"/>
    </row>
    <row r="32" spans="1:20" ht="129.75" customHeight="1">
      <c r="A32" s="284" t="s">
        <v>38</v>
      </c>
      <c r="B32" s="284"/>
      <c r="C32" s="284"/>
      <c r="D32" s="285"/>
      <c r="E32" s="289" t="s">
        <v>147</v>
      </c>
      <c r="F32" s="290"/>
      <c r="G32" s="290"/>
      <c r="H32" s="290"/>
      <c r="I32" s="290"/>
      <c r="J32" s="290"/>
      <c r="K32" s="290"/>
      <c r="L32" s="290"/>
      <c r="M32" s="290"/>
      <c r="N32" s="290"/>
      <c r="O32" s="290"/>
      <c r="P32" s="290"/>
      <c r="Q32" s="290"/>
      <c r="R32" s="290"/>
      <c r="S32" s="290"/>
      <c r="T32" s="291"/>
    </row>
    <row r="33" spans="1:19" ht="15.95" customHeight="1">
      <c r="A33" s="270"/>
      <c r="B33" s="270"/>
      <c r="C33" s="270"/>
      <c r="H33" s="271"/>
      <c r="I33" s="271"/>
      <c r="J33" s="271"/>
      <c r="K33" s="271"/>
      <c r="L33" s="271"/>
      <c r="M33" s="271"/>
      <c r="N33" s="271"/>
      <c r="O33" s="271"/>
      <c r="P33" s="271"/>
      <c r="Q33" s="271"/>
      <c r="R33" s="271"/>
      <c r="S33" s="271"/>
    </row>
    <row r="34" spans="1:20" ht="15.95" customHeight="1">
      <c r="A34" s="292" t="s">
        <v>53</v>
      </c>
      <c r="B34" s="292"/>
      <c r="C34" s="292"/>
      <c r="D34" s="292"/>
      <c r="E34" s="292"/>
      <c r="F34" s="292"/>
      <c r="G34" s="292"/>
      <c r="H34" s="292"/>
      <c r="I34" s="292"/>
      <c r="J34" s="292"/>
      <c r="K34" s="292"/>
      <c r="L34" s="292"/>
      <c r="M34" s="292"/>
      <c r="N34" s="292"/>
      <c r="O34" s="292"/>
      <c r="P34" s="292"/>
      <c r="Q34" s="292"/>
      <c r="R34" s="292"/>
      <c r="S34" s="292"/>
      <c r="T34" s="293"/>
    </row>
    <row r="35" spans="1:20" ht="12.75" customHeight="1">
      <c r="A35" s="294"/>
      <c r="B35" s="294"/>
      <c r="C35" s="294"/>
      <c r="D35" s="294"/>
      <c r="E35" s="294"/>
      <c r="F35" s="294"/>
      <c r="G35" s="294"/>
      <c r="H35" s="294"/>
      <c r="I35" s="294"/>
      <c r="J35" s="294"/>
      <c r="K35" s="294"/>
      <c r="L35" s="294"/>
      <c r="M35" s="294"/>
      <c r="N35" s="294"/>
      <c r="O35" s="294"/>
      <c r="P35" s="294"/>
      <c r="Q35" s="294"/>
      <c r="R35" s="294"/>
      <c r="S35" s="294"/>
      <c r="T35" s="295"/>
    </row>
    <row r="36" spans="1:20" ht="12.75" customHeight="1">
      <c r="A36" s="294"/>
      <c r="B36" s="294"/>
      <c r="C36" s="294"/>
      <c r="D36" s="294"/>
      <c r="E36" s="294"/>
      <c r="F36" s="294"/>
      <c r="G36" s="294"/>
      <c r="H36" s="294"/>
      <c r="I36" s="294"/>
      <c r="J36" s="294"/>
      <c r="K36" s="294"/>
      <c r="L36" s="294"/>
      <c r="M36" s="294"/>
      <c r="N36" s="294"/>
      <c r="O36" s="294"/>
      <c r="P36" s="294"/>
      <c r="Q36" s="294"/>
      <c r="R36" s="294"/>
      <c r="S36" s="294"/>
      <c r="T36" s="295"/>
    </row>
    <row r="37" spans="1:20" ht="7.5" customHeight="1">
      <c r="A37" s="294"/>
      <c r="B37" s="294"/>
      <c r="C37" s="294"/>
      <c r="D37" s="294"/>
      <c r="E37" s="294"/>
      <c r="F37" s="294"/>
      <c r="G37" s="294"/>
      <c r="H37" s="294"/>
      <c r="I37" s="294"/>
      <c r="J37" s="294"/>
      <c r="K37" s="294"/>
      <c r="L37" s="294"/>
      <c r="M37" s="294"/>
      <c r="N37" s="294"/>
      <c r="O37" s="294"/>
      <c r="P37" s="294"/>
      <c r="Q37" s="294"/>
      <c r="R37" s="294"/>
      <c r="S37" s="294"/>
      <c r="T37" s="295"/>
    </row>
    <row r="38" spans="1:20" ht="12.75" customHeight="1">
      <c r="A38" s="294"/>
      <c r="B38" s="294"/>
      <c r="C38" s="294"/>
      <c r="D38" s="294"/>
      <c r="E38" s="294"/>
      <c r="F38" s="294"/>
      <c r="G38" s="294"/>
      <c r="H38" s="294"/>
      <c r="I38" s="294"/>
      <c r="J38" s="294"/>
      <c r="K38" s="294"/>
      <c r="L38" s="294"/>
      <c r="M38" s="294"/>
      <c r="N38" s="294"/>
      <c r="O38" s="294"/>
      <c r="P38" s="294"/>
      <c r="Q38" s="294"/>
      <c r="R38" s="294"/>
      <c r="S38" s="294"/>
      <c r="T38" s="295"/>
    </row>
    <row r="39" spans="1:20" ht="12.75" customHeight="1">
      <c r="A39" s="294"/>
      <c r="B39" s="294"/>
      <c r="C39" s="294"/>
      <c r="D39" s="294"/>
      <c r="E39" s="294"/>
      <c r="F39" s="294"/>
      <c r="G39" s="294"/>
      <c r="H39" s="294"/>
      <c r="I39" s="294"/>
      <c r="J39" s="294"/>
      <c r="K39" s="294"/>
      <c r="L39" s="294"/>
      <c r="M39" s="294"/>
      <c r="N39" s="294"/>
      <c r="O39" s="294"/>
      <c r="P39" s="294"/>
      <c r="Q39" s="294"/>
      <c r="R39" s="294"/>
      <c r="S39" s="294"/>
      <c r="T39" s="295"/>
    </row>
    <row r="40" spans="1:20" ht="12.75" customHeight="1">
      <c r="A40" s="294"/>
      <c r="B40" s="294"/>
      <c r="C40" s="294"/>
      <c r="D40" s="294"/>
      <c r="E40" s="294"/>
      <c r="F40" s="294"/>
      <c r="G40" s="294"/>
      <c r="H40" s="294"/>
      <c r="I40" s="294"/>
      <c r="J40" s="294"/>
      <c r="K40" s="294"/>
      <c r="L40" s="294"/>
      <c r="M40" s="294"/>
      <c r="N40" s="294"/>
      <c r="O40" s="294"/>
      <c r="P40" s="294"/>
      <c r="Q40" s="294"/>
      <c r="R40" s="294"/>
      <c r="S40" s="294"/>
      <c r="T40" s="295"/>
    </row>
    <row r="41" spans="1:20" ht="7.5" customHeight="1">
      <c r="A41" s="294"/>
      <c r="B41" s="294"/>
      <c r="C41" s="294"/>
      <c r="D41" s="294"/>
      <c r="E41" s="294"/>
      <c r="F41" s="294"/>
      <c r="G41" s="294"/>
      <c r="H41" s="294"/>
      <c r="I41" s="294"/>
      <c r="J41" s="294"/>
      <c r="K41" s="294"/>
      <c r="L41" s="294"/>
      <c r="M41" s="294"/>
      <c r="N41" s="294"/>
      <c r="O41" s="294"/>
      <c r="P41" s="294"/>
      <c r="Q41" s="294"/>
      <c r="R41" s="294"/>
      <c r="S41" s="294"/>
      <c r="T41" s="295"/>
    </row>
    <row r="42" spans="1:20" ht="12.75" customHeight="1">
      <c r="A42" s="294"/>
      <c r="B42" s="294"/>
      <c r="C42" s="294"/>
      <c r="D42" s="294"/>
      <c r="E42" s="294"/>
      <c r="F42" s="294"/>
      <c r="G42" s="294"/>
      <c r="H42" s="294"/>
      <c r="I42" s="294"/>
      <c r="J42" s="294"/>
      <c r="K42" s="294"/>
      <c r="L42" s="294"/>
      <c r="M42" s="294"/>
      <c r="N42" s="294"/>
      <c r="O42" s="294"/>
      <c r="P42" s="294"/>
      <c r="Q42" s="294"/>
      <c r="R42" s="294"/>
      <c r="S42" s="294"/>
      <c r="T42" s="295"/>
    </row>
    <row r="43" spans="1:20" ht="12.75" customHeight="1">
      <c r="A43" s="294"/>
      <c r="B43" s="294"/>
      <c r="C43" s="294"/>
      <c r="D43" s="294"/>
      <c r="E43" s="294"/>
      <c r="F43" s="294"/>
      <c r="G43" s="294"/>
      <c r="H43" s="294"/>
      <c r="I43" s="294"/>
      <c r="J43" s="294"/>
      <c r="K43" s="294"/>
      <c r="L43" s="294"/>
      <c r="M43" s="294"/>
      <c r="N43" s="294"/>
      <c r="O43" s="294"/>
      <c r="P43" s="294"/>
      <c r="Q43" s="294"/>
      <c r="R43" s="294"/>
      <c r="S43" s="294"/>
      <c r="T43" s="295"/>
    </row>
    <row r="44" spans="1:20" ht="12.75" customHeight="1">
      <c r="A44" s="294"/>
      <c r="B44" s="294"/>
      <c r="C44" s="294"/>
      <c r="D44" s="294"/>
      <c r="E44" s="294"/>
      <c r="F44" s="294"/>
      <c r="G44" s="294"/>
      <c r="H44" s="294"/>
      <c r="I44" s="294"/>
      <c r="J44" s="294"/>
      <c r="K44" s="294"/>
      <c r="L44" s="294"/>
      <c r="M44" s="294"/>
      <c r="N44" s="294"/>
      <c r="O44" s="294"/>
      <c r="P44" s="294"/>
      <c r="Q44" s="294"/>
      <c r="R44" s="294"/>
      <c r="S44" s="294"/>
      <c r="T44" s="295"/>
    </row>
    <row r="45" spans="1:20" ht="12.75" customHeight="1">
      <c r="A45" s="294"/>
      <c r="B45" s="294"/>
      <c r="C45" s="294"/>
      <c r="D45" s="294"/>
      <c r="E45" s="294"/>
      <c r="F45" s="294"/>
      <c r="G45" s="294"/>
      <c r="H45" s="294"/>
      <c r="I45" s="294"/>
      <c r="J45" s="294"/>
      <c r="K45" s="294"/>
      <c r="L45" s="294"/>
      <c r="M45" s="294"/>
      <c r="N45" s="294"/>
      <c r="O45" s="294"/>
      <c r="P45" s="294"/>
      <c r="Q45" s="294"/>
      <c r="R45" s="294"/>
      <c r="S45" s="294"/>
      <c r="T45" s="295"/>
    </row>
    <row r="46" spans="1:20" ht="12.75" customHeight="1">
      <c r="A46" s="294"/>
      <c r="B46" s="294"/>
      <c r="C46" s="294"/>
      <c r="D46" s="294"/>
      <c r="E46" s="294"/>
      <c r="F46" s="294"/>
      <c r="G46" s="294"/>
      <c r="H46" s="294"/>
      <c r="I46" s="294"/>
      <c r="J46" s="294"/>
      <c r="K46" s="294"/>
      <c r="L46" s="294"/>
      <c r="M46" s="294"/>
      <c r="N46" s="294"/>
      <c r="O46" s="294"/>
      <c r="P46" s="294"/>
      <c r="Q46" s="294"/>
      <c r="R46" s="294"/>
      <c r="S46" s="294"/>
      <c r="T46" s="295"/>
    </row>
    <row r="47" spans="1:20" ht="12.75" customHeight="1">
      <c r="A47" s="294"/>
      <c r="B47" s="294"/>
      <c r="C47" s="294"/>
      <c r="D47" s="294"/>
      <c r="E47" s="294"/>
      <c r="F47" s="294"/>
      <c r="G47" s="294"/>
      <c r="H47" s="294"/>
      <c r="I47" s="294"/>
      <c r="J47" s="294"/>
      <c r="K47" s="294"/>
      <c r="L47" s="294"/>
      <c r="M47" s="294"/>
      <c r="N47" s="294"/>
      <c r="O47" s="294"/>
      <c r="P47" s="294"/>
      <c r="Q47" s="294"/>
      <c r="R47" s="294"/>
      <c r="S47" s="294"/>
      <c r="T47" s="295"/>
    </row>
    <row r="48" spans="1:20" ht="7.5" customHeight="1">
      <c r="A48" s="294"/>
      <c r="B48" s="294"/>
      <c r="C48" s="294"/>
      <c r="D48" s="294"/>
      <c r="E48" s="294"/>
      <c r="F48" s="294"/>
      <c r="G48" s="294"/>
      <c r="H48" s="294"/>
      <c r="I48" s="294"/>
      <c r="J48" s="294"/>
      <c r="K48" s="294"/>
      <c r="L48" s="294"/>
      <c r="M48" s="294"/>
      <c r="N48" s="294"/>
      <c r="O48" s="294"/>
      <c r="P48" s="294"/>
      <c r="Q48" s="294"/>
      <c r="R48" s="294"/>
      <c r="S48" s="294"/>
      <c r="T48" s="295"/>
    </row>
    <row r="49" spans="1:20" ht="12.75" customHeight="1">
      <c r="A49" s="294"/>
      <c r="B49" s="294"/>
      <c r="C49" s="294"/>
      <c r="D49" s="294"/>
      <c r="E49" s="294"/>
      <c r="F49" s="294"/>
      <c r="G49" s="294"/>
      <c r="H49" s="294"/>
      <c r="I49" s="294"/>
      <c r="J49" s="294"/>
      <c r="K49" s="294"/>
      <c r="L49" s="294"/>
      <c r="M49" s="294"/>
      <c r="N49" s="294"/>
      <c r="O49" s="294"/>
      <c r="P49" s="294"/>
      <c r="Q49" s="294"/>
      <c r="R49" s="294"/>
      <c r="S49" s="294"/>
      <c r="T49" s="295"/>
    </row>
    <row r="50" spans="1:20" ht="12.75" customHeight="1">
      <c r="A50" s="294"/>
      <c r="B50" s="294"/>
      <c r="C50" s="294"/>
      <c r="D50" s="294"/>
      <c r="E50" s="294"/>
      <c r="F50" s="294"/>
      <c r="G50" s="294"/>
      <c r="H50" s="294"/>
      <c r="I50" s="294"/>
      <c r="J50" s="294"/>
      <c r="K50" s="294"/>
      <c r="L50" s="294"/>
      <c r="M50" s="294"/>
      <c r="N50" s="294"/>
      <c r="O50" s="294"/>
      <c r="P50" s="294"/>
      <c r="Q50" s="294"/>
      <c r="R50" s="294"/>
      <c r="S50" s="294"/>
      <c r="T50" s="295"/>
    </row>
    <row r="51" spans="1:20" ht="12.75" customHeight="1">
      <c r="A51" s="294"/>
      <c r="B51" s="294"/>
      <c r="C51" s="294"/>
      <c r="D51" s="294"/>
      <c r="E51" s="294"/>
      <c r="F51" s="294"/>
      <c r="G51" s="294"/>
      <c r="H51" s="294"/>
      <c r="I51" s="294"/>
      <c r="J51" s="294"/>
      <c r="K51" s="294"/>
      <c r="L51" s="294"/>
      <c r="M51" s="294"/>
      <c r="N51" s="294"/>
      <c r="O51" s="294"/>
      <c r="P51" s="294"/>
      <c r="Q51" s="294"/>
      <c r="R51" s="294"/>
      <c r="S51" s="294"/>
      <c r="T51" s="295"/>
    </row>
    <row r="52" spans="1:20" ht="12.75" customHeight="1">
      <c r="A52" s="294"/>
      <c r="B52" s="294"/>
      <c r="C52" s="294"/>
      <c r="D52" s="294"/>
      <c r="E52" s="294"/>
      <c r="F52" s="294"/>
      <c r="G52" s="294"/>
      <c r="H52" s="294"/>
      <c r="I52" s="294"/>
      <c r="J52" s="294"/>
      <c r="K52" s="294"/>
      <c r="L52" s="294"/>
      <c r="M52" s="294"/>
      <c r="N52" s="294"/>
      <c r="O52" s="294"/>
      <c r="P52" s="294"/>
      <c r="Q52" s="294"/>
      <c r="R52" s="294"/>
      <c r="S52" s="294"/>
      <c r="T52" s="295"/>
    </row>
    <row r="53" spans="1:20" ht="12.75" customHeight="1">
      <c r="A53" s="294"/>
      <c r="B53" s="294"/>
      <c r="C53" s="294"/>
      <c r="D53" s="294"/>
      <c r="E53" s="294"/>
      <c r="F53" s="294"/>
      <c r="G53" s="294"/>
      <c r="H53" s="294"/>
      <c r="I53" s="294"/>
      <c r="J53" s="294"/>
      <c r="K53" s="294"/>
      <c r="L53" s="294"/>
      <c r="M53" s="294"/>
      <c r="N53" s="294"/>
      <c r="O53" s="294"/>
      <c r="P53" s="294"/>
      <c r="Q53" s="294"/>
      <c r="R53" s="294"/>
      <c r="S53" s="294"/>
      <c r="T53" s="295"/>
    </row>
    <row r="54" spans="1:20" ht="7.5" customHeight="1">
      <c r="A54" s="294"/>
      <c r="B54" s="294"/>
      <c r="C54" s="294"/>
      <c r="D54" s="294"/>
      <c r="E54" s="294"/>
      <c r="F54" s="294"/>
      <c r="G54" s="294"/>
      <c r="H54" s="294"/>
      <c r="I54" s="294"/>
      <c r="J54" s="294"/>
      <c r="K54" s="294"/>
      <c r="L54" s="294"/>
      <c r="M54" s="294"/>
      <c r="N54" s="294"/>
      <c r="O54" s="294"/>
      <c r="P54" s="294"/>
      <c r="Q54" s="294"/>
      <c r="R54" s="294"/>
      <c r="S54" s="294"/>
      <c r="T54" s="295"/>
    </row>
    <row r="55" spans="1:20" ht="12.75" customHeight="1">
      <c r="A55" s="294"/>
      <c r="B55" s="294"/>
      <c r="C55" s="294"/>
      <c r="D55" s="294"/>
      <c r="E55" s="294"/>
      <c r="F55" s="294"/>
      <c r="G55" s="294"/>
      <c r="H55" s="294"/>
      <c r="I55" s="294"/>
      <c r="J55" s="294"/>
      <c r="K55" s="294"/>
      <c r="L55" s="294"/>
      <c r="M55" s="294"/>
      <c r="N55" s="294"/>
      <c r="O55" s="294"/>
      <c r="P55" s="294"/>
      <c r="Q55" s="294"/>
      <c r="R55" s="294"/>
      <c r="S55" s="294"/>
      <c r="T55" s="295"/>
    </row>
    <row r="56" spans="1:20" ht="12.75" customHeight="1">
      <c r="A56" s="294"/>
      <c r="B56" s="294"/>
      <c r="C56" s="294"/>
      <c r="D56" s="294"/>
      <c r="E56" s="294"/>
      <c r="F56" s="294"/>
      <c r="G56" s="294"/>
      <c r="H56" s="294"/>
      <c r="I56" s="294"/>
      <c r="J56" s="294"/>
      <c r="K56" s="294"/>
      <c r="L56" s="294"/>
      <c r="M56" s="294"/>
      <c r="N56" s="294"/>
      <c r="O56" s="294"/>
      <c r="P56" s="294"/>
      <c r="Q56" s="294"/>
      <c r="R56" s="294"/>
      <c r="S56" s="294"/>
      <c r="T56" s="295"/>
    </row>
    <row r="57" spans="1:20" ht="12.75" customHeight="1">
      <c r="A57" s="296"/>
      <c r="B57" s="296"/>
      <c r="C57" s="296"/>
      <c r="D57" s="296"/>
      <c r="E57" s="296"/>
      <c r="F57" s="296"/>
      <c r="G57" s="296"/>
      <c r="H57" s="296"/>
      <c r="I57" s="296"/>
      <c r="J57" s="296"/>
      <c r="K57" s="296"/>
      <c r="L57" s="296"/>
      <c r="M57" s="296"/>
      <c r="N57" s="296"/>
      <c r="O57" s="296"/>
      <c r="P57" s="296"/>
      <c r="Q57" s="296"/>
      <c r="R57" s="296"/>
      <c r="S57" s="296"/>
      <c r="T57" s="297"/>
    </row>
    <row r="58" spans="1:9" ht="12.75">
      <c r="A58" s="298" t="s">
        <v>54</v>
      </c>
      <c r="B58" s="298"/>
      <c r="C58" s="298"/>
      <c r="D58" s="298"/>
      <c r="E58" s="298"/>
      <c r="F58" s="298"/>
      <c r="G58" s="298"/>
      <c r="I58" s="163"/>
    </row>
  </sheetData>
  <sheetProtection algorithmName="SHA-512" hashValue="Ob7JE5gXi2nElX2lzfKIV3vpVGSUVqkm5RHb4oTJtgmsP9FXtaPw8qdFk4X7XwQbBqW6cxNu4YaLn6anieYj4g==" saltValue="stTL/gfLvfeoCZMz2qTLBw==" spinCount="100000" sheet="1" objects="1" scenarios="1"/>
  <mergeCells count="67">
    <mergeCell ref="E31:S31"/>
    <mergeCell ref="E32:S32"/>
    <mergeCell ref="E34:S34"/>
    <mergeCell ref="A35:S56"/>
    <mergeCell ref="A57:S57"/>
    <mergeCell ref="A31:D31"/>
    <mergeCell ref="A32:D32"/>
    <mergeCell ref="K1:R1"/>
    <mergeCell ref="R19:S19"/>
    <mergeCell ref="R20:S20"/>
    <mergeCell ref="O23:S23"/>
    <mergeCell ref="O24:S24"/>
    <mergeCell ref="O22:S22"/>
    <mergeCell ref="J22:K22"/>
    <mergeCell ref="K4:L4"/>
    <mergeCell ref="M4:P4"/>
    <mergeCell ref="K5:L5"/>
    <mergeCell ref="M5:P5"/>
    <mergeCell ref="M7:Q7"/>
    <mergeCell ref="P20:Q20"/>
    <mergeCell ref="M12:O12"/>
    <mergeCell ref="K12:L12"/>
    <mergeCell ref="O27:P27"/>
    <mergeCell ref="O28:P28"/>
    <mergeCell ref="J28:M28"/>
    <mergeCell ref="O25:S25"/>
    <mergeCell ref="O26:S26"/>
    <mergeCell ref="D16:H16"/>
    <mergeCell ref="A13:C13"/>
    <mergeCell ref="D19:E19"/>
    <mergeCell ref="D13:H13"/>
    <mergeCell ref="D14:H14"/>
    <mergeCell ref="D15:H15"/>
    <mergeCell ref="D17:H17"/>
    <mergeCell ref="A14:C14"/>
    <mergeCell ref="A3:E3"/>
    <mergeCell ref="C22:H22"/>
    <mergeCell ref="M10:N10"/>
    <mergeCell ref="M9:Q9"/>
    <mergeCell ref="H18:J18"/>
    <mergeCell ref="M6:P6"/>
    <mergeCell ref="M8:N8"/>
    <mergeCell ref="K6:L6"/>
    <mergeCell ref="K7:L7"/>
    <mergeCell ref="K8:L8"/>
    <mergeCell ref="A4:I11"/>
    <mergeCell ref="A12:C12"/>
    <mergeCell ref="A15:C15"/>
    <mergeCell ref="A16:C16"/>
    <mergeCell ref="A17:C17"/>
    <mergeCell ref="K14:L14"/>
    <mergeCell ref="K15:L15"/>
    <mergeCell ref="P19:Q19"/>
    <mergeCell ref="M13:Q13"/>
    <mergeCell ref="K16:L16"/>
    <mergeCell ref="J19:K19"/>
    <mergeCell ref="K13:L13"/>
    <mergeCell ref="D20:E20"/>
    <mergeCell ref="J20:K20"/>
    <mergeCell ref="C23:H23"/>
    <mergeCell ref="J23:K23"/>
    <mergeCell ref="C24:H24"/>
    <mergeCell ref="J24:K24"/>
    <mergeCell ref="C25:H25"/>
    <mergeCell ref="J25:K25"/>
    <mergeCell ref="C26:H26"/>
    <mergeCell ref="J26:K26"/>
  </mergeCells>
  <dataValidations count="15">
    <dataValidation type="decimal" operator="greaterThanOrEqual" allowBlank="1" showInputMessage="1" showErrorMessage="1" sqref="K20">
      <formula1>0</formula1>
    </dataValidation>
    <dataValidation type="whole" allowBlank="1" showInputMessage="1" showErrorMessage="1" sqref="M11">
      <formula1>1</formula1>
      <formula2>100</formula2>
    </dataValidation>
    <dataValidation type="decimal" allowBlank="1" showInputMessage="1" showErrorMessage="1" sqref="M15:M16">
      <formula1>0</formula1>
      <formula2>100</formula2>
    </dataValidation>
    <dataValidation type="decimal" allowBlank="1" showInputMessage="1" showErrorMessage="1" sqref="O20">
      <formula1>0</formula1>
      <formula2>100</formula2>
    </dataValidation>
    <dataValidation allowBlank="1" showInputMessage="1" showErrorMessage="1" sqref="L29"/>
    <dataValidation allowBlank="1" showInputMessage="1" showErrorMessage="1" sqref="N29:O29"/>
    <dataValidation type="decimal" operator="greaterThanOrEqual" allowBlank="1" showInputMessage="1" showErrorMessage="1" sqref="I20">
      <formula1>0</formula1>
    </dataValidation>
    <dataValidation type="decimal" operator="greaterThanOrEqual" allowBlank="1" showInputMessage="1" showErrorMessage="1" sqref="J20">
      <formula1>0</formula1>
    </dataValidation>
    <dataValidation type="decimal" allowBlank="1" showInputMessage="1" showErrorMessage="1" sqref="L20">
      <formula1>0</formula1>
      <formula2>100</formula2>
    </dataValidation>
    <dataValidation type="decimal" allowBlank="1" showInputMessage="1" showErrorMessage="1" sqref="M20">
      <formula1>0</formula1>
      <formula2>100</formula2>
    </dataValidation>
    <dataValidation type="list" allowBlank="1" showInputMessage="1" showErrorMessage="1" sqref="C23:H23">
      <formula1>'MasterData'!$H$1:$H$14</formula1>
    </dataValidation>
    <dataValidation type="list" allowBlank="1" showInputMessage="1" showErrorMessage="1" sqref="C24:H24">
      <formula1>'MasterData'!$H$1:$H$14</formula1>
    </dataValidation>
    <dataValidation type="list" allowBlank="1" showInputMessage="1" showErrorMessage="1" sqref="C25:H25">
      <formula1>'MasterData'!$H$1:$H$14</formula1>
    </dataValidation>
    <dataValidation type="list" allowBlank="1" showInputMessage="1" showErrorMessage="1" sqref="C26:H26">
      <formula1>'MasterData'!$H$1:$H$14</formula1>
    </dataValidation>
    <dataValidation type="list" allowBlank="1" showInputMessage="1" showErrorMessage="1" sqref="M14">
      <formula1>MasterData!$O$1:$O$70</formula1>
    </dataValidation>
  </dataValidations>
  <printOptions horizontalCentered="1"/>
  <pageMargins left="0.75" right="0.75" top="0.5" bottom="0.5" header="0.5" footer="0.5"/>
  <pageSetup orientation="landscape" paperSize="1" r:id="rId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http://schemas.openxmlformats.org/spreadsheetml/2006/main" mc:Ignorable="x14ac">
  <dimension ref="G1:O70"/>
  <sheetViews>
    <sheetView workbookViewId="0" topLeftCell="A46">
      <selection pane="topLeft" activeCell="O67" sqref="O67 O67"/>
    </sheetView>
  </sheetViews>
  <sheetFormatPr defaultColWidth="9.14285714285714" defaultRowHeight="12.75"/>
  <cols>
    <col min="1" max="12" width="9.14285714285714" style="162" customWidth="1"/>
    <col min="13" max="13" width="17.5714285714286" style="162" bestFit="1" customWidth="1"/>
    <col min="14" max="14" width="42.8571428571429" style="162" customWidth="1"/>
    <col min="15" max="15" width="8" style="162" customWidth="1"/>
  </cols>
  <sheetData>
    <row r="1" spans="7:15" ht="12.75">
      <c r="G1" s="162">
        <v>1001307</v>
      </c>
      <c r="H1" s="162" t="s">
        <v>45</v>
      </c>
      <c r="M1" s="300" t="s">
        <v>55</v>
      </c>
      <c r="N1" s="301" t="s">
        <v>0</v>
      </c>
      <c r="O1" s="162" t="s">
        <v>56</v>
      </c>
    </row>
    <row r="2" spans="7:15" ht="12.75">
      <c r="G2" s="162">
        <v>1001310</v>
      </c>
      <c r="H2" s="162" t="s">
        <v>46</v>
      </c>
      <c r="M2" s="300" t="s">
        <v>57</v>
      </c>
      <c r="N2" s="301">
        <v>1020733051</v>
      </c>
      <c r="O2" s="162" t="s">
        <v>58</v>
      </c>
    </row>
    <row r="3" spans="7:15" ht="12.75">
      <c r="G3" s="162">
        <v>1012729</v>
      </c>
      <c r="H3" s="162" t="s">
        <v>59</v>
      </c>
      <c r="M3" s="300" t="s">
        <v>60</v>
      </c>
      <c r="N3" s="301">
        <v>99990000434808</v>
      </c>
      <c r="O3" s="162" t="s">
        <v>61</v>
      </c>
    </row>
    <row r="4" spans="7:15" ht="12.75">
      <c r="G4" s="162">
        <v>1012730</v>
      </c>
      <c r="H4" s="162" t="s">
        <v>62</v>
      </c>
      <c r="M4" s="300" t="s">
        <v>63</v>
      </c>
      <c r="N4" s="301">
        <v>1021846109</v>
      </c>
      <c r="O4" s="162" t="s">
        <v>64</v>
      </c>
    </row>
    <row r="5" spans="7:15" ht="12.75">
      <c r="G5" s="162">
        <v>1012731</v>
      </c>
      <c r="H5" s="162" t="s">
        <v>65</v>
      </c>
      <c r="M5" s="300" t="s">
        <v>66</v>
      </c>
      <c r="N5" s="301"/>
      <c r="O5" s="162" t="s">
        <v>67</v>
      </c>
    </row>
    <row r="6" spans="7:15" ht="12.75">
      <c r="G6" s="162">
        <v>1012732</v>
      </c>
      <c r="H6" s="162" t="s">
        <v>68</v>
      </c>
      <c r="M6" s="300" t="s">
        <v>69</v>
      </c>
      <c r="N6" s="301" t="s">
        <v>70</v>
      </c>
      <c r="O6" s="162" t="s">
        <v>71</v>
      </c>
    </row>
    <row r="7" spans="7:15" ht="12.75">
      <c r="G7" s="162">
        <v>1012733</v>
      </c>
      <c r="H7" s="162" t="s">
        <v>72</v>
      </c>
      <c r="M7" s="300" t="s">
        <v>73</v>
      </c>
      <c r="N7" s="301">
        <v>0</v>
      </c>
      <c r="O7" s="162" t="s">
        <v>74</v>
      </c>
    </row>
    <row r="8" spans="7:15" ht="12.75">
      <c r="G8" s="162">
        <v>1012735</v>
      </c>
      <c r="H8" s="162" t="s">
        <v>75</v>
      </c>
      <c r="O8" s="162" t="s">
        <v>76</v>
      </c>
    </row>
    <row r="9" spans="7:15" ht="12.75">
      <c r="G9" s="162">
        <v>1012736</v>
      </c>
      <c r="H9" s="162" t="s">
        <v>77</v>
      </c>
      <c r="O9" s="162" t="s">
        <v>78</v>
      </c>
    </row>
    <row r="10" spans="7:15" ht="12.75">
      <c r="G10" s="162">
        <v>1012737</v>
      </c>
      <c r="H10" s="162" t="s">
        <v>79</v>
      </c>
      <c r="O10" s="162" t="s">
        <v>80</v>
      </c>
    </row>
    <row r="11" spans="7:15" ht="12.75">
      <c r="G11" s="162">
        <v>1012741</v>
      </c>
      <c r="H11" s="162" t="s">
        <v>81</v>
      </c>
      <c r="O11" s="162" t="s">
        <v>82</v>
      </c>
    </row>
    <row r="12" spans="7:15" ht="12.75">
      <c r="G12" s="162">
        <v>1012742</v>
      </c>
      <c r="H12" s="162" t="s">
        <v>83</v>
      </c>
      <c r="O12" s="162" t="s">
        <v>84</v>
      </c>
    </row>
    <row r="13" spans="7:15" ht="12.75">
      <c r="G13" s="162">
        <v>1012743</v>
      </c>
      <c r="H13" s="162" t="s">
        <v>85</v>
      </c>
      <c r="O13" s="162" t="s">
        <v>86</v>
      </c>
    </row>
    <row r="14" spans="7:15" ht="12.75">
      <c r="G14" s="162">
        <v>1012744</v>
      </c>
      <c r="H14" s="162" t="s">
        <v>87</v>
      </c>
      <c r="O14" s="162" t="s">
        <v>88</v>
      </c>
    </row>
    <row r="15" ht="12.75">
      <c r="O15" s="162" t="s">
        <v>89</v>
      </c>
    </row>
    <row r="16" ht="12.75">
      <c r="O16" s="162" t="s">
        <v>90</v>
      </c>
    </row>
    <row r="17" ht="12.75">
      <c r="O17" s="162" t="s">
        <v>91</v>
      </c>
    </row>
    <row r="18" ht="12.75">
      <c r="O18" s="162" t="s">
        <v>92</v>
      </c>
    </row>
    <row r="19" ht="12.75">
      <c r="O19" s="162" t="s">
        <v>93</v>
      </c>
    </row>
    <row r="20" ht="12.75">
      <c r="O20" s="162" t="s">
        <v>94</v>
      </c>
    </row>
    <row r="21" ht="12.75">
      <c r="O21" s="162" t="s">
        <v>95</v>
      </c>
    </row>
    <row r="22" ht="12.75">
      <c r="O22" s="162" t="s">
        <v>96</v>
      </c>
    </row>
    <row r="23" ht="12.75">
      <c r="O23" s="162" t="s">
        <v>97</v>
      </c>
    </row>
    <row r="24" ht="12.75">
      <c r="O24" s="162" t="s">
        <v>98</v>
      </c>
    </row>
    <row r="25" ht="12.75">
      <c r="O25" s="162" t="s">
        <v>99</v>
      </c>
    </row>
    <row r="26" ht="12.75">
      <c r="O26" s="162" t="s">
        <v>100</v>
      </c>
    </row>
    <row r="27" ht="12.75">
      <c r="O27" s="162" t="s">
        <v>101</v>
      </c>
    </row>
    <row r="28" ht="12.75">
      <c r="O28" s="162" t="s">
        <v>102</v>
      </c>
    </row>
    <row r="29" ht="12.75">
      <c r="O29" s="162" t="s">
        <v>103</v>
      </c>
    </row>
    <row r="30" ht="12.75">
      <c r="O30" s="162" t="s">
        <v>104</v>
      </c>
    </row>
    <row r="31" ht="12.75">
      <c r="O31" s="162" t="s">
        <v>105</v>
      </c>
    </row>
    <row r="32" ht="12.75">
      <c r="O32" s="162" t="s">
        <v>106</v>
      </c>
    </row>
    <row r="33" ht="12.75">
      <c r="O33" s="162" t="s">
        <v>107</v>
      </c>
    </row>
    <row r="34" ht="12.75">
      <c r="O34" s="162" t="s">
        <v>108</v>
      </c>
    </row>
    <row r="35" ht="12.75">
      <c r="O35" s="162" t="s">
        <v>109</v>
      </c>
    </row>
    <row r="36" ht="12.75">
      <c r="O36" s="162" t="s">
        <v>110</v>
      </c>
    </row>
    <row r="37" ht="12.75">
      <c r="O37" s="162" t="s">
        <v>111</v>
      </c>
    </row>
    <row r="38" ht="12.75">
      <c r="O38" s="162" t="s">
        <v>112</v>
      </c>
    </row>
    <row r="39" ht="12.75">
      <c r="O39" s="162" t="s">
        <v>113</v>
      </c>
    </row>
    <row r="40" ht="12.75">
      <c r="O40" s="162" t="s">
        <v>114</v>
      </c>
    </row>
    <row r="41" ht="12.75">
      <c r="O41" s="162" t="s">
        <v>115</v>
      </c>
    </row>
    <row r="42" ht="12.75">
      <c r="O42" s="162" t="s">
        <v>116</v>
      </c>
    </row>
    <row r="43" ht="12.75">
      <c r="O43" s="162" t="s">
        <v>117</v>
      </c>
    </row>
    <row r="44" ht="12.75">
      <c r="O44" s="162" t="s">
        <v>118</v>
      </c>
    </row>
    <row r="45" ht="12.75">
      <c r="O45" s="162" t="s">
        <v>119</v>
      </c>
    </row>
    <row r="46" ht="12.75">
      <c r="O46" s="162" t="s">
        <v>120</v>
      </c>
    </row>
    <row r="47" ht="12.75">
      <c r="O47" s="162" t="s">
        <v>121</v>
      </c>
    </row>
    <row r="48" ht="12.75">
      <c r="O48" s="162" t="s">
        <v>122</v>
      </c>
    </row>
    <row r="49" ht="12.75">
      <c r="O49" s="162" t="s">
        <v>123</v>
      </c>
    </row>
    <row r="50" ht="12.75">
      <c r="O50" s="162" t="s">
        <v>124</v>
      </c>
    </row>
    <row r="51" ht="12.75">
      <c r="O51" s="162" t="s">
        <v>125</v>
      </c>
    </row>
    <row r="52" ht="12.75">
      <c r="O52" s="162" t="s">
        <v>126</v>
      </c>
    </row>
    <row r="53" ht="12.75">
      <c r="O53" s="162" t="s">
        <v>127</v>
      </c>
    </row>
    <row r="54" ht="12.75">
      <c r="O54" s="162" t="s">
        <v>128</v>
      </c>
    </row>
    <row r="55" ht="12.75">
      <c r="O55" s="162" t="s">
        <v>129</v>
      </c>
    </row>
    <row r="56" ht="12.75">
      <c r="O56" s="162" t="s">
        <v>130</v>
      </c>
    </row>
    <row r="57" ht="12.75">
      <c r="O57" s="162" t="s">
        <v>131</v>
      </c>
    </row>
    <row r="58" ht="12.75">
      <c r="O58" s="162" t="s">
        <v>132</v>
      </c>
    </row>
    <row r="59" ht="12.75">
      <c r="O59" s="162" t="s">
        <v>133</v>
      </c>
    </row>
    <row r="60" ht="12.75">
      <c r="O60" s="162" t="s">
        <v>134</v>
      </c>
    </row>
    <row r="61" ht="12.75">
      <c r="O61" s="162" t="s">
        <v>135</v>
      </c>
    </row>
    <row r="62" ht="12.75">
      <c r="O62" s="162" t="s">
        <v>136</v>
      </c>
    </row>
    <row r="63" ht="12.75">
      <c r="O63" s="162" t="s">
        <v>137</v>
      </c>
    </row>
    <row r="64" ht="12.75">
      <c r="O64" s="162" t="s">
        <v>138</v>
      </c>
    </row>
    <row r="65" ht="12.75">
      <c r="O65" s="162" t="s">
        <v>139</v>
      </c>
    </row>
    <row r="66" ht="12.75">
      <c r="O66" s="162" t="s">
        <v>140</v>
      </c>
    </row>
    <row r="67" ht="12.75">
      <c r="O67" s="162" t="s">
        <v>141</v>
      </c>
    </row>
    <row r="68" ht="12.75">
      <c r="O68" s="162" t="s">
        <v>142</v>
      </c>
    </row>
    <row r="69" ht="12.75">
      <c r="O69" s="162" t="s">
        <v>143</v>
      </c>
    </row>
    <row r="70" ht="12.75">
      <c r="O70" s="162" t="s">
        <v>144</v>
      </c>
    </row>
  </sheetData>
  <pageMargins left="0.7" right="0.7" top="0.75" bottom="0.75" header="0.3" footer="0.3"/>
  <pageSetup orientation="portrait" paperSize="9" r:id="rId1"/>
</worksheet>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Template/>
  <Manager/>
  <Company>Microsoft Corporation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PAL2G</dc:creator>
  <cp:keywords/>
  <dc:description/>
  <cp:lastModifiedBy>Tocy Tom (MariApps)</cp:lastModifiedBy>
  <cp:category/>
  <cp:contentType/>
  <cp:contentStatus/>
</cp:coreProperties>
</file>