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Quote!$A$1:$R$65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Quote!$A$46</definedName>
    <definedName name="Enquiry_To_Vendor_ID" comment="Enquiry to Vendor ID">Quote!$C$46</definedName>
    <definedName name="GrandTotal">Quote!$N$45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Quote!$A$38</definedName>
    <definedName name="ItemListStartupRow" comment="Item List Start Up Row">Quote!$A$19</definedName>
    <definedName name="ItemSubTotal">Quote!$N$44</definedName>
    <definedName name="ItemSubTotalTitle">Quote!$J$44</definedName>
    <definedName name="LeadDay">Quote!$M$11</definedName>
    <definedName name="Lock">Quote!$M$46</definedName>
    <definedName name="LoggedInEmailID">Quote!$N$46</definedName>
    <definedName name="LoggedInPwd">Quote!$O$46</definedName>
    <definedName name="OtherCharges">Quote!$C$40</definedName>
    <definedName name="OtherChargesLastRow">Quote!$A$44</definedName>
    <definedName name="OtherChargesStartRow">Quote!$A$39</definedName>
    <definedName name="Port">Quote!$P$46</definedName>
    <definedName name="PortOfDelivery" comment="Port of Delivery">Quote!$M$9</definedName>
    <definedName name="PurchaserName">Quote!$J$46</definedName>
    <definedName name="QuoteBefore">Quote!$M$8</definedName>
    <definedName name="QuoteID">MasterData!$N$7</definedName>
    <definedName name="QuoteSubject">Quote!$E$46</definedName>
    <definedName name="Remarks">Quote!$E$48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Quote!$K$46</definedName>
    <definedName name="SentIndex">Quote!$L$46</definedName>
    <definedName name="Server">Quote!$Q$46</definedName>
    <definedName name="Terms">Quote!$A$52:$T$73</definedName>
    <definedName name="ToEmailID">Quote!$I$46</definedName>
    <definedName name="ToEmailPwd">Quote!$H$46</definedName>
    <definedName name="VAL">Quote!$F$46</definedName>
    <definedName name="VAT_All">Quote!$M$16</definedName>
    <definedName name="Vendor_ID" comment="Vendor ID">Quote!$B$46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Quote!$D$46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Quote!$E$49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</definedName>
  </definedNames>
  <calcPr fullCalcOnLoad="1"/>
</workbook>
</file>

<file path=xl/sharedStrings.xml><?xml version="1.0" encoding="utf-8"?>
<sst xmlns="http://schemas.openxmlformats.org/spreadsheetml/2006/main" count="204" uniqueCount="169">
  <si>
    <t>RFQ</t>
  </si>
  <si>
    <t>Request for Quote</t>
  </si>
  <si>
    <t>Invoice To</t>
  </si>
  <si>
    <t>Bernhard Schulte Shipmanagement (Singapore) Pte. Ltd.
Invoice To:  Master &amp; Owner Of MCC Chittagong,
             REGD. OWNER: Tribini Capital,
             AS AGENTS: Bernhard Schulte Shipmanagement (Singpaore) Pte Ltd
             152 Beach Road, #32-00, Gateway East, 
             Singapore 189721
             ATTN: Accounts Department
             Please send soft copy to: sg-smc-acct@bs-shipmanagement.com</t>
  </si>
  <si>
    <t>Vessel</t>
  </si>
  <si>
    <t>MCC Chittagong</t>
  </si>
  <si>
    <t>RFQ No.</t>
  </si>
  <si>
    <t>MCC/O0142/RF19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</si>
  <si>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</si>
  <si>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</si>
  <si>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</si>
  <si>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</si>
  <si>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</si>
  <si>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</si>
  <si>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</si>
  <si>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</si>
  <si>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</si>
  <si>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</si>
  <si>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</si>
  <si>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</si>
  <si>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</si>
  <si>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</si>
  <si>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</si>
  <si>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</si>
  <si>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</si>
  <si>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</si>
  <si>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</si>
  <si>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</si>
  <si>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</si>
  <si>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</si>
  <si>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</si>
  <si>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</si>
  <si>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</si>
  <si>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</si>
  <si>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</si>
  <si>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</si>
  <si>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</si>
  <si>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</si>
  <si>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</si>
  <si>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</si>
  <si>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SPACE IDENTIFICATION SIGN, BATTERY LOCKER #3123 300X300MM</t>
  </si>
  <si>
    <t>PCS</t>
  </si>
  <si>
    <t>SPACE IDENTIFICATION SIGN GAS, BOTTLE STORE 3125 300X300MM</t>
  </si>
  <si>
    <t>SPACE IDENTIFICATION SIGN, PAINT STORE #3126 300X300MM</t>
  </si>
  <si>
    <t>SPACE IDENTIFICATION SIGN, EMRG'CY GENERTR 3135 300X300MM</t>
  </si>
  <si>
    <t>FIRE EQUIP SIGN SPARE CHARGE, F/FIRE EXTINGUISHER 150X150MM</t>
  </si>
  <si>
    <t>FIRE CONTROL SYMBOL ISO 17631, FUEL OIL VALVE RMT CONTROL</t>
  </si>
  <si>
    <t>DIRECTION SIGN ARROW, 45DEG UP(L)/LIFEBOAT 100X300MM</t>
  </si>
  <si>
    <t>DIRECTION SIGN LIFEBOAT/ARROW, 45DEG DOWN(R) 100X300MM</t>
  </si>
  <si>
    <t>WHITE VINYL SIGN COMBINATION, DANGER #3110 200X300MM</t>
  </si>
  <si>
    <t>FIRE CONTROL SIGN, SMOKE DETECTOR 150X150MM</t>
  </si>
  <si>
    <t>FIRE CONTROL SYMBOL ISO 17631, CLOSE DEVICE F/CAR SP VENT I/O</t>
  </si>
  <si>
    <t>CHAIN &amp; S-HOOK FOR HOSE, COUPLING STEEL L:30CM SM736100</t>
  </si>
  <si>
    <t>LIFE BUOY WEIGHT OVER 2.5KGS, HK APPROVED</t>
  </si>
  <si>
    <t>TAPE REFLECTIVE SOLAS GRADE, SILVER W:50MM X L:45.7MTR</t>
  </si>
  <si>
    <t>RLS</t>
  </si>
  <si>
    <t>FIRE CONTROL SYMBOL ISO 17631, SPACE PROTECTD BY SPRINKLR SYS</t>
  </si>
  <si>
    <t>FIRE CONTROL SYMBOL ISO 17631, SPACE PROTECTD BY WATER EXTING</t>
  </si>
  <si>
    <t>MANDATORY SIGN EMERGENCY EXIT, KEEP CLEAR 150X500MM</t>
  </si>
  <si>
    <t>HOSE FIRE MED APPROVED 15BAR, WHITE 52MMX25MTR SF12105225</t>
  </si>
  <si>
    <t>C/L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</si>
  <si>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</si>
  <si>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</si>
  <si>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</si>
  <si>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</si>
  <si>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</si>
  <si>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</si>
  <si>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</si>
  <si>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</si>
  <si>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</si>
  <si>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</si>
  <si>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4th Quarterly Safety Requisition 2019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</si>
  <si>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</si>
  <si>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</si>
  <si>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</si>
  <si>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</si>
  <si>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</si>
  <si>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</si>
  <si>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</si>
  <si>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</si>
  <si>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</si>
  <si>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</si>
  <si>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</si>
  <si>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</si>
  <si>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</si>
  <si>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</si>
  <si>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</si>
  <si>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</si>
  <si>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</si>
  <si>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SAFETY EQUIP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</si>
  <si>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</si>
  <si>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</si>
  <si>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</si>
  <si>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</si>
  <si>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</si>
  <si>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</si>
  <si>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</si>
  <si>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</si>
  <si>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</si>
  <si>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</si>
  <si>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</si>
  <si>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</si>
  <si>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</si>
  <si>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</si>
  <si>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</si>
  <si>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</si>
  <si>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</si>
  <si>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</si>
  <si>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</si>
  <si>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</si>
  <si>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</si>
  <si>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</si>
  <si>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</si>
  <si>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</si>
  <si>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</si>
  <si>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</si>
  <si>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</si>
  <si>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</si>
  <si>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</si>
  <si>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</si>
  <si>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</si>
  <si>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</si>
  <si>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</si>
  <si>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</si>
  <si>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</si>
  <si>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</si>
  <si>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</si>
  <si>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</si>
  <si>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</si>
  <si>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</si>
  <si>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</si>
  <si>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</si>
  <si>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</si>
  <si>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</si>
  <si>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</si>
  <si>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</si>
  <si>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</si>
  <si>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</si>
  <si>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</si>
  <si>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</si>
  <si>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</si>
  <si>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</si>
  <si>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</si>
  <si>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</si>
  <si>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</si>
  <si>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</si>
  <si>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</si>
  <si>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</si>
  <si>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</si>
  <si>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</si>
  <si>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</si>
  <si>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</si>
  <si>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</si>
  <si>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</si>
  <si>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</si>
  <si>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</si>
  <si>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</si>
  <si>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</si>
  <si>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</si>
  <si>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</si>
  <si>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</si>
  <si>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</si>
  <si>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</si>
  <si>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</si>
  <si>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T-SQ-191101258</t>
  </si>
  <si>
    <t xml:space="preserve"> OFFER WITH SOLAR /EC  STANDARD </t>
  </si>
  <si>
    <t>OFFER ( WITHOUT SOLAS) |  QTY : 2 | UOM : PCS</t>
  </si>
  <si>
    <t>OFFER WHITE CANVAS HOSE 52MM X 30MTR C/W  MED CERTIFICATE</t>
  </si>
  <si>
    <t xml:space="preserve">4TH QUARTERLY SAFETY REQUISITION 2019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</si>
</sst>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5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43778.50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164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148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99990009871588</v>
      </c>
      <c r="C20" s="227">
        <v>333123</v>
      </c>
      <c r="D20" s="228" t="s">
        <v>40</v>
      </c>
      <c r="E20" s="229"/>
      <c r="F20" s="229">
        <v>333123</v>
      </c>
      <c r="G20" s="229" t="s">
        <v>41</v>
      </c>
      <c r="H20" s="230">
        <v>0</v>
      </c>
      <c r="I20" s="231">
        <v>1</v>
      </c>
      <c r="J20" s="232">
        <v>2.95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99990009871587</v>
      </c>
      <c r="C21" s="227">
        <v>333125</v>
      </c>
      <c r="D21" s="228" t="s">
        <v>42</v>
      </c>
      <c r="E21" s="229"/>
      <c r="F21" s="229">
        <v>333125</v>
      </c>
      <c r="G21" s="229" t="s">
        <v>41</v>
      </c>
      <c r="H21" s="230">
        <v>0</v>
      </c>
      <c r="I21" s="231">
        <v>1</v>
      </c>
      <c r="J21" s="232">
        <v>2.95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99990009871586</v>
      </c>
      <c r="C22" s="227">
        <v>333126</v>
      </c>
      <c r="D22" s="228" t="s">
        <v>43</v>
      </c>
      <c r="E22" s="229"/>
      <c r="F22" s="229">
        <v>333126</v>
      </c>
      <c r="G22" s="229" t="s">
        <v>41</v>
      </c>
      <c r="H22" s="230">
        <v>0</v>
      </c>
      <c r="I22" s="231">
        <v>1</v>
      </c>
      <c r="J22" s="232">
        <v>2.95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99990009871583</v>
      </c>
      <c r="C23" s="227">
        <v>333135</v>
      </c>
      <c r="D23" s="228" t="s">
        <v>44</v>
      </c>
      <c r="E23" s="229"/>
      <c r="F23" s="229">
        <v>333135</v>
      </c>
      <c r="G23" s="229" t="s">
        <v>41</v>
      </c>
      <c r="H23" s="230">
        <v>0</v>
      </c>
      <c r="I23" s="231">
        <v>2</v>
      </c>
      <c r="J23" s="232">
        <v>2.95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99990009872056</v>
      </c>
      <c r="C24" s="227">
        <v>336715</v>
      </c>
      <c r="D24" s="228" t="s">
        <v>45</v>
      </c>
      <c r="E24" s="229"/>
      <c r="F24" s="229">
        <v>336715</v>
      </c>
      <c r="G24" s="229" t="s">
        <v>41</v>
      </c>
      <c r="H24" s="230">
        <v>0</v>
      </c>
      <c r="I24" s="231">
        <v>3</v>
      </c>
      <c r="J24" s="232">
        <v>1</v>
      </c>
      <c r="K24" s="233"/>
      <c r="L24" s="231">
        <v>0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99990009872004</v>
      </c>
      <c r="C25" s="227">
        <v>336805</v>
      </c>
      <c r="D25" s="228" t="s">
        <v>46</v>
      </c>
      <c r="E25" s="229"/>
      <c r="F25" s="229">
        <v>336805</v>
      </c>
      <c r="G25" s="229" t="s">
        <v>41</v>
      </c>
      <c r="H25" s="230">
        <v>0</v>
      </c>
      <c r="I25" s="231">
        <v>3</v>
      </c>
      <c r="J25" s="232">
        <v>1</v>
      </c>
      <c r="K25" s="233"/>
      <c r="L25" s="231">
        <v>0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99990009872530</v>
      </c>
      <c r="C26" s="227">
        <v>334302</v>
      </c>
      <c r="D26" s="228" t="s">
        <v>47</v>
      </c>
      <c r="E26" s="229"/>
      <c r="F26" s="229">
        <v>334302</v>
      </c>
      <c r="G26" s="229" t="s">
        <v>41</v>
      </c>
      <c r="H26" s="230">
        <v>0</v>
      </c>
      <c r="I26" s="231">
        <v>3</v>
      </c>
      <c r="J26" s="232">
        <v>1.55</v>
      </c>
      <c r="K26" s="233"/>
      <c r="L26" s="231">
        <v>0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99990009872525</v>
      </c>
      <c r="C27" s="227">
        <v>334307</v>
      </c>
      <c r="D27" s="228" t="s">
        <v>48</v>
      </c>
      <c r="E27" s="229"/>
      <c r="F27" s="229">
        <v>334307</v>
      </c>
      <c r="G27" s="229" t="s">
        <v>41</v>
      </c>
      <c r="H27" s="230">
        <v>0</v>
      </c>
      <c r="I27" s="231">
        <v>6</v>
      </c>
      <c r="J27" s="232">
        <v>1.55</v>
      </c>
      <c r="K27" s="233"/>
      <c r="L27" s="231">
        <v>0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99990009871597</v>
      </c>
      <c r="C28" s="227">
        <v>333110</v>
      </c>
      <c r="D28" s="228" t="s">
        <v>49</v>
      </c>
      <c r="E28" s="229"/>
      <c r="F28" s="229">
        <v>333110</v>
      </c>
      <c r="G28" s="229" t="s">
        <v>41</v>
      </c>
      <c r="H28" s="230">
        <v>0</v>
      </c>
      <c r="I28" s="231">
        <v>6</v>
      </c>
      <c r="J28" s="232">
        <v>2.55</v>
      </c>
      <c r="K28" s="233"/>
      <c r="L28" s="231">
        <v>0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99990009872092</v>
      </c>
      <c r="C29" s="227">
        <v>336056</v>
      </c>
      <c r="D29" s="228" t="s">
        <v>50</v>
      </c>
      <c r="E29" s="229"/>
      <c r="F29" s="229">
        <v>336056</v>
      </c>
      <c r="G29" s="229" t="s">
        <v>41</v>
      </c>
      <c r="H29" s="230">
        <v>0</v>
      </c>
      <c r="I29" s="231">
        <v>6</v>
      </c>
      <c r="J29" s="232">
        <v>1</v>
      </c>
      <c r="K29" s="233"/>
      <c r="L29" s="231">
        <v>0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99990009872017</v>
      </c>
      <c r="C30" s="227">
        <v>336789</v>
      </c>
      <c r="D30" s="228" t="s">
        <v>51</v>
      </c>
      <c r="E30" s="229"/>
      <c r="F30" s="229">
        <v>336789</v>
      </c>
      <c r="G30" s="229" t="s">
        <v>41</v>
      </c>
      <c r="H30" s="230">
        <v>0</v>
      </c>
      <c r="I30" s="231">
        <v>12</v>
      </c>
      <c r="J30" s="232">
        <v>1</v>
      </c>
      <c r="K30" s="233"/>
      <c r="L30" s="231">
        <v>0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99990009867547</v>
      </c>
      <c r="C31" s="227">
        <v>333426</v>
      </c>
      <c r="D31" s="228" t="s">
        <v>52</v>
      </c>
      <c r="E31" s="229"/>
      <c r="F31" s="229">
        <v>333426</v>
      </c>
      <c r="G31" s="229" t="s">
        <v>41</v>
      </c>
      <c r="H31" s="230">
        <v>0</v>
      </c>
      <c r="I31" s="231">
        <v>48</v>
      </c>
      <c r="J31" s="232">
        <v>1.4</v>
      </c>
      <c r="K31" s="233"/>
      <c r="L31" s="231">
        <v>0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99990009873064</v>
      </c>
      <c r="C32" s="227">
        <v>330151</v>
      </c>
      <c r="D32" s="228" t="s">
        <v>53</v>
      </c>
      <c r="E32" s="229"/>
      <c r="F32" s="229">
        <v>330151</v>
      </c>
      <c r="G32" s="229" t="s">
        <v>41</v>
      </c>
      <c r="H32" s="230">
        <v>0</v>
      </c>
      <c r="I32" s="231">
        <v>2</v>
      </c>
      <c r="J32" s="232">
        <v>25.3</v>
      </c>
      <c r="K32" s="233"/>
      <c r="L32" s="231">
        <v>0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165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99990009872739</v>
      </c>
      <c r="C33" s="227">
        <v>330189</v>
      </c>
      <c r="D33" s="228" t="s">
        <v>54</v>
      </c>
      <c r="E33" s="229"/>
      <c r="F33" s="229">
        <v>330189</v>
      </c>
      <c r="G33" s="229" t="s">
        <v>55</v>
      </c>
      <c r="H33" s="230">
        <v>0</v>
      </c>
      <c r="I33" s="231">
        <v>2</v>
      </c>
      <c r="J33" s="232">
        <v>36.08</v>
      </c>
      <c r="K33" s="233"/>
      <c r="L33" s="231">
        <v>0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166</v>
      </c>
      <c r="Q33" s="236"/>
      <c r="R33" s="237"/>
      <c r="S33" s="238"/>
      <c r="T33" s="239"/>
    </row>
    <row r="34" spans="1:20" ht="24" customHeight="1">
      <c r="A34" s="226">
        <v>15</v>
      </c>
      <c r="B34" s="226">
        <v>99990009871945</v>
      </c>
      <c r="C34" s="227">
        <v>336864</v>
      </c>
      <c r="D34" s="228" t="s">
        <v>56</v>
      </c>
      <c r="E34" s="229"/>
      <c r="F34" s="229">
        <v>336864</v>
      </c>
      <c r="G34" s="229" t="s">
        <v>41</v>
      </c>
      <c r="H34" s="230">
        <v>0</v>
      </c>
      <c r="I34" s="231">
        <v>4</v>
      </c>
      <c r="J34" s="232">
        <v>1</v>
      </c>
      <c r="K34" s="233"/>
      <c r="L34" s="231">
        <v>0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99990009871946</v>
      </c>
      <c r="C35" s="227">
        <v>336863</v>
      </c>
      <c r="D35" s="228" t="s">
        <v>57</v>
      </c>
      <c r="E35" s="229"/>
      <c r="F35" s="229">
        <v>336863</v>
      </c>
      <c r="G35" s="229" t="s">
        <v>41</v>
      </c>
      <c r="H35" s="230">
        <v>0</v>
      </c>
      <c r="I35" s="231">
        <v>4</v>
      </c>
      <c r="J35" s="232">
        <v>1</v>
      </c>
      <c r="K35" s="233"/>
      <c r="L35" s="231">
        <v>0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/>
      <c r="S35" s="238"/>
      <c r="T35" s="239"/>
    </row>
    <row r="36" spans="1:20" ht="24" customHeight="1">
      <c r="A36" s="226">
        <v>17</v>
      </c>
      <c r="B36" s="226">
        <v>99990009871799</v>
      </c>
      <c r="C36" s="227">
        <v>335830</v>
      </c>
      <c r="D36" s="228" t="s">
        <v>58</v>
      </c>
      <c r="E36" s="229"/>
      <c r="F36" s="229">
        <v>335830</v>
      </c>
      <c r="G36" s="229" t="s">
        <v>41</v>
      </c>
      <c r="H36" s="230">
        <v>0</v>
      </c>
      <c r="I36" s="231">
        <v>12</v>
      </c>
      <c r="J36" s="232">
        <v>3.55</v>
      </c>
      <c r="K36" s="233"/>
      <c r="L36" s="231">
        <v>0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99990009868263</v>
      </c>
      <c r="C37" s="227">
        <v>333720</v>
      </c>
      <c r="D37" s="228" t="s">
        <v>59</v>
      </c>
      <c r="E37" s="229"/>
      <c r="F37" s="229">
        <v>333720</v>
      </c>
      <c r="G37" s="229" t="s">
        <v>60</v>
      </c>
      <c r="H37" s="230">
        <v>0</v>
      </c>
      <c r="I37" s="231">
        <v>2</v>
      </c>
      <c r="J37" s="232">
        <v>39.2</v>
      </c>
      <c r="K37" s="233"/>
      <c r="L37" s="231">
        <v>0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167</v>
      </c>
      <c r="Q37" s="236"/>
      <c r="R37" s="237"/>
      <c r="S37" s="238"/>
      <c r="T37" s="239"/>
    </row>
    <row r="38" spans="1:20" ht="15" customHeight="1">
      <c r="A38" s="32"/>
      <c r="B38" s="295"/>
      <c r="C38" s="296"/>
      <c r="D38" s="296"/>
      <c r="E38" s="296"/>
      <c r="F38" s="296"/>
      <c r="G38" s="296"/>
      <c r="H38" s="297"/>
      <c r="I38" s="297"/>
      <c r="J38" s="297"/>
      <c r="K38" s="297"/>
      <c r="L38" s="297"/>
      <c r="M38" s="297"/>
      <c r="N38" s="297"/>
      <c r="O38" s="297"/>
      <c r="P38" s="297"/>
      <c r="Q38" s="297"/>
      <c r="R38" s="297"/>
      <c r="S38" s="297"/>
      <c r="T38" s="298"/>
    </row>
    <row r="39" spans="1:20" ht="12.75" customHeight="1">
      <c r="A39" s="289" t="s">
        <v>28</v>
      </c>
      <c r="B39" s="289"/>
      <c r="C39" s="290" t="s">
        <v>61</v>
      </c>
      <c r="D39" s="291"/>
      <c r="E39" s="291"/>
      <c r="F39" s="291"/>
      <c r="G39" s="291"/>
      <c r="H39" s="291"/>
      <c r="I39" s="292"/>
      <c r="J39" s="292" t="s">
        <v>62</v>
      </c>
      <c r="K39" s="292"/>
      <c r="L39" s="292" t="s">
        <v>35</v>
      </c>
      <c r="M39" s="292" t="s">
        <v>36</v>
      </c>
      <c r="N39" s="293" t="s">
        <v>63</v>
      </c>
      <c r="O39" s="294" t="s">
        <v>38</v>
      </c>
      <c r="P39" s="294"/>
      <c r="Q39" s="294"/>
      <c r="R39" s="294"/>
      <c r="S39" s="294"/>
      <c r="T39" s="225"/>
    </row>
    <row r="40" spans="1:20" ht="15" customHeight="1">
      <c r="A40" s="269">
        <v>1</v>
      </c>
      <c r="B40" s="270"/>
      <c r="C40" s="271" t="s">
        <v>64</v>
      </c>
      <c r="D40" s="272" t="s">
        <v>64</v>
      </c>
      <c r="E40" s="272" t="s">
        <v>64</v>
      </c>
      <c r="F40" s="272" t="s">
        <v>64</v>
      </c>
      <c r="G40" s="272" t="s">
        <v>64</v>
      </c>
      <c r="H40" s="273" t="s">
        <v>64</v>
      </c>
      <c r="I40" s="274"/>
      <c r="J40" s="275">
        <v>0</v>
      </c>
      <c r="K40" s="276"/>
      <c r="L40" s="277">
        <v>0</v>
      </c>
      <c r="M40" s="277">
        <v>0</v>
      </c>
      <c r="N40" s="285">
        <f>(J40-(J40*L40/100)+((J40-(J40*L40/100))*M40/100))</f>
      </c>
      <c r="O40" s="286"/>
      <c r="P40" s="287"/>
      <c r="Q40" s="287"/>
      <c r="R40" s="287"/>
      <c r="S40" s="288"/>
      <c r="T40" s="283"/>
    </row>
    <row r="41" spans="1:20" ht="15" customHeight="1">
      <c r="A41" s="269">
        <v>2</v>
      </c>
      <c r="B41" s="270"/>
      <c r="C41" s="271" t="s">
        <v>65</v>
      </c>
      <c r="D41" s="272" t="s">
        <v>65</v>
      </c>
      <c r="E41" s="272" t="s">
        <v>65</v>
      </c>
      <c r="F41" s="272" t="s">
        <v>65</v>
      </c>
      <c r="G41" s="272" t="s">
        <v>65</v>
      </c>
      <c r="H41" s="273" t="s">
        <v>65</v>
      </c>
      <c r="I41" s="284"/>
      <c r="J41" s="275">
        <v>0</v>
      </c>
      <c r="K41" s="276"/>
      <c r="L41" s="277">
        <v>0</v>
      </c>
      <c r="M41" s="277">
        <v>0</v>
      </c>
      <c r="N41" s="279">
        <f>(J41-(J41*L41/100)+((J41-(J41*L41/100))*M41/100))</f>
      </c>
      <c r="O41" s="280"/>
      <c r="P41" s="281"/>
      <c r="Q41" s="281"/>
      <c r="R41" s="281"/>
      <c r="S41" s="282"/>
      <c r="T41" s="283"/>
    </row>
    <row r="42" spans="1:20" ht="15" customHeight="1">
      <c r="A42" s="269">
        <v>3</v>
      </c>
      <c r="B42" s="270"/>
      <c r="C42" s="271"/>
      <c r="D42" s="272"/>
      <c r="E42" s="272"/>
      <c r="F42" s="272"/>
      <c r="G42" s="272"/>
      <c r="H42" s="273"/>
      <c r="I42" s="274"/>
      <c r="J42" s="275">
        <v>0</v>
      </c>
      <c r="K42" s="276"/>
      <c r="L42" s="277">
        <v>0</v>
      </c>
      <c r="M42" s="277">
        <v>0</v>
      </c>
      <c r="N42" s="279">
        <f>(J42-(J42*L42/100)+((J42-(J42*L42/100))*M42/100))</f>
      </c>
      <c r="O42" s="280"/>
      <c r="P42" s="281"/>
      <c r="Q42" s="281"/>
      <c r="R42" s="281"/>
      <c r="S42" s="282"/>
      <c r="T42" s="283"/>
    </row>
    <row r="43" spans="1:20" ht="15.75" customHeight="1">
      <c r="A43" s="269">
        <v>4</v>
      </c>
      <c r="B43" s="270"/>
      <c r="C43" s="271"/>
      <c r="D43" s="272"/>
      <c r="E43" s="272"/>
      <c r="F43" s="272"/>
      <c r="G43" s="272"/>
      <c r="H43" s="273"/>
      <c r="I43" s="274"/>
      <c r="J43" s="275">
        <v>0</v>
      </c>
      <c r="K43" s="276"/>
      <c r="L43" s="277">
        <v>0</v>
      </c>
      <c r="M43" s="278">
        <v>0</v>
      </c>
      <c r="N43" s="279">
        <f>(J43-(J43*L43/100)+((J43-(J43*L43/100))*M43/100))</f>
      </c>
      <c r="O43" s="280"/>
      <c r="P43" s="281"/>
      <c r="Q43" s="281"/>
      <c r="R43" s="281"/>
      <c r="S43" s="282"/>
      <c r="T43" s="283"/>
    </row>
    <row r="44" spans="1:16" ht="15.95" customHeight="1">
      <c r="A44" s="247"/>
      <c r="B44" s="247"/>
      <c r="C44" s="248"/>
      <c r="D44" s="248"/>
      <c r="I44" s="163"/>
      <c r="J44" s="58" t="s">
        <v>66</v>
      </c>
      <c r="K44" s="59"/>
      <c r="L44" s="58"/>
      <c r="M44" s="59"/>
      <c r="N44" s="264">
        <f>SUM(ItmPrice)</f>
      </c>
      <c r="O44" s="267"/>
      <c r="P44" s="268"/>
    </row>
    <row r="45" spans="1:16" ht="15" customHeight="1">
      <c r="A45" s="247"/>
      <c r="B45" s="247"/>
      <c r="C45" s="248"/>
      <c r="D45" s="248"/>
      <c r="I45" s="163"/>
      <c r="J45" s="123" t="s">
        <v>67</v>
      </c>
      <c r="K45" s="124"/>
      <c r="L45" s="124"/>
      <c r="M45" s="125"/>
      <c r="N45" s="264">
        <f>SUM(N40:N44)</f>
      </c>
      <c r="O45" s="265"/>
      <c r="P45" s="266"/>
    </row>
    <row r="46" spans="1:19" ht="2.25" customHeight="1" hidden="1">
      <c r="A46" s="258">
        <v>0</v>
      </c>
      <c r="B46" s="258">
        <v>0</v>
      </c>
      <c r="C46" s="259">
        <v>0</v>
      </c>
      <c r="D46" s="248"/>
      <c r="E46" s="248"/>
      <c r="F46" s="260">
        <v>1</v>
      </c>
      <c r="G46" s="248"/>
      <c r="H46" s="248"/>
      <c r="I46" s="248"/>
      <c r="J46" s="248"/>
      <c r="K46" s="261"/>
      <c r="L46" s="262">
        <v>0</v>
      </c>
      <c r="M46" s="263">
        <v>0</v>
      </c>
      <c r="N46" s="162" t="s">
        <v>68</v>
      </c>
      <c r="O46" s="257"/>
      <c r="P46" s="263">
        <v>995</v>
      </c>
      <c r="Q46" s="248" t="s">
        <v>69</v>
      </c>
      <c r="R46" s="248"/>
      <c r="S46" s="248"/>
    </row>
    <row r="47" spans="1:19" ht="18.75" customHeight="1">
      <c r="A47" s="247"/>
      <c r="B47" s="247"/>
      <c r="C47" s="247"/>
      <c r="H47" s="257"/>
      <c r="I47" s="163"/>
      <c r="J47" s="248"/>
      <c r="K47" s="248"/>
      <c r="L47" s="248"/>
      <c r="M47" s="248"/>
      <c r="N47" s="248"/>
      <c r="O47" s="248"/>
      <c r="P47" s="248"/>
      <c r="R47" s="248"/>
      <c r="S47" s="248"/>
    </row>
    <row r="48" spans="1:20" ht="127.5" customHeight="1">
      <c r="A48" s="249" t="s">
        <v>70</v>
      </c>
      <c r="B48" s="249"/>
      <c r="C48" s="249"/>
      <c r="D48" s="250"/>
      <c r="E48" s="254" t="s">
        <v>71</v>
      </c>
      <c r="F48" s="255"/>
      <c r="G48" s="255"/>
      <c r="H48" s="255"/>
      <c r="I48" s="255"/>
      <c r="J48" s="255"/>
      <c r="K48" s="255"/>
      <c r="L48" s="255"/>
      <c r="M48" s="255"/>
      <c r="N48" s="255"/>
      <c r="O48" s="255"/>
      <c r="P48" s="255"/>
      <c r="Q48" s="255"/>
      <c r="R48" s="255"/>
      <c r="S48" s="255"/>
      <c r="T48" s="256"/>
    </row>
    <row r="49" spans="1:20" ht="129.75" customHeight="1">
      <c r="A49" s="249" t="s">
        <v>38</v>
      </c>
      <c r="B49" s="249"/>
      <c r="C49" s="249"/>
      <c r="D49" s="250"/>
      <c r="E49" s="251" t="s">
        <v>168</v>
      </c>
      <c r="F49" s="252"/>
      <c r="G49" s="252"/>
      <c r="H49" s="252"/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3"/>
    </row>
    <row r="50" spans="1:19" ht="15.95" customHeight="1">
      <c r="A50" s="247"/>
      <c r="B50" s="247"/>
      <c r="C50" s="247"/>
      <c r="H50" s="248"/>
      <c r="I50" s="248"/>
      <c r="J50" s="248"/>
      <c r="K50" s="248"/>
      <c r="L50" s="248"/>
      <c r="M50" s="248"/>
      <c r="N50" s="248"/>
      <c r="O50" s="248"/>
      <c r="P50" s="248"/>
      <c r="Q50" s="248"/>
      <c r="R50" s="248"/>
      <c r="S50" s="248"/>
    </row>
    <row r="51" spans="1:20" ht="15.95" customHeight="1">
      <c r="A51" s="245" t="s">
        <v>72</v>
      </c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6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7.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7.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7.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12.7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7.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12.75" customHeight="1">
      <c r="A74" s="241"/>
      <c r="B74" s="241"/>
      <c r="C74" s="241"/>
      <c r="D74" s="241"/>
      <c r="E74" s="241"/>
      <c r="F74" s="241"/>
      <c r="G74" s="241"/>
      <c r="H74" s="241"/>
      <c r="I74" s="241"/>
      <c r="J74" s="241"/>
      <c r="K74" s="241"/>
      <c r="L74" s="241"/>
      <c r="M74" s="241"/>
      <c r="N74" s="241"/>
      <c r="O74" s="241"/>
      <c r="P74" s="241"/>
      <c r="Q74" s="241"/>
      <c r="R74" s="241"/>
      <c r="S74" s="241"/>
      <c r="T74" s="242"/>
    </row>
    <row r="75" spans="1:9" ht="12.75">
      <c r="A75" s="240" t="s">
        <v>73</v>
      </c>
      <c r="B75" s="240"/>
      <c r="C75" s="240"/>
      <c r="D75" s="240"/>
      <c r="E75" s="240"/>
      <c r="F75" s="240"/>
      <c r="G75" s="240"/>
      <c r="I75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01">
    <mergeCell ref="E48:S48"/>
    <mergeCell ref="E49:S49"/>
    <mergeCell ref="E51:S51"/>
    <mergeCell ref="A52:S73"/>
    <mergeCell ref="A74:S74"/>
    <mergeCell ref="A48:D48"/>
    <mergeCell ref="A49:D49"/>
    <mergeCell ref="K1:R1"/>
    <mergeCell ref="R19:S19"/>
    <mergeCell ref="R20:S20"/>
    <mergeCell ref="O40:S40"/>
    <mergeCell ref="O41:S41"/>
    <mergeCell ref="O39:S39"/>
    <mergeCell ref="J39:K39"/>
    <mergeCell ref="K4:L4"/>
    <mergeCell ref="M4:P4"/>
    <mergeCell ref="K5:L5"/>
    <mergeCell ref="M5:P5"/>
    <mergeCell ref="M7:Q7"/>
    <mergeCell ref="P20:Q20"/>
    <mergeCell ref="M12:O12"/>
    <mergeCell ref="K12:L12"/>
    <mergeCell ref="O44:P44"/>
    <mergeCell ref="O45:P45"/>
    <mergeCell ref="J45:M45"/>
    <mergeCell ref="O42:S42"/>
    <mergeCell ref="O43:S43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9:H39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C40:H40"/>
    <mergeCell ref="J40:K40"/>
    <mergeCell ref="C41:H41"/>
    <mergeCell ref="J41:K41"/>
    <mergeCell ref="C42:H42"/>
    <mergeCell ref="J42:K42"/>
    <mergeCell ref="C43:H43"/>
    <mergeCell ref="J43:K43"/>
  </mergeCells>
  <dataValidations count="82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list" allowBlank="1" showInputMessage="1" showErrorMessage="1" sqref="C40:H40">
      <formula1>'MasterData'!$H$1:$H$14</formula1>
    </dataValidation>
    <dataValidation type="list" allowBlank="1" showInputMessage="1" showErrorMessage="1" sqref="C41:H41">
      <formula1>'MasterData'!$H$1:$H$14</formula1>
    </dataValidation>
    <dataValidation type="list" allowBlank="1" showInputMessage="1" showErrorMessage="1" sqref="C42:H42">
      <formula1>'MasterData'!$H$1:$H$14</formula1>
    </dataValidation>
    <dataValidation type="list" allowBlank="1" showInputMessage="1" showErrorMessage="1" sqref="C43:H43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64</v>
      </c>
      <c r="M1" s="300" t="s">
        <v>74</v>
      </c>
      <c r="N1" s="301" t="s">
        <v>0</v>
      </c>
      <c r="O1" s="162" t="s">
        <v>75</v>
      </c>
    </row>
    <row r="2" spans="7:15" ht="12.75">
      <c r="G2" s="162">
        <v>1001310</v>
      </c>
      <c r="H2" s="162" t="s">
        <v>65</v>
      </c>
      <c r="M2" s="300" t="s">
        <v>76</v>
      </c>
      <c r="N2" s="301">
        <v>1020736565</v>
      </c>
      <c r="O2" s="162" t="s">
        <v>77</v>
      </c>
    </row>
    <row r="3" spans="7:15" ht="12.75">
      <c r="G3" s="162">
        <v>1012729</v>
      </c>
      <c r="H3" s="162" t="s">
        <v>78</v>
      </c>
      <c r="M3" s="300" t="s">
        <v>79</v>
      </c>
      <c r="N3" s="301">
        <v>99990000436090</v>
      </c>
      <c r="O3" s="162" t="s">
        <v>80</v>
      </c>
    </row>
    <row r="4" spans="7:15" ht="12.75">
      <c r="G4" s="162">
        <v>1012730</v>
      </c>
      <c r="H4" s="162" t="s">
        <v>81</v>
      </c>
      <c r="M4" s="300" t="s">
        <v>82</v>
      </c>
      <c r="N4" s="301">
        <v>1021854258</v>
      </c>
      <c r="O4" s="162" t="s">
        <v>83</v>
      </c>
    </row>
    <row r="5" spans="7:15" ht="12.75">
      <c r="G5" s="162">
        <v>1012731</v>
      </c>
      <c r="H5" s="162" t="s">
        <v>84</v>
      </c>
      <c r="M5" s="300" t="s">
        <v>85</v>
      </c>
      <c r="N5" s="301"/>
      <c r="O5" s="162" t="s">
        <v>86</v>
      </c>
    </row>
    <row r="6" spans="7:15" ht="12.75">
      <c r="G6" s="162">
        <v>1012732</v>
      </c>
      <c r="H6" s="162" t="s">
        <v>87</v>
      </c>
      <c r="M6" s="300" t="s">
        <v>88</v>
      </c>
      <c r="N6" s="301" t="s">
        <v>89</v>
      </c>
      <c r="O6" s="162" t="s">
        <v>90</v>
      </c>
    </row>
    <row r="7" spans="7:15" ht="12.75">
      <c r="G7" s="162">
        <v>1012733</v>
      </c>
      <c r="H7" s="162" t="s">
        <v>91</v>
      </c>
      <c r="M7" s="300" t="s">
        <v>92</v>
      </c>
      <c r="N7" s="301">
        <v>0</v>
      </c>
      <c r="O7" s="162" t="s">
        <v>93</v>
      </c>
    </row>
    <row r="8" spans="7:15" ht="12.75">
      <c r="G8" s="162">
        <v>1012735</v>
      </c>
      <c r="H8" s="162" t="s">
        <v>94</v>
      </c>
      <c r="O8" s="162" t="s">
        <v>95</v>
      </c>
    </row>
    <row r="9" spans="7:15" ht="12.75">
      <c r="G9" s="162">
        <v>1012736</v>
      </c>
      <c r="H9" s="162" t="s">
        <v>96</v>
      </c>
      <c r="O9" s="162" t="s">
        <v>97</v>
      </c>
    </row>
    <row r="10" spans="7:15" ht="12.75">
      <c r="G10" s="162">
        <v>1012737</v>
      </c>
      <c r="H10" s="162" t="s">
        <v>98</v>
      </c>
      <c r="O10" s="162" t="s">
        <v>99</v>
      </c>
    </row>
    <row r="11" spans="7:15" ht="12.75">
      <c r="G11" s="162">
        <v>1012741</v>
      </c>
      <c r="H11" s="162" t="s">
        <v>100</v>
      </c>
      <c r="O11" s="162" t="s">
        <v>101</v>
      </c>
    </row>
    <row r="12" spans="7:15" ht="12.75">
      <c r="G12" s="162">
        <v>1012742</v>
      </c>
      <c r="H12" s="162" t="s">
        <v>102</v>
      </c>
      <c r="O12" s="162" t="s">
        <v>103</v>
      </c>
    </row>
    <row r="13" spans="7:15" ht="12.75">
      <c r="G13" s="162">
        <v>1012743</v>
      </c>
      <c r="H13" s="162" t="s">
        <v>104</v>
      </c>
      <c r="O13" s="162" t="s">
        <v>105</v>
      </c>
    </row>
    <row r="14" spans="7:15" ht="12.75">
      <c r="G14" s="162">
        <v>1012744</v>
      </c>
      <c r="H14" s="162" t="s">
        <v>106</v>
      </c>
      <c r="O14" s="162" t="s">
        <v>107</v>
      </c>
    </row>
    <row r="15" ht="12.75">
      <c r="O15" s="162" t="s">
        <v>108</v>
      </c>
    </row>
    <row r="16" ht="12.75">
      <c r="O16" s="162" t="s">
        <v>109</v>
      </c>
    </row>
    <row r="17" ht="12.75">
      <c r="O17" s="162" t="s">
        <v>110</v>
      </c>
    </row>
    <row r="18" ht="12.75">
      <c r="O18" s="162" t="s">
        <v>111</v>
      </c>
    </row>
    <row r="19" ht="12.75">
      <c r="O19" s="162" t="s">
        <v>112</v>
      </c>
    </row>
    <row r="20" ht="12.75">
      <c r="O20" s="162" t="s">
        <v>113</v>
      </c>
    </row>
    <row r="21" ht="12.75">
      <c r="O21" s="162" t="s">
        <v>114</v>
      </c>
    </row>
    <row r="22" ht="12.75">
      <c r="O22" s="162" t="s">
        <v>115</v>
      </c>
    </row>
    <row r="23" ht="12.75">
      <c r="O23" s="162" t="s">
        <v>116</v>
      </c>
    </row>
    <row r="24" ht="12.75">
      <c r="O24" s="162" t="s">
        <v>117</v>
      </c>
    </row>
    <row r="25" ht="12.75">
      <c r="O25" s="162" t="s">
        <v>118</v>
      </c>
    </row>
    <row r="26" ht="12.75">
      <c r="O26" s="162" t="s">
        <v>119</v>
      </c>
    </row>
    <row r="27" ht="12.75">
      <c r="O27" s="162" t="s">
        <v>120</v>
      </c>
    </row>
    <row r="28" ht="12.75">
      <c r="O28" s="162" t="s">
        <v>121</v>
      </c>
    </row>
    <row r="29" ht="12.75">
      <c r="O29" s="162" t="s">
        <v>122</v>
      </c>
    </row>
    <row r="30" ht="12.75">
      <c r="O30" s="162" t="s">
        <v>123</v>
      </c>
    </row>
    <row r="31" ht="12.75">
      <c r="O31" s="162" t="s">
        <v>124</v>
      </c>
    </row>
    <row r="32" ht="12.75">
      <c r="O32" s="162" t="s">
        <v>125</v>
      </c>
    </row>
    <row r="33" ht="12.75">
      <c r="O33" s="162" t="s">
        <v>126</v>
      </c>
    </row>
    <row r="34" ht="12.75">
      <c r="O34" s="162" t="s">
        <v>127</v>
      </c>
    </row>
    <row r="35" ht="12.75">
      <c r="O35" s="162" t="s">
        <v>128</v>
      </c>
    </row>
    <row r="36" ht="12.75">
      <c r="O36" s="162" t="s">
        <v>129</v>
      </c>
    </row>
    <row r="37" ht="12.75">
      <c r="O37" s="162" t="s">
        <v>130</v>
      </c>
    </row>
    <row r="38" ht="12.75">
      <c r="O38" s="162" t="s">
        <v>131</v>
      </c>
    </row>
    <row r="39" ht="12.75">
      <c r="O39" s="162" t="s">
        <v>132</v>
      </c>
    </row>
    <row r="40" ht="12.75">
      <c r="O40" s="162" t="s">
        <v>133</v>
      </c>
    </row>
    <row r="41" ht="12.75">
      <c r="O41" s="162" t="s">
        <v>134</v>
      </c>
    </row>
    <row r="42" ht="12.75">
      <c r="O42" s="162" t="s">
        <v>135</v>
      </c>
    </row>
    <row r="43" ht="12.75">
      <c r="O43" s="162" t="s">
        <v>136</v>
      </c>
    </row>
    <row r="44" ht="12.75">
      <c r="O44" s="162" t="s">
        <v>137</v>
      </c>
    </row>
    <row r="45" ht="12.75">
      <c r="O45" s="162" t="s">
        <v>138</v>
      </c>
    </row>
    <row r="46" ht="12.75">
      <c r="O46" s="162" t="s">
        <v>139</v>
      </c>
    </row>
    <row r="47" ht="12.75">
      <c r="O47" s="162" t="s">
        <v>140</v>
      </c>
    </row>
    <row r="48" ht="12.75">
      <c r="O48" s="162" t="s">
        <v>141</v>
      </c>
    </row>
    <row r="49" ht="12.75">
      <c r="O49" s="162" t="s">
        <v>142</v>
      </c>
    </row>
    <row r="50" ht="12.75">
      <c r="O50" s="162" t="s">
        <v>143</v>
      </c>
    </row>
    <row r="51" ht="12.75">
      <c r="O51" s="162" t="s">
        <v>144</v>
      </c>
    </row>
    <row r="52" ht="12.75">
      <c r="O52" s="162" t="s">
        <v>145</v>
      </c>
    </row>
    <row r="53" ht="12.75">
      <c r="O53" s="162" t="s">
        <v>146</v>
      </c>
    </row>
    <row r="54" ht="12.75">
      <c r="O54" s="162" t="s">
        <v>147</v>
      </c>
    </row>
    <row r="55" ht="12.75">
      <c r="O55" s="162" t="s">
        <v>148</v>
      </c>
    </row>
    <row r="56" ht="12.75">
      <c r="O56" s="162" t="s">
        <v>149</v>
      </c>
    </row>
    <row r="57" ht="12.75">
      <c r="O57" s="162" t="s">
        <v>150</v>
      </c>
    </row>
    <row r="58" ht="12.75">
      <c r="O58" s="162" t="s">
        <v>151</v>
      </c>
    </row>
    <row r="59" ht="12.75">
      <c r="O59" s="162" t="s">
        <v>152</v>
      </c>
    </row>
    <row r="60" ht="12.75">
      <c r="O60" s="162" t="s">
        <v>153</v>
      </c>
    </row>
    <row r="61" ht="12.75">
      <c r="O61" s="162" t="s">
        <v>154</v>
      </c>
    </row>
    <row r="62" ht="12.75">
      <c r="O62" s="162" t="s">
        <v>155</v>
      </c>
    </row>
    <row r="63" ht="12.75">
      <c r="O63" s="162" t="s">
        <v>156</v>
      </c>
    </row>
    <row r="64" ht="12.75">
      <c r="O64" s="162" t="s">
        <v>157</v>
      </c>
    </row>
    <row r="65" ht="12.75">
      <c r="O65" s="162" t="s">
        <v>158</v>
      </c>
    </row>
    <row r="66" ht="12.75">
      <c r="O66" s="162" t="s">
        <v>159</v>
      </c>
    </row>
    <row r="67" ht="12.75">
      <c r="O67" s="162" t="s">
        <v>160</v>
      </c>
    </row>
    <row r="68" ht="12.75">
      <c r="O68" s="162" t="s">
        <v>161</v>
      </c>
    </row>
    <row r="69" ht="12.75">
      <c r="O69" s="162" t="s">
        <v>162</v>
      </c>
    </row>
    <row r="70" ht="12.75">
      <c r="O70" s="162" t="s">
        <v>163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