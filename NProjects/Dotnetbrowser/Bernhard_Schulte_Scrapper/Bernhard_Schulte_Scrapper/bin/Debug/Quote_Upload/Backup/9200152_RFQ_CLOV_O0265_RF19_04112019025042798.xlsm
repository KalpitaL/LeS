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Quote!$A$1:$R$97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Quote!$A$78</definedName>
    <definedName name="Enquiry_To_Vendor_ID" comment="Enquiry to Vendor ID">Quote!$C$78</definedName>
    <definedName name="GrandTotal">Quote!$N$77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Quote!$A$70</definedName>
    <definedName name="ItemListStartupRow" comment="Item List Start Up Row">Quote!$A$19</definedName>
    <definedName name="ItemSubTotal">Quote!$N$76</definedName>
    <definedName name="ItemSubTotalTitle">Quote!$J$76</definedName>
    <definedName name="LeadDay">Quote!$M$11</definedName>
    <definedName name="Lock">Quote!$M$78</definedName>
    <definedName name="LoggedInEmailID">Quote!$N$78</definedName>
    <definedName name="LoggedInPwd">Quote!$O$78</definedName>
    <definedName name="OtherCharges">Quote!$C$72</definedName>
    <definedName name="OtherChargesLastRow">Quote!$A$76</definedName>
    <definedName name="OtherChargesStartRow">Quote!$A$71</definedName>
    <definedName name="Port">Quote!$P$78</definedName>
    <definedName name="PortOfDelivery" comment="Port of Delivery">Quote!$M$9</definedName>
    <definedName name="PurchaserName">Quote!$J$78</definedName>
    <definedName name="QuoteBefore">Quote!$M$8</definedName>
    <definedName name="QuoteID">MasterData!$N$7</definedName>
    <definedName name="QuoteSubject">Quote!$E$78</definedName>
    <definedName name="Remarks">Quote!$E$80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Quote!$K$78</definedName>
    <definedName name="SentIndex">Quote!$L$78</definedName>
    <definedName name="Server">Quote!$Q$78</definedName>
    <definedName name="Terms">Quote!$A$84:$T$105</definedName>
    <definedName name="ToEmailID">Quote!$I$78</definedName>
    <definedName name="ToEmailPwd">Quote!$H$78</definedName>
    <definedName name="VAL">Quote!$F$78</definedName>
    <definedName name="VAT_All">Quote!$M$16</definedName>
    <definedName name="Vendor_ID" comment="Vendor ID">Quote!$B$78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Quote!$D$78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Quote!$E$81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</definedName>
  </definedNames>
  <calcPr fullCalcOnLoad="1"/>
</workbook>
</file>

<file path=xl/sharedStrings.xml><?xml version="1.0" encoding="utf-8"?>
<sst xmlns="http://schemas.openxmlformats.org/spreadsheetml/2006/main" count="296" uniqueCount="230">
  <si>
    <t>RFQ</t>
  </si>
  <si>
    <t>Request for Quote</t>
  </si>
  <si>
    <t>Invoice To</t>
  </si>
  <si>
    <t xml:space="preserve">Bernhard Schulte Shipmanagement (India) Private Ltd.
 MASTER &amp; OWNER OF CLOVER
 REGD. OWNER:  FULTON  CLOVER LIMITED
 C/O BERNHARD SCHULTE SHIPMANGEMENT (L) LTD. (AS AGENTS ONLY)
 C/O : BERNHARD SCHULTE SHIPMANGEMENT (I) PVT LTD. (AS AGENTS ONLY)
 401, OLYMPIA, HIRANANDANI GARDENS
 POWAI, MUMBAI. PINCODE : 4000076.
 TEL: +91 22 40017300
 FAX: +91 22 40017333
 NOTE : PLEASE NOTE INVOICES WILL BE ACCEPTED ONLY IN SOFT COPIES.
 EMAIL : in-smc-invoices@bs-shipmanagement.com
</t>
  </si>
  <si>
    <t>Vessel</t>
  </si>
  <si>
    <t xml:space="preserve">Clover </t>
  </si>
  <si>
    <t>RFQ No.</t>
  </si>
  <si>
    <t>CLOV/O0265/RF19</t>
  </si>
  <si>
    <t>RFQ Date</t>
  </si>
  <si>
    <t>Submit Quote Before:</t>
  </si>
  <si>
    <t>Port of Delivery</t>
  </si>
  <si>
    <t xml:space="preserve">Nansha Pt 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</si>
  <si>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</si>
  <si>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</si>
  <si>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</si>
  <si>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</si>
  <si>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</si>
  <si>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</si>
  <si>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</si>
  <si>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</si>
  <si>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</si>
  <si>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</si>
  <si>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</si>
  <si>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</si>
  <si>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</si>
  <si>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</si>
  <si>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</si>
  <si>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</si>
  <si>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</si>
  <si>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</si>
  <si>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</si>
  <si>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</si>
  <si>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</si>
  <si>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</si>
  <si>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</si>
  <si>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</si>
  <si>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</si>
  <si>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</si>
  <si>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</si>
  <si>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</si>
  <si>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HYDROCORTISONE OINTMENT 1%, 30GRM TUBE To treat allergy and some other inflammatory skin conditions.</t>
  </si>
  <si>
    <t>PCS</t>
  </si>
  <si>
    <t>IBUPROFEN COATED TABLET400 MG To treat inflammation.  To reduce mild-to-moderate pain, especially if associated with inflammation</t>
  </si>
  <si>
    <t>BTL</t>
  </si>
  <si>
    <t>METRONIDAZOLE TABLET 500 MG To treat infections responsive to antibiotics</t>
  </si>
  <si>
    <t>MICONAZOLE NITRATE 2% VAGINAL, CREAM IN 80GM CONTAINER To treat fungal skin infections.  If women on board, supply also Miconazole vaginal cream.</t>
  </si>
  <si>
    <t>MIDAZOLAM AMPOULE 1 ML, (= 5 MG)  To terminate epileptic fits.</t>
  </si>
  <si>
    <t>MISOPROSTOL TABLET 200 MICRO G To prevent post-partum haemorrhage.  If women on board</t>
  </si>
  <si>
    <t>MORPHINE (ORAL) LIQUID 1 MG/ML, 100ML To reduce severe pain likely to last several days in patients able to eat and drink</t>
  </si>
  <si>
    <t>OMEPRAZOLE TABLET 20 MG To treat gastro-oesophageal reflux   To treat peptic ulcer disease</t>
  </si>
  <si>
    <t>OXYMETAZOLINE 0.5%, (OR EQUIVALENT)  To treat nasal obstruction due to allergies or viral infection.  To improve sinus drainage in sinusitis</t>
  </si>
  <si>
    <t>PARACETAMOL TABLET 500MG  To reduce pain and fever (but not inflammation)</t>
  </si>
  <si>
    <t>Permethrin 1% lotion 250 ml</t>
  </si>
  <si>
    <t>POVIDONE IODINE OINTMENT 10%, AND SOLUTION 10% 25 TO 50G  To disinfect skin and wounds.</t>
  </si>
  <si>
    <t>PROVIDONE IODINE SOLUTION 10%, 30 TO 120ML To disinfect skin and wounds.</t>
  </si>
  <si>
    <t>PREDNISONE TABLET 25 MG To treat severe asthma.   To treat other inflammatory conditions (on medical advice)</t>
  </si>
  <si>
    <t>SALBUTAMOL AEROSOL INHALER, UNIT To treat asthma.  To treat chronic bronchitis.  To treat emphysema.  To treat other lung diseases</t>
  </si>
  <si>
    <t>SODIUM CHLORIDE INJECTION, 0.9% 1000ML For fluid replacement.  Can also be used for sterile eye irrigation</t>
  </si>
  <si>
    <t>TETRACYCLINE 1% OINTMENT 5G To treat minor eye infections;  To prevent infections following damage to the cornea.</t>
  </si>
  <si>
    <t>TRAMADOL TABLET 50MG Against moderate pain; See pages 22-23.  In severe pain use morphine; See pages 17-25</t>
  </si>
  <si>
    <t>VITAMIN K AMPOULE 1 ML = 10 MG To reverse excessive or unwanted effects of warfarin or related drugs.</t>
  </si>
  <si>
    <t>GAUZE STERILE COMPRESSES, 5 CM X 5 CM Sterile gauze compresses</t>
  </si>
  <si>
    <t>GAUZE STERILE COMPRESSES, 10 CM X 10 CM Sterile gauze compresses</t>
  </si>
  <si>
    <t>GAUZE TUBULAR FOR FINGER, BANDAGE 5 M  Tubular gauze for finger bandage</t>
  </si>
  <si>
    <t>GLOVES SURGICAL STERILE, SIZE 7.5 Gloves (sterile)</t>
  </si>
  <si>
    <t>PRS</t>
  </si>
  <si>
    <t>EYE PATCH -</t>
  </si>
  <si>
    <t>ARTEMETHER AMPOULE 1 ML, (= 80 MG)  Treatment of severe malaria.   Required only for voyages to areas where malaria transmission is a risk.</t>
  </si>
  <si>
    <t>AZITHROMYCIN TABLET 500 MG To treat infections responsive to this antibiotics</t>
  </si>
  <si>
    <t>CHARCOAL, ACTIVATED 50 G, IN 300 ML PURIFIED WATER To absorb ingested poisons.</t>
  </si>
  <si>
    <t>CLOVES, OIL OF 10ML Toothache</t>
  </si>
  <si>
    <t>SEDATIVE TABLET (DIAZEPAM), 50MG 100TAB To treat alcohol withdrawal.</t>
  </si>
  <si>
    <t>DOCUSATE WITH SENNA TABLET, 50MG + 8MG To avoid straining in patients with anal fissure and haemorrhoids.  To prevent constipation caused by opioid use</t>
  </si>
  <si>
    <t>ETHANOL 70% HAND CLEANSER GEL, 250ML An alternative to hand-washing when hands are not obviously soiled.</t>
  </si>
  <si>
    <t>AMETHOCAINE 0.5% EYE DROPS, SINGLE-USE VIAL 1 ML For eye examination and procedures</t>
  </si>
  <si>
    <t>AMOXICILLIN + CALVULANATE, TABLET 875 MG / 125 MG To treat infections responsive to this antibiotic</t>
  </si>
  <si>
    <t>ANTIMALARIAL PROPHYLAXIS, (PREVENTION) TABLET  Prophylaxis and treatment of Malaria as recommended by www.who.int/malaria/publications.html or www.cdc.gov/travel/regionalmalar</t>
  </si>
  <si>
    <t>EA</t>
  </si>
  <si>
    <t>SUTURE STRIP NON-STITCH, 2.5CM X 9.1MTR 12RLS Supplied in packs of 12 rolls.</t>
  </si>
  <si>
    <t>PKT</t>
  </si>
  <si>
    <t>BURN OINTMENT 15GRM For burns, minor cuts and bruises.</t>
  </si>
  <si>
    <t>TUB</t>
  </si>
  <si>
    <t>ATHLETE'S FOOT OINTMENT 30GRM Used in treating fungal infections of the skin.  For external use only.</t>
  </si>
  <si>
    <t>COUGH LINCTUS 60ML Cough suppressant and expectorant.</t>
  </si>
  <si>
    <t>EAR DROP 15ML For otitis media and internal and external otitis.</t>
  </si>
  <si>
    <t>EYE WASH 330ML For irrigating or flushing the eye to wash away foreign particles, mucous secretions, and fluorescein die used in diagnosis.</t>
  </si>
  <si>
    <t>HEMORRHOIDAL OINTMENT 15GRM For internal and external hemorrhoids, bleeding, and anal fistula.</t>
  </si>
  <si>
    <t>BANDAGE TRIANGULAR 90X105CM One 90 x 105 cm sized bandage furnished per packet.</t>
  </si>
  <si>
    <t>BANDAGE CREPE 7.5CMX9MTR Available in 5, 7.5 and 10 cm width with 9 mtrs of bandage per roll.</t>
  </si>
  <si>
    <t>RLS</t>
  </si>
  <si>
    <t>BANDAGE GAUZE 5CMX9MTR Available in 2.5 to 10 cm width with a  length of 9 mtrs.  Contains 12 rolls in a packet.</t>
  </si>
  <si>
    <t>AMPICILLIN CAPSULE 250MG, 100CAP For chest  infections, urinary and gastrointestinal infections, and infections of the tonsils and throat.  Give only upon radio</t>
  </si>
  <si>
    <t>ANTACID TABLET 120TAB For heartburn, upset stomach, and acid indigestion.</t>
  </si>
  <si>
    <t>ANTISEPTIC POWDER 10GRMX5BTL For secondary infections from burns and superficial suppurative skin diseases.</t>
  </si>
  <si>
    <t>SHEET STERILE FOR BURN VICTIMS Sterile sheet for burn victims.</t>
  </si>
  <si>
    <t>GAUZE ROLL 5CM AND 90 CM, OR 60 CM X 100 M Gauze roll  60 cm/90 cm may be substituted by gauze roll of smaller size</t>
  </si>
  <si>
    <t>ERYTHROMYCIN 250MG TABLET, FOR U.K. SHIPS -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</si>
  <si>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</si>
  <si>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</si>
  <si>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</si>
  <si>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</si>
  <si>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</si>
  <si>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</si>
  <si>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</si>
  <si>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</si>
  <si>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</si>
  <si>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</si>
  <si>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</si>
  <si>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</si>
  <si>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</si>
  <si>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</si>
  <si>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</si>
  <si>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</si>
  <si>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</si>
  <si>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</si>
  <si>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</si>
  <si>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</si>
  <si>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</si>
  <si>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</si>
  <si>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</si>
  <si>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</si>
  <si>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</si>
  <si>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</si>
  <si>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</si>
  <si>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MEDICAL STORES &amp; EQUIPMENT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</si>
  <si>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</si>
  <si>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</si>
  <si>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</si>
  <si>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</si>
  <si>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</si>
  <si>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</si>
  <si>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</si>
  <si>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</si>
  <si>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</si>
  <si>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</si>
  <si>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</si>
  <si>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</si>
  <si>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</si>
  <si>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</si>
  <si>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</si>
  <si>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</si>
  <si>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</si>
  <si>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</si>
  <si>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</si>
  <si>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</si>
  <si>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</si>
  <si>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</si>
  <si>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</si>
  <si>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</si>
  <si>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</si>
  <si>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</si>
  <si>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</si>
  <si>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</si>
  <si>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</si>
  <si>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</si>
  <si>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</si>
  <si>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</si>
  <si>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</si>
  <si>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</si>
  <si>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</si>
  <si>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</si>
  <si>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</si>
  <si>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</si>
  <si>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</si>
  <si>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</si>
  <si>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</si>
  <si>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</si>
  <si>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</si>
  <si>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</si>
  <si>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</si>
  <si>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</si>
  <si>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</si>
  <si>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</si>
  <si>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</si>
  <si>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</si>
  <si>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</si>
  <si>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</si>
  <si>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</si>
  <si>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</si>
  <si>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</si>
  <si>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</si>
  <si>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</si>
  <si>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</si>
  <si>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</si>
  <si>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</si>
  <si>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</si>
  <si>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</si>
  <si>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</si>
  <si>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</si>
  <si>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</si>
  <si>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</si>
  <si>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</si>
  <si>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</si>
  <si>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</si>
  <si>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</si>
  <si>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</si>
  <si>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</si>
  <si>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</si>
  <si>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</si>
  <si>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BJD191104150544LET</t>
  </si>
  <si>
    <t>100mg</t>
  </si>
  <si>
    <t>10btl</t>
  </si>
  <si>
    <t>1box</t>
  </si>
  <si>
    <t>200ug*1s</t>
  </si>
  <si>
    <t>Nefopam  Hydrochloride Tablets 20mg*100's</t>
  </si>
  <si>
    <t>1s</t>
  </si>
  <si>
    <t>Sulfur Ointment  250g</t>
  </si>
  <si>
    <t>15g+local 100ml</t>
  </si>
  <si>
    <t>100ml local</t>
  </si>
  <si>
    <t>5mg*1s</t>
  </si>
  <si>
    <t>"local 2g"</t>
  </si>
  <si>
    <t>Diclofenac Sodium Tablets 25mg*1's</t>
  </si>
  <si>
    <t>"20m"</t>
  </si>
  <si>
    <t>250mg</t>
  </si>
  <si>
    <t>2btl</t>
  </si>
  <si>
    <t>Oryzanol tablets 10mg*1s</t>
  </si>
  <si>
    <t>Phenolphthalein Tablets  100mg*1s</t>
  </si>
  <si>
    <t>250ml，total supply 2btl，500ml/btl</t>
  </si>
  <si>
    <t>156.25mg*1s</t>
  </si>
  <si>
    <t>Compound Artemether Tablets20/120mg*24s</t>
  </si>
  <si>
    <t>2.5cm*4m*12s</t>
  </si>
  <si>
    <t>20g</t>
  </si>
  <si>
    <t>Terbinafine  ointment 10g</t>
  </si>
  <si>
    <t>qianglipipalu 100ml</t>
  </si>
  <si>
    <t>7.5cm*9m*1s</t>
  </si>
  <si>
    <t>5cm*9m*1s</t>
  </si>
  <si>
    <t>10box</t>
  </si>
  <si>
    <t>5cm*9m+80cm*10m</t>
  </si>
  <si>
    <t>1btl,DELIVERY TIME 3-4 WORKING DAYS FOR ALL ABV ITEMS</t>
  </si>
  <si>
    <t xml:space="preserve">
Date promised : 2019-11-08
Quote validity : 2019-12-05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</si>
</sst>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107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43773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43773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43776.50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199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192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99990010835024</v>
      </c>
      <c r="C20" s="227">
        <v>390644</v>
      </c>
      <c r="D20" s="228" t="s">
        <v>40</v>
      </c>
      <c r="E20" s="229"/>
      <c r="F20" s="229">
        <v>390644</v>
      </c>
      <c r="G20" s="229" t="s">
        <v>41</v>
      </c>
      <c r="H20" s="230">
        <v>0</v>
      </c>
      <c r="I20" s="231">
        <v>5</v>
      </c>
      <c r="J20" s="232">
        <v>1.56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99990010835025</v>
      </c>
      <c r="C21" s="227">
        <v>391726</v>
      </c>
      <c r="D21" s="228" t="s">
        <v>42</v>
      </c>
      <c r="E21" s="229"/>
      <c r="F21" s="229">
        <v>391726</v>
      </c>
      <c r="G21" s="229" t="s">
        <v>43</v>
      </c>
      <c r="H21" s="230">
        <v>0</v>
      </c>
      <c r="I21" s="231">
        <v>200</v>
      </c>
      <c r="J21" s="232">
        <v>0.01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200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99990010835032</v>
      </c>
      <c r="C22" s="227">
        <v>391732</v>
      </c>
      <c r="D22" s="228" t="s">
        <v>44</v>
      </c>
      <c r="E22" s="229"/>
      <c r="F22" s="229">
        <v>391732</v>
      </c>
      <c r="G22" s="229" t="s">
        <v>43</v>
      </c>
      <c r="H22" s="230">
        <v>0</v>
      </c>
      <c r="I22" s="231">
        <v>10</v>
      </c>
      <c r="J22" s="232">
        <v>1.08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201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99990010835033</v>
      </c>
      <c r="C23" s="227">
        <v>390652</v>
      </c>
      <c r="D23" s="228" t="s">
        <v>45</v>
      </c>
      <c r="E23" s="229"/>
      <c r="F23" s="229">
        <v>390652</v>
      </c>
      <c r="G23" s="229" t="s">
        <v>41</v>
      </c>
      <c r="H23" s="230">
        <v>0</v>
      </c>
      <c r="I23" s="231">
        <v>6</v>
      </c>
      <c r="J23" s="232">
        <v>1.08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99990010835034</v>
      </c>
      <c r="C24" s="227">
        <v>391734</v>
      </c>
      <c r="D24" s="228" t="s">
        <v>46</v>
      </c>
      <c r="E24" s="229"/>
      <c r="F24" s="229">
        <v>391734</v>
      </c>
      <c r="G24" s="229" t="s">
        <v>43</v>
      </c>
      <c r="H24" s="230">
        <v>0</v>
      </c>
      <c r="I24" s="231">
        <v>10</v>
      </c>
      <c r="J24" s="232">
        <v>0.19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202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99990010835035</v>
      </c>
      <c r="C25" s="227">
        <v>391735</v>
      </c>
      <c r="D25" s="228" t="s">
        <v>47</v>
      </c>
      <c r="E25" s="229"/>
      <c r="F25" s="229">
        <v>391735</v>
      </c>
      <c r="G25" s="229" t="s">
        <v>43</v>
      </c>
      <c r="H25" s="230">
        <v>0</v>
      </c>
      <c r="I25" s="231">
        <v>10</v>
      </c>
      <c r="J25" s="232">
        <v>1.92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203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99990010835037</v>
      </c>
      <c r="C26" s="227">
        <v>391737</v>
      </c>
      <c r="D26" s="228" t="s">
        <v>48</v>
      </c>
      <c r="E26" s="229"/>
      <c r="F26" s="229">
        <v>391737</v>
      </c>
      <c r="G26" s="229" t="s">
        <v>43</v>
      </c>
      <c r="H26" s="230">
        <v>0</v>
      </c>
      <c r="I26" s="231">
        <v>1</v>
      </c>
      <c r="J26" s="232">
        <v>2.85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204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99990010835039</v>
      </c>
      <c r="C27" s="227">
        <v>391739</v>
      </c>
      <c r="D27" s="228" t="s">
        <v>49</v>
      </c>
      <c r="E27" s="229"/>
      <c r="F27" s="229">
        <v>391739</v>
      </c>
      <c r="G27" s="229" t="s">
        <v>43</v>
      </c>
      <c r="H27" s="230">
        <v>0</v>
      </c>
      <c r="I27" s="231">
        <v>60</v>
      </c>
      <c r="J27" s="232">
        <v>0.09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205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99990010835043</v>
      </c>
      <c r="C28" s="227">
        <v>391742</v>
      </c>
      <c r="D28" s="228" t="s">
        <v>50</v>
      </c>
      <c r="E28" s="229"/>
      <c r="F28" s="229">
        <v>391742</v>
      </c>
      <c r="G28" s="229" t="s">
        <v>43</v>
      </c>
      <c r="H28" s="230">
        <v>0</v>
      </c>
      <c r="I28" s="231">
        <v>4</v>
      </c>
      <c r="J28" s="232">
        <v>1.48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99990010835044</v>
      </c>
      <c r="C29" s="227">
        <v>390660</v>
      </c>
      <c r="D29" s="228" t="s">
        <v>51</v>
      </c>
      <c r="E29" s="229"/>
      <c r="F29" s="229">
        <v>390660</v>
      </c>
      <c r="G29" s="229" t="s">
        <v>41</v>
      </c>
      <c r="H29" s="230">
        <v>0</v>
      </c>
      <c r="I29" s="231">
        <v>50</v>
      </c>
      <c r="J29" s="232">
        <v>0.02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205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99990014679485</v>
      </c>
      <c r="C30" s="227">
        <v>2950127</v>
      </c>
      <c r="D30" s="228" t="s">
        <v>52</v>
      </c>
      <c r="E30" s="229"/>
      <c r="F30" s="229">
        <v>391744</v>
      </c>
      <c r="G30" s="229" t="s">
        <v>43</v>
      </c>
      <c r="H30" s="230">
        <v>0</v>
      </c>
      <c r="I30" s="231">
        <v>1</v>
      </c>
      <c r="J30" s="232">
        <v>2.85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206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99990010835047</v>
      </c>
      <c r="C31" s="227">
        <v>391746</v>
      </c>
      <c r="D31" s="228" t="s">
        <v>53</v>
      </c>
      <c r="E31" s="229"/>
      <c r="F31" s="229">
        <v>391746</v>
      </c>
      <c r="G31" s="229" t="s">
        <v>43</v>
      </c>
      <c r="H31" s="230">
        <v>0</v>
      </c>
      <c r="I31" s="231">
        <v>10</v>
      </c>
      <c r="J31" s="232">
        <v>1.6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207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99990010835048</v>
      </c>
      <c r="C32" s="227">
        <v>391748</v>
      </c>
      <c r="D32" s="228" t="s">
        <v>54</v>
      </c>
      <c r="E32" s="229"/>
      <c r="F32" s="229">
        <v>391748</v>
      </c>
      <c r="G32" s="229" t="s">
        <v>43</v>
      </c>
      <c r="H32" s="230">
        <v>0</v>
      </c>
      <c r="I32" s="231">
        <v>10</v>
      </c>
      <c r="J32" s="232">
        <v>0.46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208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99990010835049</v>
      </c>
      <c r="C33" s="227">
        <v>391747</v>
      </c>
      <c r="D33" s="228" t="s">
        <v>55</v>
      </c>
      <c r="E33" s="229"/>
      <c r="F33" s="229">
        <v>391747</v>
      </c>
      <c r="G33" s="229" t="s">
        <v>43</v>
      </c>
      <c r="H33" s="230">
        <v>0</v>
      </c>
      <c r="I33" s="231">
        <v>30</v>
      </c>
      <c r="J33" s="232">
        <v>0.03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209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99990010835051</v>
      </c>
      <c r="C34" s="227">
        <v>390672</v>
      </c>
      <c r="D34" s="228" t="s">
        <v>56</v>
      </c>
      <c r="E34" s="229"/>
      <c r="F34" s="229">
        <v>390672</v>
      </c>
      <c r="G34" s="229" t="s">
        <v>41</v>
      </c>
      <c r="H34" s="230">
        <v>0</v>
      </c>
      <c r="I34" s="231">
        <v>2</v>
      </c>
      <c r="J34" s="232">
        <v>3.95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99990010835053</v>
      </c>
      <c r="C35" s="227">
        <v>390673</v>
      </c>
      <c r="D35" s="228" t="s">
        <v>57</v>
      </c>
      <c r="E35" s="229"/>
      <c r="F35" s="229">
        <v>390673</v>
      </c>
      <c r="G35" s="229" t="s">
        <v>43</v>
      </c>
      <c r="H35" s="230">
        <v>0</v>
      </c>
      <c r="I35" s="231">
        <v>5</v>
      </c>
      <c r="J35" s="232">
        <v>1.08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99990010835055</v>
      </c>
      <c r="C36" s="227">
        <v>391750</v>
      </c>
      <c r="D36" s="228" t="s">
        <v>58</v>
      </c>
      <c r="E36" s="229"/>
      <c r="F36" s="229">
        <v>391750</v>
      </c>
      <c r="G36" s="229" t="s">
        <v>43</v>
      </c>
      <c r="H36" s="230">
        <v>0</v>
      </c>
      <c r="I36" s="231">
        <v>2</v>
      </c>
      <c r="J36" s="232">
        <v>1.03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210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99990010835058</v>
      </c>
      <c r="C37" s="227">
        <v>391725</v>
      </c>
      <c r="D37" s="228" t="s">
        <v>59</v>
      </c>
      <c r="E37" s="229"/>
      <c r="F37" s="229">
        <v>391725</v>
      </c>
      <c r="G37" s="229" t="s">
        <v>43</v>
      </c>
      <c r="H37" s="230">
        <v>0</v>
      </c>
      <c r="I37" s="231">
        <v>50</v>
      </c>
      <c r="J37" s="232">
        <v>0.02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211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99990010835059</v>
      </c>
      <c r="C38" s="227">
        <v>391751</v>
      </c>
      <c r="D38" s="228" t="s">
        <v>60</v>
      </c>
      <c r="E38" s="229"/>
      <c r="F38" s="229">
        <v>391751</v>
      </c>
      <c r="G38" s="229" t="s">
        <v>43</v>
      </c>
      <c r="H38" s="230">
        <v>0</v>
      </c>
      <c r="I38" s="231">
        <v>10</v>
      </c>
      <c r="J38" s="232">
        <v>4.56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99990010835075</v>
      </c>
      <c r="C39" s="227">
        <v>391811</v>
      </c>
      <c r="D39" s="228" t="s">
        <v>61</v>
      </c>
      <c r="E39" s="229"/>
      <c r="F39" s="229">
        <v>391811</v>
      </c>
      <c r="G39" s="229" t="s">
        <v>41</v>
      </c>
      <c r="H39" s="230">
        <v>0</v>
      </c>
      <c r="I39" s="231">
        <v>50</v>
      </c>
      <c r="J39" s="232">
        <v>0.08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99990010835076</v>
      </c>
      <c r="C40" s="227">
        <v>391812</v>
      </c>
      <c r="D40" s="228" t="s">
        <v>62</v>
      </c>
      <c r="E40" s="229"/>
      <c r="F40" s="229">
        <v>391812</v>
      </c>
      <c r="G40" s="229" t="s">
        <v>41</v>
      </c>
      <c r="H40" s="230">
        <v>0</v>
      </c>
      <c r="I40" s="231">
        <v>30</v>
      </c>
      <c r="J40" s="232">
        <v>0.1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99990010835084</v>
      </c>
      <c r="C41" s="227">
        <v>391818</v>
      </c>
      <c r="D41" s="228" t="s">
        <v>63</v>
      </c>
      <c r="E41" s="229"/>
      <c r="F41" s="229">
        <v>391818</v>
      </c>
      <c r="G41" s="229" t="s">
        <v>41</v>
      </c>
      <c r="H41" s="230">
        <v>0</v>
      </c>
      <c r="I41" s="231">
        <v>1</v>
      </c>
      <c r="J41" s="232">
        <v>1.94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212</v>
      </c>
      <c r="Q41" s="236"/>
      <c r="R41" s="237"/>
      <c r="S41" s="238"/>
      <c r="T41" s="239"/>
    </row>
    <row r="42" spans="1:20" ht="24" customHeight="1">
      <c r="A42" s="226">
        <v>23</v>
      </c>
      <c r="B42" s="226">
        <v>99990010835101</v>
      </c>
      <c r="C42" s="227">
        <v>391863</v>
      </c>
      <c r="D42" s="228" t="s">
        <v>64</v>
      </c>
      <c r="E42" s="229"/>
      <c r="F42" s="229">
        <v>391863</v>
      </c>
      <c r="G42" s="229" t="s">
        <v>65</v>
      </c>
      <c r="H42" s="230">
        <v>0</v>
      </c>
      <c r="I42" s="231">
        <v>20</v>
      </c>
      <c r="J42" s="232">
        <v>0.41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99990010835103</v>
      </c>
      <c r="C43" s="227">
        <v>391250</v>
      </c>
      <c r="D43" s="228" t="s">
        <v>66</v>
      </c>
      <c r="E43" s="229"/>
      <c r="F43" s="229">
        <v>391250</v>
      </c>
      <c r="G43" s="229" t="s">
        <v>41</v>
      </c>
      <c r="H43" s="230">
        <v>0</v>
      </c>
      <c r="I43" s="231">
        <v>10</v>
      </c>
      <c r="J43" s="232">
        <v>0.57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99990010835005</v>
      </c>
      <c r="C44" s="227">
        <v>391706</v>
      </c>
      <c r="D44" s="228" t="s">
        <v>67</v>
      </c>
      <c r="E44" s="229"/>
      <c r="F44" s="229">
        <v>391706</v>
      </c>
      <c r="G44" s="229" t="s">
        <v>43</v>
      </c>
      <c r="H44" s="230">
        <v>0</v>
      </c>
      <c r="I44" s="231">
        <v>5</v>
      </c>
      <c r="J44" s="232">
        <v>2.51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99990010835008</v>
      </c>
      <c r="C45" s="227">
        <v>391709</v>
      </c>
      <c r="D45" s="228" t="s">
        <v>68</v>
      </c>
      <c r="E45" s="229"/>
      <c r="F45" s="229">
        <v>391709</v>
      </c>
      <c r="G45" s="229" t="s">
        <v>43</v>
      </c>
      <c r="H45" s="230">
        <v>0</v>
      </c>
      <c r="I45" s="231">
        <v>20</v>
      </c>
      <c r="J45" s="232">
        <v>0.21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 t="s">
        <v>213</v>
      </c>
      <c r="Q45" s="236"/>
      <c r="R45" s="237"/>
      <c r="S45" s="238"/>
      <c r="T45" s="239"/>
    </row>
    <row r="46" spans="1:20" ht="24" customHeight="1">
      <c r="A46" s="226">
        <v>27</v>
      </c>
      <c r="B46" s="226">
        <v>99990010835011</v>
      </c>
      <c r="C46" s="227">
        <v>391712</v>
      </c>
      <c r="D46" s="228" t="s">
        <v>69</v>
      </c>
      <c r="E46" s="229"/>
      <c r="F46" s="229">
        <v>391712</v>
      </c>
      <c r="G46" s="229" t="s">
        <v>43</v>
      </c>
      <c r="H46" s="230">
        <v>0</v>
      </c>
      <c r="I46" s="231">
        <v>2</v>
      </c>
      <c r="J46" s="232">
        <v>8.38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214</v>
      </c>
      <c r="Q46" s="236"/>
      <c r="R46" s="237"/>
      <c r="S46" s="238"/>
      <c r="T46" s="239"/>
    </row>
    <row r="47" spans="1:20" ht="24" customHeight="1">
      <c r="A47" s="226">
        <v>28</v>
      </c>
      <c r="B47" s="226">
        <v>99990010835013</v>
      </c>
      <c r="C47" s="227">
        <v>391714</v>
      </c>
      <c r="D47" s="228" t="s">
        <v>70</v>
      </c>
      <c r="E47" s="229"/>
      <c r="F47" s="229">
        <v>391714</v>
      </c>
      <c r="G47" s="229" t="s">
        <v>43</v>
      </c>
      <c r="H47" s="230">
        <v>0</v>
      </c>
      <c r="I47" s="231">
        <v>5</v>
      </c>
      <c r="J47" s="232">
        <v>2.85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99990010835015</v>
      </c>
      <c r="C48" s="227">
        <v>390462</v>
      </c>
      <c r="D48" s="228" t="s">
        <v>71</v>
      </c>
      <c r="E48" s="229"/>
      <c r="F48" s="229">
        <v>390462</v>
      </c>
      <c r="G48" s="229" t="s">
        <v>43</v>
      </c>
      <c r="H48" s="230">
        <v>0</v>
      </c>
      <c r="I48" s="231">
        <v>100</v>
      </c>
      <c r="J48" s="232">
        <v>0.03</v>
      </c>
      <c r="K48" s="233"/>
      <c r="L48" s="231">
        <v>0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 t="s">
        <v>215</v>
      </c>
      <c r="Q48" s="236"/>
      <c r="R48" s="237"/>
      <c r="S48" s="238"/>
      <c r="T48" s="239"/>
    </row>
    <row r="49" spans="1:20" ht="24" customHeight="1">
      <c r="A49" s="226">
        <v>30</v>
      </c>
      <c r="B49" s="226">
        <v>99990010835016</v>
      </c>
      <c r="C49" s="227">
        <v>391717</v>
      </c>
      <c r="D49" s="228" t="s">
        <v>72</v>
      </c>
      <c r="E49" s="229"/>
      <c r="F49" s="229">
        <v>391717</v>
      </c>
      <c r="G49" s="229" t="s">
        <v>43</v>
      </c>
      <c r="H49" s="230">
        <v>0</v>
      </c>
      <c r="I49" s="231">
        <v>50</v>
      </c>
      <c r="J49" s="232">
        <v>0.04</v>
      </c>
      <c r="K49" s="233"/>
      <c r="L49" s="231">
        <v>0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 t="s">
        <v>216</v>
      </c>
      <c r="Q49" s="236"/>
      <c r="R49" s="237"/>
      <c r="S49" s="238"/>
      <c r="T49" s="239"/>
    </row>
    <row r="50" spans="1:20" ht="24" customHeight="1">
      <c r="A50" s="226">
        <v>31</v>
      </c>
      <c r="B50" s="226">
        <v>99990010835018</v>
      </c>
      <c r="C50" s="227">
        <v>391719</v>
      </c>
      <c r="D50" s="228" t="s">
        <v>73</v>
      </c>
      <c r="E50" s="229"/>
      <c r="F50" s="229">
        <v>391719</v>
      </c>
      <c r="G50" s="229" t="s">
        <v>43</v>
      </c>
      <c r="H50" s="230">
        <v>0</v>
      </c>
      <c r="I50" s="231">
        <v>4</v>
      </c>
      <c r="J50" s="232">
        <v>2.28</v>
      </c>
      <c r="K50" s="233"/>
      <c r="L50" s="231">
        <v>0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 t="s">
        <v>217</v>
      </c>
      <c r="Q50" s="236"/>
      <c r="R50" s="237"/>
      <c r="S50" s="238"/>
      <c r="T50" s="239"/>
    </row>
    <row r="51" spans="1:20" ht="24" customHeight="1">
      <c r="A51" s="226">
        <v>32</v>
      </c>
      <c r="B51" s="226">
        <v>99990010835002</v>
      </c>
      <c r="C51" s="227">
        <v>391704</v>
      </c>
      <c r="D51" s="228" t="s">
        <v>74</v>
      </c>
      <c r="E51" s="229"/>
      <c r="F51" s="229">
        <v>391704</v>
      </c>
      <c r="G51" s="229" t="s">
        <v>43</v>
      </c>
      <c r="H51" s="230">
        <v>0</v>
      </c>
      <c r="I51" s="231">
        <v>20</v>
      </c>
      <c r="J51" s="232">
        <v>0.6</v>
      </c>
      <c r="K51" s="233"/>
      <c r="L51" s="231">
        <v>0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99990010835003</v>
      </c>
      <c r="C52" s="227">
        <v>391705</v>
      </c>
      <c r="D52" s="228" t="s">
        <v>75</v>
      </c>
      <c r="E52" s="229"/>
      <c r="F52" s="229">
        <v>391705</v>
      </c>
      <c r="G52" s="229" t="s">
        <v>43</v>
      </c>
      <c r="H52" s="230">
        <v>0</v>
      </c>
      <c r="I52" s="231">
        <v>30</v>
      </c>
      <c r="J52" s="232">
        <v>0.19</v>
      </c>
      <c r="K52" s="233"/>
      <c r="L52" s="231">
        <v>0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 t="s">
        <v>218</v>
      </c>
      <c r="Q52" s="236"/>
      <c r="R52" s="237"/>
      <c r="S52" s="238"/>
      <c r="T52" s="239"/>
    </row>
    <row r="53" spans="1:20" ht="24" customHeight="1">
      <c r="A53" s="226">
        <v>34</v>
      </c>
      <c r="B53" s="226">
        <v>99990010835004</v>
      </c>
      <c r="C53" s="227">
        <v>391716</v>
      </c>
      <c r="D53" s="228" t="s">
        <v>76</v>
      </c>
      <c r="E53" s="229"/>
      <c r="F53" s="229">
        <v>391716</v>
      </c>
      <c r="G53" s="229" t="s">
        <v>77</v>
      </c>
      <c r="H53" s="230">
        <v>0</v>
      </c>
      <c r="I53" s="231">
        <v>25</v>
      </c>
      <c r="J53" s="232">
        <v>5.13</v>
      </c>
      <c r="K53" s="233"/>
      <c r="L53" s="231">
        <v>0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 t="s">
        <v>219</v>
      </c>
      <c r="Q53" s="236"/>
      <c r="R53" s="237"/>
      <c r="S53" s="238"/>
      <c r="T53" s="239"/>
    </row>
    <row r="54" spans="1:20" ht="24" customHeight="1">
      <c r="A54" s="226">
        <v>35</v>
      </c>
      <c r="B54" s="226">
        <v>99990010835759</v>
      </c>
      <c r="C54" s="227">
        <v>391402</v>
      </c>
      <c r="D54" s="228" t="s">
        <v>78</v>
      </c>
      <c r="E54" s="229"/>
      <c r="F54" s="229">
        <v>391402</v>
      </c>
      <c r="G54" s="229" t="s">
        <v>79</v>
      </c>
      <c r="H54" s="230">
        <v>0</v>
      </c>
      <c r="I54" s="231">
        <v>1</v>
      </c>
      <c r="J54" s="232">
        <v>6.84</v>
      </c>
      <c r="K54" s="233"/>
      <c r="L54" s="231">
        <v>0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 t="s">
        <v>220</v>
      </c>
      <c r="Q54" s="236"/>
      <c r="R54" s="237"/>
      <c r="S54" s="238"/>
      <c r="T54" s="239"/>
    </row>
    <row r="55" spans="1:20" ht="24" customHeight="1">
      <c r="A55" s="226">
        <v>36</v>
      </c>
      <c r="B55" s="226">
        <v>99990010835576</v>
      </c>
      <c r="C55" s="227">
        <v>390208</v>
      </c>
      <c r="D55" s="228" t="s">
        <v>80</v>
      </c>
      <c r="E55" s="229"/>
      <c r="F55" s="229">
        <v>390208</v>
      </c>
      <c r="G55" s="229" t="s">
        <v>81</v>
      </c>
      <c r="H55" s="230">
        <v>0</v>
      </c>
      <c r="I55" s="231">
        <v>10</v>
      </c>
      <c r="J55" s="232">
        <v>1.48</v>
      </c>
      <c r="K55" s="233"/>
      <c r="L55" s="231">
        <v>0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 t="s">
        <v>221</v>
      </c>
      <c r="Q55" s="236"/>
      <c r="R55" s="237"/>
      <c r="S55" s="238"/>
      <c r="T55" s="239"/>
    </row>
    <row r="56" spans="1:20" ht="24" customHeight="1">
      <c r="A56" s="226">
        <v>37</v>
      </c>
      <c r="B56" s="226">
        <v>99990010835243</v>
      </c>
      <c r="C56" s="227">
        <v>390196</v>
      </c>
      <c r="D56" s="228" t="s">
        <v>82</v>
      </c>
      <c r="E56" s="229"/>
      <c r="F56" s="229">
        <v>390196</v>
      </c>
      <c r="G56" s="229" t="s">
        <v>81</v>
      </c>
      <c r="H56" s="230">
        <v>0</v>
      </c>
      <c r="I56" s="231">
        <v>10</v>
      </c>
      <c r="J56" s="232">
        <v>1.03</v>
      </c>
      <c r="K56" s="233"/>
      <c r="L56" s="231">
        <v>0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 t="s">
        <v>222</v>
      </c>
      <c r="Q56" s="236"/>
      <c r="R56" s="237"/>
      <c r="S56" s="238"/>
      <c r="T56" s="239"/>
    </row>
    <row r="57" spans="1:20" ht="24" customHeight="1">
      <c r="A57" s="226">
        <v>38</v>
      </c>
      <c r="B57" s="226">
        <v>99990010835591</v>
      </c>
      <c r="C57" s="227">
        <v>390262</v>
      </c>
      <c r="D57" s="228" t="s">
        <v>83</v>
      </c>
      <c r="E57" s="229"/>
      <c r="F57" s="229">
        <v>390262</v>
      </c>
      <c r="G57" s="229" t="s">
        <v>43</v>
      </c>
      <c r="H57" s="230">
        <v>0</v>
      </c>
      <c r="I57" s="231">
        <v>6</v>
      </c>
      <c r="J57" s="232">
        <v>1.03</v>
      </c>
      <c r="K57" s="233"/>
      <c r="L57" s="231">
        <v>0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 t="s">
        <v>223</v>
      </c>
      <c r="Q57" s="236"/>
      <c r="R57" s="237"/>
      <c r="S57" s="238"/>
      <c r="T57" s="239"/>
    </row>
    <row r="58" spans="1:20" ht="24" customHeight="1">
      <c r="A58" s="226">
        <v>39</v>
      </c>
      <c r="B58" s="226">
        <v>99990010835601</v>
      </c>
      <c r="C58" s="227">
        <v>390302</v>
      </c>
      <c r="D58" s="228" t="s">
        <v>84</v>
      </c>
      <c r="E58" s="229"/>
      <c r="F58" s="229">
        <v>390302</v>
      </c>
      <c r="G58" s="229" t="s">
        <v>43</v>
      </c>
      <c r="H58" s="230">
        <v>0</v>
      </c>
      <c r="I58" s="231">
        <v>6</v>
      </c>
      <c r="J58" s="232">
        <v>0.6</v>
      </c>
      <c r="K58" s="233"/>
      <c r="L58" s="231">
        <v>0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/>
      <c r="Q58" s="236"/>
      <c r="R58" s="237"/>
      <c r="S58" s="238"/>
      <c r="T58" s="239"/>
    </row>
    <row r="59" spans="1:20" ht="24" customHeight="1">
      <c r="A59" s="226">
        <v>40</v>
      </c>
      <c r="B59" s="226">
        <v>99990010835267</v>
      </c>
      <c r="C59" s="227">
        <v>390317</v>
      </c>
      <c r="D59" s="228" t="s">
        <v>85</v>
      </c>
      <c r="E59" s="229"/>
      <c r="F59" s="229">
        <v>390317</v>
      </c>
      <c r="G59" s="229" t="s">
        <v>43</v>
      </c>
      <c r="H59" s="230">
        <v>0</v>
      </c>
      <c r="I59" s="231">
        <v>8</v>
      </c>
      <c r="J59" s="232">
        <v>2.51</v>
      </c>
      <c r="K59" s="233"/>
      <c r="L59" s="231">
        <v>0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/>
      <c r="S59" s="238"/>
      <c r="T59" s="239"/>
    </row>
    <row r="60" spans="1:20" ht="24" customHeight="1">
      <c r="A60" s="226">
        <v>41</v>
      </c>
      <c r="B60" s="226">
        <v>99990010835608</v>
      </c>
      <c r="C60" s="227">
        <v>390334</v>
      </c>
      <c r="D60" s="228" t="s">
        <v>86</v>
      </c>
      <c r="E60" s="229"/>
      <c r="F60" s="229">
        <v>390334</v>
      </c>
      <c r="G60" s="229" t="s">
        <v>81</v>
      </c>
      <c r="H60" s="230">
        <v>0</v>
      </c>
      <c r="I60" s="231">
        <v>3</v>
      </c>
      <c r="J60" s="232">
        <v>1.03</v>
      </c>
      <c r="K60" s="233"/>
      <c r="L60" s="231">
        <v>0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 t="s">
        <v>221</v>
      </c>
      <c r="Q60" s="236"/>
      <c r="R60" s="237"/>
      <c r="S60" s="238"/>
      <c r="T60" s="239"/>
    </row>
    <row r="61" spans="1:20" ht="24" customHeight="1">
      <c r="A61" s="226">
        <v>42</v>
      </c>
      <c r="B61" s="226">
        <v>99990010835344</v>
      </c>
      <c r="C61" s="227">
        <v>391022</v>
      </c>
      <c r="D61" s="228" t="s">
        <v>87</v>
      </c>
      <c r="E61" s="229"/>
      <c r="F61" s="229">
        <v>391022</v>
      </c>
      <c r="G61" s="229" t="s">
        <v>79</v>
      </c>
      <c r="H61" s="230">
        <v>0</v>
      </c>
      <c r="I61" s="231">
        <v>20</v>
      </c>
      <c r="J61" s="232">
        <v>0.41</v>
      </c>
      <c r="K61" s="233"/>
      <c r="L61" s="231">
        <v>0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/>
      <c r="Q61" s="236"/>
      <c r="R61" s="237"/>
      <c r="S61" s="238"/>
      <c r="T61" s="239"/>
    </row>
    <row r="62" spans="1:20" ht="24" customHeight="1">
      <c r="A62" s="226">
        <v>43</v>
      </c>
      <c r="B62" s="226">
        <v>99990010835681</v>
      </c>
      <c r="C62" s="227">
        <v>391007</v>
      </c>
      <c r="D62" s="228" t="s">
        <v>88</v>
      </c>
      <c r="E62" s="229"/>
      <c r="F62" s="229">
        <v>391007</v>
      </c>
      <c r="G62" s="229" t="s">
        <v>89</v>
      </c>
      <c r="H62" s="230">
        <v>0</v>
      </c>
      <c r="I62" s="231">
        <v>5</v>
      </c>
      <c r="J62" s="232">
        <v>0.91</v>
      </c>
      <c r="K62" s="233"/>
      <c r="L62" s="231">
        <v>0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 t="s">
        <v>224</v>
      </c>
      <c r="Q62" s="236"/>
      <c r="R62" s="237"/>
      <c r="S62" s="238"/>
      <c r="T62" s="239"/>
    </row>
    <row r="63" spans="1:20" ht="24" customHeight="1">
      <c r="A63" s="226">
        <v>44</v>
      </c>
      <c r="B63" s="226">
        <v>99990010835684</v>
      </c>
      <c r="C63" s="227">
        <v>391017</v>
      </c>
      <c r="D63" s="228" t="s">
        <v>90</v>
      </c>
      <c r="E63" s="229"/>
      <c r="F63" s="229">
        <v>391017</v>
      </c>
      <c r="G63" s="229" t="s">
        <v>89</v>
      </c>
      <c r="H63" s="230">
        <v>0</v>
      </c>
      <c r="I63" s="231">
        <v>30</v>
      </c>
      <c r="J63" s="232">
        <v>0.91</v>
      </c>
      <c r="K63" s="233"/>
      <c r="L63" s="231">
        <v>0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 t="s">
        <v>225</v>
      </c>
      <c r="Q63" s="236"/>
      <c r="R63" s="237"/>
      <c r="S63" s="238"/>
      <c r="T63" s="239"/>
    </row>
    <row r="64" spans="1:20" ht="24" customHeight="1">
      <c r="A64" s="226">
        <v>45</v>
      </c>
      <c r="B64" s="226">
        <v>99990010835238</v>
      </c>
      <c r="C64" s="227">
        <v>390138</v>
      </c>
      <c r="D64" s="228" t="s">
        <v>91</v>
      </c>
      <c r="E64" s="229"/>
      <c r="F64" s="229">
        <v>390138</v>
      </c>
      <c r="G64" s="229" t="s">
        <v>79</v>
      </c>
      <c r="H64" s="230">
        <v>0</v>
      </c>
      <c r="I64" s="231">
        <v>1</v>
      </c>
      <c r="J64" s="232">
        <v>1.08</v>
      </c>
      <c r="K64" s="233"/>
      <c r="L64" s="231">
        <v>0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/>
      <c r="Q64" s="236"/>
      <c r="R64" s="237"/>
      <c r="S64" s="238"/>
      <c r="T64" s="239"/>
    </row>
    <row r="65" spans="1:20" ht="24" customHeight="1">
      <c r="A65" s="226">
        <v>46</v>
      </c>
      <c r="B65" s="226">
        <v>99990010835559</v>
      </c>
      <c r="C65" s="227">
        <v>390156</v>
      </c>
      <c r="D65" s="228" t="s">
        <v>92</v>
      </c>
      <c r="E65" s="229"/>
      <c r="F65" s="229">
        <v>390156</v>
      </c>
      <c r="G65" s="229" t="s">
        <v>79</v>
      </c>
      <c r="H65" s="230">
        <v>0</v>
      </c>
      <c r="I65" s="231">
        <v>120</v>
      </c>
      <c r="J65" s="232">
        <v>0.03</v>
      </c>
      <c r="K65" s="233"/>
      <c r="L65" s="231">
        <v>0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 t="s">
        <v>214</v>
      </c>
      <c r="Q65" s="236"/>
      <c r="R65" s="237"/>
      <c r="S65" s="238"/>
      <c r="T65" s="239"/>
    </row>
    <row r="66" spans="1:20" ht="24" customHeight="1">
      <c r="A66" s="226">
        <v>47</v>
      </c>
      <c r="B66" s="226">
        <v>99990010835564</v>
      </c>
      <c r="C66" s="227">
        <v>390168</v>
      </c>
      <c r="D66" s="228" t="s">
        <v>93</v>
      </c>
      <c r="E66" s="229"/>
      <c r="F66" s="229">
        <v>390168</v>
      </c>
      <c r="G66" s="229" t="s">
        <v>79</v>
      </c>
      <c r="H66" s="230">
        <v>0</v>
      </c>
      <c r="I66" s="231">
        <v>10</v>
      </c>
      <c r="J66" s="232">
        <v>5.99</v>
      </c>
      <c r="K66" s="233"/>
      <c r="L66" s="231">
        <v>0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 t="s">
        <v>226</v>
      </c>
      <c r="Q66" s="236"/>
      <c r="R66" s="237"/>
      <c r="S66" s="238"/>
      <c r="T66" s="239"/>
    </row>
    <row r="67" spans="1:20" ht="24" customHeight="1">
      <c r="A67" s="226">
        <v>48</v>
      </c>
      <c r="B67" s="226">
        <v>99990010835088</v>
      </c>
      <c r="C67" s="227">
        <v>391821</v>
      </c>
      <c r="D67" s="228" t="s">
        <v>94</v>
      </c>
      <c r="E67" s="229"/>
      <c r="F67" s="229">
        <v>391821</v>
      </c>
      <c r="G67" s="229" t="s">
        <v>41</v>
      </c>
      <c r="H67" s="230">
        <v>0</v>
      </c>
      <c r="I67" s="231">
        <v>8</v>
      </c>
      <c r="J67" s="232">
        <v>2.74</v>
      </c>
      <c r="K67" s="233"/>
      <c r="L67" s="231">
        <v>0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/>
      <c r="Q67" s="236"/>
      <c r="R67" s="237"/>
      <c r="S67" s="238"/>
      <c r="T67" s="239"/>
    </row>
    <row r="68" spans="1:20" ht="24" customHeight="1">
      <c r="A68" s="226">
        <v>49</v>
      </c>
      <c r="B68" s="226">
        <v>99990010835077</v>
      </c>
      <c r="C68" s="227">
        <v>391813</v>
      </c>
      <c r="D68" s="228" t="s">
        <v>95</v>
      </c>
      <c r="E68" s="229"/>
      <c r="F68" s="229">
        <v>391813</v>
      </c>
      <c r="G68" s="229" t="s">
        <v>41</v>
      </c>
      <c r="H68" s="230">
        <v>0</v>
      </c>
      <c r="I68" s="231">
        <v>20</v>
      </c>
      <c r="J68" s="232">
        <v>6.61</v>
      </c>
      <c r="K68" s="233"/>
      <c r="L68" s="231">
        <v>0</v>
      </c>
      <c r="M68" s="231">
        <v>0</v>
      </c>
      <c r="N68" s="234">
        <f>ROUND(((I68*J68)-((I68*J68)*L68/100))+(((I68*J68)-((I68*J68)*L68/100))*M68/100),2)</f>
      </c>
      <c r="O68" s="230">
        <f>M11</f>
      </c>
      <c r="P68" s="235" t="s">
        <v>227</v>
      </c>
      <c r="Q68" s="236"/>
      <c r="R68" s="237"/>
      <c r="S68" s="238"/>
      <c r="T68" s="239"/>
    </row>
    <row r="69" spans="1:20" ht="24" customHeight="1">
      <c r="A69" s="226">
        <v>50</v>
      </c>
      <c r="B69" s="226">
        <v>99990010835439</v>
      </c>
      <c r="C69" s="227">
        <v>390837</v>
      </c>
      <c r="D69" s="228" t="s">
        <v>96</v>
      </c>
      <c r="E69" s="229"/>
      <c r="F69" s="229">
        <v>390837</v>
      </c>
      <c r="G69" s="229" t="s">
        <v>41</v>
      </c>
      <c r="H69" s="230">
        <v>0</v>
      </c>
      <c r="I69" s="231">
        <v>50</v>
      </c>
      <c r="J69" s="232">
        <v>0.07</v>
      </c>
      <c r="K69" s="233"/>
      <c r="L69" s="231">
        <v>0</v>
      </c>
      <c r="M69" s="231">
        <v>0</v>
      </c>
      <c r="N69" s="234">
        <f>ROUND(((I69*J69)-((I69*J69)*L69/100))+(((I69*J69)-((I69*J69)*L69/100))*M69/100),2)</f>
      </c>
      <c r="O69" s="230">
        <f>M11</f>
      </c>
      <c r="P69" s="235" t="s">
        <v>228</v>
      </c>
      <c r="Q69" s="236"/>
      <c r="R69" s="237"/>
      <c r="S69" s="238"/>
      <c r="T69" s="239"/>
    </row>
    <row r="70" spans="1:20" ht="15" customHeight="1">
      <c r="A70" s="32"/>
      <c r="B70" s="295"/>
      <c r="C70" s="296"/>
      <c r="D70" s="296"/>
      <c r="E70" s="296"/>
      <c r="F70" s="296"/>
      <c r="G70" s="296"/>
      <c r="H70" s="297"/>
      <c r="I70" s="297"/>
      <c r="J70" s="297"/>
      <c r="K70" s="297"/>
      <c r="L70" s="297"/>
      <c r="M70" s="297"/>
      <c r="N70" s="297"/>
      <c r="O70" s="297"/>
      <c r="P70" s="297"/>
      <c r="Q70" s="297"/>
      <c r="R70" s="297"/>
      <c r="S70" s="297"/>
      <c r="T70" s="298"/>
    </row>
    <row r="71" spans="1:20" ht="12.75" customHeight="1">
      <c r="A71" s="289" t="s">
        <v>28</v>
      </c>
      <c r="B71" s="289"/>
      <c r="C71" s="290" t="s">
        <v>97</v>
      </c>
      <c r="D71" s="291"/>
      <c r="E71" s="291"/>
      <c r="F71" s="291"/>
      <c r="G71" s="291"/>
      <c r="H71" s="291"/>
      <c r="I71" s="292"/>
      <c r="J71" s="292" t="s">
        <v>98</v>
      </c>
      <c r="K71" s="292"/>
      <c r="L71" s="292" t="s">
        <v>35</v>
      </c>
      <c r="M71" s="292" t="s">
        <v>36</v>
      </c>
      <c r="N71" s="293" t="s">
        <v>99</v>
      </c>
      <c r="O71" s="294" t="s">
        <v>38</v>
      </c>
      <c r="P71" s="294"/>
      <c r="Q71" s="294"/>
      <c r="R71" s="294"/>
      <c r="S71" s="294"/>
      <c r="T71" s="225"/>
    </row>
    <row r="72" spans="1:20" ht="15" customHeight="1">
      <c r="A72" s="269">
        <v>1</v>
      </c>
      <c r="B72" s="270"/>
      <c r="C72" s="271" t="s">
        <v>100</v>
      </c>
      <c r="D72" s="272" t="s">
        <v>100</v>
      </c>
      <c r="E72" s="272" t="s">
        <v>100</v>
      </c>
      <c r="F72" s="272" t="s">
        <v>100</v>
      </c>
      <c r="G72" s="272" t="s">
        <v>100</v>
      </c>
      <c r="H72" s="273" t="s">
        <v>100</v>
      </c>
      <c r="I72" s="274"/>
      <c r="J72" s="275">
        <v>0</v>
      </c>
      <c r="K72" s="276"/>
      <c r="L72" s="277">
        <v>0</v>
      </c>
      <c r="M72" s="277">
        <v>0</v>
      </c>
      <c r="N72" s="285">
        <f>(J72-(J72*L72/100)+((J72-(J72*L72/100))*M72/100))</f>
      </c>
      <c r="O72" s="286"/>
      <c r="P72" s="287"/>
      <c r="Q72" s="287"/>
      <c r="R72" s="287"/>
      <c r="S72" s="288"/>
      <c r="T72" s="283"/>
    </row>
    <row r="73" spans="1:20" ht="15" customHeight="1">
      <c r="A73" s="269">
        <v>2</v>
      </c>
      <c r="B73" s="270"/>
      <c r="C73" s="271" t="s">
        <v>101</v>
      </c>
      <c r="D73" s="272" t="s">
        <v>101</v>
      </c>
      <c r="E73" s="272" t="s">
        <v>101</v>
      </c>
      <c r="F73" s="272" t="s">
        <v>101</v>
      </c>
      <c r="G73" s="272" t="s">
        <v>101</v>
      </c>
      <c r="H73" s="273" t="s">
        <v>101</v>
      </c>
      <c r="I73" s="284"/>
      <c r="J73" s="275">
        <v>0</v>
      </c>
      <c r="K73" s="276"/>
      <c r="L73" s="277">
        <v>0</v>
      </c>
      <c r="M73" s="277">
        <v>0</v>
      </c>
      <c r="N73" s="279">
        <f>(J73-(J73*L73/100)+((J73-(J73*L73/100))*M73/100))</f>
      </c>
      <c r="O73" s="280"/>
      <c r="P73" s="281"/>
      <c r="Q73" s="281"/>
      <c r="R73" s="281"/>
      <c r="S73" s="282"/>
      <c r="T73" s="283"/>
    </row>
    <row r="74" spans="1:20" ht="15" customHeight="1">
      <c r="A74" s="269">
        <v>3</v>
      </c>
      <c r="B74" s="270"/>
      <c r="C74" s="271"/>
      <c r="D74" s="272"/>
      <c r="E74" s="272"/>
      <c r="F74" s="272"/>
      <c r="G74" s="272"/>
      <c r="H74" s="273"/>
      <c r="I74" s="274"/>
      <c r="J74" s="275">
        <v>0</v>
      </c>
      <c r="K74" s="276"/>
      <c r="L74" s="277">
        <v>0</v>
      </c>
      <c r="M74" s="277">
        <v>0</v>
      </c>
      <c r="N74" s="279">
        <f>(J74-(J74*L74/100)+((J74-(J74*L74/100))*M74/100))</f>
      </c>
      <c r="O74" s="280"/>
      <c r="P74" s="281"/>
      <c r="Q74" s="281"/>
      <c r="R74" s="281"/>
      <c r="S74" s="282"/>
      <c r="T74" s="283"/>
    </row>
    <row r="75" spans="1:20" ht="15.75" customHeight="1">
      <c r="A75" s="269">
        <v>4</v>
      </c>
      <c r="B75" s="270"/>
      <c r="C75" s="271"/>
      <c r="D75" s="272"/>
      <c r="E75" s="272"/>
      <c r="F75" s="272"/>
      <c r="G75" s="272"/>
      <c r="H75" s="273"/>
      <c r="I75" s="274"/>
      <c r="J75" s="275">
        <v>0</v>
      </c>
      <c r="K75" s="276"/>
      <c r="L75" s="277">
        <v>0</v>
      </c>
      <c r="M75" s="278">
        <v>0</v>
      </c>
      <c r="N75" s="279">
        <f>(J75-(J75*L75/100)+((J75-(J75*L75/100))*M75/100))</f>
      </c>
      <c r="O75" s="280"/>
      <c r="P75" s="281"/>
      <c r="Q75" s="281"/>
      <c r="R75" s="281"/>
      <c r="S75" s="282"/>
      <c r="T75" s="283"/>
    </row>
    <row r="76" spans="1:16" ht="15.95" customHeight="1">
      <c r="A76" s="247"/>
      <c r="B76" s="247"/>
      <c r="C76" s="248"/>
      <c r="D76" s="248"/>
      <c r="I76" s="163"/>
      <c r="J76" s="58" t="s">
        <v>102</v>
      </c>
      <c r="K76" s="59"/>
      <c r="L76" s="58"/>
      <c r="M76" s="59"/>
      <c r="N76" s="264">
        <f>SUM(ItmPrice)</f>
      </c>
      <c r="O76" s="267"/>
      <c r="P76" s="268"/>
    </row>
    <row r="77" spans="1:16" ht="15" customHeight="1">
      <c r="A77" s="247"/>
      <c r="B77" s="247"/>
      <c r="C77" s="248"/>
      <c r="D77" s="248"/>
      <c r="I77" s="163"/>
      <c r="J77" s="123" t="s">
        <v>103</v>
      </c>
      <c r="K77" s="124"/>
      <c r="L77" s="124"/>
      <c r="M77" s="125"/>
      <c r="N77" s="264">
        <f>SUM(N72:N76)</f>
      </c>
      <c r="O77" s="265"/>
      <c r="P77" s="266"/>
    </row>
    <row r="78" spans="1:19" ht="2.25" customHeight="1" hidden="1">
      <c r="A78" s="258">
        <v>0</v>
      </c>
      <c r="B78" s="258">
        <v>0</v>
      </c>
      <c r="C78" s="259">
        <v>0</v>
      </c>
      <c r="D78" s="248"/>
      <c r="E78" s="248"/>
      <c r="F78" s="260">
        <v>1</v>
      </c>
      <c r="G78" s="248"/>
      <c r="H78" s="248"/>
      <c r="I78" s="248"/>
      <c r="J78" s="248"/>
      <c r="K78" s="261"/>
      <c r="L78" s="262">
        <v>0</v>
      </c>
      <c r="M78" s="263">
        <v>0</v>
      </c>
      <c r="N78" s="162" t="s">
        <v>104</v>
      </c>
      <c r="O78" s="257"/>
      <c r="P78" s="263">
        <v>995</v>
      </c>
      <c r="Q78" s="248" t="s">
        <v>105</v>
      </c>
      <c r="R78" s="248"/>
      <c r="S78" s="248"/>
    </row>
    <row r="79" spans="1:19" ht="18.75" customHeight="1">
      <c r="A79" s="247"/>
      <c r="B79" s="247"/>
      <c r="C79" s="247"/>
      <c r="H79" s="257"/>
      <c r="I79" s="163"/>
      <c r="J79" s="248"/>
      <c r="K79" s="248"/>
      <c r="L79" s="248"/>
      <c r="M79" s="248"/>
      <c r="N79" s="248"/>
      <c r="O79" s="248"/>
      <c r="P79" s="248"/>
      <c r="R79" s="248"/>
      <c r="S79" s="248"/>
    </row>
    <row r="80" spans="1:20" ht="127.5" customHeight="1">
      <c r="A80" s="249" t="s">
        <v>106</v>
      </c>
      <c r="B80" s="249"/>
      <c r="C80" s="249"/>
      <c r="D80" s="250"/>
      <c r="E80" s="254"/>
      <c r="F80" s="255"/>
      <c r="G80" s="255"/>
      <c r="H80" s="255"/>
      <c r="I80" s="255"/>
      <c r="J80" s="255"/>
      <c r="K80" s="255"/>
      <c r="L80" s="255"/>
      <c r="M80" s="255"/>
      <c r="N80" s="255"/>
      <c r="O80" s="255"/>
      <c r="P80" s="255"/>
      <c r="Q80" s="255"/>
      <c r="R80" s="255"/>
      <c r="S80" s="255"/>
      <c r="T80" s="256"/>
    </row>
    <row r="81" spans="1:20" ht="129.75" customHeight="1">
      <c r="A81" s="249" t="s">
        <v>38</v>
      </c>
      <c r="B81" s="249"/>
      <c r="C81" s="249"/>
      <c r="D81" s="250"/>
      <c r="E81" s="251" t="s">
        <v>229</v>
      </c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3"/>
    </row>
    <row r="82" spans="1:19" ht="15.95" customHeight="1">
      <c r="A82" s="247"/>
      <c r="B82" s="247"/>
      <c r="C82" s="247"/>
      <c r="H82" s="248"/>
      <c r="I82" s="248"/>
      <c r="J82" s="248"/>
      <c r="K82" s="248"/>
      <c r="L82" s="248"/>
      <c r="M82" s="248"/>
      <c r="N82" s="248"/>
      <c r="O82" s="248"/>
      <c r="P82" s="248"/>
      <c r="Q82" s="248"/>
      <c r="R82" s="248"/>
      <c r="S82" s="248"/>
    </row>
    <row r="83" spans="1:20" ht="15.95" customHeight="1">
      <c r="A83" s="245" t="s">
        <v>107</v>
      </c>
      <c r="B83" s="245"/>
      <c r="C83" s="245"/>
      <c r="D83" s="245"/>
      <c r="E83" s="245"/>
      <c r="F83" s="245"/>
      <c r="G83" s="245"/>
      <c r="H83" s="245"/>
      <c r="I83" s="245"/>
      <c r="J83" s="245"/>
      <c r="K83" s="245"/>
      <c r="L83" s="245"/>
      <c r="M83" s="245"/>
      <c r="N83" s="245"/>
      <c r="O83" s="245"/>
      <c r="P83" s="245"/>
      <c r="Q83" s="245"/>
      <c r="R83" s="245"/>
      <c r="S83" s="245"/>
      <c r="T83" s="246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7.5" customHeight="1">
      <c r="A86" s="243"/>
      <c r="B86" s="243"/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4"/>
    </row>
    <row r="87" spans="1:20" ht="12.75" customHeight="1">
      <c r="A87" s="243"/>
      <c r="B87" s="243"/>
      <c r="C87" s="243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4"/>
    </row>
    <row r="88" spans="1:20" ht="12.75" customHeight="1">
      <c r="A88" s="243"/>
      <c r="B88" s="243"/>
      <c r="C88" s="243"/>
      <c r="D88" s="243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4"/>
    </row>
    <row r="89" spans="1:20" ht="12.75" customHeight="1">
      <c r="A89" s="243"/>
      <c r="B89" s="243"/>
      <c r="C89" s="243"/>
      <c r="D89" s="243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4"/>
    </row>
    <row r="90" spans="1:20" ht="7.5" customHeight="1">
      <c r="A90" s="243"/>
      <c r="B90" s="243"/>
      <c r="C90" s="243"/>
      <c r="D90" s="243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4"/>
    </row>
    <row r="91" spans="1:20" ht="12.75" customHeight="1">
      <c r="A91" s="243"/>
      <c r="B91" s="243"/>
      <c r="C91" s="243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4"/>
    </row>
    <row r="92" spans="1:20" ht="12.75" customHeight="1">
      <c r="A92" s="243"/>
      <c r="B92" s="243"/>
      <c r="C92" s="243"/>
      <c r="D92" s="243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4"/>
    </row>
    <row r="93" spans="1:20" ht="12.75" customHeight="1">
      <c r="A93" s="243"/>
      <c r="B93" s="243"/>
      <c r="C93" s="243"/>
      <c r="D93" s="243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4"/>
    </row>
    <row r="94" spans="1:20" ht="12.75" customHeight="1">
      <c r="A94" s="243"/>
      <c r="B94" s="243"/>
      <c r="C94" s="243"/>
      <c r="D94" s="243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4"/>
    </row>
    <row r="95" spans="1:20" ht="12.75" customHeight="1">
      <c r="A95" s="243"/>
      <c r="B95" s="243"/>
      <c r="C95" s="243"/>
      <c r="D95" s="243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4"/>
    </row>
    <row r="96" spans="1:20" ht="12.75" customHeight="1">
      <c r="A96" s="243"/>
      <c r="B96" s="243"/>
      <c r="C96" s="243"/>
      <c r="D96" s="243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4"/>
    </row>
    <row r="97" spans="1:20" ht="7.5" customHeight="1">
      <c r="A97" s="243"/>
      <c r="B97" s="243"/>
      <c r="C97" s="243"/>
      <c r="D97" s="243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4"/>
    </row>
    <row r="98" spans="1:20" ht="12.75" customHeight="1">
      <c r="A98" s="243"/>
      <c r="B98" s="243"/>
      <c r="C98" s="243"/>
      <c r="D98" s="243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4"/>
    </row>
    <row r="99" spans="1:20" ht="12.75" customHeight="1">
      <c r="A99" s="243"/>
      <c r="B99" s="243"/>
      <c r="C99" s="243"/>
      <c r="D99" s="243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4"/>
    </row>
    <row r="100" spans="1:20" ht="12.75" customHeight="1">
      <c r="A100" s="243"/>
      <c r="B100" s="243"/>
      <c r="C100" s="243"/>
      <c r="D100" s="243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4"/>
    </row>
    <row r="101" spans="1:20" ht="12.75" customHeight="1">
      <c r="A101" s="243"/>
      <c r="B101" s="243"/>
      <c r="C101" s="243"/>
      <c r="D101" s="243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4"/>
    </row>
    <row r="102" spans="1:20" ht="12.75" customHeight="1">
      <c r="A102" s="243"/>
      <c r="B102" s="243"/>
      <c r="C102" s="243"/>
      <c r="D102" s="243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4"/>
    </row>
    <row r="103" spans="1:20" ht="7.5" customHeight="1">
      <c r="A103" s="243"/>
      <c r="B103" s="243"/>
      <c r="C103" s="243"/>
      <c r="D103" s="243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4"/>
    </row>
    <row r="104" spans="1:20" ht="12.75" customHeight="1">
      <c r="A104" s="243"/>
      <c r="B104" s="243"/>
      <c r="C104" s="243"/>
      <c r="D104" s="243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4"/>
    </row>
    <row r="105" spans="1:20" ht="12.75" customHeight="1">
      <c r="A105" s="243"/>
      <c r="B105" s="243"/>
      <c r="C105" s="243"/>
      <c r="D105" s="243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4"/>
    </row>
    <row r="106" spans="1:20" ht="12.75" customHeight="1">
      <c r="A106" s="241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1"/>
      <c r="R106" s="241"/>
      <c r="S106" s="241"/>
      <c r="T106" s="242"/>
    </row>
    <row r="107" spans="1:9" ht="12.75">
      <c r="A107" s="240" t="s">
        <v>108</v>
      </c>
      <c r="B107" s="240"/>
      <c r="C107" s="240"/>
      <c r="D107" s="240"/>
      <c r="E107" s="240"/>
      <c r="F107" s="240"/>
      <c r="G107" s="240"/>
      <c r="I107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65">
    <mergeCell ref="E80:S80"/>
    <mergeCell ref="E81:S81"/>
    <mergeCell ref="E83:S83"/>
    <mergeCell ref="A84:S105"/>
    <mergeCell ref="A106:S106"/>
    <mergeCell ref="A80:D80"/>
    <mergeCell ref="A81:D81"/>
    <mergeCell ref="K1:R1"/>
    <mergeCell ref="R19:S19"/>
    <mergeCell ref="R20:S20"/>
    <mergeCell ref="O72:S72"/>
    <mergeCell ref="O73:S73"/>
    <mergeCell ref="O71:S71"/>
    <mergeCell ref="J71:K71"/>
    <mergeCell ref="K4:L4"/>
    <mergeCell ref="M4:P4"/>
    <mergeCell ref="K5:L5"/>
    <mergeCell ref="M5:P5"/>
    <mergeCell ref="M7:Q7"/>
    <mergeCell ref="P20:Q20"/>
    <mergeCell ref="M12:O12"/>
    <mergeCell ref="K12:L12"/>
    <mergeCell ref="O76:P76"/>
    <mergeCell ref="O77:P77"/>
    <mergeCell ref="J77:M77"/>
    <mergeCell ref="O74:S74"/>
    <mergeCell ref="O75:S75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71:H71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C72:H72"/>
    <mergeCell ref="J72:K72"/>
    <mergeCell ref="C73:H73"/>
    <mergeCell ref="J73:K73"/>
    <mergeCell ref="C74:H74"/>
    <mergeCell ref="J74:K74"/>
    <mergeCell ref="C75:H75"/>
    <mergeCell ref="J75:K75"/>
  </mergeCells>
  <dataValidations count="21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list" allowBlank="1" showInputMessage="1" showErrorMessage="1" sqref="C72:H72">
      <formula1>'MasterData'!$H$1:$H$14</formula1>
    </dataValidation>
    <dataValidation type="list" allowBlank="1" showInputMessage="1" showErrorMessage="1" sqref="C73:H73">
      <formula1>'MasterData'!$H$1:$H$14</formula1>
    </dataValidation>
    <dataValidation type="list" allowBlank="1" showInputMessage="1" showErrorMessage="1" sqref="C74:H74">
      <formula1>'MasterData'!$H$1:$H$14</formula1>
    </dataValidation>
    <dataValidation type="list" allowBlank="1" showInputMessage="1" showErrorMessage="1" sqref="C75:H75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100</v>
      </c>
      <c r="M1" s="300" t="s">
        <v>109</v>
      </c>
      <c r="N1" s="301" t="s">
        <v>0</v>
      </c>
      <c r="O1" s="162" t="s">
        <v>110</v>
      </c>
    </row>
    <row r="2" spans="7:15" ht="12.75">
      <c r="G2" s="162">
        <v>1001310</v>
      </c>
      <c r="H2" s="162" t="s">
        <v>101</v>
      </c>
      <c r="M2" s="300" t="s">
        <v>111</v>
      </c>
      <c r="N2" s="301">
        <v>1020734609</v>
      </c>
      <c r="O2" s="162" t="s">
        <v>112</v>
      </c>
    </row>
    <row r="3" spans="7:15" ht="12.75">
      <c r="G3" s="162">
        <v>1012729</v>
      </c>
      <c r="H3" s="162" t="s">
        <v>113</v>
      </c>
      <c r="M3" s="300" t="s">
        <v>114</v>
      </c>
      <c r="N3" s="301">
        <v>99990000435392</v>
      </c>
      <c r="O3" s="162" t="s">
        <v>115</v>
      </c>
    </row>
    <row r="4" spans="7:15" ht="12.75">
      <c r="G4" s="162">
        <v>1012730</v>
      </c>
      <c r="H4" s="162" t="s">
        <v>116</v>
      </c>
      <c r="M4" s="300" t="s">
        <v>117</v>
      </c>
      <c r="N4" s="301">
        <v>1021849399</v>
      </c>
      <c r="O4" s="162" t="s">
        <v>118</v>
      </c>
    </row>
    <row r="5" spans="7:15" ht="12.75">
      <c r="G5" s="162">
        <v>1012731</v>
      </c>
      <c r="H5" s="162" t="s">
        <v>119</v>
      </c>
      <c r="M5" s="300" t="s">
        <v>120</v>
      </c>
      <c r="N5" s="301"/>
      <c r="O5" s="162" t="s">
        <v>121</v>
      </c>
    </row>
    <row r="6" spans="7:15" ht="12.75">
      <c r="G6" s="162">
        <v>1012732</v>
      </c>
      <c r="H6" s="162" t="s">
        <v>122</v>
      </c>
      <c r="M6" s="300" t="s">
        <v>123</v>
      </c>
      <c r="N6" s="301" t="s">
        <v>124</v>
      </c>
      <c r="O6" s="162" t="s">
        <v>125</v>
      </c>
    </row>
    <row r="7" spans="7:15" ht="12.75">
      <c r="G7" s="162">
        <v>1012733</v>
      </c>
      <c r="H7" s="162" t="s">
        <v>126</v>
      </c>
      <c r="M7" s="300" t="s">
        <v>127</v>
      </c>
      <c r="N7" s="301">
        <v>0</v>
      </c>
      <c r="O7" s="162" t="s">
        <v>128</v>
      </c>
    </row>
    <row r="8" spans="7:15" ht="12.75">
      <c r="G8" s="162">
        <v>1012735</v>
      </c>
      <c r="H8" s="162" t="s">
        <v>129</v>
      </c>
      <c r="O8" s="162" t="s">
        <v>130</v>
      </c>
    </row>
    <row r="9" spans="7:15" ht="12.75">
      <c r="G9" s="162">
        <v>1012736</v>
      </c>
      <c r="H9" s="162" t="s">
        <v>131</v>
      </c>
      <c r="O9" s="162" t="s">
        <v>132</v>
      </c>
    </row>
    <row r="10" spans="7:15" ht="12.75">
      <c r="G10" s="162">
        <v>1012737</v>
      </c>
      <c r="H10" s="162" t="s">
        <v>133</v>
      </c>
      <c r="O10" s="162" t="s">
        <v>134</v>
      </c>
    </row>
    <row r="11" spans="7:15" ht="12.75">
      <c r="G11" s="162">
        <v>1012741</v>
      </c>
      <c r="H11" s="162" t="s">
        <v>135</v>
      </c>
      <c r="O11" s="162" t="s">
        <v>136</v>
      </c>
    </row>
    <row r="12" spans="7:15" ht="12.75">
      <c r="G12" s="162">
        <v>1012742</v>
      </c>
      <c r="H12" s="162" t="s">
        <v>137</v>
      </c>
      <c r="O12" s="162" t="s">
        <v>138</v>
      </c>
    </row>
    <row r="13" spans="7:15" ht="12.75">
      <c r="G13" s="162">
        <v>1012743</v>
      </c>
      <c r="H13" s="162" t="s">
        <v>139</v>
      </c>
      <c r="O13" s="162" t="s">
        <v>140</v>
      </c>
    </row>
    <row r="14" spans="7:15" ht="12.75">
      <c r="G14" s="162">
        <v>1012744</v>
      </c>
      <c r="H14" s="162" t="s">
        <v>141</v>
      </c>
      <c r="O14" s="162" t="s">
        <v>142</v>
      </c>
    </row>
    <row r="15" ht="12.75">
      <c r="O15" s="162" t="s">
        <v>143</v>
      </c>
    </row>
    <row r="16" ht="12.75">
      <c r="O16" s="162" t="s">
        <v>144</v>
      </c>
    </row>
    <row r="17" ht="12.75">
      <c r="O17" s="162" t="s">
        <v>145</v>
      </c>
    </row>
    <row r="18" ht="12.75">
      <c r="O18" s="162" t="s">
        <v>146</v>
      </c>
    </row>
    <row r="19" ht="12.75">
      <c r="O19" s="162" t="s">
        <v>147</v>
      </c>
    </row>
    <row r="20" ht="12.75">
      <c r="O20" s="162" t="s">
        <v>148</v>
      </c>
    </row>
    <row r="21" ht="12.75">
      <c r="O21" s="162" t="s">
        <v>149</v>
      </c>
    </row>
    <row r="22" ht="12.75">
      <c r="O22" s="162" t="s">
        <v>150</v>
      </c>
    </row>
    <row r="23" ht="12.75">
      <c r="O23" s="162" t="s">
        <v>151</v>
      </c>
    </row>
    <row r="24" ht="12.75">
      <c r="O24" s="162" t="s">
        <v>152</v>
      </c>
    </row>
    <row r="25" ht="12.75">
      <c r="O25" s="162" t="s">
        <v>153</v>
      </c>
    </row>
    <row r="26" ht="12.75">
      <c r="O26" s="162" t="s">
        <v>154</v>
      </c>
    </row>
    <row r="27" ht="12.75">
      <c r="O27" s="162" t="s">
        <v>155</v>
      </c>
    </row>
    <row r="28" ht="12.75">
      <c r="O28" s="162" t="s">
        <v>156</v>
      </c>
    </row>
    <row r="29" ht="12.75">
      <c r="O29" s="162" t="s">
        <v>157</v>
      </c>
    </row>
    <row r="30" ht="12.75">
      <c r="O30" s="162" t="s">
        <v>158</v>
      </c>
    </row>
    <row r="31" ht="12.75">
      <c r="O31" s="162" t="s">
        <v>159</v>
      </c>
    </row>
    <row r="32" ht="12.75">
      <c r="O32" s="162" t="s">
        <v>160</v>
      </c>
    </row>
    <row r="33" ht="12.75">
      <c r="O33" s="162" t="s">
        <v>161</v>
      </c>
    </row>
    <row r="34" ht="12.75">
      <c r="O34" s="162" t="s">
        <v>162</v>
      </c>
    </row>
    <row r="35" ht="12.75">
      <c r="O35" s="162" t="s">
        <v>163</v>
      </c>
    </row>
    <row r="36" ht="12.75">
      <c r="O36" s="162" t="s">
        <v>164</v>
      </c>
    </row>
    <row r="37" ht="12.75">
      <c r="O37" s="162" t="s">
        <v>165</v>
      </c>
    </row>
    <row r="38" ht="12.75">
      <c r="O38" s="162" t="s">
        <v>166</v>
      </c>
    </row>
    <row r="39" ht="12.75">
      <c r="O39" s="162" t="s">
        <v>167</v>
      </c>
    </row>
    <row r="40" ht="12.75">
      <c r="O40" s="162" t="s">
        <v>168</v>
      </c>
    </row>
    <row r="41" ht="12.75">
      <c r="O41" s="162" t="s">
        <v>169</v>
      </c>
    </row>
    <row r="42" ht="12.75">
      <c r="O42" s="162" t="s">
        <v>170</v>
      </c>
    </row>
    <row r="43" ht="12.75">
      <c r="O43" s="162" t="s">
        <v>171</v>
      </c>
    </row>
    <row r="44" ht="12.75">
      <c r="O44" s="162" t="s">
        <v>172</v>
      </c>
    </row>
    <row r="45" ht="12.75">
      <c r="O45" s="162" t="s">
        <v>173</v>
      </c>
    </row>
    <row r="46" ht="12.75">
      <c r="O46" s="162" t="s">
        <v>174</v>
      </c>
    </row>
    <row r="47" ht="12.75">
      <c r="O47" s="162" t="s">
        <v>175</v>
      </c>
    </row>
    <row r="48" ht="12.75">
      <c r="O48" s="162" t="s">
        <v>176</v>
      </c>
    </row>
    <row r="49" ht="12.75">
      <c r="O49" s="162" t="s">
        <v>177</v>
      </c>
    </row>
    <row r="50" ht="12.75">
      <c r="O50" s="162" t="s">
        <v>178</v>
      </c>
    </row>
    <row r="51" ht="12.75">
      <c r="O51" s="162" t="s">
        <v>179</v>
      </c>
    </row>
    <row r="52" ht="12.75">
      <c r="O52" s="162" t="s">
        <v>180</v>
      </c>
    </row>
    <row r="53" ht="12.75">
      <c r="O53" s="162" t="s">
        <v>181</v>
      </c>
    </row>
    <row r="54" ht="12.75">
      <c r="O54" s="162" t="s">
        <v>182</v>
      </c>
    </row>
    <row r="55" ht="12.75">
      <c r="O55" s="162" t="s">
        <v>183</v>
      </c>
    </row>
    <row r="56" ht="12.75">
      <c r="O56" s="162" t="s">
        <v>184</v>
      </c>
    </row>
    <row r="57" ht="12.75">
      <c r="O57" s="162" t="s">
        <v>185</v>
      </c>
    </row>
    <row r="58" ht="12.75">
      <c r="O58" s="162" t="s">
        <v>186</v>
      </c>
    </row>
    <row r="59" ht="12.75">
      <c r="O59" s="162" t="s">
        <v>187</v>
      </c>
    </row>
    <row r="60" ht="12.75">
      <c r="O60" s="162" t="s">
        <v>188</v>
      </c>
    </row>
    <row r="61" ht="12.75">
      <c r="O61" s="162" t="s">
        <v>189</v>
      </c>
    </row>
    <row r="62" ht="12.75">
      <c r="O62" s="162" t="s">
        <v>190</v>
      </c>
    </row>
    <row r="63" ht="12.75">
      <c r="O63" s="162" t="s">
        <v>191</v>
      </c>
    </row>
    <row r="64" ht="12.75">
      <c r="O64" s="162" t="s">
        <v>192</v>
      </c>
    </row>
    <row r="65" ht="12.75">
      <c r="O65" s="162" t="s">
        <v>193</v>
      </c>
    </row>
    <row r="66" ht="12.75">
      <c r="O66" s="162" t="s">
        <v>194</v>
      </c>
    </row>
    <row r="67" ht="12.75">
      <c r="O67" s="162" t="s">
        <v>195</v>
      </c>
    </row>
    <row r="68" ht="12.75">
      <c r="O68" s="162" t="s">
        <v>196</v>
      </c>
    </row>
    <row r="69" ht="12.75">
      <c r="O69" s="162" t="s">
        <v>197</v>
      </c>
    </row>
    <row r="70" ht="12.75">
      <c r="O70" s="162" t="s">
        <v>198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