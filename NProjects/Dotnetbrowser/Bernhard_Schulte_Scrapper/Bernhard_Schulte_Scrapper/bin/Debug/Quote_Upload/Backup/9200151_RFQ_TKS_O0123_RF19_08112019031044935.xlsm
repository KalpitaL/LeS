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Quote!$A$56</definedName>
    <definedName name="Enquiry_To_Vendor_ID" comment="Enquiry to Vendor ID">Quote!$C$56</definedName>
    <definedName name="GrandTotal">Quote!$N$55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Quote!$A$48</definedName>
    <definedName name="ItemListStartupRow" comment="Item List Start Up Row">Quote!$A$19</definedName>
    <definedName name="ItemSubTotal">Quote!$N$54</definedName>
    <definedName name="ItemSubTotalTitle">Quote!$J$54</definedName>
    <definedName name="LeadDay">Quote!$M$11</definedName>
    <definedName name="Lock">Quote!$M$56</definedName>
    <definedName name="LoggedInEmailID">Quote!$N$56</definedName>
    <definedName name="LoggedInPwd">Quote!$O$56</definedName>
    <definedName name="OtherCharges">Quote!$C$50</definedName>
    <definedName name="OtherChargesLastRow">Quote!$A$54</definedName>
    <definedName name="OtherChargesStartRow">Quote!$A$49</definedName>
    <definedName name="Port">Quote!$P$56</definedName>
    <definedName name="PortOfDelivery" comment="Port of Delivery">Quote!$M$9</definedName>
    <definedName name="PurchaserName">Quote!$J$56</definedName>
    <definedName name="QuoteBefore">Quote!$M$8</definedName>
    <definedName name="QuoteID">MasterData!$N$7</definedName>
    <definedName name="QuoteSubject">Quote!$E$56</definedName>
    <definedName name="Remarks">Quote!$E$58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Quote!$K$56</definedName>
    <definedName name="SentIndex">Quote!$L$56</definedName>
    <definedName name="Server">Quote!$Q$56</definedName>
    <definedName name="Terms">Quote!$A$62:$T$83</definedName>
    <definedName name="ToEmailID">Quote!$I$56</definedName>
    <definedName name="ToEmailPwd">Quote!$H$56</definedName>
    <definedName name="VAL">Quote!$F$56</definedName>
    <definedName name="VAT_All">Quote!$M$16</definedName>
    <definedName name="Vendor_ID" comment="Vendor ID">Quote!$B$56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</definedName>
  </definedNames>
  <calcPr fullCalcOnLoad="1"/>
</workbook>
</file>

<file path=xl/sharedStrings.xml><?xml version="1.0" encoding="utf-8"?>
<sst xmlns="http://schemas.openxmlformats.org/spreadsheetml/2006/main" count="254" uniqueCount="183">
  <si>
    <t>RFQ</t>
  </si>
  <si>
    <t>Request for Quote</t>
  </si>
  <si>
    <t>Invoice To</t>
  </si>
  <si>
    <t xml:space="preserve">Bernhard Schulte Shipmanagement (Hong Kong) Limited Partnership
</t>
  </si>
  <si>
    <t>Vessel</t>
  </si>
  <si>
    <t>Flora Schulte</t>
  </si>
  <si>
    <t>RFQ No.</t>
  </si>
  <si>
    <t>TKS/O0123/RF19</t>
  </si>
  <si>
    <t>RFQ Date</t>
  </si>
  <si>
    <t>Submit Quote Before:</t>
  </si>
  <si>
    <t>Port of Delivery</t>
  </si>
  <si>
    <t>Fangcheng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</si>
  <si>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</si>
  <si>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</si>
  <si>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</si>
  <si>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</si>
  <si>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</si>
  <si>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</si>
  <si>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</si>
  <si>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</si>
  <si>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</si>
  <si>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</si>
  <si>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</si>
  <si>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</si>
  <si>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</si>
  <si>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</si>
  <si>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</si>
  <si>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</si>
  <si>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</si>
  <si>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</si>
  <si>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</si>
  <si>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</si>
  <si>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</si>
  <si>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</si>
  <si>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</si>
  <si>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</si>
  <si>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</si>
  <si>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</si>
  <si>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</si>
  <si>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</si>
  <si>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SCANRAIN HD 001 RAIN JACKET | HEAVY DUTY PERFORMANCE - LARGE (2XL) Shell: 20% PU, 50% PVC, 30% polyester
Colours
Fluo Orange and Navy</t>
  </si>
  <si>
    <t>PCS</t>
  </si>
  <si>
    <t>PLEASE QUOTE SCANDIA EQUIVALENT FOR ALL ITEMS</t>
  </si>
  <si>
    <t>SCANSHOWER RAIN SUIT | LIGHTWEIGHT WITH REFLECTIVE STRIPING - LARGE (XL) Shell: 65% polyester, 35% PVC
Colours
Fluo Orange</t>
  </si>
  <si>
    <t>SCANRALLY REFLECT  BOILER SUIT | UV PROTECTION - LARGE (2X) 100% fine cotton twill with UV protection finish Colour-Navy</t>
  </si>
  <si>
    <t>HL SMARTFIT EARPLUGS – CORDED, RE-USABLE - ONE SIZE Attenuation: H=32dB, M=27dB, L=23dB, SNR=30dB
50 pairs per box</t>
  </si>
  <si>
    <t>SCANTOX OMNIFIT CHEMICAL SPLASH GOGGLES - ONE SIZE Wide breadth of vision Adjustable elastic strap with anti-slip
Engineered for various face types
Colours
Orange and Black</t>
  </si>
  <si>
    <t>SCANSONIX OMNIFIT SAFETY GOGGLES - ONE SIZE UV 400 protection USA Dynaflex® oil resistant TPR overmould
Suitable for various face types
Colours
Black and Orange</t>
  </si>
  <si>
    <t>SCANFROZE INSULATED WINTER WORKING GLOVES - 9/L Cold resistance to -20°C (-4°F)</t>
  </si>
  <si>
    <t>SCANFROZE INSULATED WINTER WORKING GLOVES - 10X/L Cold resistance to -20°C (-4°F)</t>
  </si>
  <si>
    <t>SCANMICROFLEX SANITIZED® NITRILE WORKING GLOVES - 10/XL Sanitized® Actifresh, antimicrobial treatment for hygienic
freshness
Continuous knitted wrist
Colours
Grey and black</t>
  </si>
  <si>
    <t>SCANMICROFLEX SANITIZED® NITRILE WORKING GLOVES - 9/L Sanitized® Actifresh, antimicrobial treatment for hygienic
freshness
Continuous knitted wrist
Colours
Grey and black</t>
  </si>
  <si>
    <t>SCANDOT WORKING (UNDER-) GLOVES - 10/XL Seamless knitted polyamide liner
Anti-slip silicon dots</t>
  </si>
  <si>
    <t>SCANDOT WORKING (UNDER-) GLOVES - 9/L Seamless knitted polyamide liner
Anti-slip silicon dots
Colours
White and blue</t>
  </si>
  <si>
    <t>SCANPALM LEATHER PALM WORKING GLOVES - 10/XL Rubber reinforced safety cuff 7cm (2.8 in)
Reinforced, lined palm
Elasticized back
Colours
Grey and orange</t>
  </si>
  <si>
    <t>SCANTROPIC REFLECT BOILER SUIT | HEAT-REGULATING | UV PROTECTION - LARGE (2X) Lightweight 100% fine cotton with UV protection finish
Colours
Orange
Red
White
Navy
Grey</t>
  </si>
  <si>
    <t>SCANTROPIC REFLECT BOILER SUIT | HEAT-REGULATING | UV PROTECTION - LARGE (X) Lightweight 100% fine cotton with UV protection finish
Colours
Orange
Red
White
Navy
Grey</t>
  </si>
  <si>
    <t>SCANTROPIC REFLECT BOILER SUIT | HEAT-REGULATING | UV PROTECTION - LARGE (L) Lightweight 100% fine cotton with UV protection finish
Colours
Orange
Red
White
Navy
Grey</t>
  </si>
  <si>
    <t>SCANTROPIC REFLECT BOILER SUIT | HEAT-REGULATING | UV PROTECTION - MEDIUM (M) Lightweight 100% fine cotton with UV protection finish
Colours
Orange
Red
White
Navy
Grey</t>
  </si>
  <si>
    <t>SCANDIA 5010.64</t>
  </si>
  <si>
    <t>ScanSilence L3, Passive Earmuffs - Headband-Level 3</t>
  </si>
  <si>
    <t>SCANDRIVER COWHIDE DRIVER WORKING GLOVES - 10/XL Premium cowhide leather
Elasticized back
Colours
Natural</t>
  </si>
  <si>
    <t>SCANDRIVER COWHIDE DRIVER WORKING GLOVES - 9/L Premium cowhide leather
Elasticized back
Colours
Natural</t>
  </si>
  <si>
    <t>SCANDIA 4070.03</t>
  </si>
  <si>
    <t>ScanLaTect, polychloroprene latex working gloves - one size ONE SIZE</t>
  </si>
  <si>
    <t>PRS</t>
  </si>
  <si>
    <t>SCANJOPPER INSULATING CAP - ONE SIZE 100% soft acrylic
3M™ Thinsulate™ lining
Colours
Black</t>
  </si>
  <si>
    <t>SCANPALM LEATHER PALM WORKING GLOVES - 9/L Rubber reinforced safety cuff 7cm (2.8 in)
Reinforced, lined palm
Elasticized back
Colours
Grey and orange</t>
  </si>
  <si>
    <t>SCANPALM LEATHER PALM WORKING GLOVES - 8/M Rubber reinforced safety cuff 7cm (2.8 in)
Reinforced, lined palm
Elasticized back
Colours
Grey and orange</t>
  </si>
  <si>
    <t>SCANSHOWER RAIN SUIT | LIGHTWEIGHT WITH REFLECTIVE STRIPING - LARGE (2XL) Shell: 65% polyester, 35% PVC
Colours
Fluo Orange</t>
  </si>
  <si>
    <t>SCANSHOWER RAIN SUIT | LIGHTWEIGHT WITH REFLECTIVE STRIPING - LARGE (L) Shell: 65% polyester, 35% PVC
Colours
Fluo Orange</t>
  </si>
  <si>
    <t>SCANSHOWER RAIN SUIT | LIGHTWEIGHT WITH REFLECTIVE STRIPING - MEDIUM (M) Shell: 65% polyester, 35% PVC
Colours
Fluo Orange</t>
  </si>
  <si>
    <t>SCANRAIN HD 001 RAIN JACKET | HEAVY DUTY PERFORMANCE - LARGE (XL) Shell: 20% PU, 50% PVC, 30% polyester
Colours
Fluo Orange and Navy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</si>
  <si>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</si>
  <si>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</si>
  <si>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</si>
  <si>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</si>
  <si>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</si>
  <si>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</si>
  <si>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</si>
  <si>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</si>
  <si>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</si>
  <si>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</si>
  <si>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PLEASE QUOTE FOR SCANDIA EQUIVALENT 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</si>
  <si>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</si>
  <si>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</si>
  <si>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</si>
  <si>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</si>
  <si>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</si>
  <si>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</si>
  <si>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</si>
  <si>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</si>
  <si>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</si>
  <si>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</si>
  <si>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</si>
  <si>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</si>
  <si>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</si>
  <si>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</si>
  <si>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</si>
  <si>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</si>
  <si>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</si>
  <si>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</si>
  <si>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</si>
  <si>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</si>
  <si>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</si>
  <si>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</si>
  <si>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</si>
  <si>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</si>
  <si>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</si>
  <si>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</si>
  <si>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</si>
  <si>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</si>
  <si>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</si>
  <si>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</si>
  <si>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</si>
  <si>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</si>
  <si>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</si>
  <si>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</si>
  <si>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</si>
  <si>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</si>
  <si>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</si>
  <si>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</si>
  <si>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</si>
  <si>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</si>
  <si>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</si>
  <si>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</si>
  <si>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</si>
  <si>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</si>
  <si>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</si>
  <si>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</si>
  <si>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</si>
  <si>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</si>
  <si>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</si>
  <si>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</si>
  <si>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</si>
  <si>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</si>
  <si>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</si>
  <si>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</si>
  <si>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</si>
  <si>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</si>
  <si>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</si>
  <si>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</si>
  <si>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</si>
  <si>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</si>
  <si>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</si>
  <si>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</si>
  <si>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</si>
  <si>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</si>
  <si>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</si>
  <si>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</si>
  <si>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</si>
  <si>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</si>
  <si>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</si>
  <si>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</si>
  <si>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</si>
  <si>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</si>
  <si>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</si>
  <si>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</si>
  <si>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</si>
  <si>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</si>
  <si>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</si>
  <si>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</si>
  <si>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</si>
  <si>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</si>
  <si>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</si>
  <si>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</si>
  <si>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</si>
  <si>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</si>
  <si>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</si>
  <si>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</si>
  <si>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</si>
  <si>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</si>
  <si>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</si>
  <si>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</si>
  <si>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</si>
  <si>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</si>
  <si>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BJD1911081525724LET</t>
  </si>
  <si>
    <t>SMOOTH SEAS</t>
  </si>
  <si>
    <t>YONGSHENG</t>
  </si>
  <si>
    <t>EQUIVALENT</t>
  </si>
  <si>
    <t>SAME AS ABV</t>
  </si>
  <si>
    <t>SAME AS ITEM 13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</si>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</sst>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43782.50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99990009867878</v>
      </c>
      <c r="C20" s="227">
        <v>2073471</v>
      </c>
      <c r="D20" s="228" t="s">
        <v>40</v>
      </c>
      <c r="E20" s="229"/>
      <c r="F20" s="229">
        <v>1045.01</v>
      </c>
      <c r="G20" s="229" t="s">
        <v>41</v>
      </c>
      <c r="H20" s="230">
        <v>0</v>
      </c>
      <c r="I20" s="231">
        <v>4</v>
      </c>
      <c r="J20" s="232">
        <v>5.65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177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99990009867867</v>
      </c>
      <c r="C21" s="227">
        <v>2073485</v>
      </c>
      <c r="D21" s="228" t="s">
        <v>43</v>
      </c>
      <c r="E21" s="229"/>
      <c r="F21" s="229">
        <v>1045.10</v>
      </c>
      <c r="G21" s="229" t="s">
        <v>41</v>
      </c>
      <c r="H21" s="230">
        <v>0</v>
      </c>
      <c r="I21" s="231">
        <v>4</v>
      </c>
      <c r="J21" s="232">
        <v>5.65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177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99990009867250</v>
      </c>
      <c r="C22" s="227">
        <v>2104694</v>
      </c>
      <c r="D22" s="299" t="s">
        <v>44</v>
      </c>
      <c r="E22" s="229"/>
      <c r="F22" s="229">
        <v>1010.01</v>
      </c>
      <c r="G22" s="229" t="s">
        <v>41</v>
      </c>
      <c r="H22" s="230">
        <v>0</v>
      </c>
      <c r="I22" s="231">
        <v>8</v>
      </c>
      <c r="J22" s="232">
        <v>9.34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99990009867373</v>
      </c>
      <c r="C23" s="227">
        <v>2075345</v>
      </c>
      <c r="D23" s="228" t="s">
        <v>45</v>
      </c>
      <c r="E23" s="229"/>
      <c r="F23" s="229">
        <v>5024.01</v>
      </c>
      <c r="G23" s="229" t="s">
        <v>41</v>
      </c>
      <c r="H23" s="230">
        <v>0</v>
      </c>
      <c r="I23" s="231">
        <v>1</v>
      </c>
      <c r="J23" s="232">
        <v>14.5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178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99990009867388</v>
      </c>
      <c r="C24" s="227">
        <v>2075064</v>
      </c>
      <c r="D24" s="228" t="s">
        <v>46</v>
      </c>
      <c r="E24" s="229"/>
      <c r="F24" s="229">
        <v>3520.15</v>
      </c>
      <c r="G24" s="229" t="s">
        <v>41</v>
      </c>
      <c r="H24" s="230">
        <v>0</v>
      </c>
      <c r="I24" s="231">
        <v>5</v>
      </c>
      <c r="J24" s="232">
        <v>3.77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178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99990009867389</v>
      </c>
      <c r="C25" s="227">
        <v>2075059</v>
      </c>
      <c r="D25" s="228" t="s">
        <v>47</v>
      </c>
      <c r="E25" s="229"/>
      <c r="F25" s="229">
        <v>3520.11</v>
      </c>
      <c r="G25" s="229" t="s">
        <v>41</v>
      </c>
      <c r="H25" s="230">
        <v>0</v>
      </c>
      <c r="I25" s="231">
        <v>20</v>
      </c>
      <c r="J25" s="232">
        <v>0.52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178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99990009867411</v>
      </c>
      <c r="C26" s="227">
        <v>2074942</v>
      </c>
      <c r="D26" s="299" t="s">
        <v>48</v>
      </c>
      <c r="E26" s="229"/>
      <c r="F26" s="229">
        <v>4030.10</v>
      </c>
      <c r="G26" s="229" t="s">
        <v>41</v>
      </c>
      <c r="H26" s="230">
        <v>0</v>
      </c>
      <c r="I26" s="231">
        <v>24</v>
      </c>
      <c r="J26" s="232">
        <v>1.29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179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99990009867412</v>
      </c>
      <c r="C27" s="227">
        <v>2074941</v>
      </c>
      <c r="D27" s="299" t="s">
        <v>49</v>
      </c>
      <c r="E27" s="229"/>
      <c r="F27" s="229">
        <v>4030.10</v>
      </c>
      <c r="G27" s="229" t="s">
        <v>41</v>
      </c>
      <c r="H27" s="230">
        <v>0</v>
      </c>
      <c r="I27" s="231">
        <v>24</v>
      </c>
      <c r="J27" s="232">
        <v>1.29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180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99990009867422</v>
      </c>
      <c r="C28" s="227">
        <v>2074896</v>
      </c>
      <c r="D28" s="228" t="s">
        <v>50</v>
      </c>
      <c r="E28" s="229"/>
      <c r="F28" s="229">
        <v>4010.14</v>
      </c>
      <c r="G28" s="229" t="s">
        <v>41</v>
      </c>
      <c r="H28" s="230">
        <v>0</v>
      </c>
      <c r="I28" s="231">
        <v>40</v>
      </c>
      <c r="J28" s="232">
        <v>0.35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179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99990009867423</v>
      </c>
      <c r="C29" s="227">
        <v>2074894</v>
      </c>
      <c r="D29" s="228" t="s">
        <v>51</v>
      </c>
      <c r="E29" s="229"/>
      <c r="F29" s="229">
        <v>4010.14</v>
      </c>
      <c r="G29" s="229" t="s">
        <v>41</v>
      </c>
      <c r="H29" s="230">
        <v>0</v>
      </c>
      <c r="I29" s="231">
        <v>40</v>
      </c>
      <c r="J29" s="232">
        <v>0.35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180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99990009867427</v>
      </c>
      <c r="C30" s="227">
        <v>2074874</v>
      </c>
      <c r="D30" s="228" t="s">
        <v>52</v>
      </c>
      <c r="E30" s="229"/>
      <c r="F30" s="229">
        <v>4020.09</v>
      </c>
      <c r="G30" s="229" t="s">
        <v>41</v>
      </c>
      <c r="H30" s="230">
        <v>0</v>
      </c>
      <c r="I30" s="231">
        <v>80</v>
      </c>
      <c r="J30" s="232">
        <v>0.2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179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99990009867428</v>
      </c>
      <c r="C31" s="227">
        <v>2074871</v>
      </c>
      <c r="D31" s="228" t="s">
        <v>53</v>
      </c>
      <c r="E31" s="229"/>
      <c r="F31" s="229">
        <v>4020.09</v>
      </c>
      <c r="G31" s="229" t="s">
        <v>41</v>
      </c>
      <c r="H31" s="230">
        <v>0</v>
      </c>
      <c r="I31" s="231">
        <v>80</v>
      </c>
      <c r="J31" s="232">
        <v>0.2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180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99990009867430</v>
      </c>
      <c r="C32" s="227">
        <v>2074798</v>
      </c>
      <c r="D32" s="228" t="s">
        <v>54</v>
      </c>
      <c r="E32" s="229"/>
      <c r="F32" s="229">
        <v>4010.04</v>
      </c>
      <c r="G32" s="229" t="s">
        <v>41</v>
      </c>
      <c r="H32" s="230">
        <v>0</v>
      </c>
      <c r="I32" s="231">
        <v>50</v>
      </c>
      <c r="J32" s="232">
        <v>0.77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179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99990009867934</v>
      </c>
      <c r="C33" s="227">
        <v>2073336</v>
      </c>
      <c r="D33" s="228" t="s">
        <v>55</v>
      </c>
      <c r="E33" s="229"/>
      <c r="F33" s="229">
        <v>1012.01</v>
      </c>
      <c r="G33" s="229" t="s">
        <v>41</v>
      </c>
      <c r="H33" s="230">
        <v>0</v>
      </c>
      <c r="I33" s="231">
        <v>4</v>
      </c>
      <c r="J33" s="232">
        <v>9.34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177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99990009867935</v>
      </c>
      <c r="C34" s="227">
        <v>2073335</v>
      </c>
      <c r="D34" s="228" t="s">
        <v>56</v>
      </c>
      <c r="E34" s="229"/>
      <c r="F34" s="229">
        <v>1012.01</v>
      </c>
      <c r="G34" s="229" t="s">
        <v>41</v>
      </c>
      <c r="H34" s="230">
        <v>0</v>
      </c>
      <c r="I34" s="231">
        <v>10</v>
      </c>
      <c r="J34" s="232">
        <v>9.34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177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99990009867936</v>
      </c>
      <c r="C35" s="227">
        <v>2073334</v>
      </c>
      <c r="D35" s="228" t="s">
        <v>57</v>
      </c>
      <c r="E35" s="229"/>
      <c r="F35" s="229">
        <v>1012.01</v>
      </c>
      <c r="G35" s="229" t="s">
        <v>41</v>
      </c>
      <c r="H35" s="230">
        <v>0</v>
      </c>
      <c r="I35" s="231">
        <v>10</v>
      </c>
      <c r="J35" s="232">
        <v>9.34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177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99990009867937</v>
      </c>
      <c r="C36" s="227">
        <v>2073333</v>
      </c>
      <c r="D36" s="228" t="s">
        <v>58</v>
      </c>
      <c r="E36" s="229"/>
      <c r="F36" s="229">
        <v>1012.01</v>
      </c>
      <c r="G36" s="229" t="s">
        <v>41</v>
      </c>
      <c r="H36" s="230">
        <v>0</v>
      </c>
      <c r="I36" s="231">
        <v>10</v>
      </c>
      <c r="J36" s="232">
        <v>9.34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177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99990012272273</v>
      </c>
      <c r="C37" s="227" t="s">
        <v>59</v>
      </c>
      <c r="D37" s="299" t="s">
        <v>60</v>
      </c>
      <c r="E37" s="229"/>
      <c r="F37" s="229" t="s">
        <v>59</v>
      </c>
      <c r="G37" s="229" t="s">
        <v>41</v>
      </c>
      <c r="H37" s="230">
        <v>0</v>
      </c>
      <c r="I37" s="231">
        <v>10</v>
      </c>
      <c r="J37" s="232">
        <v>3.09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178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99990009867436</v>
      </c>
      <c r="C38" s="227">
        <v>2074779</v>
      </c>
      <c r="D38" s="228" t="s">
        <v>61</v>
      </c>
      <c r="E38" s="229"/>
      <c r="F38" s="229">
        <v>4010.18</v>
      </c>
      <c r="G38" s="229" t="s">
        <v>41</v>
      </c>
      <c r="H38" s="230">
        <v>0</v>
      </c>
      <c r="I38" s="231">
        <v>15</v>
      </c>
      <c r="J38" s="232">
        <v>1.29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179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99990009867437</v>
      </c>
      <c r="C39" s="227">
        <v>2074778</v>
      </c>
      <c r="D39" s="228" t="s">
        <v>62</v>
      </c>
      <c r="E39" s="229"/>
      <c r="F39" s="229">
        <v>4010.18</v>
      </c>
      <c r="G39" s="229" t="s">
        <v>41</v>
      </c>
      <c r="H39" s="230">
        <v>0</v>
      </c>
      <c r="I39" s="231">
        <v>15</v>
      </c>
      <c r="J39" s="232">
        <v>1.29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180</v>
      </c>
      <c r="Q39" s="236"/>
      <c r="R39" s="237"/>
      <c r="S39" s="238"/>
      <c r="T39" s="239"/>
    </row>
    <row r="40" spans="1:20" ht="24" customHeight="1">
      <c r="A40" s="226">
        <v>21</v>
      </c>
      <c r="B40" s="226">
        <v>99990012427478</v>
      </c>
      <c r="C40" s="227" t="s">
        <v>63</v>
      </c>
      <c r="D40" s="299" t="s">
        <v>64</v>
      </c>
      <c r="E40" s="229"/>
      <c r="F40" s="229" t="s">
        <v>63</v>
      </c>
      <c r="G40" s="229" t="s">
        <v>65</v>
      </c>
      <c r="H40" s="230">
        <v>0</v>
      </c>
      <c r="I40" s="231">
        <v>20</v>
      </c>
      <c r="J40" s="232">
        <v>6.49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 t="s">
        <v>179</v>
      </c>
      <c r="Q40" s="236"/>
      <c r="R40" s="237"/>
      <c r="S40" s="238"/>
      <c r="T40" s="239"/>
    </row>
    <row r="41" spans="1:20" ht="24" customHeight="1">
      <c r="A41" s="226">
        <v>22</v>
      </c>
      <c r="B41" s="226">
        <v>99990009867399</v>
      </c>
      <c r="C41" s="227">
        <v>2075022</v>
      </c>
      <c r="D41" s="228" t="s">
        <v>66</v>
      </c>
      <c r="E41" s="229"/>
      <c r="F41" s="229">
        <v>3020.05</v>
      </c>
      <c r="G41" s="229" t="s">
        <v>41</v>
      </c>
      <c r="H41" s="230">
        <v>0</v>
      </c>
      <c r="I41" s="231">
        <v>10</v>
      </c>
      <c r="J41" s="232">
        <v>0.88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179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99990009867431</v>
      </c>
      <c r="C42" s="227">
        <v>2074794</v>
      </c>
      <c r="D42" s="228" t="s">
        <v>67</v>
      </c>
      <c r="E42" s="229"/>
      <c r="F42" s="229">
        <v>4010.04</v>
      </c>
      <c r="G42" s="229" t="s">
        <v>41</v>
      </c>
      <c r="H42" s="230">
        <v>0</v>
      </c>
      <c r="I42" s="231">
        <v>25</v>
      </c>
      <c r="J42" s="232">
        <v>0.77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181</v>
      </c>
      <c r="Q42" s="236"/>
      <c r="R42" s="237"/>
      <c r="S42" s="238"/>
      <c r="T42" s="239"/>
    </row>
    <row r="43" spans="1:20" ht="24" customHeight="1">
      <c r="A43" s="226">
        <v>24</v>
      </c>
      <c r="B43" s="226">
        <v>99990009867432</v>
      </c>
      <c r="C43" s="227">
        <v>2074791</v>
      </c>
      <c r="D43" s="228" t="s">
        <v>68</v>
      </c>
      <c r="E43" s="229"/>
      <c r="F43" s="229">
        <v>4010.04</v>
      </c>
      <c r="G43" s="229" t="s">
        <v>41</v>
      </c>
      <c r="H43" s="230">
        <v>0</v>
      </c>
      <c r="I43" s="231">
        <v>25</v>
      </c>
      <c r="J43" s="232">
        <v>0.77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181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99990009867866</v>
      </c>
      <c r="C44" s="227">
        <v>2073486</v>
      </c>
      <c r="D44" s="228" t="s">
        <v>69</v>
      </c>
      <c r="E44" s="229"/>
      <c r="F44" s="229">
        <v>1045.10</v>
      </c>
      <c r="G44" s="229" t="s">
        <v>41</v>
      </c>
      <c r="H44" s="230">
        <v>0</v>
      </c>
      <c r="I44" s="231">
        <v>4</v>
      </c>
      <c r="J44" s="232">
        <v>5.65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177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99990009867868</v>
      </c>
      <c r="C45" s="227">
        <v>2073484</v>
      </c>
      <c r="D45" s="228" t="s">
        <v>70</v>
      </c>
      <c r="E45" s="229"/>
      <c r="F45" s="229">
        <v>1045.10</v>
      </c>
      <c r="G45" s="229" t="s">
        <v>41</v>
      </c>
      <c r="H45" s="230">
        <v>0</v>
      </c>
      <c r="I45" s="231">
        <v>4</v>
      </c>
      <c r="J45" s="232">
        <v>5.65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177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99990009867869</v>
      </c>
      <c r="C46" s="227">
        <v>2073483</v>
      </c>
      <c r="D46" s="228" t="s">
        <v>71</v>
      </c>
      <c r="E46" s="229"/>
      <c r="F46" s="229">
        <v>1045.10</v>
      </c>
      <c r="G46" s="229" t="s">
        <v>41</v>
      </c>
      <c r="H46" s="230">
        <v>0</v>
      </c>
      <c r="I46" s="231">
        <v>4</v>
      </c>
      <c r="J46" s="232">
        <v>5.65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180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99990009867879</v>
      </c>
      <c r="C47" s="227">
        <v>2073469</v>
      </c>
      <c r="D47" s="228" t="s">
        <v>72</v>
      </c>
      <c r="E47" s="229"/>
      <c r="F47" s="229">
        <v>1045.01</v>
      </c>
      <c r="G47" s="229" t="s">
        <v>41</v>
      </c>
      <c r="H47" s="230">
        <v>0</v>
      </c>
      <c r="I47" s="231">
        <v>4</v>
      </c>
      <c r="J47" s="232">
        <v>5.65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177</v>
      </c>
      <c r="Q47" s="236"/>
      <c r="R47" s="237"/>
      <c r="S47" s="238"/>
      <c r="T47" s="239"/>
    </row>
    <row r="48" spans="1:20" ht="15" customHeight="1">
      <c r="A48" s="32"/>
      <c r="B48" s="295"/>
      <c r="C48" s="296"/>
      <c r="D48" s="296"/>
      <c r="E48" s="296"/>
      <c r="F48" s="296"/>
      <c r="G48" s="296"/>
      <c r="H48" s="297"/>
      <c r="I48" s="297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8"/>
    </row>
    <row r="49" spans="1:20" ht="12.75" customHeight="1">
      <c r="A49" s="289" t="s">
        <v>28</v>
      </c>
      <c r="B49" s="289"/>
      <c r="C49" s="290" t="s">
        <v>73</v>
      </c>
      <c r="D49" s="291"/>
      <c r="E49" s="291"/>
      <c r="F49" s="291"/>
      <c r="G49" s="291"/>
      <c r="H49" s="291"/>
      <c r="I49" s="292"/>
      <c r="J49" s="292" t="s">
        <v>74</v>
      </c>
      <c r="K49" s="292"/>
      <c r="L49" s="292" t="s">
        <v>35</v>
      </c>
      <c r="M49" s="292" t="s">
        <v>36</v>
      </c>
      <c r="N49" s="293" t="s">
        <v>75</v>
      </c>
      <c r="O49" s="294" t="s">
        <v>38</v>
      </c>
      <c r="P49" s="294"/>
      <c r="Q49" s="294"/>
      <c r="R49" s="294"/>
      <c r="S49" s="294"/>
      <c r="T49" s="225"/>
    </row>
    <row r="50" spans="1:20" ht="15" customHeight="1">
      <c r="A50" s="269">
        <v>1</v>
      </c>
      <c r="B50" s="270"/>
      <c r="C50" s="271" t="s">
        <v>76</v>
      </c>
      <c r="D50" s="272" t="s">
        <v>76</v>
      </c>
      <c r="E50" s="272" t="s">
        <v>76</v>
      </c>
      <c r="F50" s="272" t="s">
        <v>76</v>
      </c>
      <c r="G50" s="272" t="s">
        <v>76</v>
      </c>
      <c r="H50" s="273" t="s">
        <v>76</v>
      </c>
      <c r="I50" s="274"/>
      <c r="J50" s="275">
        <v>0</v>
      </c>
      <c r="K50" s="276"/>
      <c r="L50" s="277">
        <v>0</v>
      </c>
      <c r="M50" s="277">
        <v>0</v>
      </c>
      <c r="N50" s="285">
        <f>(J50-(J50*L50/100)+((J50-(J50*L50/100))*M50/100))</f>
      </c>
      <c r="O50" s="286"/>
      <c r="P50" s="287"/>
      <c r="Q50" s="287"/>
      <c r="R50" s="287"/>
      <c r="S50" s="288"/>
      <c r="T50" s="283"/>
    </row>
    <row r="51" spans="1:20" ht="15" customHeight="1">
      <c r="A51" s="269">
        <v>2</v>
      </c>
      <c r="B51" s="270"/>
      <c r="C51" s="271" t="s">
        <v>77</v>
      </c>
      <c r="D51" s="272" t="s">
        <v>77</v>
      </c>
      <c r="E51" s="272" t="s">
        <v>77</v>
      </c>
      <c r="F51" s="272" t="s">
        <v>77</v>
      </c>
      <c r="G51" s="272" t="s">
        <v>77</v>
      </c>
      <c r="H51" s="273" t="s">
        <v>77</v>
      </c>
      <c r="I51" s="284"/>
      <c r="J51" s="275">
        <v>0</v>
      </c>
      <c r="K51" s="276"/>
      <c r="L51" s="277">
        <v>0</v>
      </c>
      <c r="M51" s="277">
        <v>0</v>
      </c>
      <c r="N51" s="279">
        <f>(J51-(J51*L51/100)+((J51-(J51*L51/100))*M51/100))</f>
      </c>
      <c r="O51" s="280"/>
      <c r="P51" s="281"/>
      <c r="Q51" s="281"/>
      <c r="R51" s="281"/>
      <c r="S51" s="282"/>
      <c r="T51" s="283"/>
    </row>
    <row r="52" spans="1:20" ht="15" customHeight="1">
      <c r="A52" s="269">
        <v>3</v>
      </c>
      <c r="B52" s="270"/>
      <c r="C52" s="271"/>
      <c r="D52" s="272"/>
      <c r="E52" s="272"/>
      <c r="F52" s="272"/>
      <c r="G52" s="272"/>
      <c r="H52" s="273"/>
      <c r="I52" s="274"/>
      <c r="J52" s="275">
        <v>0</v>
      </c>
      <c r="K52" s="276"/>
      <c r="L52" s="277">
        <v>0</v>
      </c>
      <c r="M52" s="277">
        <v>0</v>
      </c>
      <c r="N52" s="279">
        <f>(J52-(J52*L52/100)+((J52-(J52*L52/100))*M52/100))</f>
      </c>
      <c r="O52" s="280"/>
      <c r="P52" s="281"/>
      <c r="Q52" s="281"/>
      <c r="R52" s="281"/>
      <c r="S52" s="282"/>
      <c r="T52" s="283"/>
    </row>
    <row r="53" spans="1:20" ht="15.75" customHeight="1">
      <c r="A53" s="269">
        <v>4</v>
      </c>
      <c r="B53" s="270"/>
      <c r="C53" s="271"/>
      <c r="D53" s="272"/>
      <c r="E53" s="272"/>
      <c r="F53" s="272"/>
      <c r="G53" s="272"/>
      <c r="H53" s="273"/>
      <c r="I53" s="274"/>
      <c r="J53" s="275">
        <v>0</v>
      </c>
      <c r="K53" s="276"/>
      <c r="L53" s="277">
        <v>0</v>
      </c>
      <c r="M53" s="278">
        <v>0</v>
      </c>
      <c r="N53" s="279">
        <f>(J53-(J53*L53/100)+((J53-(J53*L53/100))*M53/100))</f>
      </c>
      <c r="O53" s="280"/>
      <c r="P53" s="281"/>
      <c r="Q53" s="281"/>
      <c r="R53" s="281"/>
      <c r="S53" s="282"/>
      <c r="T53" s="283"/>
    </row>
    <row r="54" spans="1:16" ht="15.95" customHeight="1">
      <c r="A54" s="247"/>
      <c r="B54" s="247"/>
      <c r="C54" s="248"/>
      <c r="D54" s="248"/>
      <c r="I54" s="163"/>
      <c r="J54" s="58" t="s">
        <v>78</v>
      </c>
      <c r="K54" s="59"/>
      <c r="L54" s="58"/>
      <c r="M54" s="59"/>
      <c r="N54" s="264">
        <f>SUM(ItmPrice)</f>
      </c>
      <c r="O54" s="267"/>
      <c r="P54" s="268"/>
    </row>
    <row r="55" spans="1:16" ht="15" customHeight="1">
      <c r="A55" s="247"/>
      <c r="B55" s="247"/>
      <c r="C55" s="248"/>
      <c r="D55" s="248"/>
      <c r="I55" s="163"/>
      <c r="J55" s="123" t="s">
        <v>79</v>
      </c>
      <c r="K55" s="124"/>
      <c r="L55" s="124"/>
      <c r="M55" s="125"/>
      <c r="N55" s="264">
        <f>SUM(N50:N54)</f>
      </c>
      <c r="O55" s="265"/>
      <c r="P55" s="266"/>
    </row>
    <row r="56" spans="1:19" ht="2.25" customHeight="1" hidden="1">
      <c r="A56" s="258">
        <v>0</v>
      </c>
      <c r="B56" s="258">
        <v>0</v>
      </c>
      <c r="C56" s="259">
        <v>0</v>
      </c>
      <c r="D56" s="248"/>
      <c r="E56" s="248"/>
      <c r="F56" s="260">
        <v>1</v>
      </c>
      <c r="G56" s="248"/>
      <c r="H56" s="248"/>
      <c r="I56" s="248"/>
      <c r="J56" s="248"/>
      <c r="K56" s="261"/>
      <c r="L56" s="262">
        <v>0</v>
      </c>
      <c r="M56" s="263">
        <v>0</v>
      </c>
      <c r="N56" s="162" t="s">
        <v>80</v>
      </c>
      <c r="O56" s="257"/>
      <c r="P56" s="263">
        <v>995</v>
      </c>
      <c r="Q56" s="248" t="s">
        <v>81</v>
      </c>
      <c r="R56" s="248"/>
      <c r="S56" s="248"/>
    </row>
    <row r="57" spans="1:19" ht="18.75" customHeight="1">
      <c r="A57" s="247"/>
      <c r="B57" s="247"/>
      <c r="C57" s="247"/>
      <c r="H57" s="257"/>
      <c r="I57" s="163"/>
      <c r="J57" s="248"/>
      <c r="K57" s="248"/>
      <c r="L57" s="248"/>
      <c r="M57" s="248"/>
      <c r="N57" s="248"/>
      <c r="O57" s="248"/>
      <c r="P57" s="248"/>
      <c r="R57" s="248"/>
      <c r="S57" s="248"/>
    </row>
    <row r="58" spans="1:20" ht="127.5" customHeight="1">
      <c r="A58" s="249" t="s">
        <v>82</v>
      </c>
      <c r="B58" s="249"/>
      <c r="C58" s="249"/>
      <c r="D58" s="250"/>
      <c r="E58" s="254" t="s">
        <v>83</v>
      </c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6"/>
    </row>
    <row r="59" spans="1:20" ht="129.75" customHeight="1">
      <c r="A59" s="249" t="s">
        <v>38</v>
      </c>
      <c r="B59" s="249"/>
      <c r="C59" s="249"/>
      <c r="D59" s="250"/>
      <c r="E59" s="251" t="s">
        <v>182</v>
      </c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3"/>
    </row>
    <row r="60" spans="1:19" ht="15.95" customHeight="1">
      <c r="A60" s="247"/>
      <c r="B60" s="247"/>
      <c r="C60" s="247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</row>
    <row r="61" spans="1:20" ht="15.95" customHeight="1">
      <c r="A61" s="245" t="s">
        <v>84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6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7.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7.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7.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2"/>
    </row>
    <row r="85" spans="1:9" ht="12.75">
      <c r="A85" s="240" t="s">
        <v>85</v>
      </c>
      <c r="B85" s="240"/>
      <c r="C85" s="240"/>
      <c r="D85" s="240"/>
      <c r="E85" s="240"/>
      <c r="F85" s="240"/>
      <c r="G85" s="240"/>
      <c r="I8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1">
    <mergeCell ref="E58:S58"/>
    <mergeCell ref="E59:S59"/>
    <mergeCell ref="E61:S61"/>
    <mergeCell ref="A62:S83"/>
    <mergeCell ref="A84:S84"/>
    <mergeCell ref="A58:D58"/>
    <mergeCell ref="A59:D59"/>
    <mergeCell ref="K1:R1"/>
    <mergeCell ref="R19:S19"/>
    <mergeCell ref="R20:S20"/>
    <mergeCell ref="O50:S50"/>
    <mergeCell ref="O51:S51"/>
    <mergeCell ref="O49:S49"/>
    <mergeCell ref="J49:K49"/>
    <mergeCell ref="K4:L4"/>
    <mergeCell ref="M4:P4"/>
    <mergeCell ref="K5:L5"/>
    <mergeCell ref="M5:P5"/>
    <mergeCell ref="M7:Q7"/>
    <mergeCell ref="P20:Q20"/>
    <mergeCell ref="M12:O12"/>
    <mergeCell ref="K12:L12"/>
    <mergeCell ref="O54:P54"/>
    <mergeCell ref="O55:P55"/>
    <mergeCell ref="J55:M55"/>
    <mergeCell ref="O52:S52"/>
    <mergeCell ref="O53:S5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9:H4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C50:H50"/>
    <mergeCell ref="J50:K50"/>
    <mergeCell ref="C51:H51"/>
    <mergeCell ref="J51:K51"/>
    <mergeCell ref="C52:H52"/>
    <mergeCell ref="J52:K52"/>
    <mergeCell ref="C53:H53"/>
    <mergeCell ref="J53:K53"/>
  </mergeCells>
  <dataValidations count="12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list" allowBlank="1" showInputMessage="1" showErrorMessage="1" sqref="C50:H50">
      <formula1>'MasterData'!$H$1:$H$14</formula1>
    </dataValidation>
    <dataValidation type="list" allowBlank="1" showInputMessage="1" showErrorMessage="1" sqref="C51:H51">
      <formula1>'MasterData'!$H$1:$H$14</formula1>
    </dataValidation>
    <dataValidation type="list" allowBlank="1" showInputMessage="1" showErrorMessage="1" sqref="C52:H52">
      <formula1>'MasterData'!$H$1:$H$14</formula1>
    </dataValidation>
    <dataValidation type="list" allowBlank="1" showInputMessage="1" showErrorMessage="1" sqref="C53:H5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76</v>
      </c>
      <c r="M1" s="301" t="s">
        <v>86</v>
      </c>
      <c r="N1" s="302" t="s">
        <v>0</v>
      </c>
      <c r="O1" s="162" t="s">
        <v>87</v>
      </c>
    </row>
    <row r="2" spans="7:15" ht="12.75">
      <c r="G2" s="162">
        <v>1001310</v>
      </c>
      <c r="H2" s="162" t="s">
        <v>77</v>
      </c>
      <c r="M2" s="301" t="s">
        <v>88</v>
      </c>
      <c r="N2" s="302">
        <v>1020738471</v>
      </c>
      <c r="O2" s="162" t="s">
        <v>89</v>
      </c>
    </row>
    <row r="3" spans="7:15" ht="12.75">
      <c r="G3" s="162">
        <v>1012729</v>
      </c>
      <c r="H3" s="162" t="s">
        <v>90</v>
      </c>
      <c r="M3" s="301" t="s">
        <v>91</v>
      </c>
      <c r="N3" s="302">
        <v>99990000436663</v>
      </c>
      <c r="O3" s="162" t="s">
        <v>92</v>
      </c>
    </row>
    <row r="4" spans="7:15" ht="12.75">
      <c r="G4" s="162">
        <v>1012730</v>
      </c>
      <c r="H4" s="162" t="s">
        <v>93</v>
      </c>
      <c r="M4" s="301" t="s">
        <v>94</v>
      </c>
      <c r="N4" s="302">
        <v>1021859342</v>
      </c>
      <c r="O4" s="162" t="s">
        <v>95</v>
      </c>
    </row>
    <row r="5" spans="7:15" ht="12.75">
      <c r="G5" s="162">
        <v>1012731</v>
      </c>
      <c r="H5" s="162" t="s">
        <v>96</v>
      </c>
      <c r="M5" s="301" t="s">
        <v>97</v>
      </c>
      <c r="N5" s="302"/>
      <c r="O5" s="162" t="s">
        <v>98</v>
      </c>
    </row>
    <row r="6" spans="7:15" ht="12.75">
      <c r="G6" s="162">
        <v>1012732</v>
      </c>
      <c r="H6" s="162" t="s">
        <v>99</v>
      </c>
      <c r="M6" s="301" t="s">
        <v>100</v>
      </c>
      <c r="N6" s="302" t="s">
        <v>101</v>
      </c>
      <c r="O6" s="162" t="s">
        <v>102</v>
      </c>
    </row>
    <row r="7" spans="7:15" ht="12.75">
      <c r="G7" s="162">
        <v>1012733</v>
      </c>
      <c r="H7" s="162" t="s">
        <v>103</v>
      </c>
      <c r="M7" s="301" t="s">
        <v>104</v>
      </c>
      <c r="N7" s="302">
        <v>0</v>
      </c>
      <c r="O7" s="162" t="s">
        <v>105</v>
      </c>
    </row>
    <row r="8" spans="7:15" ht="12.75">
      <c r="G8" s="162">
        <v>1012735</v>
      </c>
      <c r="H8" s="162" t="s">
        <v>106</v>
      </c>
      <c r="O8" s="162" t="s">
        <v>107</v>
      </c>
    </row>
    <row r="9" spans="7:15" ht="12.75">
      <c r="G9" s="162">
        <v>1012736</v>
      </c>
      <c r="H9" s="162" t="s">
        <v>108</v>
      </c>
      <c r="O9" s="162" t="s">
        <v>109</v>
      </c>
    </row>
    <row r="10" spans="7:15" ht="12.75">
      <c r="G10" s="162">
        <v>1012737</v>
      </c>
      <c r="H10" s="162" t="s">
        <v>110</v>
      </c>
      <c r="O10" s="162" t="s">
        <v>111</v>
      </c>
    </row>
    <row r="11" spans="7:15" ht="12.75">
      <c r="G11" s="162">
        <v>1012741</v>
      </c>
      <c r="H11" s="162" t="s">
        <v>112</v>
      </c>
      <c r="O11" s="162" t="s">
        <v>113</v>
      </c>
    </row>
    <row r="12" spans="7:15" ht="12.75">
      <c r="G12" s="162">
        <v>1012742</v>
      </c>
      <c r="H12" s="162" t="s">
        <v>114</v>
      </c>
      <c r="O12" s="162" t="s">
        <v>115</v>
      </c>
    </row>
    <row r="13" spans="7:15" ht="12.75">
      <c r="G13" s="162">
        <v>1012743</v>
      </c>
      <c r="H13" s="162" t="s">
        <v>116</v>
      </c>
      <c r="O13" s="162" t="s">
        <v>117</v>
      </c>
    </row>
    <row r="14" spans="7:15" ht="12.75">
      <c r="G14" s="162">
        <v>1012744</v>
      </c>
      <c r="H14" s="162" t="s">
        <v>118</v>
      </c>
      <c r="O14" s="162" t="s">
        <v>119</v>
      </c>
    </row>
    <row r="15" ht="12.75">
      <c r="O15" s="162" t="s">
        <v>120</v>
      </c>
    </row>
    <row r="16" ht="12.75">
      <c r="O16" s="162" t="s">
        <v>121</v>
      </c>
    </row>
    <row r="17" ht="12.75">
      <c r="O17" s="162" t="s">
        <v>122</v>
      </c>
    </row>
    <row r="18" ht="12.75">
      <c r="O18" s="162" t="s">
        <v>123</v>
      </c>
    </row>
    <row r="19" ht="12.75">
      <c r="O19" s="162" t="s">
        <v>124</v>
      </c>
    </row>
    <row r="20" ht="12.75">
      <c r="O20" s="162" t="s">
        <v>125</v>
      </c>
    </row>
    <row r="21" ht="12.75">
      <c r="O21" s="162" t="s">
        <v>126</v>
      </c>
    </row>
    <row r="22" ht="12.75">
      <c r="O22" s="162" t="s">
        <v>127</v>
      </c>
    </row>
    <row r="23" ht="12.75">
      <c r="O23" s="162" t="s">
        <v>128</v>
      </c>
    </row>
    <row r="24" ht="12.75">
      <c r="O24" s="162" t="s">
        <v>129</v>
      </c>
    </row>
    <row r="25" ht="12.75">
      <c r="O25" s="162" t="s">
        <v>130</v>
      </c>
    </row>
    <row r="26" ht="12.75">
      <c r="O26" s="162" t="s">
        <v>131</v>
      </c>
    </row>
    <row r="27" ht="12.75">
      <c r="O27" s="162" t="s">
        <v>132</v>
      </c>
    </row>
    <row r="28" ht="12.75">
      <c r="O28" s="162" t="s">
        <v>133</v>
      </c>
    </row>
    <row r="29" ht="12.75">
      <c r="O29" s="162" t="s">
        <v>134</v>
      </c>
    </row>
    <row r="30" ht="12.75">
      <c r="O30" s="162" t="s">
        <v>135</v>
      </c>
    </row>
    <row r="31" ht="12.75">
      <c r="O31" s="162" t="s">
        <v>136</v>
      </c>
    </row>
    <row r="32" ht="12.75">
      <c r="O32" s="162" t="s">
        <v>137</v>
      </c>
    </row>
    <row r="33" ht="12.75">
      <c r="O33" s="162" t="s">
        <v>138</v>
      </c>
    </row>
    <row r="34" ht="12.75">
      <c r="O34" s="162" t="s">
        <v>139</v>
      </c>
    </row>
    <row r="35" ht="12.75">
      <c r="O35" s="162" t="s">
        <v>140</v>
      </c>
    </row>
    <row r="36" ht="12.75">
      <c r="O36" s="162" t="s">
        <v>141</v>
      </c>
    </row>
    <row r="37" ht="12.75">
      <c r="O37" s="162" t="s">
        <v>142</v>
      </c>
    </row>
    <row r="38" ht="12.75">
      <c r="O38" s="162" t="s">
        <v>143</v>
      </c>
    </row>
    <row r="39" ht="12.75">
      <c r="O39" s="162" t="s">
        <v>144</v>
      </c>
    </row>
    <row r="40" ht="12.75">
      <c r="O40" s="162" t="s">
        <v>145</v>
      </c>
    </row>
    <row r="41" ht="12.75">
      <c r="O41" s="162" t="s">
        <v>146</v>
      </c>
    </row>
    <row r="42" ht="12.75">
      <c r="O42" s="162" t="s">
        <v>147</v>
      </c>
    </row>
    <row r="43" ht="12.75">
      <c r="O43" s="162" t="s">
        <v>148</v>
      </c>
    </row>
    <row r="44" ht="12.75">
      <c r="O44" s="162" t="s">
        <v>149</v>
      </c>
    </row>
    <row r="45" ht="12.75">
      <c r="O45" s="162" t="s">
        <v>150</v>
      </c>
    </row>
    <row r="46" ht="12.75">
      <c r="O46" s="162" t="s">
        <v>151</v>
      </c>
    </row>
    <row r="47" ht="12.75">
      <c r="O47" s="162" t="s">
        <v>152</v>
      </c>
    </row>
    <row r="48" ht="12.75">
      <c r="O48" s="162" t="s">
        <v>153</v>
      </c>
    </row>
    <row r="49" ht="12.75">
      <c r="O49" s="162" t="s">
        <v>154</v>
      </c>
    </row>
    <row r="50" ht="12.75">
      <c r="O50" s="162" t="s">
        <v>155</v>
      </c>
    </row>
    <row r="51" ht="12.75">
      <c r="O51" s="162" t="s">
        <v>156</v>
      </c>
    </row>
    <row r="52" ht="12.75">
      <c r="O52" s="162" t="s">
        <v>157</v>
      </c>
    </row>
    <row r="53" ht="12.75">
      <c r="O53" s="162" t="s">
        <v>158</v>
      </c>
    </row>
    <row r="54" ht="12.75">
      <c r="O54" s="162" t="s">
        <v>159</v>
      </c>
    </row>
    <row r="55" ht="12.75">
      <c r="O55" s="162" t="s">
        <v>160</v>
      </c>
    </row>
    <row r="56" ht="12.75">
      <c r="O56" s="162" t="s">
        <v>161</v>
      </c>
    </row>
    <row r="57" ht="12.75">
      <c r="O57" s="162" t="s">
        <v>162</v>
      </c>
    </row>
    <row r="58" ht="12.75">
      <c r="O58" s="162" t="s">
        <v>163</v>
      </c>
    </row>
    <row r="59" ht="12.75">
      <c r="O59" s="162" t="s">
        <v>164</v>
      </c>
    </row>
    <row r="60" ht="12.75">
      <c r="O60" s="162" t="s">
        <v>165</v>
      </c>
    </row>
    <row r="61" ht="12.75">
      <c r="O61" s="162" t="s">
        <v>166</v>
      </c>
    </row>
    <row r="62" ht="12.75">
      <c r="O62" s="162" t="s">
        <v>167</v>
      </c>
    </row>
    <row r="63" ht="12.75">
      <c r="O63" s="162" t="s">
        <v>168</v>
      </c>
    </row>
    <row r="64" ht="12.75">
      <c r="O64" s="162" t="s">
        <v>169</v>
      </c>
    </row>
    <row r="65" ht="12.75">
      <c r="O65" s="162" t="s">
        <v>170</v>
      </c>
    </row>
    <row r="66" ht="12.75">
      <c r="O66" s="162" t="s">
        <v>171</v>
      </c>
    </row>
    <row r="67" ht="12.75">
      <c r="O67" s="162" t="s">
        <v>172</v>
      </c>
    </row>
    <row r="68" ht="12.75">
      <c r="O68" s="162" t="s">
        <v>173</v>
      </c>
    </row>
    <row r="69" ht="12.75">
      <c r="O69" s="162" t="s">
        <v>174</v>
      </c>
    </row>
    <row r="70" ht="12.75">
      <c r="O70" s="162" t="s">
        <v>175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