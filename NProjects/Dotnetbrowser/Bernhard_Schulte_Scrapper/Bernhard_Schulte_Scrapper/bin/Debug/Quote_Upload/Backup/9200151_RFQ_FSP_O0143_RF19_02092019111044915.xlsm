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Override PartName="/xl/workbook.xml" ContentType="application/vnd.ms-excel.sheet.macroEnabled.main+xml"/>
  <Override PartName="/xl/vbaProject.bin" ContentType="application/vnd.ms-office.vbaProject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xl/sharedStrings.xml" ContentType="application/vnd.openxmlformats-officedocument.spreadsheetml.sharedStrings+xml"/>
  <Override PartName="/docProps/core.xml" ContentType="application/vnd.openxmlformats-package.core-properties+xml"/>
  <Default Extension="bin" ContentType="application/vnd.openxmlformats-officedocument.spreadsheetml.printerSettings"/>
</Types>
</file>

<file path=_rels/.rels><?xml version="1.0" encoding="UTF-8" standalone="yes"?><Relationships xmlns="http://schemas.openxmlformats.org/package/2006/relationships"><Relationship Id="rId1" Type="http://schemas.openxmlformats.org/officeDocument/2006/relationships/officeDocument" Target="xl/workbook.xml" /><Relationship Id="rId2" Type="http://schemas.openxmlformats.org/package/2006/relationships/metadata/core-properties" Target="docProps/core.xml" /><Relationship Id="rId3" Type="http://schemas.openxmlformats.org/officeDocument/2006/relationships/extended-properties" Target="docProps/app.xml" /></Relationships>
</file>

<file path=xl/workbook.xml><?xml version="1.0" encoding="utf-8"?>
<workbook xmlns="http://schemas.openxmlformats.org/spreadsheetml/2006/main" xmlns:r="http://schemas.openxmlformats.org/officeDocument/2006/relationships" xmlns:x15ac="http://schemas.microsoft.com/office/spreadsheetml/2010/11/ac" xmlns:mc="http://schemas.openxmlformats.org/markup-compatibility/2006" xmlns:x15="http://schemas.microsoft.com/office/spreadsheetml/2010/11/main" xmlns:x="http://schemas.openxmlformats.org/spreadsheetml/2006/main" mc:Ignorable="x15">
  <fileVersion appName="xl" lastEdited="7" lowestEdited="5" rupBuild="18431" codeName="{7A2D7E96-6E34-419A-AE5F-296B3A7E7977}"/>
  <workbookPr codeName="ThisWorkbook" defaultThemeVersion="124226"/>
  <bookViews>
    <workbookView xWindow="65521" yWindow="7245" windowWidth="15570" windowHeight="5145" activeTab="0"/>
  </bookViews>
  <sheets>
    <sheet name="Quote" sheetId="1" r:id="rId1"/>
    <sheet name="MasterData" sheetId="2" state="hidden" r:id="rId2"/>
  </sheets>
  <definedNames>
    <definedName name="_xlnm.Print_Area" localSheetId="0">Quote!$A$1:$R$48</definedName>
    <definedName name="CompanyName" comment="Company Name">Quote!$A$4</definedName>
    <definedName name="Currency" comment="Currency">Quote!$M$14</definedName>
    <definedName name="Days">Quote!$M$11</definedName>
    <definedName name="Daysa">Quote!$M$11</definedName>
    <definedName name="Discount_All">Quote!$M$15</definedName>
    <definedName name="Enquiry_ID" comment="Enquiry_ID">Quote!$A$29</definedName>
    <definedName name="Enquiry_To_Vendor_ID" comment="Enquiry to Vendor ID">Quote!$C$29</definedName>
    <definedName name="GrandTotal">Quote!$N$28</definedName>
    <definedName name="HeaderID">MasterData!$N$4</definedName>
    <definedName name="InvoiceTo">Quote!$A$4:$E$11</definedName>
    <definedName name="ItemID" comment="Item ID">Quote!$B$19</definedName>
    <definedName name="ItemListEndRow" comment="Item List End Row">Quote!$A$21</definedName>
    <definedName name="ItemListStartupRow" comment="Item List Start Up Row">Quote!$A$19</definedName>
    <definedName name="ItemSubTotal">Quote!$N$27</definedName>
    <definedName name="ItemSubTotalTitle">Quote!$J$27</definedName>
    <definedName name="LeadDay">Quote!$M$11</definedName>
    <definedName name="Lock">Quote!$M$29</definedName>
    <definedName name="LoggedInEmailID">Quote!$N$29</definedName>
    <definedName name="LoggedInPwd">Quote!$O$29</definedName>
    <definedName name="OtherCharges">Quote!$C$23</definedName>
    <definedName name="OtherChargesLastRow">Quote!$A$27</definedName>
    <definedName name="OtherChargesStartRow">Quote!$A$22</definedName>
    <definedName name="Port">Quote!$P$29</definedName>
    <definedName name="PortOfDelivery" comment="Port of Delivery">Quote!$M$9</definedName>
    <definedName name="PurchaserName">Quote!$J$29</definedName>
    <definedName name="QuoteBefore">Quote!$M$8</definedName>
    <definedName name="QuoteID">MasterData!$N$7</definedName>
    <definedName name="QuoteSubject">Quote!$E$29</definedName>
    <definedName name="Remarks">Quote!$E$31</definedName>
    <definedName name="ReqNumber" comment="Requisition Number">Quote!$M$7</definedName>
    <definedName name="RequestForQuoteID">MasterData!$N$3</definedName>
    <definedName name="RFQ_ID">MasterData!$N$2</definedName>
    <definedName name="RFQCategory">MasterData!$N$6</definedName>
    <definedName name="RFQDate" comment="RFQ Date">Quote!$M$6</definedName>
    <definedName name="RFQFileType">MasterData!$N$1</definedName>
    <definedName name="RFQNumber" comment="RFQ Number">Quote!$M$5</definedName>
    <definedName name="SentDate">Quote!$K$29</definedName>
    <definedName name="SentIndex">Quote!$L$29</definedName>
    <definedName name="Server">Quote!$Q$29</definedName>
    <definedName name="Terms">Quote!$A$35:$T$56</definedName>
    <definedName name="ToEmailID">Quote!$I$29</definedName>
    <definedName name="ToEmailPwd">Quote!$H$29</definedName>
    <definedName name="VAL">Quote!$F$29</definedName>
    <definedName name="VAT_All">Quote!$M$16</definedName>
    <definedName name="Vendor_ID" comment="Vendor ID">Quote!$B$29</definedName>
    <definedName name="VendorAddress" comment="Vendor Address">Quote!$D$14</definedName>
    <definedName name="VendorAddressCity" comment="Vendor Address City">Quote!$D$15</definedName>
    <definedName name="VendorAddressEmail" comment="Vendor Address Email">Quote!$D$17</definedName>
    <definedName name="VendorAddressPhone" comment="Vendor Address Phone">Quote!$D$16</definedName>
    <definedName name="VendorEmailID">Quote!$D$29</definedName>
    <definedName name="VendorID">MasterData!$N$5</definedName>
    <definedName name="VendorName" comment="Vendor Name">Quote!$D$13</definedName>
    <definedName name="VendorReference" comment="Vendor Reference">Quote!$M$12</definedName>
    <definedName name="VendorRemarks" comment="VendorRemarks">Quote!$E$32</definedName>
    <definedName name="VesselETA" comment="Vessel ETA">Quote!$M$10</definedName>
    <definedName name="VesselName" comment="Vessel Name">Quote!$M$4</definedName>
    <definedName name="ItmPrice">Quote!$N$20:$N$20</definedName>
  </definedNames>
  <calcPr fullCalcOnLoad="1"/>
</workbook>
</file>

<file path=xl/sharedStrings.xml><?xml version="1.0" encoding="utf-8"?>
<sst xmlns="http://schemas.openxmlformats.org/spreadsheetml/2006/main" count="168" uniqueCount="147">
  <si>
    <t>RFQ</t>
  </si>
  <si>
    <t>Request for Quote</t>
  </si>
  <si>
    <t>Invoice To</t>
  </si>
  <si>
    <t>Bernhard Schulte Shipmanagement (Hong Kong) Limited Partnership
Invoice To: MASTER &amp; OWNER OF FMG SOPHIA
REGD. OWNER: CLC VLOC - 3 LIMITED
BERNHARD SCHULTE SHIPMANGEMENT (HONG KONG) LTD. PARTNERSHIP
(AS AGENTS ONLY)
2602, K WAH CENTRE, 191 JAVA ROAD,
NORTH POINT, HONG KONG
TEL: +852 2561 8838
FAX: +852 2561 8803
EMAIL: hk-smc-invoices@bs-shipmanagement.com</t>
  </si>
  <si>
    <t>Vessel</t>
  </si>
  <si>
    <t>FMG Sophia</t>
  </si>
  <si>
    <t>RFQ No.</t>
  </si>
  <si>
    <t>FSP/O0143/RF19</t>
  </si>
  <si>
    <t>RFQ Date</t>
  </si>
  <si>
    <t>Submit Quote Before:</t>
  </si>
  <si>
    <t>Port of Delivery</t>
  </si>
  <si>
    <t>Jingtang (Tangshan)</t>
  </si>
  <si>
    <t>Vessel ETA</t>
  </si>
  <si>
    <t>Lead Days</t>
  </si>
  <si>
    <t>Vendor Details</t>
  </si>
  <si>
    <t>Vendor Reference</t>
  </si>
  <si>
    <t>Name</t>
  </si>
  <si>
    <t>RMS MARINE SERVICE COMPANY LTD</t>
  </si>
  <si>
    <t>Address</t>
  </si>
  <si>
    <t>365, Gaodong, No 2 Road, Pudong District,SHANGHAI, CHINA</t>
  </si>
  <si>
    <r>
      <rPr>
        <b/>
        <sz val="10"/>
        <color theme="3"/>
        <rFont val="Calibri"/>
        <family val="2"/>
      </rPr>
      <t xml:space="preserve">Select Currency </t>
    </r>
    <r>
      <rPr>
        <b/>
        <sz val="10"/>
        <color rgb="FFFF0000"/>
        <rFont val="Calibri"/>
        <family val="2"/>
      </rPr>
      <t>*</t>
    </r>
  </si>
  <si>
    <t>City</t>
  </si>
  <si>
    <t>Discount (%) for all items</t>
  </si>
  <si>
    <t>0</t>
  </si>
  <si>
    <t>Phone</t>
  </si>
  <si>
    <t>VAT(%) for all items</t>
  </si>
  <si>
    <t>Email</t>
  </si>
  <si>
    <t>mt@rmsmarineservice.com</t>
  </si>
  <si>
    <t>No</t>
  </si>
  <si>
    <t>Product Code</t>
  </si>
  <si>
    <t>Description</t>
  </si>
  <si>
    <t>Part No</t>
  </si>
  <si>
    <t>Unit</t>
  </si>
  <si>
    <t>Contract Price</t>
  </si>
  <si>
    <t>Quantity</t>
  </si>
  <si>
    <t>Discount %</t>
  </si>
  <si>
    <t>VAT %</t>
  </si>
  <si>
    <t>Total Price</t>
  </si>
  <si>
    <t>Vendor Remarks</t>
  </si>
  <si>
    <t>Office Remarks</t>
  </si>
  <si>
    <t>SECURITY SEALS</t>
  </si>
  <si>
    <t>PCS</t>
  </si>
  <si>
    <t>Other Charges</t>
  </si>
  <si>
    <t>Amount</t>
  </si>
  <si>
    <t>Price</t>
  </si>
  <si>
    <t>Packing cost</t>
  </si>
  <si>
    <t>Freight charge</t>
  </si>
  <si>
    <t>Item Sub Total :</t>
  </si>
  <si>
    <t>Grand Total :</t>
  </si>
  <si>
    <t>Pal-pms-quotations@bs-shipmanagement.com</t>
  </si>
  <si>
    <t>194.42.133.180</t>
  </si>
  <si>
    <t>Buyer Remarks</t>
  </si>
  <si>
    <t>Your Quotation is subjected to :</t>
  </si>
  <si>
    <t>“This order is placed for and on behalf of the Owners as Agents only.”</t>
  </si>
  <si>
    <t>RFQFileType</t>
  </si>
  <si>
    <t>ADP</t>
  </si>
  <si>
    <t>RFQ_ID</t>
  </si>
  <si>
    <t>AED</t>
  </si>
  <si>
    <t>ADDITIONAL JOBS</t>
  </si>
  <si>
    <t>RequestForQuoteID</t>
  </si>
  <si>
    <t>AFA</t>
  </si>
  <si>
    <t>AGENCY FEE</t>
  </si>
  <si>
    <t>HeaderID</t>
  </si>
  <si>
    <t>AUD</t>
  </si>
  <si>
    <t>HANDLING CHARGE</t>
  </si>
  <si>
    <t>VendorID</t>
  </si>
  <si>
    <t>BAD</t>
  </si>
  <si>
    <t>PACKING CHARGE</t>
  </si>
  <si>
    <t>RFQCategory</t>
  </si>
  <si>
    <t>SMC - STORES</t>
  </si>
  <si>
    <t>BAM</t>
  </si>
  <si>
    <t>SPARE USED</t>
  </si>
  <si>
    <t>QuoteID</t>
  </si>
  <si>
    <t>BBD</t>
  </si>
  <si>
    <t>WAREHOUSING</t>
  </si>
  <si>
    <t>BHD</t>
  </si>
  <si>
    <t>CRANAGE</t>
  </si>
  <si>
    <t>BMD</t>
  </si>
  <si>
    <t>CUSTOMS</t>
  </si>
  <si>
    <t>BOL</t>
  </si>
  <si>
    <t>LAUNCH HIRE CHARGE</t>
  </si>
  <si>
    <t>BRL</t>
  </si>
  <si>
    <t>ROUNDING ADJUSTMENT</t>
  </si>
  <si>
    <t>BSD</t>
  </si>
  <si>
    <t>BOAT CHARGES</t>
  </si>
  <si>
    <t>CAD</t>
  </si>
  <si>
    <t>MINIMUM QUANTITY CHARGE</t>
  </si>
  <si>
    <t>CDZ</t>
  </si>
  <si>
    <t>CHF</t>
  </si>
  <si>
    <t>CLP</t>
  </si>
  <si>
    <t>CNY</t>
  </si>
  <si>
    <t>CYP</t>
  </si>
  <si>
    <t>CZK</t>
  </si>
  <si>
    <t>DEM</t>
  </si>
  <si>
    <t>DKK</t>
  </si>
  <si>
    <t>EGP</t>
  </si>
  <si>
    <t>ESP</t>
  </si>
  <si>
    <t>ETB</t>
  </si>
  <si>
    <t>EUR</t>
  </si>
  <si>
    <t>FKP</t>
  </si>
  <si>
    <t>GBP</t>
  </si>
  <si>
    <t>GEK</t>
  </si>
  <si>
    <t>GEL</t>
  </si>
  <si>
    <t>GRD</t>
  </si>
  <si>
    <t>HKD</t>
  </si>
  <si>
    <t>HRK</t>
  </si>
  <si>
    <t>IDR</t>
  </si>
  <si>
    <t>INR</t>
  </si>
  <si>
    <t>JPY</t>
  </si>
  <si>
    <t>KRW</t>
  </si>
  <si>
    <t>KWD</t>
  </si>
  <si>
    <t>MAD</t>
  </si>
  <si>
    <t>MDL</t>
  </si>
  <si>
    <t>MXN</t>
  </si>
  <si>
    <t>MYR</t>
  </si>
  <si>
    <t>NAD</t>
  </si>
  <si>
    <t>NOK</t>
  </si>
  <si>
    <t>NZD</t>
  </si>
  <si>
    <t>OMR</t>
  </si>
  <si>
    <t>PGK</t>
  </si>
  <si>
    <t>PHP</t>
  </si>
  <si>
    <t>PLN</t>
  </si>
  <si>
    <t>QAR</t>
  </si>
  <si>
    <t>RON</t>
  </si>
  <si>
    <t>RUB</t>
  </si>
  <si>
    <t>SAR</t>
  </si>
  <si>
    <t>SDG</t>
  </si>
  <si>
    <t>SEK</t>
  </si>
  <si>
    <t>SGD</t>
  </si>
  <si>
    <t>SLL</t>
  </si>
  <si>
    <t>STD</t>
  </si>
  <si>
    <t>THB</t>
  </si>
  <si>
    <t>TRY</t>
  </si>
  <si>
    <t>TWD</t>
  </si>
  <si>
    <t>UAH</t>
  </si>
  <si>
    <t>UAK</t>
  </si>
  <si>
    <t>UGS</t>
  </si>
  <si>
    <t>USD</t>
  </si>
  <si>
    <t>UYU</t>
  </si>
  <si>
    <t>VEF</t>
  </si>
  <si>
    <t>VND</t>
  </si>
  <si>
    <t>ZAR</t>
  </si>
  <si>
    <t>ZRZ</t>
  </si>
  <si>
    <t>ZWD</t>
  </si>
  <si>
    <t>BJD190902112575LET</t>
  </si>
  <si>
    <t>2.2*210MM 10S/PKT BLUE</t>
  </si>
  <si>
    <t xml:space="preserve">
Date promised : 2019-09-05
Quote validity : 2019-10-02</t>
  </si>
</sst>
</file>

<file path=xl/styles.xml><?xml version="1.0" encoding="utf-8"?>
<styleSheet xmlns="http://schemas.openxmlformats.org/spreadsheetml/2006/main" xmlns:x14="http://schemas.microsoft.com/office/spreadsheetml/2009/9/main" xmlns:x15="http://schemas.microsoft.com/office/spreadsheetml/2010/11/main" xmlns:mc="http://schemas.openxmlformats.org/markup-compatibility/2006" xmlns:x14ac="http://schemas.microsoft.com/office/spreadsheetml/2009/9/ac" xmlns:x16r2="http://schemas.microsoft.com/office/spreadsheetml/2015/02/main" xmlns:x="http://schemas.openxmlformats.org/spreadsheetml/2006/main" mc:Ignorable="x14ac x16r2">
  <numFmts count="12">
    <numFmt numFmtId="42" formatCode="_(&quot;$&quot;* #,##0_);_(&quot;$&quot;* \(#,##0\);_(&quot;$&quot;* &quot;-&quot;_);_(@_)"/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[$-409]mmmm\ d\,\ yyyy;@"/>
    <numFmt numFmtId="165" formatCode="m/d/yy;@"/>
    <numFmt numFmtId="166" formatCode="[$-409]d/mmm/yyyy;@"/>
    <numFmt numFmtId="167" formatCode=";;;"/>
    <numFmt numFmtId="168" formatCode="#,##0.000"/>
    <numFmt numFmtId="169" formatCode="0.000"/>
    <numFmt numFmtId="170" formatCode="[$-409]d\-mmm\-yyyy;@"/>
    <numFmt numFmtId="175" formatCode="#,##0.00"/>
  </numFmts>
  <fonts count="45">
    <font>
      <sz val="10"/>
      <name val="Arial"/>
      <family val="2"/>
    </font>
    <font>
      <sz val="11"/>
      <color theme="1"/>
      <name val="Calibri"/>
      <family val="2"/>
      <scheme val="minor"/>
    </font>
    <font>
      <sz val="8"/>
      <name val="Arial"/>
      <family val="2"/>
    </font>
    <font>
      <b/>
      <sz val="15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8"/>
      <color indexed="61"/>
      <name val="Calibri"/>
      <family val="2"/>
      <scheme val="minor"/>
    </font>
    <font>
      <sz val="12"/>
      <name val="Calibri"/>
      <family val="2"/>
      <scheme val="minor"/>
    </font>
    <font>
      <sz val="10"/>
      <name val="Calibri"/>
      <family val="2"/>
      <scheme val="minor"/>
    </font>
    <font>
      <i/>
      <sz val="38"/>
      <color indexed="41"/>
      <name val="Calibri"/>
      <family val="2"/>
      <scheme val="minor"/>
    </font>
    <font>
      <sz val="8"/>
      <name val="Calibri"/>
      <family val="2"/>
      <scheme val="minor"/>
    </font>
    <font>
      <b/>
      <sz val="8"/>
      <color indexed="61"/>
      <name val="Calibri"/>
      <family val="2"/>
      <scheme val="minor"/>
    </font>
    <font>
      <i/>
      <sz val="8"/>
      <name val="Calibri"/>
      <family val="2"/>
      <scheme val="minor"/>
    </font>
    <font>
      <b/>
      <sz val="9"/>
      <name val="Calibri"/>
      <family val="2"/>
      <scheme val="minor"/>
    </font>
    <font>
      <b/>
      <sz val="10"/>
      <color theme="3"/>
      <name val="Calibri"/>
      <family val="2"/>
      <scheme val="minor"/>
    </font>
    <font>
      <b/>
      <sz val="8"/>
      <color theme="3" tint="-0.499969989061356"/>
      <name val="Calibri"/>
      <family val="2"/>
      <scheme val="minor"/>
    </font>
    <font>
      <b/>
      <sz val="10"/>
      <color theme="3" tint="-0.499969989061356"/>
      <name val="Calibri"/>
      <family val="2"/>
      <scheme val="minor"/>
    </font>
    <font>
      <sz val="8"/>
      <color theme="3" tint="-0.499969989061356"/>
      <name val="Calibri"/>
      <family val="2"/>
      <scheme val="minor"/>
    </font>
    <font>
      <b/>
      <sz val="9"/>
      <color theme="3" tint="-0.499969989061356"/>
      <name val="Calibri"/>
      <family val="2"/>
      <scheme val="minor"/>
    </font>
    <font>
      <sz val="10"/>
      <color theme="3" tint="-0.499969989061356"/>
      <name val="Calibri"/>
      <family val="2"/>
      <scheme val="minor"/>
    </font>
    <font>
      <b/>
      <i/>
      <sz val="36"/>
      <color indexed="41"/>
      <name val="Calibri"/>
      <family val="2"/>
      <scheme val="minor"/>
    </font>
    <font>
      <b/>
      <sz val="14"/>
      <color theme="3"/>
      <name val="Calibri"/>
      <family val="2"/>
      <scheme val="minor"/>
    </font>
    <font>
      <sz val="9"/>
      <color theme="3" tint="-0.499969989061356"/>
      <name val="Calibri"/>
      <family val="2"/>
      <scheme val="minor"/>
    </font>
    <font>
      <sz val="9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8"/>
      <name val="Calibri"/>
      <family val="2"/>
      <scheme val="minor"/>
    </font>
    <font>
      <b/>
      <sz val="11"/>
      <name val="Calibri"/>
      <family val="2"/>
      <scheme val="minor"/>
    </font>
    <font>
      <b/>
      <sz val="10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3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0"/>
      <color rgb="FFFF0000"/>
      <name val="Calibri"/>
      <family val="2"/>
      <scheme val="minor"/>
    </font>
    <font>
      <sz val="11"/>
      <color rgb="FF000000"/>
      <name val="Calibri"/>
      <family val="2"/>
    </font>
    <font>
      <b/>
      <sz val="10"/>
      <color theme="3"/>
      <name val="Calibri"/>
      <family val="2"/>
    </font>
    <font>
      <b/>
      <sz val="10"/>
      <color rgb="FFFF0000"/>
      <name val="Calibri"/>
      <family val="2"/>
    </font>
  </fonts>
  <fills count="38">
    <fill>
      <patternFill/>
    </fill>
    <fill>
      <patternFill patternType="gray125"/>
    </fill>
    <fill>
      <patternFill patternType="solid">
        <fgColor rgb="FFF2F2F2"/>
        <bgColor indexed="64"/>
      </patternFill>
    </fill>
    <fill>
      <patternFill patternType="solid">
        <fgColor theme="4" tint="0.599990010261536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79984760284"/>
        <bgColor indexed="64"/>
      </patternFill>
    </fill>
    <fill>
      <patternFill patternType="solid">
        <fgColor theme="4" tint="0.39998000860214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79984760284"/>
        <bgColor indexed="64"/>
      </patternFill>
    </fill>
    <fill>
      <patternFill patternType="solid">
        <fgColor theme="5" tint="0.599990010261536"/>
        <bgColor indexed="64"/>
      </patternFill>
    </fill>
    <fill>
      <patternFill patternType="solid">
        <fgColor theme="5" tint="0.399980008602142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79984760284"/>
        <bgColor indexed="64"/>
      </patternFill>
    </fill>
    <fill>
      <patternFill patternType="solid">
        <fgColor theme="6" tint="0.599990010261536"/>
        <bgColor indexed="64"/>
      </patternFill>
    </fill>
    <fill>
      <patternFill patternType="solid">
        <fgColor theme="6" tint="0.39998000860214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79984760284"/>
        <bgColor indexed="64"/>
      </patternFill>
    </fill>
    <fill>
      <patternFill patternType="solid">
        <fgColor theme="7" tint="0.599990010261536"/>
        <bgColor indexed="64"/>
      </patternFill>
    </fill>
    <fill>
      <patternFill patternType="solid">
        <fgColor theme="7" tint="0.399980008602142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79984760284"/>
        <bgColor indexed="64"/>
      </patternFill>
    </fill>
    <fill>
      <patternFill patternType="solid">
        <fgColor theme="8" tint="0.599990010261536"/>
        <bgColor indexed="64"/>
      </patternFill>
    </fill>
    <fill>
      <patternFill patternType="solid">
        <fgColor theme="8" tint="0.39998000860214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79984760284"/>
        <bgColor indexed="64"/>
      </patternFill>
    </fill>
    <fill>
      <patternFill patternType="solid">
        <fgColor theme="9" tint="0.599990010261536"/>
        <bgColor indexed="64"/>
      </patternFill>
    </fill>
    <fill>
      <patternFill patternType="solid">
        <fgColor theme="9" tint="0.3999800086021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599960029125214"/>
        <bgColor indexed="64"/>
      </patternFill>
    </fill>
  </fills>
  <borders count="32">
    <border>
      <left/>
      <right/>
      <top/>
      <bottom/>
      <diagonal/>
    </border>
    <border>
      <left/>
      <right/>
      <top/>
      <bottom style="thick">
        <color theme="4"/>
      </bottom>
    </border>
    <border>
      <left/>
      <right/>
      <top/>
      <bottom style="medium">
        <color theme="4" tint="0.399980008602142"/>
      </bottom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</border>
    <border>
      <left/>
      <right/>
      <top/>
      <bottom style="thick">
        <color theme="4" tint="0.499980002641678"/>
      </bottom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</border>
    <border>
      <left/>
      <right/>
      <top/>
      <bottom style="double">
        <color rgb="FFFF8001"/>
      </bottom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</border>
    <border>
      <left/>
      <right/>
      <top style="thin">
        <color theme="4"/>
      </top>
      <bottom style="double">
        <color theme="4"/>
      </bottom>
    </border>
    <border>
      <left/>
      <right/>
      <top style="medium">
        <color theme="4" tint="0.399980008602142"/>
      </top>
      <bottom style="medium">
        <color theme="4" tint="0.399980008602142"/>
      </bottom>
    </border>
    <border>
      <left style="thin">
        <color indexed="41"/>
      </left>
      <right style="thin">
        <color indexed="41"/>
      </right>
      <top style="thin">
        <color indexed="41"/>
      </top>
      <bottom style="thin">
        <color indexed="41"/>
      </bottom>
    </border>
    <border>
      <left style="thin">
        <color indexed="41"/>
      </left>
      <right/>
      <top style="thin">
        <color indexed="41"/>
      </top>
      <bottom style="thin">
        <color indexed="41"/>
      </bottom>
    </border>
    <border>
      <left style="thin">
        <color indexed="41"/>
      </left>
      <right style="thin">
        <color indexed="41"/>
      </right>
      <top/>
      <bottom style="thin">
        <color indexed="41"/>
      </bottom>
    </border>
    <border>
      <left style="thin"/>
      <right style="thin"/>
      <top style="thin"/>
      <bottom style="thin"/>
    </border>
    <border>
      <left style="thin">
        <color indexed="44"/>
      </left>
      <right/>
      <top/>
      <bottom/>
    </border>
    <border>
      <left/>
      <right/>
      <top/>
      <bottom style="thin"/>
    </border>
    <border>
      <left style="thin">
        <color rgb="FF7F7F7F"/>
      </left>
      <right style="thin">
        <color rgb="FF7F7F7F"/>
      </right>
      <top style="medium">
        <color theme="4" tint="0.399980008602142"/>
      </top>
      <bottom/>
    </border>
    <border>
      <left/>
      <right/>
      <top style="medium">
        <color theme="4" tint="0.399949997663498"/>
      </top>
      <bottom style="medium">
        <color theme="4" tint="0.399980008602142"/>
      </bottom>
    </border>
    <border>
      <left/>
      <right style="thin"/>
      <top style="thin"/>
      <bottom style="thin"/>
    </border>
    <border>
      <left style="thin"/>
      <right/>
      <top style="thin"/>
      <bottom style="thin"/>
    </border>
    <border>
      <left/>
      <right style="thin"/>
      <top/>
      <bottom style="thin"/>
    </border>
    <border>
      <left style="thin"/>
      <right/>
      <top/>
      <bottom/>
    </border>
    <border>
      <left/>
      <right style="thin">
        <color rgb="FF7F7F7F"/>
      </right>
      <top style="medium">
        <color theme="4" tint="0.399980008602142"/>
      </top>
      <bottom style="medium">
        <color theme="4" tint="0.399980008602142"/>
      </bottom>
    </border>
    <border>
      <left style="thin">
        <color indexed="44"/>
      </left>
      <right/>
      <top/>
      <bottom style="thin"/>
    </border>
    <border>
      <left/>
      <right/>
      <top style="thin"/>
      <bottom style="thin"/>
    </border>
    <border>
      <left/>
      <right/>
      <top style="thick">
        <color theme="4"/>
      </top>
      <bottom/>
    </border>
    <border>
      <left/>
      <right/>
      <top/>
      <bottom style="medium">
        <color theme="4" tint="0.399949997663498"/>
      </bottom>
    </border>
    <border>
      <left style="thin"/>
      <right/>
      <top style="thin"/>
      <bottom/>
    </border>
    <border>
      <left/>
      <right/>
      <top style="thin"/>
      <bottom/>
    </border>
    <border>
      <left/>
      <right style="thin"/>
      <top style="medium">
        <color theme="4" tint="0.399980008602142"/>
      </top>
      <bottom style="medium">
        <color theme="4" tint="0.399980008602142"/>
      </bottom>
    </border>
    <border>
      <left/>
      <right style="thin">
        <color indexed="44"/>
      </right>
      <top/>
      <bottom/>
    </border>
  </borders>
  <cellStyleXfs count="61">
    <xf numFmtId="0" fontId="0" fillId="0" borderId="0">
      <alignment/>
      <protection/>
    </xf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9" fontId="0" fillId="0" borderId="0" applyFont="0" applyFill="0" applyBorder="0" applyAlignment="0" applyProtection="0"/>
    <xf numFmtId="44" fontId="0" fillId="0" borderId="0" applyFont="0" applyFill="0" applyBorder="0" applyAlignment="0" applyProtection="0"/>
    <xf numFmtId="42" fontId="0" fillId="0" borderId="0" applyFont="0" applyFill="0" applyBorder="0" applyAlignment="0" applyProtection="0"/>
    <xf numFmtId="43" fontId="0" fillId="0" borderId="0" applyFont="0" applyFill="0" applyBorder="0" applyAlignment="0" applyProtection="0"/>
    <xf numFmtId="41" fontId="0" fillId="0" borderId="0" applyFon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2" borderId="3" applyNumberFormat="0" applyAlignment="0" applyProtection="0"/>
    <xf numFmtId="0" fontId="1" fillId="3" borderId="0" applyNumberFormat="0" applyBorder="0" applyAlignment="0" applyProtection="0"/>
    <xf numFmtId="0" fontId="28" fillId="0" borderId="0" applyNumberFormat="0" applyFill="0" applyBorder="0" applyAlignment="0" applyProtection="0"/>
    <xf numFmtId="0" fontId="29" fillId="0" borderId="4" applyNumberFormat="0" applyFill="0" applyAlignment="0" applyProtection="0"/>
    <xf numFmtId="0" fontId="4" fillId="0" borderId="0" applyNumberFormat="0" applyFill="0" applyBorder="0" applyAlignment="0" applyProtection="0"/>
    <xf numFmtId="0" fontId="30" fillId="4" borderId="0" applyNumberFormat="0" applyBorder="0" applyAlignment="0" applyProtection="0"/>
    <xf numFmtId="0" fontId="31" fillId="5" borderId="0" applyNumberFormat="0" applyBorder="0" applyAlignment="0" applyProtection="0"/>
    <xf numFmtId="0" fontId="32" fillId="6" borderId="0" applyNumberFormat="0" applyBorder="0" applyAlignment="0" applyProtection="0"/>
    <xf numFmtId="0" fontId="33" fillId="7" borderId="3" applyNumberFormat="0" applyAlignment="0" applyProtection="0"/>
    <xf numFmtId="0" fontId="34" fillId="2" borderId="5" applyNumberFormat="0" applyAlignment="0" applyProtection="0"/>
    <xf numFmtId="0" fontId="35" fillId="0" borderId="6" applyNumberFormat="0" applyFill="0" applyAlignment="0" applyProtection="0"/>
    <xf numFmtId="0" fontId="36" fillId="8" borderId="7" applyNumberFormat="0" applyAlignment="0" applyProtection="0"/>
    <xf numFmtId="0" fontId="37" fillId="0" borderId="0" applyNumberFormat="0" applyFill="0" applyBorder="0" applyAlignment="0" applyProtection="0"/>
    <xf numFmtId="0" fontId="0" fillId="9" borderId="8" applyNumberFormat="0" applyFont="0" applyAlignment="0" applyProtection="0"/>
    <xf numFmtId="0" fontId="38" fillId="0" borderId="0" applyNumberFormat="0" applyFill="0" applyBorder="0" applyAlignment="0" applyProtection="0"/>
    <xf numFmtId="0" fontId="39" fillId="0" borderId="9" applyNumberFormat="0" applyFill="0" applyAlignment="0" applyProtection="0"/>
    <xf numFmtId="0" fontId="40" fillId="10" borderId="0" applyNumberFormat="0" applyBorder="0" applyAlignment="0" applyProtection="0"/>
    <xf numFmtId="0" fontId="1" fillId="11" borderId="0" applyNumberFormat="0" applyBorder="0" applyAlignment="0" applyProtection="0"/>
    <xf numFmtId="0" fontId="40" fillId="12" borderId="0" applyNumberFormat="0" applyBorder="0" applyAlignment="0" applyProtection="0"/>
    <xf numFmtId="0" fontId="40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40" fillId="16" borderId="0" applyNumberFormat="0" applyBorder="0" applyAlignment="0" applyProtection="0"/>
    <xf numFmtId="0" fontId="40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40" fillId="20" borderId="0" applyNumberFormat="0" applyBorder="0" applyAlignment="0" applyProtection="0"/>
    <xf numFmtId="0" fontId="40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40" fillId="24" borderId="0" applyNumberFormat="0" applyBorder="0" applyAlignment="0" applyProtection="0"/>
    <xf numFmtId="0" fontId="40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40" fillId="28" borderId="0" applyNumberFormat="0" applyBorder="0" applyAlignment="0" applyProtection="0"/>
    <xf numFmtId="0" fontId="40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40" fillId="32" borderId="0" applyNumberFormat="0" applyBorder="0" applyAlignment="0" applyProtection="0"/>
  </cellStyleXfs>
  <cellXfs count="302">
    <xf numFmtId="0" fontId="0" fillId="0" borderId="0" xfId="0"/>
    <xf numFmtId="0" fontId="7" fillId="33" borderId="0" xfId="0" applyFont="1" applyFill="1" applyBorder="1" applyAlignment="1" applyProtection="1">
      <alignment horizontal="left" indent="1"/>
      <protection/>
    </xf>
    <xf numFmtId="0" fontId="8" fillId="0" borderId="0" xfId="0" applyFont="1" applyProtection="1">
      <protection/>
    </xf>
    <xf numFmtId="0" fontId="9" fillId="33" borderId="0" xfId="0" applyFont="1" applyFill="1" applyBorder="1" applyAlignment="1" applyProtection="1">
      <alignment/>
      <protection/>
    </xf>
    <xf numFmtId="0" fontId="7" fillId="33" borderId="0" xfId="0" applyFont="1" applyFill="1" applyBorder="1" applyAlignment="1" applyProtection="1">
      <alignment horizontal="left"/>
      <protection/>
    </xf>
    <xf numFmtId="164" fontId="10" fillId="33" borderId="0" xfId="0" applyNumberFormat="1" applyFont="1" applyFill="1" applyAlignment="1" applyProtection="1">
      <alignment horizontal="left"/>
      <protection/>
    </xf>
    <xf numFmtId="0" fontId="6" fillId="33" borderId="0" xfId="0" applyFont="1" applyFill="1" applyAlignment="1" applyProtection="1">
      <alignment horizontal="left"/>
      <protection/>
    </xf>
    <xf numFmtId="0" fontId="10" fillId="0" borderId="0" xfId="0" applyFont="1" applyProtection="1">
      <protection/>
    </xf>
    <xf numFmtId="0" fontId="6" fillId="33" borderId="0" xfId="0" applyFont="1" applyFill="1" applyAlignment="1" applyProtection="1">
      <alignment vertical="top"/>
      <protection/>
    </xf>
    <xf numFmtId="0" fontId="10" fillId="33" borderId="0" xfId="0" applyFont="1" applyFill="1" applyBorder="1" applyAlignment="1" applyProtection="1">
      <alignment/>
      <protection/>
    </xf>
    <xf numFmtId="0" fontId="6" fillId="33" borderId="0" xfId="0" applyFont="1" applyFill="1" applyAlignment="1" applyProtection="1">
      <alignment/>
      <protection/>
    </xf>
    <xf numFmtId="166" fontId="11" fillId="33" borderId="0" xfId="0" applyNumberFormat="1" applyFont="1" applyFill="1" applyAlignment="1" applyProtection="1">
      <alignment/>
      <protection/>
    </xf>
    <xf numFmtId="166" fontId="11" fillId="33" borderId="0" xfId="0" applyNumberFormat="1" applyFont="1" applyFill="1" applyAlignment="1" applyProtection="1">
      <alignment horizontal="left"/>
      <protection/>
    </xf>
    <xf numFmtId="0" fontId="8" fillId="0" borderId="0" xfId="0" applyFont="1" applyAlignment="1" applyProtection="1">
      <alignment wrapText="1"/>
      <protection/>
    </xf>
    <xf numFmtId="0" fontId="10" fillId="0" borderId="0" xfId="0" applyNumberFormat="1" applyFont="1" applyBorder="1" applyAlignment="1" applyProtection="1">
      <alignment horizontal="left"/>
      <protection/>
    </xf>
    <xf numFmtId="0" fontId="10" fillId="0" borderId="0" xfId="0" applyFont="1" applyBorder="1" applyAlignment="1" applyProtection="1">
      <alignment horizontal="left"/>
      <protection/>
    </xf>
    <xf numFmtId="0" fontId="6" fillId="0" borderId="0" xfId="0" applyFont="1" applyBorder="1" applyAlignment="1" applyProtection="1">
      <alignment horizontal="right"/>
      <protection/>
    </xf>
    <xf numFmtId="0" fontId="12" fillId="33" borderId="0" xfId="0" applyFont="1" applyFill="1" applyBorder="1" applyProtection="1">
      <protection/>
    </xf>
    <xf numFmtId="44" fontId="13" fillId="33" borderId="0" xfId="0" applyNumberFormat="1" applyFont="1" applyFill="1" applyBorder="1" applyAlignment="1" applyProtection="1">
      <alignment/>
      <protection/>
    </xf>
    <xf numFmtId="0" fontId="10" fillId="0" borderId="0" xfId="0" applyFont="1" applyAlignment="1" applyProtection="1">
      <alignment/>
      <protection/>
    </xf>
    <xf numFmtId="1" fontId="6" fillId="0" borderId="0" xfId="0" applyNumberFormat="1" applyFont="1" applyFill="1" applyBorder="1" applyAlignment="1">
      <alignment horizontal="right" vertical="center"/>
    </xf>
    <xf numFmtId="1" fontId="12" fillId="33" borderId="0" xfId="0" applyNumberFormat="1" applyFont="1" applyFill="1" applyBorder="1" applyProtection="1">
      <protection/>
    </xf>
    <xf numFmtId="1" fontId="13" fillId="33" borderId="0" xfId="0" applyNumberFormat="1" applyFont="1" applyFill="1" applyBorder="1" applyAlignment="1" applyProtection="1">
      <alignment/>
      <protection/>
    </xf>
    <xf numFmtId="0" fontId="14" fillId="33" borderId="0" xfId="0" applyFont="1" applyFill="1" applyAlignment="1" applyProtection="1">
      <alignment/>
      <protection/>
    </xf>
    <xf numFmtId="0" fontId="14" fillId="0" borderId="0" xfId="0" applyFont="1" applyProtection="1">
      <protection/>
    </xf>
    <xf numFmtId="0" fontId="14" fillId="33" borderId="0" xfId="0" applyFont="1" applyFill="1" applyAlignment="1" applyProtection="1">
      <alignment vertical="top"/>
      <protection/>
    </xf>
    <xf numFmtId="166" fontId="14" fillId="33" borderId="10" xfId="0" applyNumberFormat="1" applyFont="1" applyFill="1" applyBorder="1" applyAlignment="1" applyProtection="1">
      <alignment/>
      <protection/>
    </xf>
    <xf numFmtId="1" fontId="17" fillId="34" borderId="11" xfId="0" applyNumberFormat="1" applyFont="1" applyFill="1" applyBorder="1" applyAlignment="1" applyProtection="1">
      <alignment horizontal="right" vertical="center"/>
      <protection/>
    </xf>
    <xf numFmtId="1" fontId="17" fillId="34" borderId="12" xfId="0" applyNumberFormat="1" applyFont="1" applyFill="1" applyBorder="1" applyAlignment="1" applyProtection="1">
      <alignment horizontal="right" vertical="center"/>
      <protection/>
    </xf>
    <xf numFmtId="49" fontId="13" fillId="33" borderId="0" xfId="0" applyNumberFormat="1" applyFont="1" applyFill="1" applyBorder="1" applyAlignment="1" applyProtection="1">
      <alignment/>
      <protection/>
    </xf>
    <xf numFmtId="166" fontId="14" fillId="33" borderId="2" xfId="0" applyNumberFormat="1" applyFont="1" applyFill="1" applyBorder="1" applyAlignment="1" applyProtection="1">
      <alignment/>
      <protection/>
    </xf>
    <xf numFmtId="0" fontId="14" fillId="0" borderId="0" xfId="0" applyFont="1" applyBorder="1" applyAlignment="1" applyProtection="1">
      <alignment horizontal="right"/>
      <protection/>
    </xf>
    <xf numFmtId="1" fontId="6" fillId="0" borderId="13" xfId="0" applyNumberFormat="1" applyFont="1" applyFill="1" applyBorder="1" applyAlignment="1">
      <alignment horizontal="right" vertical="center"/>
    </xf>
    <xf numFmtId="1" fontId="17" fillId="34" borderId="14" xfId="0" applyNumberFormat="1" applyFont="1" applyFill="1" applyBorder="1" applyAlignment="1" applyProtection="1">
      <alignment horizontal="right" vertical="center"/>
      <protection/>
    </xf>
    <xf numFmtId="4" fontId="17" fillId="3" borderId="14" xfId="0" applyNumberFormat="1" applyFont="1" applyFill="1" applyBorder="1" applyAlignment="1" applyProtection="1">
      <alignment vertical="center"/>
      <protection locked="0"/>
    </xf>
    <xf numFmtId="165" fontId="18" fillId="35" borderId="14" xfId="0" applyNumberFormat="1" applyFont="1" applyFill="1" applyBorder="1" applyAlignment="1" applyProtection="1">
      <alignment horizontal="left" wrapText="1"/>
      <protection/>
    </xf>
    <xf numFmtId="49" fontId="17" fillId="34" borderId="14" xfId="0" applyNumberFormat="1" applyFont="1" applyFill="1" applyBorder="1" applyAlignment="1" applyProtection="1">
      <alignment horizontal="left" vertical="center"/>
      <protection/>
    </xf>
    <xf numFmtId="165" fontId="18" fillId="35" borderId="15" xfId="0" applyNumberFormat="1" applyFont="1" applyFill="1" applyBorder="1" applyAlignment="1" applyProtection="1">
      <alignment horizontal="left" wrapText="1"/>
      <protection/>
    </xf>
    <xf numFmtId="165" fontId="18" fillId="35" borderId="0" xfId="0" applyNumberFormat="1" applyFont="1" applyFill="1" applyBorder="1" applyAlignment="1" applyProtection="1">
      <alignment horizontal="left" wrapText="1"/>
      <protection/>
    </xf>
    <xf numFmtId="0" fontId="11" fillId="33" borderId="0" xfId="0" applyFont="1" applyFill="1" applyAlignment="1" applyProtection="1">
      <alignment horizontal="left"/>
      <protection/>
    </xf>
    <xf numFmtId="166" fontId="14" fillId="33" borderId="0" xfId="0" applyNumberFormat="1" applyFont="1" applyFill="1" applyAlignment="1" applyProtection="1">
      <alignment horizontal="left"/>
      <protection/>
    </xf>
    <xf numFmtId="0" fontId="14" fillId="33" borderId="0" xfId="0" applyFont="1" applyFill="1" applyAlignment="1" applyProtection="1">
      <alignment horizontal="left"/>
      <protection/>
    </xf>
    <xf numFmtId="49" fontId="14" fillId="33" borderId="0" xfId="0" applyNumberFormat="1" applyFont="1" applyFill="1" applyAlignment="1" applyProtection="1">
      <alignment horizontal="left"/>
      <protection/>
    </xf>
    <xf numFmtId="0" fontId="18" fillId="35" borderId="14" xfId="0" applyFont="1" applyFill="1" applyBorder="1" applyAlignment="1" applyProtection="1">
      <alignment horizontal="left" wrapText="1"/>
      <protection/>
    </xf>
    <xf numFmtId="0" fontId="4" fillId="33" borderId="0" xfId="0" applyFont="1" applyFill="1" applyAlignment="1" applyProtection="1">
      <alignment horizontal="left"/>
      <protection/>
    </xf>
    <xf numFmtId="0" fontId="18" fillId="35" borderId="16" xfId="0" applyFont="1" applyFill="1" applyBorder="1" applyAlignment="1" applyProtection="1">
      <alignment/>
      <protection/>
    </xf>
    <xf numFmtId="44" fontId="13" fillId="33" borderId="0" xfId="0" applyNumberFormat="1" applyFont="1" applyFill="1" applyBorder="1" applyAlignment="1" applyProtection="1">
      <alignment/>
      <protection locked="0"/>
    </xf>
    <xf numFmtId="4" fontId="27" fillId="3" borderId="17" xfId="0" applyNumberFormat="1" applyFont="1" applyFill="1" applyBorder="1" applyAlignment="1" applyProtection="1">
      <alignment horizontal="right"/>
      <protection locked="0"/>
    </xf>
    <xf numFmtId="3" fontId="13" fillId="33" borderId="0" xfId="0" applyNumberFormat="1" applyFont="1" applyFill="1" applyProtection="1">
      <protection locked="0"/>
    </xf>
    <xf numFmtId="44" fontId="13" fillId="33" borderId="0" xfId="0" applyNumberFormat="1" applyFont="1" applyFill="1" applyProtection="1">
      <protection locked="0"/>
    </xf>
    <xf numFmtId="37" fontId="13" fillId="33" borderId="0" xfId="0" applyNumberFormat="1" applyFont="1" applyFill="1" applyBorder="1" applyAlignment="1" applyProtection="1">
      <alignment/>
      <protection/>
    </xf>
    <xf numFmtId="0" fontId="27" fillId="0" borderId="0" xfId="0" applyFont="1" applyProtection="1">
      <protection/>
    </xf>
    <xf numFmtId="0" fontId="4" fillId="33" borderId="18" xfId="0" applyFont="1" applyFill="1" applyBorder="1" applyAlignment="1" applyProtection="1">
      <alignment/>
      <protection/>
    </xf>
    <xf numFmtId="165" fontId="18" fillId="35" borderId="19" xfId="0" applyNumberFormat="1" applyFont="1" applyFill="1" applyBorder="1" applyAlignment="1" applyProtection="1">
      <alignment horizontal="left" wrapText="1"/>
      <protection/>
    </xf>
    <xf numFmtId="49" fontId="17" fillId="34" borderId="19" xfId="0" applyNumberFormat="1" applyFont="1" applyFill="1" applyBorder="1" applyAlignment="1" applyProtection="1">
      <alignment horizontal="left" vertical="center"/>
      <protection/>
    </xf>
    <xf numFmtId="0" fontId="3" fillId="33" borderId="0" xfId="0" applyFont="1" applyFill="1" applyAlignment="1" applyProtection="1">
      <alignment horizontal="left"/>
      <protection/>
    </xf>
    <xf numFmtId="37" fontId="13" fillId="33" borderId="0" xfId="0" applyNumberFormat="1" applyFont="1" applyFill="1" applyBorder="1" applyAlignment="1" applyProtection="1">
      <alignment/>
      <protection locked="0"/>
    </xf>
    <xf numFmtId="0" fontId="10" fillId="0" borderId="0" xfId="0" applyFont="1" applyProtection="1">
      <protection locked="0"/>
    </xf>
    <xf numFmtId="0" fontId="15" fillId="0" borderId="20" xfId="0" applyNumberFormat="1" applyFont="1" applyFill="1" applyBorder="1" applyAlignment="1" applyProtection="1">
      <alignment vertical="center"/>
      <protection/>
    </xf>
    <xf numFmtId="0" fontId="15" fillId="0" borderId="19" xfId="0" applyNumberFormat="1" applyFont="1" applyFill="1" applyBorder="1" applyAlignment="1" applyProtection="1">
      <alignment vertical="center"/>
      <protection/>
    </xf>
    <xf numFmtId="167" fontId="14" fillId="0" borderId="0" xfId="0" applyNumberFormat="1" applyFont="1" applyProtection="1">
      <protection/>
    </xf>
    <xf numFmtId="168" fontId="17" fillId="3" borderId="14" xfId="0" applyNumberFormat="1" applyFont="1" applyFill="1" applyBorder="1" applyAlignment="1" applyProtection="1">
      <alignment vertical="center"/>
      <protection locked="0"/>
    </xf>
    <xf numFmtId="168" fontId="17" fillId="34" borderId="14" xfId="0" applyNumberFormat="1" applyFont="1" applyFill="1" applyBorder="1" applyAlignment="1" applyProtection="1">
      <alignment vertical="center"/>
      <protection/>
    </xf>
    <xf numFmtId="168" fontId="15" fillId="34" borderId="14" xfId="0" applyNumberFormat="1" applyFont="1" applyFill="1" applyBorder="1" applyAlignment="1" applyProtection="1">
      <alignment vertical="center"/>
      <protection/>
    </xf>
    <xf numFmtId="169" fontId="25" fillId="3" borderId="0" xfId="0" applyNumberFormat="1" applyFont="1" applyFill="1" applyAlignment="1" applyProtection="1">
      <alignment horizontal="right"/>
      <protection locked="0"/>
    </xf>
    <xf numFmtId="167" fontId="14" fillId="33" borderId="0" xfId="0" applyNumberFormat="1" applyFont="1" applyFill="1" applyAlignment="1" applyProtection="1">
      <alignment horizontal="left"/>
      <protection/>
    </xf>
    <xf numFmtId="165" fontId="16" fillId="35" borderId="0" xfId="0" applyNumberFormat="1" applyFont="1" applyFill="1" applyBorder="1" applyAlignment="1" applyProtection="1">
      <alignment horizontal="left" wrapText="1"/>
      <protection/>
    </xf>
    <xf numFmtId="0" fontId="8" fillId="36" borderId="0" xfId="0" applyFont="1" applyFill="1" applyProtection="1">
      <protection/>
    </xf>
    <xf numFmtId="0" fontId="10" fillId="36" borderId="0" xfId="0" applyFont="1" applyFill="1" applyAlignment="1" applyProtection="1">
      <alignment/>
      <protection/>
    </xf>
    <xf numFmtId="169" fontId="25" fillId="3" borderId="14" xfId="0" applyNumberFormat="1" applyFont="1" applyFill="1" applyBorder="1" applyAlignment="1" applyProtection="1">
      <alignment horizontal="right"/>
      <protection/>
    </xf>
    <xf numFmtId="168" fontId="25" fillId="3" borderId="14" xfId="0" applyNumberFormat="1" applyFont="1" applyFill="1" applyBorder="1" applyAlignment="1" applyProtection="1">
      <alignment horizontal="right"/>
      <protection/>
    </xf>
    <xf numFmtId="169" fontId="8" fillId="37" borderId="14" xfId="0" applyNumberFormat="1" applyFont="1" applyFill="1" applyBorder="1" applyProtection="1">
      <protection locked="0"/>
    </xf>
    <xf numFmtId="169" fontId="8" fillId="37" borderId="21" xfId="0" applyNumberFormat="1" applyFont="1" applyFill="1" applyBorder="1" applyProtection="1">
      <protection locked="0"/>
    </xf>
    <xf numFmtId="0" fontId="20" fillId="33" borderId="0" xfId="0" applyFont="1" applyFill="1" applyBorder="1" applyAlignment="1" applyProtection="1">
      <alignment horizontal="center"/>
      <protection/>
    </xf>
    <xf numFmtId="167" fontId="20" fillId="33" borderId="0" xfId="0" applyNumberFormat="1" applyFont="1" applyFill="1" applyBorder="1" applyAlignment="1" applyProtection="1">
      <alignment horizontal="right"/>
      <protection/>
    </xf>
    <xf numFmtId="167" fontId="8" fillId="0" borderId="0" xfId="0" applyNumberFormat="1" applyFont="1" applyBorder="1" applyProtection="1">
      <protection/>
    </xf>
    <xf numFmtId="167" fontId="14" fillId="33" borderId="0" xfId="0" applyNumberFormat="1" applyFont="1" applyFill="1" applyBorder="1" applyAlignment="1" applyProtection="1">
      <alignment horizontal="left"/>
      <protection/>
    </xf>
    <xf numFmtId="167" fontId="14" fillId="33" borderId="0" xfId="0" applyNumberFormat="1" applyFont="1" applyFill="1" applyBorder="1" applyAlignment="1" applyProtection="1">
      <alignment vertical="top"/>
      <protection/>
    </xf>
    <xf numFmtId="167" fontId="10" fillId="0" borderId="0" xfId="0" applyNumberFormat="1" applyFont="1" applyBorder="1" applyProtection="1">
      <protection/>
    </xf>
    <xf numFmtId="167" fontId="18" fillId="36" borderId="0" xfId="0" applyNumberFormat="1" applyFont="1" applyFill="1" applyBorder="1" applyAlignment="1" applyProtection="1">
      <alignment horizontal="left" wrapText="1"/>
      <protection/>
    </xf>
    <xf numFmtId="167" fontId="23" fillId="36" borderId="0" xfId="0" applyNumberFormat="1" applyFont="1" applyFill="1" applyBorder="1" applyAlignment="1" applyProtection="1">
      <alignment horizontal="left"/>
      <protection/>
    </xf>
    <xf numFmtId="167" fontId="8" fillId="36" borderId="0" xfId="0" applyNumberFormat="1" applyFont="1" applyFill="1" applyBorder="1" applyProtection="1">
      <protection/>
    </xf>
    <xf numFmtId="167" fontId="13" fillId="36" borderId="0" xfId="0" applyNumberFormat="1" applyFont="1" applyFill="1" applyBorder="1" applyAlignment="1" applyProtection="1">
      <alignment horizontal="left"/>
      <protection locked="0"/>
    </xf>
    <xf numFmtId="167" fontId="8" fillId="0" borderId="0" xfId="0" applyNumberFormat="1" applyFont="1" applyProtection="1">
      <protection/>
    </xf>
    <xf numFmtId="167" fontId="17" fillId="36" borderId="0" xfId="0" applyNumberFormat="1" applyFont="1" applyFill="1" applyBorder="1" applyAlignment="1" applyProtection="1">
      <alignment horizontal="left" vertical="center" wrapText="1"/>
      <protection/>
    </xf>
    <xf numFmtId="167" fontId="19" fillId="36" borderId="0" xfId="0" applyNumberFormat="1" applyFont="1" applyFill="1" applyBorder="1" applyAlignment="1" applyProtection="1">
      <alignment horizontal="left" vertical="center" wrapText="1"/>
      <protection locked="0"/>
    </xf>
    <xf numFmtId="167" fontId="16" fillId="36" borderId="0" xfId="0" applyNumberFormat="1" applyFont="1" applyFill="1" applyBorder="1" applyAlignment="1" applyProtection="1">
      <alignment horizontal="left" wrapText="1"/>
      <protection/>
    </xf>
    <xf numFmtId="167" fontId="15" fillId="36" borderId="0" xfId="0" applyNumberFormat="1" applyFont="1" applyFill="1" applyBorder="1" applyAlignment="1" applyProtection="1">
      <alignment horizontal="left" vertical="top" wrapText="1"/>
      <protection/>
    </xf>
    <xf numFmtId="167" fontId="17" fillId="36" borderId="0" xfId="0" applyNumberFormat="1" applyFont="1" applyFill="1" applyBorder="1" applyAlignment="1" applyProtection="1">
      <alignment horizontal="center" vertical="top" wrapText="1"/>
      <protection/>
    </xf>
    <xf numFmtId="165" fontId="18" fillId="35" borderId="19" xfId="0" applyNumberFormat="1" applyFont="1" applyFill="1" applyBorder="1" applyAlignment="1" applyProtection="1">
      <alignment horizontal="left" wrapText="1"/>
      <protection/>
    </xf>
    <xf numFmtId="168" fontId="17" fillId="3" borderId="14" xfId="0" applyNumberFormat="1" applyFont="1" applyFill="1" applyBorder="1" applyAlignment="1" applyProtection="1">
      <alignment vertical="center"/>
      <protection/>
    </xf>
    <xf numFmtId="4" fontId="17" fillId="3" borderId="14" xfId="0" applyNumberFormat="1" applyFont="1" applyFill="1" applyBorder="1" applyAlignment="1" applyProtection="1">
      <alignment vertical="center"/>
      <protection/>
    </xf>
    <xf numFmtId="0" fontId="25" fillId="3" borderId="0" xfId="0" applyFont="1" applyFill="1" applyAlignment="1" applyProtection="1">
      <alignment horizontal="left"/>
      <protection locked="0"/>
    </xf>
    <xf numFmtId="0" fontId="0" fillId="0" borderId="22" xfId="0" applyBorder="1"/>
    <xf numFmtId="49" fontId="0" fillId="0" borderId="0" xfId="0" applyNumberFormat="1" applyBorder="1"/>
    <xf numFmtId="0" fontId="14" fillId="33" borderId="10" xfId="0" applyFont="1" applyFill="1" applyBorder="1" applyAlignment="1" applyProtection="1">
      <alignment horizontal="left"/>
      <protection/>
    </xf>
    <xf numFmtId="0" fontId="14" fillId="33" borderId="23" xfId="0" applyFont="1" applyFill="1" applyBorder="1" applyAlignment="1" applyProtection="1">
      <alignment horizontal="left"/>
      <protection/>
    </xf>
    <xf numFmtId="0" fontId="18" fillId="35" borderId="20" xfId="0" applyFont="1" applyFill="1" applyBorder="1" applyAlignment="1" applyProtection="1">
      <alignment horizontal="left" wrapText="1"/>
      <protection/>
    </xf>
    <xf numFmtId="0" fontId="18" fillId="35" borderId="19" xfId="0" applyFont="1" applyFill="1" applyBorder="1" applyAlignment="1" applyProtection="1">
      <alignment horizontal="left" wrapText="1"/>
      <protection/>
    </xf>
    <xf numFmtId="49" fontId="14" fillId="33" borderId="0" xfId="0" applyNumberFormat="1" applyFont="1" applyFill="1" applyAlignment="1" applyProtection="1">
      <alignment horizontal="left"/>
      <protection locked="0"/>
    </xf>
    <xf numFmtId="0" fontId="4" fillId="33" borderId="10" xfId="0" applyFont="1" applyFill="1" applyBorder="1" applyAlignment="1" applyProtection="1">
      <alignment horizontal="left"/>
      <protection/>
    </xf>
    <xf numFmtId="0" fontId="3" fillId="33" borderId="0" xfId="0" applyFont="1" applyFill="1" applyAlignment="1" applyProtection="1">
      <alignment horizontal="left"/>
      <protection/>
    </xf>
    <xf numFmtId="165" fontId="18" fillId="35" borderId="24" xfId="0" applyNumberFormat="1" applyFont="1" applyFill="1" applyBorder="1" applyAlignment="1" applyProtection="1">
      <alignment horizontal="left" wrapText="1"/>
      <protection/>
    </xf>
    <xf numFmtId="165" fontId="18" fillId="35" borderId="16" xfId="0" applyNumberFormat="1" applyFont="1" applyFill="1" applyBorder="1" applyAlignment="1" applyProtection="1">
      <alignment horizontal="left" wrapText="1"/>
      <protection/>
    </xf>
    <xf numFmtId="0" fontId="24" fillId="3" borderId="20" xfId="0" applyFont="1" applyFill="1" applyBorder="1" applyAlignment="1" applyProtection="1">
      <alignment horizontal="left"/>
      <protection locked="0"/>
    </xf>
    <xf numFmtId="0" fontId="24" fillId="3" borderId="25" xfId="0" applyFont="1" applyFill="1" applyBorder="1" applyAlignment="1" applyProtection="1">
      <alignment horizontal="left"/>
      <protection locked="0"/>
    </xf>
    <xf numFmtId="0" fontId="24" fillId="3" borderId="19" xfId="0" applyFont="1" applyFill="1" applyBorder="1" applyAlignment="1" applyProtection="1">
      <alignment horizontal="left"/>
      <protection locked="0"/>
    </xf>
    <xf numFmtId="170" fontId="14" fillId="33" borderId="10" xfId="0" applyNumberFormat="1" applyFont="1" applyFill="1" applyBorder="1" applyAlignment="1" applyProtection="1">
      <alignment horizontal="left"/>
      <protection/>
    </xf>
    <xf numFmtId="49" fontId="14" fillId="33" borderId="10" xfId="0" applyNumberFormat="1" applyFont="1" applyFill="1" applyBorder="1" applyAlignment="1" applyProtection="1">
      <alignment horizontal="left"/>
      <protection/>
    </xf>
    <xf numFmtId="0" fontId="11" fillId="33" borderId="16" xfId="0" applyFont="1" applyFill="1" applyBorder="1" applyAlignment="1" applyProtection="1">
      <alignment horizontal="left"/>
      <protection/>
    </xf>
    <xf numFmtId="166" fontId="14" fillId="33" borderId="10" xfId="0" applyNumberFormat="1" applyFont="1" applyFill="1" applyBorder="1" applyAlignment="1" applyProtection="1">
      <alignment horizontal="left"/>
      <protection/>
    </xf>
    <xf numFmtId="49" fontId="4" fillId="33" borderId="26" xfId="0" applyNumberFormat="1" applyFont="1" applyFill="1" applyBorder="1" applyAlignment="1" applyProtection="1">
      <alignment horizontal="left" vertical="top" wrapText="1"/>
      <protection/>
    </xf>
    <xf numFmtId="49" fontId="4" fillId="33" borderId="0" xfId="0" applyNumberFormat="1" applyFont="1" applyFill="1" applyBorder="1" applyAlignment="1" applyProtection="1">
      <alignment horizontal="left" vertical="top" wrapText="1"/>
      <protection/>
    </xf>
    <xf numFmtId="49" fontId="4" fillId="33" borderId="27" xfId="0" applyNumberFormat="1" applyFont="1" applyFill="1" applyBorder="1" applyAlignment="1" applyProtection="1">
      <alignment horizontal="left" vertical="top" wrapText="1"/>
      <protection/>
    </xf>
    <xf numFmtId="0" fontId="4" fillId="33" borderId="18" xfId="0" applyFont="1" applyFill="1" applyBorder="1" applyAlignment="1" applyProtection="1">
      <alignment horizontal="left"/>
      <protection/>
    </xf>
    <xf numFmtId="165" fontId="18" fillId="35" borderId="20" xfId="0" applyNumberFormat="1" applyFont="1" applyFill="1" applyBorder="1" applyAlignment="1" applyProtection="1">
      <alignment horizontal="left" wrapText="1"/>
      <protection/>
    </xf>
    <xf numFmtId="165" fontId="18" fillId="35" borderId="19" xfId="0" applyNumberFormat="1" applyFont="1" applyFill="1" applyBorder="1" applyAlignment="1" applyProtection="1">
      <alignment horizontal="left" wrapText="1"/>
      <protection/>
    </xf>
    <xf numFmtId="49" fontId="17" fillId="34" borderId="20" xfId="0" applyNumberFormat="1" applyFont="1" applyFill="1" applyBorder="1" applyAlignment="1" applyProtection="1">
      <alignment horizontal="left" vertical="center"/>
      <protection/>
    </xf>
    <xf numFmtId="49" fontId="17" fillId="34" borderId="19" xfId="0" applyNumberFormat="1" applyFont="1" applyFill="1" applyBorder="1" applyAlignment="1" applyProtection="1">
      <alignment horizontal="left" vertical="center"/>
      <protection/>
    </xf>
    <xf numFmtId="4" fontId="17" fillId="34" borderId="28" xfId="0" applyNumberFormat="1" applyFont="1" applyFill="1" applyBorder="1" applyAlignment="1" applyProtection="1">
      <alignment horizontal="center" vertical="center"/>
      <protection/>
    </xf>
    <xf numFmtId="4" fontId="17" fillId="34" borderId="29" xfId="0" applyNumberFormat="1" applyFont="1" applyFill="1" applyBorder="1" applyAlignment="1" applyProtection="1">
      <alignment horizontal="center" vertical="center"/>
      <protection/>
    </xf>
    <xf numFmtId="4" fontId="17" fillId="34" borderId="22" xfId="0" applyNumberFormat="1" applyFont="1" applyFill="1" applyBorder="1" applyAlignment="1" applyProtection="1">
      <alignment horizontal="center" vertical="center"/>
      <protection/>
    </xf>
    <xf numFmtId="4" fontId="17" fillId="34" borderId="0" xfId="0" applyNumberFormat="1" applyFont="1" applyFill="1" applyBorder="1" applyAlignment="1" applyProtection="1">
      <alignment horizontal="center" vertical="center"/>
      <protection/>
    </xf>
    <xf numFmtId="0" fontId="15" fillId="0" borderId="20" xfId="0" applyNumberFormat="1" applyFont="1" applyFill="1" applyBorder="1" applyAlignment="1" applyProtection="1">
      <alignment horizontal="left" vertical="center"/>
      <protection/>
    </xf>
    <xf numFmtId="0" fontId="15" fillId="0" borderId="25" xfId="0" applyNumberFormat="1" applyFont="1" applyFill="1" applyBorder="1" applyAlignment="1" applyProtection="1">
      <alignment horizontal="left" vertical="center"/>
      <protection/>
    </xf>
    <xf numFmtId="0" fontId="15" fillId="0" borderId="19" xfId="0" applyNumberFormat="1" applyFont="1" applyFill="1" applyBorder="1" applyAlignment="1" applyProtection="1">
      <alignment horizontal="left" vertical="center"/>
      <protection/>
    </xf>
    <xf numFmtId="169" fontId="8" fillId="37" borderId="20" xfId="0" applyNumberFormat="1" applyFont="1" applyFill="1" applyBorder="1" applyProtection="1">
      <protection locked="0"/>
    </xf>
    <xf numFmtId="169" fontId="8" fillId="37" borderId="19" xfId="0" applyNumberFormat="1" applyFont="1" applyFill="1" applyBorder="1" applyProtection="1">
      <protection locked="0"/>
    </xf>
    <xf numFmtId="4" fontId="13" fillId="3" borderId="20" xfId="0" applyNumberFormat="1" applyFont="1" applyFill="1" applyBorder="1" applyAlignment="1" applyProtection="1">
      <alignment horizontal="left"/>
      <protection locked="0"/>
    </xf>
    <xf numFmtId="4" fontId="13" fillId="3" borderId="25" xfId="0" applyNumberFormat="1" applyFont="1" applyFill="1" applyBorder="1" applyAlignment="1" applyProtection="1">
      <alignment horizontal="left"/>
      <protection locked="0"/>
    </xf>
    <xf numFmtId="4" fontId="13" fillId="3" borderId="19" xfId="0" applyNumberFormat="1" applyFont="1" applyFill="1" applyBorder="1" applyAlignment="1" applyProtection="1">
      <alignment horizontal="left"/>
      <protection locked="0"/>
    </xf>
    <xf numFmtId="0" fontId="20" fillId="33" borderId="0" xfId="0" applyFont="1" applyFill="1" applyBorder="1" applyAlignment="1" applyProtection="1">
      <alignment horizontal="center"/>
      <protection/>
    </xf>
    <xf numFmtId="0" fontId="18" fillId="35" borderId="20" xfId="0" applyFont="1" applyFill="1" applyBorder="1" applyAlignment="1" applyProtection="1">
      <alignment horizontal="left" wrapText="1"/>
      <protection/>
    </xf>
    <xf numFmtId="0" fontId="18" fillId="35" borderId="19" xfId="0" applyFont="1" applyFill="1" applyBorder="1" applyAlignment="1" applyProtection="1">
      <alignment horizontal="left" wrapText="1"/>
      <protection/>
    </xf>
    <xf numFmtId="0" fontId="23" fillId="0" borderId="20" xfId="0" applyFont="1" applyBorder="1" applyAlignment="1" applyProtection="1">
      <alignment horizontal="left"/>
      <protection/>
    </xf>
    <xf numFmtId="0" fontId="23" fillId="0" borderId="19" xfId="0" applyFont="1" applyBorder="1" applyAlignment="1" applyProtection="1">
      <alignment horizontal="left"/>
      <protection/>
    </xf>
    <xf numFmtId="0" fontId="13" fillId="3" borderId="20" xfId="0" applyFont="1" applyFill="1" applyBorder="1" applyAlignment="1" applyProtection="1">
      <alignment horizontal="left"/>
      <protection locked="0"/>
    </xf>
    <xf numFmtId="0" fontId="13" fillId="3" borderId="25" xfId="0" applyFont="1" applyFill="1" applyBorder="1" applyAlignment="1" applyProtection="1">
      <alignment horizontal="left"/>
      <protection locked="0"/>
    </xf>
    <xf numFmtId="0" fontId="13" fillId="3" borderId="19" xfId="0" applyFont="1" applyFill="1" applyBorder="1" applyAlignment="1" applyProtection="1">
      <alignment horizontal="left"/>
      <protection locked="0"/>
    </xf>
    <xf numFmtId="0" fontId="18" fillId="35" borderId="16" xfId="0" applyFont="1" applyFill="1" applyBorder="1" applyAlignment="1" applyProtection="1">
      <alignment horizontal="left" wrapText="1"/>
      <protection/>
    </xf>
    <xf numFmtId="165" fontId="18" fillId="35" borderId="0" xfId="0" applyNumberFormat="1" applyFont="1" applyFill="1" applyBorder="1" applyAlignment="1" applyProtection="1">
      <alignment horizontal="left" wrapText="1"/>
      <protection/>
    </xf>
    <xf numFmtId="0" fontId="21" fillId="33" borderId="0" xfId="0" applyFont="1" applyFill="1" applyAlignment="1" applyProtection="1">
      <alignment horizontal="left"/>
      <protection/>
    </xf>
    <xf numFmtId="49" fontId="21" fillId="33" borderId="0" xfId="0" applyNumberFormat="1" applyFont="1" applyFill="1" applyAlignment="1" applyProtection="1">
      <alignment horizontal="left"/>
      <protection/>
    </xf>
    <xf numFmtId="0" fontId="21" fillId="33" borderId="10" xfId="0" applyFont="1" applyFill="1" applyBorder="1" applyAlignment="1" applyProtection="1">
      <alignment horizontal="left"/>
      <protection/>
    </xf>
    <xf numFmtId="49" fontId="21" fillId="33" borderId="10" xfId="0" applyNumberFormat="1" applyFont="1" applyFill="1" applyBorder="1" applyAlignment="1" applyProtection="1">
      <alignment horizontal="left"/>
      <protection/>
    </xf>
    <xf numFmtId="49" fontId="22" fillId="3" borderId="20" xfId="0" applyNumberFormat="1" applyFont="1" applyFill="1" applyBorder="1" applyAlignment="1" applyProtection="1">
      <alignment horizontal="left" vertical="center"/>
      <protection locked="0"/>
    </xf>
    <xf numFmtId="49" fontId="22" fillId="3" borderId="19" xfId="0" applyNumberFormat="1" applyFont="1" applyFill="1" applyBorder="1" applyAlignment="1" applyProtection="1">
      <alignment horizontal="left" vertical="center"/>
      <protection locked="0"/>
    </xf>
    <xf numFmtId="4" fontId="26" fillId="3" borderId="20" xfId="0" applyNumberFormat="1" applyFont="1" applyFill="1" applyBorder="1" applyAlignment="1" applyProtection="1">
      <alignment horizontal="left"/>
      <protection locked="0"/>
    </xf>
    <xf numFmtId="4" fontId="26" fillId="3" borderId="25" xfId="0" applyNumberFormat="1" applyFont="1" applyFill="1" applyBorder="1" applyAlignment="1" applyProtection="1">
      <alignment horizontal="left"/>
      <protection locked="0"/>
    </xf>
    <xf numFmtId="4" fontId="26" fillId="3" borderId="19" xfId="0" applyNumberFormat="1" applyFont="1" applyFill="1" applyBorder="1" applyAlignment="1" applyProtection="1">
      <alignment horizontal="left"/>
      <protection locked="0"/>
    </xf>
    <xf numFmtId="168" fontId="17" fillId="3" borderId="20" xfId="0" applyNumberFormat="1" applyFont="1" applyFill="1" applyBorder="1" applyAlignment="1" applyProtection="1">
      <alignment horizontal="right" vertical="center"/>
      <protection locked="0"/>
    </xf>
    <xf numFmtId="168" fontId="17" fillId="3" borderId="19" xfId="0" applyNumberFormat="1" applyFont="1" applyFill="1" applyBorder="1" applyAlignment="1" applyProtection="1">
      <alignment horizontal="right" vertical="center"/>
      <protection locked="0"/>
    </xf>
    <xf numFmtId="0" fontId="14" fillId="33" borderId="30" xfId="0" applyFont="1" applyFill="1" applyBorder="1" applyAlignment="1" applyProtection="1">
      <alignment horizontal="left"/>
      <protection/>
    </xf>
    <xf numFmtId="1" fontId="17" fillId="34" borderId="15" xfId="0" applyNumberFormat="1" applyFont="1" applyFill="1" applyBorder="1" applyAlignment="1" applyProtection="1">
      <alignment horizontal="left" vertical="center" wrapText="1"/>
      <protection/>
    </xf>
    <xf numFmtId="1" fontId="17" fillId="34" borderId="0" xfId="0" applyNumberFormat="1" applyFont="1" applyFill="1" applyBorder="1" applyAlignment="1" applyProtection="1">
      <alignment horizontal="left" vertical="center" wrapText="1"/>
      <protection/>
    </xf>
    <xf numFmtId="1" fontId="19" fillId="3" borderId="15" xfId="0" applyNumberFormat="1" applyFont="1" applyFill="1" applyBorder="1" applyAlignment="1" applyProtection="1">
      <alignment vertical="center" wrapText="1"/>
      <protection locked="0"/>
    </xf>
    <xf numFmtId="1" fontId="19" fillId="3" borderId="0" xfId="0" applyNumberFormat="1" applyFont="1" applyFill="1" applyBorder="1" applyAlignment="1" applyProtection="1">
      <alignment vertical="center" wrapText="1"/>
      <protection locked="0"/>
    </xf>
    <xf numFmtId="165" fontId="16" fillId="35" borderId="0" xfId="0" applyNumberFormat="1" applyFont="1" applyFill="1" applyBorder="1" applyAlignment="1" applyProtection="1">
      <alignment horizontal="left" wrapText="1"/>
      <protection/>
    </xf>
    <xf numFmtId="1" fontId="15" fillId="34" borderId="0" xfId="0" applyNumberFormat="1" applyFont="1" applyFill="1" applyBorder="1" applyAlignment="1" applyProtection="1">
      <alignment horizontal="left" vertical="top" wrapText="1"/>
      <protection/>
    </xf>
    <xf numFmtId="1" fontId="17" fillId="34" borderId="0" xfId="0" applyNumberFormat="1" applyFont="1" applyFill="1" applyBorder="1" applyAlignment="1" applyProtection="1">
      <alignment horizontal="center" vertical="top" wrapText="1"/>
      <protection/>
    </xf>
    <xf numFmtId="165" fontId="15" fillId="35" borderId="0" xfId="0" applyNumberFormat="1" applyFont="1" applyFill="1" applyBorder="1" applyAlignment="1" applyProtection="1">
      <alignment horizontal="left" vertical="center" wrapText="1"/>
      <protection/>
    </xf>
    <xf numFmtId="165" fontId="15" fillId="35" borderId="31" xfId="0" applyNumberFormat="1" applyFont="1" applyFill="1" applyBorder="1" applyAlignment="1" applyProtection="1">
      <alignment horizontal="left" vertical="center" wrapText="1"/>
      <protection/>
    </xf>
    <xf numFmtId="0" fontId="0" fillId="0" borderId="0" xfId="0" applyNumberFormat="1" applyFill="1" applyAlignment="1" applyProtection="1">
      <alignment horizontal="left"/>
      <protection/>
    </xf>
    <xf numFmtId="0" fontId="8" fillId="0" borderId="0" xfId="0" applyNumberFormat="1" applyFill="1" applyAlignment="1" applyProtection="1">
      <alignment horizontal="left"/>
      <protection/>
    </xf>
    <xf numFmtId="0" fontId="14" fillId="33" borderId="0" xfId="0" applyNumberFormat="1" applyAlignment="1" applyProtection="1">
      <alignment horizontal="left" vertical="top"/>
      <protection/>
    </xf>
    <xf numFmtId="49" fontId="4" fillId="33" borderId="27" xfId="0" applyNumberFormat="1" applyBorder="1" applyAlignment="1" applyProtection="1">
      <alignment horizontal="left" vertical="top" wrapText="1"/>
      <protection/>
    </xf>
    <xf numFmtId="0" fontId="6" fillId="33" borderId="0" xfId="0" applyNumberFormat="1" applyAlignment="1" applyProtection="1">
      <alignment horizontal="left" vertical="top"/>
      <protection/>
    </xf>
    <xf numFmtId="0" fontId="14" fillId="33" borderId="0" xfId="0" applyNumberFormat="1" applyAlignment="1" applyProtection="1">
      <alignment horizontal="left"/>
      <protection/>
    </xf>
    <xf numFmtId="0" fontId="14" fillId="0" borderId="0" xfId="0" applyNumberFormat="1" applyFill="1" applyAlignment="1" applyProtection="1">
      <alignment horizontal="left"/>
      <protection/>
    </xf>
    <xf numFmtId="4" fontId="27" fillId="3" borderId="17" xfId="0" applyNumberFormat="1" applyBorder="1" applyAlignment="1" applyProtection="1">
      <alignment horizontal="right"/>
      <protection locked="0"/>
    </xf>
    <xf numFmtId="0" fontId="14" fillId="0" borderId="0" xfId="0" applyNumberFormat="1" applyFill="1" applyAlignment="1" applyProtection="1">
      <alignment horizontal="right"/>
      <protection/>
    </xf>
    <xf numFmtId="0" fontId="10" fillId="0" borderId="0" xfId="0" applyNumberFormat="1" applyFill="1" applyAlignment="1" applyProtection="1">
      <alignment horizontal="left"/>
      <protection locked="0"/>
    </xf>
    <xf numFmtId="167" fontId="14" fillId="33" borderId="0" xfId="0" applyNumberFormat="1" applyAlignment="1" applyProtection="1">
      <alignment horizontal="left" vertical="top"/>
      <protection/>
    </xf>
    <xf numFmtId="0" fontId="7" fillId="33" borderId="0" xfId="0" applyNumberFormat="1" applyAlignment="1" applyProtection="1">
      <alignment horizontal="left" indent="1"/>
      <protection/>
    </xf>
    <xf numFmtId="0" fontId="9" fillId="33" borderId="0" xfId="0" applyNumberFormat="1" applyAlignment="1" applyProtection="1">
      <alignment horizontal="left"/>
      <protection/>
    </xf>
    <xf numFmtId="0" fontId="20" fillId="33" borderId="0" xfId="0" applyNumberFormat="1" applyAlignment="1" applyProtection="1">
      <alignment horizontal="left"/>
      <protection/>
    </xf>
    <xf numFmtId="167" fontId="20" fillId="33" borderId="0" xfId="0" applyNumberFormat="1" applyAlignment="1" applyProtection="1">
      <alignment horizontal="right"/>
      <protection/>
    </xf>
    <xf numFmtId="0" fontId="7" fillId="33" borderId="0" xfId="0" applyNumberFormat="1" applyAlignment="1" applyProtection="1">
      <alignment horizontal="left"/>
      <protection/>
    </xf>
    <xf numFmtId="164" fontId="10" fillId="33" borderId="0" xfId="0" applyNumberFormat="1" applyAlignment="1" applyProtection="1">
      <alignment horizontal="left"/>
      <protection/>
    </xf>
    <xf numFmtId="167" fontId="8" fillId="0" borderId="0" xfId="0" applyNumberFormat="1" applyFill="1" applyAlignment="1" applyProtection="1">
      <alignment horizontal="left"/>
      <protection/>
    </xf>
    <xf numFmtId="0" fontId="3" fillId="33" borderId="0" xfId="0" applyNumberFormat="1" applyAlignment="1" applyProtection="1">
      <alignment horizontal="left"/>
      <protection/>
    </xf>
    <xf numFmtId="0" fontId="6" fillId="33" borderId="0" xfId="0" applyNumberFormat="1" applyAlignment="1" applyProtection="1">
      <alignment horizontal="left"/>
      <protection/>
    </xf>
    <xf numFmtId="49" fontId="4" fillId="33" borderId="26" xfId="0" applyNumberFormat="1" applyBorder="1" applyAlignment="1" applyProtection="1">
      <alignment horizontal="left" vertical="top" wrapText="1"/>
      <protection/>
    </xf>
    <xf numFmtId="0" fontId="21" fillId="33" borderId="0" xfId="0" applyNumberFormat="1" applyAlignment="1" applyProtection="1">
      <alignment horizontal="left"/>
      <protection/>
    </xf>
    <xf numFmtId="49" fontId="21" fillId="33" borderId="0" xfId="0" applyNumberFormat="1" applyAlignment="1" applyProtection="1">
      <alignment horizontal="left"/>
      <protection/>
    </xf>
    <xf numFmtId="0" fontId="14" fillId="33" borderId="0" xfId="0" applyNumberFormat="1" applyAlignment="1" applyProtection="1">
      <alignment horizontal="left"/>
      <protection/>
    </xf>
    <xf numFmtId="167" fontId="14" fillId="33" borderId="0" xfId="0" applyNumberFormat="1" applyAlignment="1" applyProtection="1">
      <alignment horizontal="left"/>
      <protection/>
    </xf>
    <xf numFmtId="49" fontId="4" fillId="33" borderId="0" xfId="0" applyNumberFormat="1" applyAlignment="1" applyProtection="1">
      <alignment horizontal="left" vertical="top" wrapText="1"/>
      <protection/>
    </xf>
    <xf numFmtId="0" fontId="21" fillId="33" borderId="10" xfId="0" applyNumberFormat="1" applyBorder="1" applyAlignment="1" applyProtection="1">
      <alignment horizontal="left"/>
      <protection/>
    </xf>
    <xf numFmtId="49" fontId="21" fillId="33" borderId="10" xfId="0" applyNumberFormat="1" applyBorder="1" applyAlignment="1" applyProtection="1">
      <alignment horizontal="left"/>
      <protection/>
    </xf>
    <xf numFmtId="0" fontId="14" fillId="33" borderId="10" xfId="0" applyNumberFormat="1" applyBorder="1" applyAlignment="1" applyProtection="1">
      <alignment horizontal="left"/>
      <protection/>
    </xf>
    <xf numFmtId="170" fontId="14" fillId="33" borderId="10" xfId="0" applyNumberFormat="1" applyBorder="1" applyAlignment="1" applyProtection="1">
      <alignment horizontal="left"/>
      <protection/>
    </xf>
    <xf numFmtId="49" fontId="14" fillId="33" borderId="10" xfId="0" applyNumberFormat="1" applyBorder="1" applyAlignment="1" applyProtection="1">
      <alignment horizontal="left"/>
      <protection/>
    </xf>
    <xf numFmtId="0" fontId="10" fillId="0" borderId="0" xfId="0" applyNumberFormat="1" applyFill="1" applyAlignment="1" applyProtection="1">
      <alignment horizontal="left"/>
      <protection/>
    </xf>
    <xf numFmtId="166" fontId="14" fillId="33" borderId="10" xfId="0" applyNumberFormat="1" applyBorder="1" applyAlignment="1" applyProtection="1">
      <alignment horizontal="left"/>
      <protection/>
    </xf>
    <xf numFmtId="166" fontId="14" fillId="33" borderId="0" xfId="0" applyNumberFormat="1" applyAlignment="1" applyProtection="1">
      <alignment horizontal="left"/>
      <protection/>
    </xf>
    <xf numFmtId="0" fontId="4" fillId="33" borderId="18" xfId="0" applyNumberFormat="1" applyBorder="1" applyAlignment="1" applyProtection="1">
      <alignment horizontal="left"/>
      <protection/>
    </xf>
    <xf numFmtId="0" fontId="4" fillId="33" borderId="18" xfId="0" applyNumberFormat="1" applyBorder="1" applyAlignment="1" applyProtection="1">
      <alignment horizontal="left"/>
      <protection/>
    </xf>
    <xf numFmtId="0" fontId="4" fillId="33" borderId="0" xfId="0" applyNumberFormat="1" applyAlignment="1" applyProtection="1">
      <alignment horizontal="left"/>
      <protection/>
    </xf>
    <xf numFmtId="0" fontId="14" fillId="33" borderId="30" xfId="0" applyNumberFormat="1" applyBorder="1" applyAlignment="1" applyProtection="1">
      <alignment horizontal="left"/>
      <protection/>
    </xf>
    <xf numFmtId="4" fontId="26" fillId="3" borderId="20" xfId="0" applyNumberFormat="1" applyBorder="1" applyAlignment="1" applyProtection="1">
      <alignment horizontal="left"/>
      <protection locked="0"/>
    </xf>
    <xf numFmtId="4" fontId="26" fillId="3" borderId="25" xfId="0" applyNumberFormat="1" applyBorder="1" applyAlignment="1" applyProtection="1">
      <alignment horizontal="left"/>
      <protection locked="0"/>
    </xf>
    <xf numFmtId="4" fontId="26" fillId="3" borderId="19" xfId="0" applyNumberFormat="1" applyBorder="1" applyAlignment="1" applyProtection="1">
      <alignment horizontal="left"/>
      <protection locked="0"/>
    </xf>
    <xf numFmtId="49" fontId="14" fillId="33" borderId="0" xfId="0" applyNumberFormat="1" applyAlignment="1" applyProtection="1">
      <alignment horizontal="left"/>
      <protection/>
    </xf>
    <xf numFmtId="0" fontId="4" fillId="33" borderId="10" xfId="0" applyNumberFormat="1" applyBorder="1" applyAlignment="1" applyProtection="1">
      <alignment horizontal="left"/>
      <protection/>
    </xf>
    <xf numFmtId="49" fontId="14" fillId="33" borderId="0" xfId="0" applyNumberFormat="1" applyAlignment="1" applyProtection="1">
      <alignment horizontal="left"/>
      <protection locked="0"/>
    </xf>
    <xf numFmtId="0" fontId="14" fillId="33" borderId="23" xfId="0" applyNumberFormat="1" applyBorder="1" applyAlignment="1" applyProtection="1">
      <alignment horizontal="left"/>
      <protection/>
    </xf>
    <xf numFmtId="0" fontId="25" fillId="3" borderId="0" xfId="0" applyNumberFormat="1" applyAlignment="1" applyProtection="1">
      <alignment horizontal="left"/>
      <protection locked="0"/>
    </xf>
    <xf numFmtId="167" fontId="14" fillId="0" borderId="0" xfId="0" applyNumberFormat="1" applyFill="1" applyAlignment="1" applyProtection="1">
      <alignment horizontal="left"/>
      <protection/>
    </xf>
    <xf numFmtId="169" fontId="25" fillId="3" borderId="0" xfId="0" applyNumberFormat="1" applyAlignment="1" applyProtection="1">
      <alignment horizontal="right"/>
      <protection locked="0"/>
    </xf>
    <xf numFmtId="166" fontId="14" fillId="33" borderId="10" xfId="0" applyNumberFormat="1" applyBorder="1" applyAlignment="1" applyProtection="1">
      <alignment horizontal="left"/>
      <protection/>
    </xf>
    <xf numFmtId="166" fontId="14" fillId="33" borderId="2" xfId="0" applyNumberFormat="1" applyBorder="1" applyAlignment="1" applyProtection="1">
      <alignment horizontal="left"/>
      <protection/>
    </xf>
    <xf numFmtId="167" fontId="10" fillId="0" borderId="0" xfId="0" applyNumberFormat="1" applyFill="1" applyAlignment="1" applyProtection="1">
      <alignment horizontal="left"/>
      <protection/>
    </xf>
    <xf numFmtId="0" fontId="10" fillId="33" borderId="0" xfId="0" applyNumberFormat="1" applyAlignment="1" applyProtection="1">
      <alignment horizontal="left"/>
      <protection/>
    </xf>
    <xf numFmtId="0" fontId="6" fillId="33" borderId="0" xfId="0" applyNumberFormat="1" applyAlignment="1" applyProtection="1">
      <alignment horizontal="left"/>
      <protection/>
    </xf>
    <xf numFmtId="0" fontId="11" fillId="33" borderId="0" xfId="0" applyNumberFormat="1" applyAlignment="1" applyProtection="1">
      <alignment horizontal="left"/>
      <protection/>
    </xf>
    <xf numFmtId="0" fontId="11" fillId="33" borderId="16" xfId="0" applyNumberFormat="1" applyBorder="1" applyAlignment="1" applyProtection="1">
      <alignment horizontal="left"/>
      <protection/>
    </xf>
    <xf numFmtId="166" fontId="11" fillId="33" borderId="0" xfId="0" applyNumberFormat="1" applyAlignment="1" applyProtection="1">
      <alignment horizontal="left"/>
      <protection/>
    </xf>
    <xf numFmtId="166" fontId="11" fillId="33" borderId="0" xfId="0" applyNumberFormat="1" applyAlignment="1" applyProtection="1">
      <alignment horizontal="left"/>
      <protection/>
    </xf>
    <xf numFmtId="165" fontId="18" fillId="35" borderId="14" xfId="0" applyNumberFormat="1" applyBorder="1" applyAlignment="1" applyProtection="1">
      <alignment horizontal="left" wrapText="1"/>
      <protection/>
    </xf>
    <xf numFmtId="165" fontId="18" fillId="35" borderId="20" xfId="0" applyNumberFormat="1" applyBorder="1" applyAlignment="1" applyProtection="1">
      <alignment horizontal="left" wrapText="1"/>
      <protection/>
    </xf>
    <xf numFmtId="165" fontId="18" fillId="35" borderId="19" xfId="0" applyNumberFormat="1" applyBorder="1" applyAlignment="1" applyProtection="1">
      <alignment horizontal="left" wrapText="1"/>
      <protection/>
    </xf>
    <xf numFmtId="0" fontId="18" fillId="35" borderId="14" xfId="0" applyNumberFormat="1" applyBorder="1" applyAlignment="1" applyProtection="1">
      <alignment horizontal="left" wrapText="1"/>
      <protection/>
    </xf>
    <xf numFmtId="0" fontId="18" fillId="35" borderId="20" xfId="0" applyNumberFormat="1" applyBorder="1" applyAlignment="1" applyProtection="1">
      <alignment horizontal="left" wrapText="1"/>
      <protection/>
    </xf>
    <xf numFmtId="0" fontId="18" fillId="35" borderId="19" xfId="0" applyNumberFormat="1" applyBorder="1" applyAlignment="1" applyProtection="1">
      <alignment horizontal="left" wrapText="1"/>
      <protection/>
    </xf>
    <xf numFmtId="167" fontId="18" fillId="36" borderId="0" xfId="0" applyNumberFormat="1" applyAlignment="1" applyProtection="1">
      <alignment horizontal="left" wrapText="1"/>
      <protection/>
    </xf>
    <xf numFmtId="1" fontId="17" fillId="34" borderId="14" xfId="0" applyNumberFormat="1" applyBorder="1" applyAlignment="1" applyProtection="1">
      <alignment horizontal="right" vertical="center"/>
      <protection/>
    </xf>
    <xf numFmtId="49" fontId="17" fillId="34" borderId="14" xfId="0" applyNumberFormat="1" applyBorder="1" applyAlignment="1" applyProtection="1">
      <alignment horizontal="left" vertical="center"/>
      <protection/>
    </xf>
    <xf numFmtId="49" fontId="17" fillId="34" borderId="20" xfId="0" applyNumberFormat="1" applyBorder="1" applyAlignment="1" applyProtection="1">
      <alignment horizontal="left" vertical="center"/>
      <protection/>
    </xf>
    <xf numFmtId="49" fontId="17" fillId="34" borderId="19" xfId="0" applyNumberFormat="1" applyBorder="1" applyAlignment="1" applyProtection="1">
      <alignment horizontal="left" vertical="center"/>
      <protection/>
    </xf>
    <xf numFmtId="4" fontId="17" fillId="3" borderId="14" xfId="0" applyNumberFormat="1" applyBorder="1" applyAlignment="1" applyProtection="1">
      <alignment horizontal="left" vertical="center"/>
      <protection/>
    </xf>
    <xf numFmtId="175" fontId="17" fillId="3" borderId="14" xfId="0" applyNumberFormat="1" applyBorder="1" applyAlignment="1" applyProtection="1">
      <alignment horizontal="left" vertical="center"/>
      <protection locked="0"/>
    </xf>
    <xf numFmtId="175" fontId="17" fillId="3" borderId="20" xfId="0" applyNumberFormat="1" applyBorder="1" applyAlignment="1" applyProtection="1">
      <alignment horizontal="right" vertical="center"/>
      <protection locked="0"/>
    </xf>
    <xf numFmtId="168" fontId="17" fillId="3" borderId="19" xfId="0" applyNumberFormat="1" applyBorder="1" applyAlignment="1" applyProtection="1">
      <alignment horizontal="right" vertical="center"/>
      <protection locked="0"/>
    </xf>
    <xf numFmtId="168" fontId="17" fillId="34" borderId="14" xfId="0" applyNumberFormat="1" applyBorder="1" applyAlignment="1" applyProtection="1">
      <alignment horizontal="left" vertical="center"/>
      <protection/>
    </xf>
    <xf numFmtId="49" fontId="22" fillId="3" borderId="20" xfId="0" applyNumberFormat="1" applyBorder="1" applyAlignment="1" applyProtection="1">
      <alignment horizontal="left" vertical="center"/>
      <protection locked="0"/>
    </xf>
    <xf numFmtId="49" fontId="22" fillId="3" borderId="19" xfId="0" applyNumberFormat="1" applyBorder="1" applyAlignment="1" applyProtection="1">
      <alignment horizontal="left" vertical="center"/>
      <protection locked="0"/>
    </xf>
    <xf numFmtId="0" fontId="23" fillId="0" borderId="20" xfId="0" applyNumberFormat="1" applyFill="1" applyBorder="1" applyAlignment="1" applyProtection="1">
      <alignment horizontal="left"/>
      <protection/>
    </xf>
    <xf numFmtId="0" fontId="23" fillId="0" borderId="19" xfId="0" applyNumberFormat="1" applyFill="1" applyBorder="1" applyAlignment="1" applyProtection="1">
      <alignment horizontal="left"/>
      <protection/>
    </xf>
    <xf numFmtId="167" fontId="23" fillId="36" borderId="0" xfId="0" applyNumberFormat="1" applyAlignment="1" applyProtection="1">
      <alignment horizontal="left"/>
      <protection/>
    </xf>
    <xf numFmtId="1" fontId="6" fillId="0" borderId="0" xfId="0" applyNumberFormat="1" applyFill="1" applyAlignment="1" applyProtection="1">
      <alignment horizontal="right" vertical="center"/>
      <protection/>
    </xf>
    <xf numFmtId="0" fontId="10" fillId="0" borderId="0" xfId="0" applyNumberFormat="1" applyFill="1" applyAlignment="1" applyProtection="1">
      <alignment horizontal="left"/>
      <protection/>
    </xf>
    <xf numFmtId="0" fontId="6" fillId="0" borderId="0" xfId="0" applyNumberFormat="1" applyFill="1" applyAlignment="1" applyProtection="1">
      <alignment horizontal="right"/>
      <protection/>
    </xf>
    <xf numFmtId="167" fontId="8" fillId="36" borderId="0" xfId="0" applyNumberFormat="1" applyAlignment="1" applyProtection="1">
      <alignment horizontal="left"/>
      <protection/>
    </xf>
    <xf numFmtId="165" fontId="18" fillId="35" borderId="15" xfId="0" applyNumberFormat="1" applyBorder="1" applyAlignment="1" applyProtection="1">
      <alignment horizontal="left" wrapText="1"/>
      <protection/>
    </xf>
    <xf numFmtId="165" fontId="18" fillId="35" borderId="24" xfId="0" applyNumberFormat="1" applyBorder="1" applyAlignment="1" applyProtection="1">
      <alignment horizontal="left" wrapText="1"/>
      <protection/>
    </xf>
    <xf numFmtId="165" fontId="18" fillId="35" borderId="16" xfId="0" applyNumberFormat="1" applyBorder="1" applyAlignment="1" applyProtection="1">
      <alignment horizontal="left" wrapText="1"/>
      <protection/>
    </xf>
    <xf numFmtId="165" fontId="18" fillId="35" borderId="0" xfId="0" applyNumberFormat="1" applyAlignment="1" applyProtection="1">
      <alignment horizontal="left" wrapText="1"/>
      <protection/>
    </xf>
    <xf numFmtId="0" fontId="18" fillId="35" borderId="16" xfId="0" applyNumberFormat="1" applyBorder="1" applyAlignment="1" applyProtection="1">
      <alignment horizontal="left"/>
      <protection/>
    </xf>
    <xf numFmtId="0" fontId="18" fillId="35" borderId="16" xfId="0" applyNumberFormat="1" applyBorder="1" applyAlignment="1" applyProtection="1">
      <alignment horizontal="left" wrapText="1"/>
      <protection/>
    </xf>
    <xf numFmtId="1" fontId="17" fillId="34" borderId="11" xfId="0" applyNumberFormat="1" applyBorder="1" applyAlignment="1" applyProtection="1">
      <alignment horizontal="right" vertical="center"/>
      <protection/>
    </xf>
    <xf numFmtId="1" fontId="17" fillId="34" borderId="12" xfId="0" applyNumberFormat="1" applyBorder="1" applyAlignment="1" applyProtection="1">
      <alignment horizontal="right" vertical="center"/>
      <protection/>
    </xf>
    <xf numFmtId="0" fontId="24" fillId="3" borderId="20" xfId="0" applyNumberFormat="1" applyBorder="1" applyAlignment="1" applyProtection="1">
      <alignment horizontal="left"/>
      <protection locked="0"/>
    </xf>
    <xf numFmtId="0" fontId="24" fillId="3" borderId="25" xfId="0" applyNumberFormat="1" applyBorder="1" applyAlignment="1" applyProtection="1">
      <alignment horizontal="left"/>
      <protection locked="0"/>
    </xf>
    <xf numFmtId="0" fontId="24" fillId="3" borderId="19" xfId="0" applyNumberFormat="1" applyBorder="1" applyAlignment="1" applyProtection="1">
      <alignment horizontal="left"/>
      <protection locked="0"/>
    </xf>
    <xf numFmtId="0" fontId="8" fillId="36" borderId="0" xfId="0" applyNumberFormat="1" applyAlignment="1" applyProtection="1">
      <alignment horizontal="left"/>
      <protection/>
    </xf>
    <xf numFmtId="175" fontId="8" fillId="37" borderId="20" xfId="0" applyNumberFormat="1" applyBorder="1" applyAlignment="1" applyProtection="1">
      <alignment horizontal="left"/>
      <protection locked="0"/>
    </xf>
    <xf numFmtId="169" fontId="8" fillId="37" borderId="19" xfId="0" applyNumberFormat="1" applyBorder="1" applyAlignment="1" applyProtection="1">
      <alignment horizontal="left"/>
      <protection locked="0"/>
    </xf>
    <xf numFmtId="175" fontId="8" fillId="37" borderId="14" xfId="0" applyNumberFormat="1" applyBorder="1" applyAlignment="1" applyProtection="1">
      <alignment horizontal="left"/>
      <protection locked="0"/>
    </xf>
    <xf numFmtId="169" fontId="25" fillId="3" borderId="14" xfId="0" applyNumberFormat="1" applyBorder="1" applyAlignment="1" applyProtection="1">
      <alignment horizontal="right"/>
      <protection/>
    </xf>
    <xf numFmtId="0" fontId="13" fillId="3" borderId="20" xfId="0" applyNumberFormat="1" applyBorder="1" applyAlignment="1" applyProtection="1">
      <alignment horizontal="left"/>
      <protection locked="0"/>
    </xf>
    <xf numFmtId="0" fontId="13" fillId="3" borderId="25" xfId="0" applyNumberFormat="1" applyBorder="1" applyAlignment="1" applyProtection="1">
      <alignment horizontal="left"/>
      <protection locked="0"/>
    </xf>
    <xf numFmtId="0" fontId="13" fillId="3" borderId="19" xfId="0" applyNumberFormat="1" applyBorder="1" applyAlignment="1" applyProtection="1">
      <alignment horizontal="left"/>
      <protection locked="0"/>
    </xf>
    <xf numFmtId="167" fontId="13" fillId="36" borderId="0" xfId="0" applyNumberFormat="1" applyAlignment="1" applyProtection="1">
      <alignment horizontal="left"/>
      <protection locked="0"/>
    </xf>
    <xf numFmtId="0" fontId="10" fillId="36" borderId="0" xfId="0" applyNumberFormat="1" applyAlignment="1" applyProtection="1">
      <alignment horizontal="left"/>
      <protection/>
    </xf>
    <xf numFmtId="168" fontId="25" fillId="3" borderId="14" xfId="0" applyNumberFormat="1" applyBorder="1" applyAlignment="1" applyProtection="1">
      <alignment horizontal="right"/>
      <protection/>
    </xf>
    <xf numFmtId="4" fontId="13" fillId="3" borderId="20" xfId="0" applyNumberFormat="1" applyBorder="1" applyAlignment="1" applyProtection="1">
      <alignment horizontal="left"/>
      <protection locked="0"/>
    </xf>
    <xf numFmtId="4" fontId="13" fillId="3" borderId="25" xfId="0" applyNumberFormat="1" applyBorder="1" applyAlignment="1" applyProtection="1">
      <alignment horizontal="left"/>
      <protection locked="0"/>
    </xf>
    <xf numFmtId="4" fontId="13" fillId="3" borderId="19" xfId="0" applyNumberFormat="1" applyBorder="1" applyAlignment="1" applyProtection="1">
      <alignment horizontal="left"/>
      <protection locked="0"/>
    </xf>
    <xf numFmtId="175" fontId="8" fillId="37" borderId="21" xfId="0" applyNumberFormat="1" applyBorder="1" applyAlignment="1" applyProtection="1">
      <alignment horizontal="left"/>
      <protection locked="0"/>
    </xf>
    <xf numFmtId="0" fontId="12" fillId="33" borderId="0" xfId="0" applyNumberFormat="1" applyAlignment="1" applyProtection="1">
      <alignment horizontal="left"/>
      <protection/>
    </xf>
    <xf numFmtId="44" fontId="13" fillId="33" borderId="0" xfId="0" applyNumberFormat="1" applyAlignment="1" applyProtection="1">
      <alignment horizontal="left"/>
      <protection/>
    </xf>
    <xf numFmtId="168" fontId="15" fillId="34" borderId="14" xfId="0" applyNumberFormat="1" applyBorder="1" applyAlignment="1" applyProtection="1">
      <alignment horizontal="left" vertical="center"/>
      <protection/>
    </xf>
    <xf numFmtId="4" fontId="17" fillId="34" borderId="28" xfId="0" applyNumberFormat="1" applyBorder="1" applyAlignment="1" applyProtection="1">
      <alignment horizontal="left" vertical="center"/>
      <protection/>
    </xf>
    <xf numFmtId="4" fontId="17" fillId="34" borderId="29" xfId="0" applyNumberFormat="1" applyBorder="1" applyAlignment="1" applyProtection="1">
      <alignment horizontal="left" vertical="center"/>
      <protection/>
    </xf>
    <xf numFmtId="4" fontId="17" fillId="34" borderId="22" xfId="0" applyNumberFormat="1" applyBorder="1" applyAlignment="1" applyProtection="1">
      <alignment horizontal="left" vertical="center"/>
      <protection/>
    </xf>
    <xf numFmtId="4" fontId="17" fillId="34" borderId="0" xfId="0" applyNumberFormat="1" applyAlignment="1" applyProtection="1">
      <alignment horizontal="left" vertical="center"/>
      <protection/>
    </xf>
    <xf numFmtId="1" fontId="12" fillId="33" borderId="0" xfId="0" applyNumberFormat="1" applyAlignment="1" applyProtection="1">
      <alignment horizontal="left"/>
      <protection/>
    </xf>
    <xf numFmtId="1" fontId="13" fillId="33" borderId="0" xfId="0" applyNumberFormat="1" applyAlignment="1" applyProtection="1">
      <alignment horizontal="left"/>
      <protection/>
    </xf>
    <xf numFmtId="37" fontId="13" fillId="33" borderId="0" xfId="0" applyNumberFormat="1" applyAlignment="1" applyProtection="1">
      <alignment horizontal="left"/>
      <protection locked="0"/>
    </xf>
    <xf numFmtId="49" fontId="13" fillId="33" borderId="0" xfId="0" applyNumberFormat="1" applyAlignment="1" applyProtection="1">
      <alignment horizontal="left"/>
      <protection/>
    </xf>
    <xf numFmtId="3" fontId="13" fillId="33" borderId="0" xfId="0" applyNumberFormat="1" applyAlignment="1" applyProtection="1">
      <alignment horizontal="left"/>
      <protection locked="0"/>
    </xf>
    <xf numFmtId="37" fontId="13" fillId="33" borderId="0" xfId="0" applyNumberFormat="1" applyAlignment="1" applyProtection="1">
      <alignment horizontal="left"/>
      <protection/>
    </xf>
    <xf numFmtId="44" fontId="13" fillId="33" borderId="0" xfId="0" applyNumberFormat="1" applyAlignment="1" applyProtection="1">
      <alignment horizontal="left"/>
      <protection locked="0"/>
    </xf>
    <xf numFmtId="165" fontId="15" fillId="35" borderId="0" xfId="0" applyNumberFormat="1" applyAlignment="1" applyProtection="1">
      <alignment horizontal="left" vertical="center" wrapText="1"/>
      <protection/>
    </xf>
    <xf numFmtId="165" fontId="15" fillId="35" borderId="31" xfId="0" applyNumberFormat="1" applyBorder="1" applyAlignment="1" applyProtection="1">
      <alignment horizontal="left" vertical="center" wrapText="1"/>
      <protection/>
    </xf>
    <xf numFmtId="1" fontId="17" fillId="34" borderId="15" xfId="0" applyNumberFormat="1" applyBorder="1" applyAlignment="1" applyProtection="1">
      <alignment horizontal="left" vertical="center" wrapText="1"/>
      <protection/>
    </xf>
    <xf numFmtId="1" fontId="17" fillId="34" borderId="0" xfId="0" applyNumberFormat="1" applyAlignment="1" applyProtection="1">
      <alignment horizontal="left" vertical="center" wrapText="1"/>
      <protection/>
    </xf>
    <xf numFmtId="167" fontId="17" fillId="36" borderId="0" xfId="0" applyNumberFormat="1" applyAlignment="1" applyProtection="1">
      <alignment horizontal="left" vertical="center" wrapText="1"/>
      <protection/>
    </xf>
    <xf numFmtId="1" fontId="19" fillId="3" borderId="15" xfId="0" applyNumberFormat="1" applyBorder="1" applyAlignment="1" applyProtection="1">
      <alignment horizontal="left" vertical="center" wrapText="1"/>
      <protection locked="0"/>
    </xf>
    <xf numFmtId="1" fontId="19" fillId="3" borderId="0" xfId="0" applyNumberFormat="1" applyAlignment="1" applyProtection="1">
      <alignment horizontal="left" vertical="center" wrapText="1"/>
      <protection locked="0"/>
    </xf>
    <xf numFmtId="167" fontId="19" fillId="36" borderId="0" xfId="0" applyNumberFormat="1" applyAlignment="1" applyProtection="1">
      <alignment horizontal="left" vertical="center" wrapText="1"/>
      <protection locked="0"/>
    </xf>
    <xf numFmtId="165" fontId="16" fillId="35" borderId="0" xfId="0" applyNumberFormat="1" applyAlignment="1" applyProtection="1">
      <alignment horizontal="left" wrapText="1"/>
      <protection/>
    </xf>
    <xf numFmtId="167" fontId="16" fillId="36" borderId="0" xfId="0" applyNumberFormat="1" applyAlignment="1" applyProtection="1">
      <alignment horizontal="left" wrapText="1"/>
      <protection/>
    </xf>
    <xf numFmtId="1" fontId="15" fillId="34" borderId="0" xfId="0" applyNumberFormat="1" applyAlignment="1" applyProtection="1">
      <alignment horizontal="left" vertical="top" wrapText="1"/>
      <protection/>
    </xf>
    <xf numFmtId="167" fontId="15" fillId="36" borderId="0" xfId="0" applyNumberFormat="1" applyAlignment="1" applyProtection="1">
      <alignment horizontal="left" vertical="top" wrapText="1"/>
      <protection/>
    </xf>
    <xf numFmtId="1" fontId="17" fillId="34" borderId="0" xfId="0" applyNumberFormat="1" applyAlignment="1" applyProtection="1">
      <alignment horizontal="left" vertical="top" wrapText="1"/>
      <protection/>
    </xf>
    <xf numFmtId="167" fontId="17" fillId="36" borderId="0" xfId="0" applyNumberFormat="1" applyAlignment="1" applyProtection="1">
      <alignment horizontal="left" vertical="top" wrapText="1"/>
      <protection/>
    </xf>
    <xf numFmtId="0" fontId="27" fillId="0" borderId="0" xfId="0" applyNumberFormat="1" applyFill="1" applyAlignment="1" applyProtection="1">
      <alignment horizontal="left"/>
      <protection/>
    </xf>
    <xf numFmtId="0" fontId="8" fillId="0" borderId="0" xfId="0" applyNumberFormat="1" applyFill="1" applyAlignment="1" applyProtection="1">
      <alignment horizontal="left" wrapText="1"/>
      <protection/>
    </xf>
    <xf numFmtId="0" fontId="0" fillId="0" borderId="22" xfId="0" applyNumberFormat="1" applyFill="1" applyBorder="1" applyAlignment="1" applyProtection="1">
      <alignment horizontal="left"/>
      <protection/>
    </xf>
    <xf numFmtId="49" fontId="0" fillId="0" borderId="0" xfId="0" applyNumberFormat="1" applyFill="1" applyAlignment="1" applyProtection="1">
      <alignment horizontal="left"/>
      <protection/>
    </xf>
  </cellXfs>
  <cellStyles count="47">
    <cellStyle name="Normal" xfId="0"/>
    <cellStyle name="Percent" xfId="15"/>
    <cellStyle name="Currency" xfId="16"/>
    <cellStyle name="Currency [0]" xfId="17"/>
    <cellStyle name="Comma" xfId="18"/>
    <cellStyle name="Comma [0]" xfId="19"/>
    <cellStyle name="Heading 1" xfId="20"/>
    <cellStyle name="Heading 3" xfId="21"/>
    <cellStyle name="Calculation" xfId="22"/>
    <cellStyle name="40% - Accent1" xfId="23"/>
    <cellStyle name="Title" xfId="24"/>
    <cellStyle name="Heading 2" xfId="25"/>
    <cellStyle name="Heading 4" xfId="26"/>
    <cellStyle name="Good" xfId="27"/>
    <cellStyle name="Bad" xfId="28"/>
    <cellStyle name="Neutral" xfId="29"/>
    <cellStyle name="Input" xfId="30"/>
    <cellStyle name="Output" xfId="31"/>
    <cellStyle name="Linked Cell" xfId="32"/>
    <cellStyle name="Check Cell" xfId="33"/>
    <cellStyle name="Warning Text" xfId="34"/>
    <cellStyle name="Note" xfId="35"/>
    <cellStyle name="Explanatory Text" xfId="36"/>
    <cellStyle name="Total" xfId="37"/>
    <cellStyle name="Accent1" xfId="38"/>
    <cellStyle name="20% - Accent1" xfId="39"/>
    <cellStyle name="60% - Accent1" xfId="40"/>
    <cellStyle name="Accent2" xfId="41"/>
    <cellStyle name="20% - Accent2" xfId="42"/>
    <cellStyle name="40% - Accent2" xfId="43"/>
    <cellStyle name="60% - Accent2" xfId="44"/>
    <cellStyle name="Accent3" xfId="45"/>
    <cellStyle name="20% - Accent3" xfId="46"/>
    <cellStyle name="40% - Accent3" xfId="47"/>
    <cellStyle name="60% - Accent3" xfId="48"/>
    <cellStyle name="Accent4" xfId="49"/>
    <cellStyle name="20% - Accent4" xfId="50"/>
    <cellStyle name="40% - Accent4" xfId="51"/>
    <cellStyle name="60% - Accent4" xfId="52"/>
    <cellStyle name="Accent5" xfId="53"/>
    <cellStyle name="20% - Accent5" xfId="54"/>
    <cellStyle name="40% - Accent5" xfId="55"/>
    <cellStyle name="60% - Accent5" xfId="56"/>
    <cellStyle name="Accent6" xfId="57"/>
    <cellStyle name="20% - Accent6" xfId="58"/>
    <cellStyle name="40% - Accent6" xfId="59"/>
    <cellStyle name="60% - Accent6" xfId="60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C0C0C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E3EDED"/>
      <rgbColor rgb="00D6DCE0"/>
      <rgbColor rgb="00CCFFCC"/>
      <rgbColor rgb="00FFFF99"/>
      <rgbColor rgb="009DBEC3"/>
      <rgbColor rgb="00FF99CC"/>
      <rgbColor rgb="00EDF3F3"/>
      <rgbColor rgb="00FFCC99"/>
      <rgbColor rgb="003366FF"/>
      <rgbColor rgb="0033CCCC"/>
      <rgbColor rgb="0099CC00"/>
      <rgbColor rgb="00FFCC00"/>
      <rgbColor rgb="00FF9900"/>
      <rgbColor rgb="00FF6600"/>
      <rgbColor rgb="00969696"/>
      <rgbColor rgb="00969696"/>
      <rgbColor rgb="00003366"/>
      <rgbColor rgb="00339966"/>
      <rgbColor rgb="00003300"/>
      <rgbColor rgb="00333300"/>
      <rgbColor rgb="00993300"/>
      <rgbColor rgb="004B7279"/>
      <rgbColor rgb="00969696"/>
      <rgbColor rgb="00333333"/>
    </indexedColors>
  </colors>
  <extLst>
    <x:ext xmlns:x15="http://schemas.microsoft.com/office/spreadsheetml/2010/11/main" uri="{9260A510-F301-46a8-8635-F512D64BE5F5}">
      <x15:timelineStyles defaultTimelineStyle="TimeSlicerStyleLight1"/>
    </x:ext>
  </extLst>
</styleSheet>
</file>

<file path=xl/_rels/workbook.xml.rels><?xml version="1.0" encoding="UTF-8" standalone="yes"?><Relationships xmlns="http://schemas.openxmlformats.org/package/2006/relationships"><Relationship Id="rId1" Type="http://schemas.openxmlformats.org/officeDocument/2006/relationships/worksheet" Target="worksheets/sheet1.xml" /><Relationship Id="rId2" Type="http://schemas.openxmlformats.org/officeDocument/2006/relationships/worksheet" Target="worksheets/sheet2.xml" /><Relationship Id="rId3" Type="http://schemas.microsoft.com/office/2006/relationships/vbaProject" Target="vbaProject.bin" /><Relationship Id="rId4" Type="http://schemas.openxmlformats.org/officeDocument/2006/relationships/styles" Target="styles.xml" /><Relationship Id="rId5" Type="http://schemas.openxmlformats.org/officeDocument/2006/relationships/sharedStrings" Target="sharedStrings.xml" /><Relationship Id="rId6" Type="http://schemas.openxmlformats.org/officeDocument/2006/relationships/theme" Target="theme/theme1.xml" /></Relationships>
</file>

<file path=xl/drawings/_rels/drawing1.xml.rels><?xml version="1.0" encoding="UTF-8" standalone="yes"?><Relationships xmlns="http://schemas.openxmlformats.org/package/2006/relationships"><Relationship Id="rId1" Type="http://schemas.openxmlformats.org/officeDocument/2006/relationships/image" Target="../media/image1.png" 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0</xdr:col>
      <xdr:colOff>114300</xdr:colOff>
      <xdr:row>0</xdr:row>
      <xdr:rowOff>200025</xdr:rowOff>
    </xdr:from>
    <xdr:to>
      <xdr:col>2</xdr:col>
      <xdr:colOff>408453</xdr:colOff>
      <xdr:row>1</xdr:row>
      <xdr:rowOff>263</xdr:rowOff>
    </xdr:to>
    <xdr:pic>
      <xdr:nvPicPr>
        <xdr:cNvPr id="11" name="Picture 10"/>
        <xdr:cNvPicPr>
          <a:picLocks noChangeAspect="1"/>
        </xdr:cNvPicPr>
      </xdr:nvPicPr>
      <xdr:blipFill>
        <a:blip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" y="200025"/>
          <a:ext cx="676275" cy="447675"/>
        </a:xfrm>
        <a:prstGeom prst="rect"/>
        <a:ln>
          <a:noFill/>
        </a:ln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<Relationships xmlns="http://schemas.openxmlformats.org/package/2006/relationships"><Relationship Id="rId1" Type="http://schemas.openxmlformats.org/officeDocument/2006/relationships/drawing" Target="../drawings/drawing1.xml" /><Relationship Id="rId2" Type="http://schemas.openxmlformats.org/officeDocument/2006/relationships/printerSettings" Target="../printerSettings/printerSettings1.bin" /></Relationships>
</file>

<file path=xl/worksheets/_rels/sheet2.xml.rels><?xml version="1.0" encoding="UTF-8" standalone="yes"?><Relationships xmlns="http://schemas.openxmlformats.org/package/2006/relationships"><Relationship Id="rId1" Type="http://schemas.openxmlformats.org/officeDocument/2006/relationships/printerSettings" Target="../printerSettings/printerSettings2.bin" /></Relationships>
</file>

<file path=xl/worksheets/sheet1.xml><?xml version="1.0" encoding="utf-8"?>
<worksheet xmlns="http://schemas.openxmlformats.org/spreadsheetml/2006/main" xmlns:r="http://schemas.openxmlformats.org/officeDocument/2006/relationships" xmlns:x14="http://schemas.microsoft.com/office/spreadsheetml/2009/9/main" xmlns:xm="http://schemas.microsoft.com/office/excel/2006/main" xmlns:mc="http://schemas.openxmlformats.org/markup-compatibility/2006" xmlns:x14ac="http://schemas.microsoft.com/office/spreadsheetml/2009/9/ac" xmlns:x="http://schemas.openxmlformats.org/spreadsheetml/2006/main" mc:Ignorable="x14ac">
  <sheetPr codeName="Sheet1"/>
  <dimension ref="A1:X58"/>
  <sheetViews>
    <sheetView showGridLines="0" tabSelected="1" workbookViewId="0" topLeftCell="G4">
      <selection pane="topLeft" activeCell="S11" sqref="S11 S11"/>
    </sheetView>
  </sheetViews>
  <sheetFormatPr defaultColWidth="9.140625" defaultRowHeight="12.75"/>
  <cols>
    <col min="1" max="1" width="5.71428571428571" style="163" customWidth="1"/>
    <col min="2" max="2" width="13" style="163" hidden="1" customWidth="1"/>
    <col min="3" max="3" width="11.1428571428571" style="163" customWidth="1"/>
    <col min="4" max="4" width="14.4285714285714" style="163" customWidth="1"/>
    <col min="5" max="5" width="31.2857142857143" style="163" customWidth="1"/>
    <col min="6" max="6" width="15.8571428571429" style="163" customWidth="1"/>
    <col min="7" max="7" width="19.2857142857143" style="163" customWidth="1"/>
    <col min="8" max="9" width="13.5714285714286" style="163" customWidth="1"/>
    <col min="10" max="10" width="5.71428571428571" style="163" customWidth="1"/>
    <col min="11" max="11" width="10.2857142857143" style="163" customWidth="1"/>
    <col min="12" max="12" width="9.57142857142857" style="163" customWidth="1"/>
    <col min="13" max="13" width="9.42857142857143" style="163" customWidth="1"/>
    <col min="14" max="14" width="18.1428571428571" style="163" customWidth="1"/>
    <col min="15" max="15" width="15.2857142857143" style="163" customWidth="1"/>
    <col min="16" max="16" width="13.5714285714286" style="163" customWidth="1"/>
    <col min="17" max="17" width="8.85714285714286" style="163" bestFit="1" customWidth="1"/>
    <col min="18" max="19" width="9.57142857142857" style="163" customWidth="1"/>
    <col min="20" max="20" width="12" style="179" customWidth="1"/>
    <col min="21" max="21" width="9.14285714285714" style="163" hidden="1" customWidth="1"/>
    <col min="22" max="22" width="9.14285714285714" style="163" hidden="1" customWidth="1"/>
    <col min="23" max="23" width="9.14285714285714" style="163" hidden="1" customWidth="1"/>
    <col min="24" max="16384" width="9.14285714285714" style="163" customWidth="1"/>
  </cols>
  <sheetData>
    <row r="1" spans="1:20" ht="51" customHeight="1">
      <c r="A1" s="173"/>
      <c r="B1" s="173" t="s">
        <v>0</v>
      </c>
      <c r="C1" s="173"/>
      <c r="E1" s="174"/>
      <c r="F1" s="174"/>
      <c r="G1" s="174"/>
      <c r="J1" s="174"/>
      <c r="K1" s="175" t="s">
        <v>1</v>
      </c>
      <c r="L1" s="175"/>
      <c r="M1" s="175"/>
      <c r="N1" s="175"/>
      <c r="O1" s="175"/>
      <c r="P1" s="175"/>
      <c r="Q1" s="175"/>
      <c r="R1" s="175"/>
      <c r="S1" s="175"/>
      <c r="T1" s="176"/>
    </row>
    <row r="2" spans="1:20" ht="5.25" customHeight="1">
      <c r="A2" s="177"/>
      <c r="B2" s="177"/>
      <c r="C2" s="177"/>
      <c r="D2" s="177"/>
      <c r="E2" s="177"/>
      <c r="F2" s="177"/>
      <c r="G2" s="177"/>
      <c r="H2" s="178"/>
      <c r="I2" s="178"/>
      <c r="J2" s="178"/>
      <c r="K2" s="178"/>
      <c r="L2" s="178"/>
      <c r="M2" s="178"/>
      <c r="N2" s="178"/>
      <c r="O2" s="178"/>
      <c r="P2" s="178"/>
      <c r="Q2" s="178"/>
      <c r="R2" s="178"/>
      <c r="S2" s="178"/>
      <c r="T2" s="179"/>
    </row>
    <row r="3" spans="1:20" ht="15" customHeight="1">
      <c r="A3" s="180" t="s">
        <v>2</v>
      </c>
      <c r="B3" s="180"/>
      <c r="C3" s="180"/>
      <c r="D3" s="180"/>
      <c r="E3" s="180"/>
      <c r="F3" s="180"/>
      <c r="G3" s="180"/>
      <c r="Q3" s="181"/>
      <c r="R3" s="181"/>
      <c r="S3" s="181"/>
      <c r="T3" s="179"/>
    </row>
    <row r="4" spans="1:20" ht="22.5" customHeight="1">
      <c r="A4" s="182" t="s">
        <v>3</v>
      </c>
      <c r="B4" s="182"/>
      <c r="C4" s="182"/>
      <c r="D4" s="182"/>
      <c r="E4" s="182"/>
      <c r="F4" s="182"/>
      <c r="G4" s="182"/>
      <c r="H4" s="182"/>
      <c r="I4" s="182"/>
      <c r="K4" s="183" t="s">
        <v>4</v>
      </c>
      <c r="L4" s="183"/>
      <c r="M4" s="184" t="s">
        <v>5</v>
      </c>
      <c r="N4" s="184"/>
      <c r="O4" s="184"/>
      <c r="P4" s="184"/>
      <c r="Q4" s="185"/>
      <c r="R4" s="185"/>
      <c r="S4" s="185"/>
      <c r="T4" s="186"/>
    </row>
    <row r="5" spans="1:20" ht="21" customHeight="1">
      <c r="A5" s="187"/>
      <c r="B5" s="187"/>
      <c r="C5" s="187"/>
      <c r="D5" s="187"/>
      <c r="E5" s="187"/>
      <c r="F5" s="187"/>
      <c r="G5" s="187"/>
      <c r="H5" s="187"/>
      <c r="I5" s="187"/>
      <c r="K5" s="188" t="s">
        <v>6</v>
      </c>
      <c r="L5" s="188"/>
      <c r="M5" s="189" t="s">
        <v>7</v>
      </c>
      <c r="N5" s="189"/>
      <c r="O5" s="189"/>
      <c r="P5" s="189"/>
      <c r="Q5" s="185"/>
      <c r="R5" s="185"/>
      <c r="S5" s="185"/>
      <c r="T5" s="186"/>
    </row>
    <row r="6" spans="1:20" s="193" customFormat="1" ht="14.1" customHeight="1">
      <c r="A6" s="187"/>
      <c r="B6" s="187"/>
      <c r="C6" s="187"/>
      <c r="D6" s="187"/>
      <c r="E6" s="187"/>
      <c r="F6" s="187"/>
      <c r="G6" s="187"/>
      <c r="H6" s="187"/>
      <c r="I6" s="187"/>
      <c r="K6" s="190" t="s">
        <v>8</v>
      </c>
      <c r="L6" s="190"/>
      <c r="M6" s="191">
        <v>43710</v>
      </c>
      <c r="N6" s="191"/>
      <c r="O6" s="191"/>
      <c r="P6" s="191"/>
      <c r="Q6" s="185"/>
      <c r="R6" s="185"/>
      <c r="S6" s="185"/>
      <c r="T6" s="186"/>
    </row>
    <row r="7" spans="1:24" s="193" customFormat="1" ht="14.1" customHeight="1">
      <c r="A7" s="187"/>
      <c r="B7" s="187"/>
      <c r="C7" s="187"/>
      <c r="D7" s="187"/>
      <c r="E7" s="187"/>
      <c r="F7" s="187"/>
      <c r="G7" s="187"/>
      <c r="H7" s="187"/>
      <c r="I7" s="187"/>
      <c r="K7" s="190"/>
      <c r="L7" s="190"/>
      <c r="M7" s="192"/>
      <c r="N7" s="192"/>
      <c r="O7" s="192"/>
      <c r="P7" s="192"/>
      <c r="Q7" s="192"/>
      <c r="R7" s="185"/>
      <c r="S7" s="185"/>
      <c r="T7" s="186"/>
      <c r="U7" s="193"/>
      <c r="V7" s="193"/>
      <c r="W7" s="193"/>
      <c r="X7" s="193"/>
    </row>
    <row r="8" spans="1:20" s="193" customFormat="1" ht="13.5" customHeight="1">
      <c r="A8" s="187"/>
      <c r="B8" s="187"/>
      <c r="C8" s="187"/>
      <c r="D8" s="187"/>
      <c r="E8" s="187"/>
      <c r="F8" s="187"/>
      <c r="G8" s="187"/>
      <c r="H8" s="187"/>
      <c r="I8" s="187"/>
      <c r="J8" s="166"/>
      <c r="K8" s="190" t="s">
        <v>9</v>
      </c>
      <c r="L8" s="190"/>
      <c r="M8" s="194">
        <v>43710</v>
      </c>
      <c r="N8" s="194"/>
      <c r="O8" s="195"/>
      <c r="P8" s="185"/>
      <c r="Q8" s="164"/>
      <c r="R8" s="164"/>
      <c r="S8" s="164"/>
      <c r="T8" s="172"/>
    </row>
    <row r="9" spans="1:20" s="193" customFormat="1" ht="15" customHeight="1">
      <c r="A9" s="187"/>
      <c r="B9" s="187"/>
      <c r="C9" s="187"/>
      <c r="D9" s="187"/>
      <c r="E9" s="187"/>
      <c r="F9" s="187"/>
      <c r="G9" s="187"/>
      <c r="H9" s="187"/>
      <c r="I9" s="187"/>
      <c r="J9" s="166"/>
      <c r="K9" s="167" t="s">
        <v>10</v>
      </c>
      <c r="L9" s="168"/>
      <c r="M9" s="192" t="s">
        <v>11</v>
      </c>
      <c r="N9" s="192"/>
      <c r="O9" s="192"/>
      <c r="P9" s="192"/>
      <c r="Q9" s="192"/>
      <c r="R9" s="164"/>
      <c r="S9" s="164"/>
      <c r="T9" s="172"/>
    </row>
    <row r="10" spans="1:20" s="193" customFormat="1" ht="15" customHeight="1">
      <c r="A10" s="187"/>
      <c r="B10" s="187"/>
      <c r="C10" s="187"/>
      <c r="D10" s="187"/>
      <c r="E10" s="187"/>
      <c r="F10" s="187"/>
      <c r="G10" s="187"/>
      <c r="H10" s="187"/>
      <c r="I10" s="187"/>
      <c r="J10" s="166"/>
      <c r="K10" s="167" t="s">
        <v>12</v>
      </c>
      <c r="L10" s="168"/>
      <c r="M10" s="191"/>
      <c r="N10" s="191"/>
      <c r="O10" s="195"/>
      <c r="P10" s="168"/>
      <c r="Q10" s="164"/>
      <c r="R10" s="164"/>
      <c r="S10" s="164"/>
      <c r="T10" s="172"/>
    </row>
    <row r="11" spans="1:20" s="193" customFormat="1" ht="15" customHeight="1">
      <c r="A11" s="165"/>
      <c r="B11" s="165"/>
      <c r="C11" s="165"/>
      <c r="D11" s="165"/>
      <c r="E11" s="165"/>
      <c r="F11" s="165"/>
      <c r="G11" s="165"/>
      <c r="H11" s="165"/>
      <c r="I11" s="165"/>
      <c r="J11" s="166"/>
      <c r="K11" s="167" t="s">
        <v>13</v>
      </c>
      <c r="L11" s="168"/>
      <c r="M11" s="169">
        <v>4</v>
      </c>
      <c r="N11" s="170"/>
      <c r="O11" s="171"/>
      <c r="P11" s="164"/>
      <c r="Q11" s="164"/>
      <c r="R11" s="164"/>
      <c r="S11" s="164"/>
      <c r="T11" s="172"/>
    </row>
    <row r="12" spans="1:20" s="193" customFormat="1" ht="15.75" customHeight="1">
      <c r="A12" s="196" t="s">
        <v>14</v>
      </c>
      <c r="B12" s="196"/>
      <c r="C12" s="196"/>
      <c r="D12" s="197"/>
      <c r="E12" s="198"/>
      <c r="F12" s="198"/>
      <c r="G12" s="198"/>
      <c r="H12" s="197"/>
      <c r="I12" s="197"/>
      <c r="K12" s="190" t="s">
        <v>15</v>
      </c>
      <c r="L12" s="199"/>
      <c r="M12" s="200" t="s">
        <v>144</v>
      </c>
      <c r="N12" s="201"/>
      <c r="O12" s="202"/>
      <c r="P12" s="164"/>
      <c r="Q12" s="164"/>
      <c r="R12" s="164"/>
      <c r="S12" s="164"/>
      <c r="T12" s="172"/>
    </row>
    <row r="13" spans="1:20" s="193" customFormat="1" ht="12.75" customHeight="1">
      <c r="A13" s="190" t="s">
        <v>16</v>
      </c>
      <c r="B13" s="190"/>
      <c r="C13" s="190"/>
      <c r="D13" s="192" t="s">
        <v>17</v>
      </c>
      <c r="E13" s="192"/>
      <c r="F13" s="192"/>
      <c r="G13" s="192"/>
      <c r="H13" s="192"/>
      <c r="I13" s="203"/>
      <c r="K13" s="204"/>
      <c r="L13" s="204"/>
      <c r="M13" s="205"/>
      <c r="N13" s="205"/>
      <c r="O13" s="205"/>
      <c r="P13" s="205"/>
      <c r="Q13" s="205"/>
      <c r="R13" s="164"/>
      <c r="S13" s="164"/>
      <c r="T13" s="172"/>
    </row>
    <row r="14" spans="1:20" s="193" customFormat="1" ht="12.75" customHeight="1">
      <c r="A14" s="190" t="s">
        <v>18</v>
      </c>
      <c r="B14" s="190"/>
      <c r="C14" s="190"/>
      <c r="D14" s="192" t="s">
        <v>19</v>
      </c>
      <c r="E14" s="192"/>
      <c r="F14" s="192"/>
      <c r="G14" s="192"/>
      <c r="H14" s="192"/>
      <c r="I14" s="203"/>
      <c r="K14" s="190" t="s">
        <v>20</v>
      </c>
      <c r="L14" s="206"/>
      <c r="M14" s="207" t="s">
        <v>137</v>
      </c>
      <c r="N14" s="168"/>
      <c r="O14" s="168"/>
      <c r="P14" s="208"/>
      <c r="Q14" s="186"/>
      <c r="R14" s="164"/>
      <c r="S14" s="164"/>
      <c r="T14" s="172"/>
    </row>
    <row r="15" spans="1:20" s="193" customFormat="1" ht="12.75" customHeight="1">
      <c r="A15" s="190" t="s">
        <v>21</v>
      </c>
      <c r="B15" s="190"/>
      <c r="C15" s="190"/>
      <c r="D15" s="192"/>
      <c r="E15" s="192"/>
      <c r="F15" s="192"/>
      <c r="G15" s="192"/>
      <c r="H15" s="192"/>
      <c r="I15" s="203"/>
      <c r="K15" s="190" t="s">
        <v>22</v>
      </c>
      <c r="L15" s="206"/>
      <c r="M15" s="209">
        <v>0</v>
      </c>
      <c r="N15" s="210"/>
      <c r="O15" s="211"/>
      <c r="P15" s="208" t="s">
        <v>23</v>
      </c>
      <c r="Q15" s="186"/>
      <c r="R15" s="164"/>
      <c r="S15" s="164"/>
      <c r="T15" s="172"/>
    </row>
    <row r="16" spans="1:20" s="193" customFormat="1" ht="12.75" customHeight="1">
      <c r="A16" s="190" t="s">
        <v>24</v>
      </c>
      <c r="B16" s="190"/>
      <c r="C16" s="190"/>
      <c r="D16" s="192"/>
      <c r="E16" s="192"/>
      <c r="F16" s="192"/>
      <c r="G16" s="192"/>
      <c r="H16" s="192"/>
      <c r="I16" s="203"/>
      <c r="K16" s="190" t="s">
        <v>25</v>
      </c>
      <c r="L16" s="206"/>
      <c r="M16" s="209">
        <v>0</v>
      </c>
      <c r="N16" s="210"/>
      <c r="O16" s="211"/>
      <c r="P16" s="168"/>
      <c r="Q16" s="185"/>
      <c r="R16" s="164"/>
      <c r="S16" s="164"/>
      <c r="T16" s="172"/>
    </row>
    <row r="17" spans="1:20" s="193" customFormat="1" ht="12.75" customHeight="1">
      <c r="A17" s="190" t="s">
        <v>26</v>
      </c>
      <c r="B17" s="190"/>
      <c r="C17" s="190"/>
      <c r="D17" s="192" t="s">
        <v>27</v>
      </c>
      <c r="E17" s="192"/>
      <c r="F17" s="192"/>
      <c r="G17" s="192"/>
      <c r="H17" s="192"/>
      <c r="I17" s="203"/>
      <c r="K17" s="181"/>
      <c r="L17" s="181"/>
      <c r="M17" s="181"/>
      <c r="N17" s="181"/>
      <c r="O17" s="181"/>
      <c r="P17" s="181"/>
      <c r="Q17" s="181"/>
      <c r="R17" s="181"/>
      <c r="S17" s="181"/>
      <c r="T17" s="212"/>
    </row>
    <row r="18" spans="1:20" s="193" customFormat="1" ht="30.75" customHeight="1">
      <c r="A18" s="213"/>
      <c r="B18" s="213"/>
      <c r="C18" s="213"/>
      <c r="D18" s="214"/>
      <c r="E18" s="215"/>
      <c r="F18" s="215"/>
      <c r="G18" s="215"/>
      <c r="H18" s="216"/>
      <c r="I18" s="216"/>
      <c r="J18" s="216"/>
      <c r="K18" s="214"/>
      <c r="L18" s="217"/>
      <c r="M18" s="213"/>
      <c r="N18" s="214"/>
      <c r="O18" s="214"/>
      <c r="P18" s="218"/>
      <c r="Q18" s="214"/>
      <c r="R18" s="218"/>
      <c r="S18" s="218"/>
      <c r="T18" s="212"/>
    </row>
    <row r="19" spans="1:20" s="299" customFormat="1" ht="27" customHeight="1">
      <c r="A19" s="219" t="s">
        <v>28</v>
      </c>
      <c r="B19" s="219"/>
      <c r="C19" s="219" t="s">
        <v>29</v>
      </c>
      <c r="D19" s="220" t="s">
        <v>30</v>
      </c>
      <c r="E19" s="221"/>
      <c r="F19" s="221" t="s">
        <v>31</v>
      </c>
      <c r="G19" s="221" t="s">
        <v>32</v>
      </c>
      <c r="H19" s="222" t="s">
        <v>33</v>
      </c>
      <c r="I19" s="222" t="s">
        <v>34</v>
      </c>
      <c r="J19" s="223">
        <f>CONCATENATE("Unit Price ","( ",Currency," )")</f>
      </c>
      <c r="K19" s="224"/>
      <c r="L19" s="222" t="s">
        <v>35</v>
      </c>
      <c r="M19" s="222" t="s">
        <v>36</v>
      </c>
      <c r="N19" s="222" t="s">
        <v>37</v>
      </c>
      <c r="O19" s="222" t="s">
        <v>13</v>
      </c>
      <c r="P19" s="223" t="s">
        <v>38</v>
      </c>
      <c r="Q19" s="224"/>
      <c r="R19" s="223" t="s">
        <v>39</v>
      </c>
      <c r="S19" s="224"/>
      <c r="T19" s="225"/>
    </row>
    <row r="20" spans="1:20" ht="24" customHeight="1">
      <c r="A20" s="226">
        <v>1</v>
      </c>
      <c r="B20" s="226">
        <v>99990011115651</v>
      </c>
      <c r="C20" s="227">
        <v>2431264</v>
      </c>
      <c r="D20" s="228" t="s">
        <v>40</v>
      </c>
      <c r="E20" s="229"/>
      <c r="F20" s="229">
        <v>2431264</v>
      </c>
      <c r="G20" s="229" t="s">
        <v>41</v>
      </c>
      <c r="H20" s="230">
        <v>0</v>
      </c>
      <c r="I20" s="231">
        <v>200</v>
      </c>
      <c r="J20" s="232">
        <v>0.14</v>
      </c>
      <c r="K20" s="233"/>
      <c r="L20" s="231" t="s">
        <v>23</v>
      </c>
      <c r="M20" s="231">
        <v>0</v>
      </c>
      <c r="N20" s="234">
        <f>ROUND(((I20*J20)-((I20*J20)*L20/100))+(((I20*J20)-((I20*J20)*L20/100))*M20/100),2)</f>
      </c>
      <c r="O20" s="230">
        <f>M11</f>
      </c>
      <c r="P20" s="235" t="s">
        <v>145</v>
      </c>
      <c r="Q20" s="236"/>
      <c r="R20" s="237"/>
      <c r="S20" s="238"/>
      <c r="T20" s="239"/>
    </row>
    <row r="21" spans="1:20" ht="15" customHeight="1">
      <c r="A21" s="32"/>
      <c r="B21" s="240"/>
      <c r="C21" s="241"/>
      <c r="D21" s="241"/>
      <c r="E21" s="241"/>
      <c r="F21" s="241"/>
      <c r="G21" s="241"/>
      <c r="H21" s="242"/>
      <c r="I21" s="242"/>
      <c r="J21" s="242"/>
      <c r="K21" s="242"/>
      <c r="L21" s="242"/>
      <c r="M21" s="242"/>
      <c r="N21" s="242"/>
      <c r="O21" s="242"/>
      <c r="P21" s="242"/>
      <c r="Q21" s="242"/>
      <c r="R21" s="242"/>
      <c r="S21" s="242"/>
      <c r="T21" s="243"/>
    </row>
    <row r="22" spans="1:20" ht="12.75" customHeight="1">
      <c r="A22" s="244" t="s">
        <v>28</v>
      </c>
      <c r="B22" s="244"/>
      <c r="C22" s="245" t="s">
        <v>42</v>
      </c>
      <c r="D22" s="246"/>
      <c r="E22" s="246"/>
      <c r="F22" s="246"/>
      <c r="G22" s="246"/>
      <c r="H22" s="246"/>
      <c r="I22" s="247"/>
      <c r="J22" s="247" t="s">
        <v>43</v>
      </c>
      <c r="K22" s="247"/>
      <c r="L22" s="247" t="s">
        <v>35</v>
      </c>
      <c r="M22" s="247" t="s">
        <v>36</v>
      </c>
      <c r="N22" s="248" t="s">
        <v>44</v>
      </c>
      <c r="O22" s="249" t="s">
        <v>38</v>
      </c>
      <c r="P22" s="249"/>
      <c r="Q22" s="249"/>
      <c r="R22" s="249"/>
      <c r="S22" s="249"/>
      <c r="T22" s="225"/>
    </row>
    <row r="23" spans="1:20" ht="15" customHeight="1">
      <c r="A23" s="250">
        <v>1</v>
      </c>
      <c r="B23" s="251"/>
      <c r="C23" s="252" t="s">
        <v>45</v>
      </c>
      <c r="D23" s="253" t="s">
        <v>45</v>
      </c>
      <c r="E23" s="253" t="s">
        <v>45</v>
      </c>
      <c r="F23" s="253" t="s">
        <v>45</v>
      </c>
      <c r="G23" s="253" t="s">
        <v>45</v>
      </c>
      <c r="H23" s="254" t="s">
        <v>45</v>
      </c>
      <c r="I23" s="255"/>
      <c r="J23" s="256">
        <v>0</v>
      </c>
      <c r="K23" s="257"/>
      <c r="L23" s="258">
        <v>0</v>
      </c>
      <c r="M23" s="258">
        <v>0</v>
      </c>
      <c r="N23" s="259">
        <f>(J23-(J23*L23/100)+((J23-(J23*L23/100))*M23/100))</f>
      </c>
      <c r="O23" s="260"/>
      <c r="P23" s="261"/>
      <c r="Q23" s="261"/>
      <c r="R23" s="261"/>
      <c r="S23" s="262"/>
      <c r="T23" s="263"/>
    </row>
    <row r="24" spans="1:20" ht="15" customHeight="1">
      <c r="A24" s="250">
        <v>2</v>
      </c>
      <c r="B24" s="251"/>
      <c r="C24" s="252" t="s">
        <v>46</v>
      </c>
      <c r="D24" s="253" t="s">
        <v>46</v>
      </c>
      <c r="E24" s="253" t="s">
        <v>46</v>
      </c>
      <c r="F24" s="253" t="s">
        <v>46</v>
      </c>
      <c r="G24" s="253" t="s">
        <v>46</v>
      </c>
      <c r="H24" s="254" t="s">
        <v>46</v>
      </c>
      <c r="I24" s="264"/>
      <c r="J24" s="256">
        <v>0</v>
      </c>
      <c r="K24" s="257"/>
      <c r="L24" s="258">
        <v>0</v>
      </c>
      <c r="M24" s="258">
        <v>0</v>
      </c>
      <c r="N24" s="265">
        <f>(J24-(J24*L24/100)+((J24-(J24*L24/100))*M24/100))</f>
      </c>
      <c r="O24" s="266"/>
      <c r="P24" s="267"/>
      <c r="Q24" s="267"/>
      <c r="R24" s="267"/>
      <c r="S24" s="268"/>
      <c r="T24" s="263"/>
    </row>
    <row r="25" spans="1:20" ht="15" customHeight="1">
      <c r="A25" s="250">
        <v>3</v>
      </c>
      <c r="B25" s="251"/>
      <c r="C25" s="252"/>
      <c r="D25" s="253"/>
      <c r="E25" s="253"/>
      <c r="F25" s="253"/>
      <c r="G25" s="253"/>
      <c r="H25" s="254"/>
      <c r="I25" s="255"/>
      <c r="J25" s="256">
        <v>0</v>
      </c>
      <c r="K25" s="257"/>
      <c r="L25" s="258">
        <v>0</v>
      </c>
      <c r="M25" s="258">
        <v>0</v>
      </c>
      <c r="N25" s="265">
        <f>(J25-(J25*L25/100)+((J25-(J25*L25/100))*M25/100))</f>
      </c>
      <c r="O25" s="266"/>
      <c r="P25" s="267"/>
      <c r="Q25" s="267"/>
      <c r="R25" s="267"/>
      <c r="S25" s="268"/>
      <c r="T25" s="263"/>
    </row>
    <row r="26" spans="1:20" ht="15.75" customHeight="1">
      <c r="A26" s="250">
        <v>4</v>
      </c>
      <c r="B26" s="251"/>
      <c r="C26" s="252"/>
      <c r="D26" s="253"/>
      <c r="E26" s="253"/>
      <c r="F26" s="253"/>
      <c r="G26" s="253"/>
      <c r="H26" s="254"/>
      <c r="I26" s="255"/>
      <c r="J26" s="256">
        <v>0</v>
      </c>
      <c r="K26" s="257"/>
      <c r="L26" s="258">
        <v>0</v>
      </c>
      <c r="M26" s="269">
        <v>0</v>
      </c>
      <c r="N26" s="265">
        <f>(J26-(J26*L26/100)+((J26-(J26*L26/100))*M26/100))</f>
      </c>
      <c r="O26" s="266"/>
      <c r="P26" s="267"/>
      <c r="Q26" s="267"/>
      <c r="R26" s="267"/>
      <c r="S26" s="268"/>
      <c r="T26" s="263"/>
    </row>
    <row r="27" spans="1:16" ht="15.95" customHeight="1">
      <c r="A27" s="270"/>
      <c r="B27" s="270"/>
      <c r="C27" s="271"/>
      <c r="D27" s="271"/>
      <c r="I27" s="163"/>
      <c r="J27" s="58" t="s">
        <v>47</v>
      </c>
      <c r="K27" s="59"/>
      <c r="L27" s="58"/>
      <c r="M27" s="59"/>
      <c r="N27" s="272">
        <f>SUM(ItmPrice)</f>
      </c>
      <c r="O27" s="273"/>
      <c r="P27" s="274"/>
    </row>
    <row r="28" spans="1:16" ht="15" customHeight="1">
      <c r="A28" s="270"/>
      <c r="B28" s="270"/>
      <c r="C28" s="271"/>
      <c r="D28" s="271"/>
      <c r="I28" s="163"/>
      <c r="J28" s="123" t="s">
        <v>48</v>
      </c>
      <c r="K28" s="124"/>
      <c r="L28" s="124"/>
      <c r="M28" s="125"/>
      <c r="N28" s="272">
        <f>SUM(N23:N27)</f>
      </c>
      <c r="O28" s="275"/>
      <c r="P28" s="276"/>
    </row>
    <row r="29" spans="1:19" ht="2.25" customHeight="1" hidden="1">
      <c r="A29" s="277">
        <v>0</v>
      </c>
      <c r="B29" s="277">
        <v>0</v>
      </c>
      <c r="C29" s="278">
        <v>0</v>
      </c>
      <c r="D29" s="271"/>
      <c r="E29" s="271"/>
      <c r="F29" s="279">
        <v>1</v>
      </c>
      <c r="G29" s="271"/>
      <c r="H29" s="271"/>
      <c r="I29" s="271"/>
      <c r="J29" s="271"/>
      <c r="K29" s="280"/>
      <c r="L29" s="281">
        <v>0</v>
      </c>
      <c r="M29" s="282">
        <v>0</v>
      </c>
      <c r="N29" s="162" t="s">
        <v>49</v>
      </c>
      <c r="O29" s="283"/>
      <c r="P29" s="282">
        <v>995</v>
      </c>
      <c r="Q29" s="271" t="s">
        <v>50</v>
      </c>
      <c r="R29" s="271"/>
      <c r="S29" s="271"/>
    </row>
    <row r="30" spans="1:19" ht="18.75" customHeight="1">
      <c r="A30" s="270"/>
      <c r="B30" s="270"/>
      <c r="C30" s="270"/>
      <c r="H30" s="283"/>
      <c r="I30" s="163"/>
      <c r="J30" s="271"/>
      <c r="K30" s="271"/>
      <c r="L30" s="271"/>
      <c r="M30" s="271"/>
      <c r="N30" s="271"/>
      <c r="O30" s="271"/>
      <c r="P30" s="271"/>
      <c r="R30" s="271"/>
      <c r="S30" s="271"/>
    </row>
    <row r="31" spans="1:20" ht="127.5" customHeight="1">
      <c r="A31" s="284" t="s">
        <v>51</v>
      </c>
      <c r="B31" s="284"/>
      <c r="C31" s="284"/>
      <c r="D31" s="285"/>
      <c r="E31" s="286"/>
      <c r="F31" s="287"/>
      <c r="G31" s="287"/>
      <c r="H31" s="287"/>
      <c r="I31" s="287"/>
      <c r="J31" s="287"/>
      <c r="K31" s="287"/>
      <c r="L31" s="287"/>
      <c r="M31" s="287"/>
      <c r="N31" s="287"/>
      <c r="O31" s="287"/>
      <c r="P31" s="287"/>
      <c r="Q31" s="287"/>
      <c r="R31" s="287"/>
      <c r="S31" s="287"/>
      <c r="T31" s="288"/>
    </row>
    <row r="32" spans="1:20" ht="129.75" customHeight="1">
      <c r="A32" s="284" t="s">
        <v>38</v>
      </c>
      <c r="B32" s="284"/>
      <c r="C32" s="284"/>
      <c r="D32" s="285"/>
      <c r="E32" s="289" t="s">
        <v>146</v>
      </c>
      <c r="F32" s="290"/>
      <c r="G32" s="290"/>
      <c r="H32" s="290"/>
      <c r="I32" s="290"/>
      <c r="J32" s="290"/>
      <c r="K32" s="290"/>
      <c r="L32" s="290"/>
      <c r="M32" s="290"/>
      <c r="N32" s="290"/>
      <c r="O32" s="290"/>
      <c r="P32" s="290"/>
      <c r="Q32" s="290"/>
      <c r="R32" s="290"/>
      <c r="S32" s="290"/>
      <c r="T32" s="291"/>
    </row>
    <row r="33" spans="1:19" ht="15.95" customHeight="1">
      <c r="A33" s="270"/>
      <c r="B33" s="270"/>
      <c r="C33" s="270"/>
      <c r="H33" s="271"/>
      <c r="I33" s="271"/>
      <c r="J33" s="271"/>
      <c r="K33" s="271"/>
      <c r="L33" s="271"/>
      <c r="M33" s="271"/>
      <c r="N33" s="271"/>
      <c r="O33" s="271"/>
      <c r="P33" s="271"/>
      <c r="Q33" s="271"/>
      <c r="R33" s="271"/>
      <c r="S33" s="271"/>
    </row>
    <row r="34" spans="1:20" ht="15.95" customHeight="1">
      <c r="A34" s="292" t="s">
        <v>52</v>
      </c>
      <c r="B34" s="292"/>
      <c r="C34" s="292"/>
      <c r="D34" s="292"/>
      <c r="E34" s="292"/>
      <c r="F34" s="292"/>
      <c r="G34" s="292"/>
      <c r="H34" s="292"/>
      <c r="I34" s="292"/>
      <c r="J34" s="292"/>
      <c r="K34" s="292"/>
      <c r="L34" s="292"/>
      <c r="M34" s="292"/>
      <c r="N34" s="292"/>
      <c r="O34" s="292"/>
      <c r="P34" s="292"/>
      <c r="Q34" s="292"/>
      <c r="R34" s="292"/>
      <c r="S34" s="292"/>
      <c r="T34" s="293"/>
    </row>
    <row r="35" spans="1:20" ht="12.75" customHeight="1">
      <c r="A35" s="294"/>
      <c r="B35" s="294"/>
      <c r="C35" s="294"/>
      <c r="D35" s="294"/>
      <c r="E35" s="294"/>
      <c r="F35" s="294"/>
      <c r="G35" s="294"/>
      <c r="H35" s="294"/>
      <c r="I35" s="294"/>
      <c r="J35" s="294"/>
      <c r="K35" s="294"/>
      <c r="L35" s="294"/>
      <c r="M35" s="294"/>
      <c r="N35" s="294"/>
      <c r="O35" s="294"/>
      <c r="P35" s="294"/>
      <c r="Q35" s="294"/>
      <c r="R35" s="294"/>
      <c r="S35" s="294"/>
      <c r="T35" s="295"/>
    </row>
    <row r="36" spans="1:20" ht="12.75" customHeight="1">
      <c r="A36" s="294"/>
      <c r="B36" s="294"/>
      <c r="C36" s="294"/>
      <c r="D36" s="294"/>
      <c r="E36" s="294"/>
      <c r="F36" s="294"/>
      <c r="G36" s="294"/>
      <c r="H36" s="294"/>
      <c r="I36" s="294"/>
      <c r="J36" s="294"/>
      <c r="K36" s="294"/>
      <c r="L36" s="294"/>
      <c r="M36" s="294"/>
      <c r="N36" s="294"/>
      <c r="O36" s="294"/>
      <c r="P36" s="294"/>
      <c r="Q36" s="294"/>
      <c r="R36" s="294"/>
      <c r="S36" s="294"/>
      <c r="T36" s="295"/>
    </row>
    <row r="37" spans="1:20" ht="7.5" customHeight="1">
      <c r="A37" s="294"/>
      <c r="B37" s="294"/>
      <c r="C37" s="294"/>
      <c r="D37" s="294"/>
      <c r="E37" s="294"/>
      <c r="F37" s="294"/>
      <c r="G37" s="294"/>
      <c r="H37" s="294"/>
      <c r="I37" s="294"/>
      <c r="J37" s="294"/>
      <c r="K37" s="294"/>
      <c r="L37" s="294"/>
      <c r="M37" s="294"/>
      <c r="N37" s="294"/>
      <c r="O37" s="294"/>
      <c r="P37" s="294"/>
      <c r="Q37" s="294"/>
      <c r="R37" s="294"/>
      <c r="S37" s="294"/>
      <c r="T37" s="295"/>
    </row>
    <row r="38" spans="1:20" ht="12.75" customHeight="1">
      <c r="A38" s="294"/>
      <c r="B38" s="294"/>
      <c r="C38" s="294"/>
      <c r="D38" s="294"/>
      <c r="E38" s="294"/>
      <c r="F38" s="294"/>
      <c r="G38" s="294"/>
      <c r="H38" s="294"/>
      <c r="I38" s="294"/>
      <c r="J38" s="294"/>
      <c r="K38" s="294"/>
      <c r="L38" s="294"/>
      <c r="M38" s="294"/>
      <c r="N38" s="294"/>
      <c r="O38" s="294"/>
      <c r="P38" s="294"/>
      <c r="Q38" s="294"/>
      <c r="R38" s="294"/>
      <c r="S38" s="294"/>
      <c r="T38" s="295"/>
    </row>
    <row r="39" spans="1:20" ht="12.75" customHeight="1">
      <c r="A39" s="294"/>
      <c r="B39" s="294"/>
      <c r="C39" s="294"/>
      <c r="D39" s="294"/>
      <c r="E39" s="294"/>
      <c r="F39" s="294"/>
      <c r="G39" s="294"/>
      <c r="H39" s="294"/>
      <c r="I39" s="294"/>
      <c r="J39" s="294"/>
      <c r="K39" s="294"/>
      <c r="L39" s="294"/>
      <c r="M39" s="294"/>
      <c r="N39" s="294"/>
      <c r="O39" s="294"/>
      <c r="P39" s="294"/>
      <c r="Q39" s="294"/>
      <c r="R39" s="294"/>
      <c r="S39" s="294"/>
      <c r="T39" s="295"/>
    </row>
    <row r="40" spans="1:20" ht="12.75" customHeight="1">
      <c r="A40" s="294"/>
      <c r="B40" s="294"/>
      <c r="C40" s="294"/>
      <c r="D40" s="294"/>
      <c r="E40" s="294"/>
      <c r="F40" s="294"/>
      <c r="G40" s="294"/>
      <c r="H40" s="294"/>
      <c r="I40" s="294"/>
      <c r="J40" s="294"/>
      <c r="K40" s="294"/>
      <c r="L40" s="294"/>
      <c r="M40" s="294"/>
      <c r="N40" s="294"/>
      <c r="O40" s="294"/>
      <c r="P40" s="294"/>
      <c r="Q40" s="294"/>
      <c r="R40" s="294"/>
      <c r="S40" s="294"/>
      <c r="T40" s="295"/>
    </row>
    <row r="41" spans="1:20" ht="7.5" customHeight="1">
      <c r="A41" s="294"/>
      <c r="B41" s="294"/>
      <c r="C41" s="294"/>
      <c r="D41" s="294"/>
      <c r="E41" s="294"/>
      <c r="F41" s="294"/>
      <c r="G41" s="294"/>
      <c r="H41" s="294"/>
      <c r="I41" s="294"/>
      <c r="J41" s="294"/>
      <c r="K41" s="294"/>
      <c r="L41" s="294"/>
      <c r="M41" s="294"/>
      <c r="N41" s="294"/>
      <c r="O41" s="294"/>
      <c r="P41" s="294"/>
      <c r="Q41" s="294"/>
      <c r="R41" s="294"/>
      <c r="S41" s="294"/>
      <c r="T41" s="295"/>
    </row>
    <row r="42" spans="1:20" ht="12.75" customHeight="1">
      <c r="A42" s="294"/>
      <c r="B42" s="294"/>
      <c r="C42" s="294"/>
      <c r="D42" s="294"/>
      <c r="E42" s="294"/>
      <c r="F42" s="294"/>
      <c r="G42" s="294"/>
      <c r="H42" s="294"/>
      <c r="I42" s="294"/>
      <c r="J42" s="294"/>
      <c r="K42" s="294"/>
      <c r="L42" s="294"/>
      <c r="M42" s="294"/>
      <c r="N42" s="294"/>
      <c r="O42" s="294"/>
      <c r="P42" s="294"/>
      <c r="Q42" s="294"/>
      <c r="R42" s="294"/>
      <c r="S42" s="294"/>
      <c r="T42" s="295"/>
    </row>
    <row r="43" spans="1:20" ht="12.75" customHeight="1">
      <c r="A43" s="294"/>
      <c r="B43" s="294"/>
      <c r="C43" s="294"/>
      <c r="D43" s="294"/>
      <c r="E43" s="294"/>
      <c r="F43" s="294"/>
      <c r="G43" s="294"/>
      <c r="H43" s="294"/>
      <c r="I43" s="294"/>
      <c r="J43" s="294"/>
      <c r="K43" s="294"/>
      <c r="L43" s="294"/>
      <c r="M43" s="294"/>
      <c r="N43" s="294"/>
      <c r="O43" s="294"/>
      <c r="P43" s="294"/>
      <c r="Q43" s="294"/>
      <c r="R43" s="294"/>
      <c r="S43" s="294"/>
      <c r="T43" s="295"/>
    </row>
    <row r="44" spans="1:20" ht="12.75" customHeight="1">
      <c r="A44" s="294"/>
      <c r="B44" s="294"/>
      <c r="C44" s="294"/>
      <c r="D44" s="294"/>
      <c r="E44" s="294"/>
      <c r="F44" s="294"/>
      <c r="G44" s="294"/>
      <c r="H44" s="294"/>
      <c r="I44" s="294"/>
      <c r="J44" s="294"/>
      <c r="K44" s="294"/>
      <c r="L44" s="294"/>
      <c r="M44" s="294"/>
      <c r="N44" s="294"/>
      <c r="O44" s="294"/>
      <c r="P44" s="294"/>
      <c r="Q44" s="294"/>
      <c r="R44" s="294"/>
      <c r="S44" s="294"/>
      <c r="T44" s="295"/>
    </row>
    <row r="45" spans="1:20" ht="12.75" customHeight="1">
      <c r="A45" s="294"/>
      <c r="B45" s="294"/>
      <c r="C45" s="294"/>
      <c r="D45" s="294"/>
      <c r="E45" s="294"/>
      <c r="F45" s="294"/>
      <c r="G45" s="294"/>
      <c r="H45" s="294"/>
      <c r="I45" s="294"/>
      <c r="J45" s="294"/>
      <c r="K45" s="294"/>
      <c r="L45" s="294"/>
      <c r="M45" s="294"/>
      <c r="N45" s="294"/>
      <c r="O45" s="294"/>
      <c r="P45" s="294"/>
      <c r="Q45" s="294"/>
      <c r="R45" s="294"/>
      <c r="S45" s="294"/>
      <c r="T45" s="295"/>
    </row>
    <row r="46" spans="1:20" ht="12.75" customHeight="1">
      <c r="A46" s="294"/>
      <c r="B46" s="294"/>
      <c r="C46" s="294"/>
      <c r="D46" s="294"/>
      <c r="E46" s="294"/>
      <c r="F46" s="294"/>
      <c r="G46" s="294"/>
      <c r="H46" s="294"/>
      <c r="I46" s="294"/>
      <c r="J46" s="294"/>
      <c r="K46" s="294"/>
      <c r="L46" s="294"/>
      <c r="M46" s="294"/>
      <c r="N46" s="294"/>
      <c r="O46" s="294"/>
      <c r="P46" s="294"/>
      <c r="Q46" s="294"/>
      <c r="R46" s="294"/>
      <c r="S46" s="294"/>
      <c r="T46" s="295"/>
    </row>
    <row r="47" spans="1:20" ht="12.75" customHeight="1">
      <c r="A47" s="294"/>
      <c r="B47" s="294"/>
      <c r="C47" s="294"/>
      <c r="D47" s="294"/>
      <c r="E47" s="294"/>
      <c r="F47" s="294"/>
      <c r="G47" s="294"/>
      <c r="H47" s="294"/>
      <c r="I47" s="294"/>
      <c r="J47" s="294"/>
      <c r="K47" s="294"/>
      <c r="L47" s="294"/>
      <c r="M47" s="294"/>
      <c r="N47" s="294"/>
      <c r="O47" s="294"/>
      <c r="P47" s="294"/>
      <c r="Q47" s="294"/>
      <c r="R47" s="294"/>
      <c r="S47" s="294"/>
      <c r="T47" s="295"/>
    </row>
    <row r="48" spans="1:20" ht="7.5" customHeight="1">
      <c r="A48" s="294"/>
      <c r="B48" s="294"/>
      <c r="C48" s="294"/>
      <c r="D48" s="294"/>
      <c r="E48" s="294"/>
      <c r="F48" s="294"/>
      <c r="G48" s="294"/>
      <c r="H48" s="294"/>
      <c r="I48" s="294"/>
      <c r="J48" s="294"/>
      <c r="K48" s="294"/>
      <c r="L48" s="294"/>
      <c r="M48" s="294"/>
      <c r="N48" s="294"/>
      <c r="O48" s="294"/>
      <c r="P48" s="294"/>
      <c r="Q48" s="294"/>
      <c r="R48" s="294"/>
      <c r="S48" s="294"/>
      <c r="T48" s="295"/>
    </row>
    <row r="49" spans="1:20" ht="12.75" customHeight="1">
      <c r="A49" s="294"/>
      <c r="B49" s="294"/>
      <c r="C49" s="294"/>
      <c r="D49" s="294"/>
      <c r="E49" s="294"/>
      <c r="F49" s="294"/>
      <c r="G49" s="294"/>
      <c r="H49" s="294"/>
      <c r="I49" s="294"/>
      <c r="J49" s="294"/>
      <c r="K49" s="294"/>
      <c r="L49" s="294"/>
      <c r="M49" s="294"/>
      <c r="N49" s="294"/>
      <c r="O49" s="294"/>
      <c r="P49" s="294"/>
      <c r="Q49" s="294"/>
      <c r="R49" s="294"/>
      <c r="S49" s="294"/>
      <c r="T49" s="295"/>
    </row>
    <row r="50" spans="1:20" ht="12.75" customHeight="1">
      <c r="A50" s="294"/>
      <c r="B50" s="294"/>
      <c r="C50" s="294"/>
      <c r="D50" s="294"/>
      <c r="E50" s="294"/>
      <c r="F50" s="294"/>
      <c r="G50" s="294"/>
      <c r="H50" s="294"/>
      <c r="I50" s="294"/>
      <c r="J50" s="294"/>
      <c r="K50" s="294"/>
      <c r="L50" s="294"/>
      <c r="M50" s="294"/>
      <c r="N50" s="294"/>
      <c r="O50" s="294"/>
      <c r="P50" s="294"/>
      <c r="Q50" s="294"/>
      <c r="R50" s="294"/>
      <c r="S50" s="294"/>
      <c r="T50" s="295"/>
    </row>
    <row r="51" spans="1:20" ht="12.75" customHeight="1">
      <c r="A51" s="294"/>
      <c r="B51" s="294"/>
      <c r="C51" s="294"/>
      <c r="D51" s="294"/>
      <c r="E51" s="294"/>
      <c r="F51" s="294"/>
      <c r="G51" s="294"/>
      <c r="H51" s="294"/>
      <c r="I51" s="294"/>
      <c r="J51" s="294"/>
      <c r="K51" s="294"/>
      <c r="L51" s="294"/>
      <c r="M51" s="294"/>
      <c r="N51" s="294"/>
      <c r="O51" s="294"/>
      <c r="P51" s="294"/>
      <c r="Q51" s="294"/>
      <c r="R51" s="294"/>
      <c r="S51" s="294"/>
      <c r="T51" s="295"/>
    </row>
    <row r="52" spans="1:20" ht="12.75" customHeight="1">
      <c r="A52" s="294"/>
      <c r="B52" s="294"/>
      <c r="C52" s="294"/>
      <c r="D52" s="294"/>
      <c r="E52" s="294"/>
      <c r="F52" s="294"/>
      <c r="G52" s="294"/>
      <c r="H52" s="294"/>
      <c r="I52" s="294"/>
      <c r="J52" s="294"/>
      <c r="K52" s="294"/>
      <c r="L52" s="294"/>
      <c r="M52" s="294"/>
      <c r="N52" s="294"/>
      <c r="O52" s="294"/>
      <c r="P52" s="294"/>
      <c r="Q52" s="294"/>
      <c r="R52" s="294"/>
      <c r="S52" s="294"/>
      <c r="T52" s="295"/>
    </row>
    <row r="53" spans="1:20" ht="12.75" customHeight="1">
      <c r="A53" s="294"/>
      <c r="B53" s="294"/>
      <c r="C53" s="294"/>
      <c r="D53" s="294"/>
      <c r="E53" s="294"/>
      <c r="F53" s="294"/>
      <c r="G53" s="294"/>
      <c r="H53" s="294"/>
      <c r="I53" s="294"/>
      <c r="J53" s="294"/>
      <c r="K53" s="294"/>
      <c r="L53" s="294"/>
      <c r="M53" s="294"/>
      <c r="N53" s="294"/>
      <c r="O53" s="294"/>
      <c r="P53" s="294"/>
      <c r="Q53" s="294"/>
      <c r="R53" s="294"/>
      <c r="S53" s="294"/>
      <c r="T53" s="295"/>
    </row>
    <row r="54" spans="1:20" ht="7.5" customHeight="1">
      <c r="A54" s="294"/>
      <c r="B54" s="294"/>
      <c r="C54" s="294"/>
      <c r="D54" s="294"/>
      <c r="E54" s="294"/>
      <c r="F54" s="294"/>
      <c r="G54" s="294"/>
      <c r="H54" s="294"/>
      <c r="I54" s="294"/>
      <c r="J54" s="294"/>
      <c r="K54" s="294"/>
      <c r="L54" s="294"/>
      <c r="M54" s="294"/>
      <c r="N54" s="294"/>
      <c r="O54" s="294"/>
      <c r="P54" s="294"/>
      <c r="Q54" s="294"/>
      <c r="R54" s="294"/>
      <c r="S54" s="294"/>
      <c r="T54" s="295"/>
    </row>
    <row r="55" spans="1:20" ht="12.75" customHeight="1">
      <c r="A55" s="294"/>
      <c r="B55" s="294"/>
      <c r="C55" s="294"/>
      <c r="D55" s="294"/>
      <c r="E55" s="294"/>
      <c r="F55" s="294"/>
      <c r="G55" s="294"/>
      <c r="H55" s="294"/>
      <c r="I55" s="294"/>
      <c r="J55" s="294"/>
      <c r="K55" s="294"/>
      <c r="L55" s="294"/>
      <c r="M55" s="294"/>
      <c r="N55" s="294"/>
      <c r="O55" s="294"/>
      <c r="P55" s="294"/>
      <c r="Q55" s="294"/>
      <c r="R55" s="294"/>
      <c r="S55" s="294"/>
      <c r="T55" s="295"/>
    </row>
    <row r="56" spans="1:20" ht="12.75" customHeight="1">
      <c r="A56" s="294"/>
      <c r="B56" s="294"/>
      <c r="C56" s="294"/>
      <c r="D56" s="294"/>
      <c r="E56" s="294"/>
      <c r="F56" s="294"/>
      <c r="G56" s="294"/>
      <c r="H56" s="294"/>
      <c r="I56" s="294"/>
      <c r="J56" s="294"/>
      <c r="K56" s="294"/>
      <c r="L56" s="294"/>
      <c r="M56" s="294"/>
      <c r="N56" s="294"/>
      <c r="O56" s="294"/>
      <c r="P56" s="294"/>
      <c r="Q56" s="294"/>
      <c r="R56" s="294"/>
      <c r="S56" s="294"/>
      <c r="T56" s="295"/>
    </row>
    <row r="57" spans="1:20" ht="12.75" customHeight="1">
      <c r="A57" s="296"/>
      <c r="B57" s="296"/>
      <c r="C57" s="296"/>
      <c r="D57" s="296"/>
      <c r="E57" s="296"/>
      <c r="F57" s="296"/>
      <c r="G57" s="296"/>
      <c r="H57" s="296"/>
      <c r="I57" s="296"/>
      <c r="J57" s="296"/>
      <c r="K57" s="296"/>
      <c r="L57" s="296"/>
      <c r="M57" s="296"/>
      <c r="N57" s="296"/>
      <c r="O57" s="296"/>
      <c r="P57" s="296"/>
      <c r="Q57" s="296"/>
      <c r="R57" s="296"/>
      <c r="S57" s="296"/>
      <c r="T57" s="297"/>
    </row>
    <row r="58" spans="1:9" ht="12.75">
      <c r="A58" s="298" t="s">
        <v>53</v>
      </c>
      <c r="B58" s="298"/>
      <c r="C58" s="298"/>
      <c r="D58" s="298"/>
      <c r="E58" s="298"/>
      <c r="F58" s="298"/>
      <c r="G58" s="298"/>
      <c r="I58" s="163"/>
    </row>
  </sheetData>
  <sheetProtection algorithmName="SHA-512" hashValue="Ob7JE5gXi2nElX2lzfKIV3vpVGSUVqkm5RHb4oTJtgmsP9FXtaPw8qdFk4X7XwQbBqW6cxNu4YaLn6anieYj4g==" saltValue="stTL/gfLvfeoCZMz2qTLBw==" spinCount="100000" sheet="1" objects="1" scenarios="1"/>
  <mergeCells count="67">
    <mergeCell ref="E31:S31"/>
    <mergeCell ref="E32:S32"/>
    <mergeCell ref="E34:S34"/>
    <mergeCell ref="A35:S56"/>
    <mergeCell ref="A57:S57"/>
    <mergeCell ref="A31:D31"/>
    <mergeCell ref="A32:D32"/>
    <mergeCell ref="K1:R1"/>
    <mergeCell ref="R19:S19"/>
    <mergeCell ref="R20:S20"/>
    <mergeCell ref="O23:S23"/>
    <mergeCell ref="O24:S24"/>
    <mergeCell ref="O22:S22"/>
    <mergeCell ref="J22:K22"/>
    <mergeCell ref="K4:L4"/>
    <mergeCell ref="M4:P4"/>
    <mergeCell ref="K5:L5"/>
    <mergeCell ref="M5:P5"/>
    <mergeCell ref="M7:Q7"/>
    <mergeCell ref="P20:Q20"/>
    <mergeCell ref="M12:O12"/>
    <mergeCell ref="K12:L12"/>
    <mergeCell ref="O27:P27"/>
    <mergeCell ref="O28:P28"/>
    <mergeCell ref="J28:M28"/>
    <mergeCell ref="O25:S25"/>
    <mergeCell ref="O26:S26"/>
    <mergeCell ref="D16:H16"/>
    <mergeCell ref="A13:C13"/>
    <mergeCell ref="D19:E19"/>
    <mergeCell ref="D13:H13"/>
    <mergeCell ref="D14:H14"/>
    <mergeCell ref="D15:H15"/>
    <mergeCell ref="D17:H17"/>
    <mergeCell ref="A14:C14"/>
    <mergeCell ref="A3:E3"/>
    <mergeCell ref="C22:H22"/>
    <mergeCell ref="M10:N10"/>
    <mergeCell ref="M9:Q9"/>
    <mergeCell ref="H18:J18"/>
    <mergeCell ref="M6:P6"/>
    <mergeCell ref="M8:N8"/>
    <mergeCell ref="K6:L6"/>
    <mergeCell ref="K7:L7"/>
    <mergeCell ref="K8:L8"/>
    <mergeCell ref="A4:I11"/>
    <mergeCell ref="A12:C12"/>
    <mergeCell ref="A15:C15"/>
    <mergeCell ref="A16:C16"/>
    <mergeCell ref="A17:C17"/>
    <mergeCell ref="K14:L14"/>
    <mergeCell ref="K15:L15"/>
    <mergeCell ref="P19:Q19"/>
    <mergeCell ref="M13:Q13"/>
    <mergeCell ref="K16:L16"/>
    <mergeCell ref="J19:K19"/>
    <mergeCell ref="K13:L13"/>
    <mergeCell ref="D20:E20"/>
    <mergeCell ref="J20:K20"/>
    <mergeCell ref="C23:H23"/>
    <mergeCell ref="J23:K23"/>
    <mergeCell ref="C24:H24"/>
    <mergeCell ref="J24:K24"/>
    <mergeCell ref="C25:H25"/>
    <mergeCell ref="J25:K25"/>
    <mergeCell ref="C26:H26"/>
    <mergeCell ref="J26:K26"/>
  </mergeCells>
  <dataValidations count="15">
    <dataValidation type="decimal" operator="greaterThanOrEqual" allowBlank="1" showInputMessage="1" showErrorMessage="1" sqref="K20">
      <formula1>0</formula1>
    </dataValidation>
    <dataValidation type="whole" allowBlank="1" showInputMessage="1" showErrorMessage="1" sqref="M11">
      <formula1>1</formula1>
      <formula2>100</formula2>
    </dataValidation>
    <dataValidation type="decimal" allowBlank="1" showInputMessage="1" showErrorMessage="1" sqref="M15:M16">
      <formula1>0</formula1>
      <formula2>100</formula2>
    </dataValidation>
    <dataValidation type="decimal" allowBlank="1" showInputMessage="1" showErrorMessage="1" sqref="O20">
      <formula1>0</formula1>
      <formula2>100</formula2>
    </dataValidation>
    <dataValidation allowBlank="1" showInputMessage="1" showErrorMessage="1" sqref="L29"/>
    <dataValidation allowBlank="1" showInputMessage="1" showErrorMessage="1" sqref="N29:O29"/>
    <dataValidation type="decimal" operator="greaterThanOrEqual" allowBlank="1" showInputMessage="1" showErrorMessage="1" sqref="I20">
      <formula1>0</formula1>
    </dataValidation>
    <dataValidation type="decimal" operator="greaterThanOrEqual" allowBlank="1" showInputMessage="1" showErrorMessage="1" sqref="J20">
      <formula1>0</formula1>
    </dataValidation>
    <dataValidation type="decimal" allowBlank="1" showInputMessage="1" showErrorMessage="1" sqref="L20">
      <formula1>0</formula1>
      <formula2>100</formula2>
    </dataValidation>
    <dataValidation type="decimal" allowBlank="1" showInputMessage="1" showErrorMessage="1" sqref="M20">
      <formula1>0</formula1>
      <formula2>100</formula2>
    </dataValidation>
    <dataValidation type="list" allowBlank="1" showInputMessage="1" showErrorMessage="1" sqref="C23:H23">
      <formula1>'MasterData'!$H$1:$H$14</formula1>
    </dataValidation>
    <dataValidation type="list" allowBlank="1" showInputMessage="1" showErrorMessage="1" sqref="C24:H24">
      <formula1>'MasterData'!$H$1:$H$14</formula1>
    </dataValidation>
    <dataValidation type="list" allowBlank="1" showInputMessage="1" showErrorMessage="1" sqref="C25:H25">
      <formula1>'MasterData'!$H$1:$H$14</formula1>
    </dataValidation>
    <dataValidation type="list" allowBlank="1" showInputMessage="1" showErrorMessage="1" sqref="C26:H26">
      <formula1>'MasterData'!$H$1:$H$14</formula1>
    </dataValidation>
    <dataValidation type="list" allowBlank="1" showInputMessage="1" showErrorMessage="1" sqref="M14">
      <formula1>MasterData!$O$1:$O$70</formula1>
    </dataValidation>
  </dataValidations>
  <printOptions horizontalCentered="1"/>
  <pageMargins left="0.75" right="0.75" top="0.5" bottom="0.5" header="0.5" footer="0.5"/>
  <pageSetup orientation="landscape" paperSize="1" r:id="rId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dimension ref="G1:O70"/>
  <sheetViews>
    <sheetView workbookViewId="0" topLeftCell="A46">
      <selection pane="topLeft" activeCell="O67" sqref="O67 O67"/>
    </sheetView>
  </sheetViews>
  <sheetFormatPr defaultColWidth="9.14285714285714" defaultRowHeight="12.75"/>
  <cols>
    <col min="1" max="12" width="9.14285714285714" style="162" customWidth="1"/>
    <col min="13" max="13" width="17.5714285714286" style="162" bestFit="1" customWidth="1"/>
    <col min="14" max="14" width="42.8571428571429" style="162" customWidth="1"/>
    <col min="15" max="15" width="8" style="162" customWidth="1"/>
  </cols>
  <sheetData>
    <row r="1" spans="7:15" ht="12.75">
      <c r="G1" s="162">
        <v>1001307</v>
      </c>
      <c r="H1" s="162" t="s">
        <v>45</v>
      </c>
      <c r="M1" s="300" t="s">
        <v>54</v>
      </c>
      <c r="N1" s="301" t="s">
        <v>0</v>
      </c>
      <c r="O1" s="162" t="s">
        <v>55</v>
      </c>
    </row>
    <row r="2" spans="7:15" ht="12.75">
      <c r="G2" s="162">
        <v>1001310</v>
      </c>
      <c r="H2" s="162" t="s">
        <v>46</v>
      </c>
      <c r="M2" s="300" t="s">
        <v>56</v>
      </c>
      <c r="N2" s="301">
        <v>1020676007</v>
      </c>
      <c r="O2" s="162" t="s">
        <v>57</v>
      </c>
    </row>
    <row r="3" spans="7:15" ht="12.75">
      <c r="G3" s="162">
        <v>1012729</v>
      </c>
      <c r="H3" s="162" t="s">
        <v>58</v>
      </c>
      <c r="M3" s="300" t="s">
        <v>59</v>
      </c>
      <c r="N3" s="301">
        <v>99990000422181</v>
      </c>
      <c r="O3" s="162" t="s">
        <v>60</v>
      </c>
    </row>
    <row r="4" spans="7:15" ht="12.75">
      <c r="G4" s="162">
        <v>1012730</v>
      </c>
      <c r="H4" s="162" t="s">
        <v>61</v>
      </c>
      <c r="M4" s="300" t="s">
        <v>62</v>
      </c>
      <c r="N4" s="301">
        <v>1021714333</v>
      </c>
      <c r="O4" s="162" t="s">
        <v>63</v>
      </c>
    </row>
    <row r="5" spans="7:15" ht="12.75">
      <c r="G5" s="162">
        <v>1012731</v>
      </c>
      <c r="H5" s="162" t="s">
        <v>64</v>
      </c>
      <c r="M5" s="300" t="s">
        <v>65</v>
      </c>
      <c r="N5" s="301"/>
      <c r="O5" s="162" t="s">
        <v>66</v>
      </c>
    </row>
    <row r="6" spans="7:15" ht="12.75">
      <c r="G6" s="162">
        <v>1012732</v>
      </c>
      <c r="H6" s="162" t="s">
        <v>67</v>
      </c>
      <c r="M6" s="300" t="s">
        <v>68</v>
      </c>
      <c r="N6" s="301" t="s">
        <v>69</v>
      </c>
      <c r="O6" s="162" t="s">
        <v>70</v>
      </c>
    </row>
    <row r="7" spans="7:15" ht="12.75">
      <c r="G7" s="162">
        <v>1012733</v>
      </c>
      <c r="H7" s="162" t="s">
        <v>71</v>
      </c>
      <c r="M7" s="300" t="s">
        <v>72</v>
      </c>
      <c r="N7" s="301">
        <v>0</v>
      </c>
      <c r="O7" s="162" t="s">
        <v>73</v>
      </c>
    </row>
    <row r="8" spans="7:15" ht="12.75">
      <c r="G8" s="162">
        <v>1012735</v>
      </c>
      <c r="H8" s="162" t="s">
        <v>74</v>
      </c>
      <c r="O8" s="162" t="s">
        <v>75</v>
      </c>
    </row>
    <row r="9" spans="7:15" ht="12.75">
      <c r="G9" s="162">
        <v>1012736</v>
      </c>
      <c r="H9" s="162" t="s">
        <v>76</v>
      </c>
      <c r="O9" s="162" t="s">
        <v>77</v>
      </c>
    </row>
    <row r="10" spans="7:15" ht="12.75">
      <c r="G10" s="162">
        <v>1012737</v>
      </c>
      <c r="H10" s="162" t="s">
        <v>78</v>
      </c>
      <c r="O10" s="162" t="s">
        <v>79</v>
      </c>
    </row>
    <row r="11" spans="7:15" ht="12.75">
      <c r="G11" s="162">
        <v>1012741</v>
      </c>
      <c r="H11" s="162" t="s">
        <v>80</v>
      </c>
      <c r="O11" s="162" t="s">
        <v>81</v>
      </c>
    </row>
    <row r="12" spans="7:15" ht="12.75">
      <c r="G12" s="162">
        <v>1012742</v>
      </c>
      <c r="H12" s="162" t="s">
        <v>82</v>
      </c>
      <c r="O12" s="162" t="s">
        <v>83</v>
      </c>
    </row>
    <row r="13" spans="7:15" ht="12.75">
      <c r="G13" s="162">
        <v>1012743</v>
      </c>
      <c r="H13" s="162" t="s">
        <v>84</v>
      </c>
      <c r="O13" s="162" t="s">
        <v>85</v>
      </c>
    </row>
    <row r="14" spans="7:15" ht="12.75">
      <c r="G14" s="162">
        <v>1012744</v>
      </c>
      <c r="H14" s="162" t="s">
        <v>86</v>
      </c>
      <c r="O14" s="162" t="s">
        <v>87</v>
      </c>
    </row>
    <row r="15" ht="12.75">
      <c r="O15" s="162" t="s">
        <v>88</v>
      </c>
    </row>
    <row r="16" ht="12.75">
      <c r="O16" s="162" t="s">
        <v>89</v>
      </c>
    </row>
    <row r="17" ht="12.75">
      <c r="O17" s="162" t="s">
        <v>90</v>
      </c>
    </row>
    <row r="18" ht="12.75">
      <c r="O18" s="162" t="s">
        <v>91</v>
      </c>
    </row>
    <row r="19" ht="12.75">
      <c r="O19" s="162" t="s">
        <v>92</v>
      </c>
    </row>
    <row r="20" ht="12.75">
      <c r="O20" s="162" t="s">
        <v>93</v>
      </c>
    </row>
    <row r="21" ht="12.75">
      <c r="O21" s="162" t="s">
        <v>94</v>
      </c>
    </row>
    <row r="22" ht="12.75">
      <c r="O22" s="162" t="s">
        <v>95</v>
      </c>
    </row>
    <row r="23" ht="12.75">
      <c r="O23" s="162" t="s">
        <v>96</v>
      </c>
    </row>
    <row r="24" ht="12.75">
      <c r="O24" s="162" t="s">
        <v>97</v>
      </c>
    </row>
    <row r="25" ht="12.75">
      <c r="O25" s="162" t="s">
        <v>98</v>
      </c>
    </row>
    <row r="26" ht="12.75">
      <c r="O26" s="162" t="s">
        <v>99</v>
      </c>
    </row>
    <row r="27" ht="12.75">
      <c r="O27" s="162" t="s">
        <v>100</v>
      </c>
    </row>
    <row r="28" ht="12.75">
      <c r="O28" s="162" t="s">
        <v>101</v>
      </c>
    </row>
    <row r="29" ht="12.75">
      <c r="O29" s="162" t="s">
        <v>102</v>
      </c>
    </row>
    <row r="30" ht="12.75">
      <c r="O30" s="162" t="s">
        <v>103</v>
      </c>
    </row>
    <row r="31" ht="12.75">
      <c r="O31" s="162" t="s">
        <v>104</v>
      </c>
    </row>
    <row r="32" ht="12.75">
      <c r="O32" s="162" t="s">
        <v>105</v>
      </c>
    </row>
    <row r="33" ht="12.75">
      <c r="O33" s="162" t="s">
        <v>106</v>
      </c>
    </row>
    <row r="34" ht="12.75">
      <c r="O34" s="162" t="s">
        <v>107</v>
      </c>
    </row>
    <row r="35" ht="12.75">
      <c r="O35" s="162" t="s">
        <v>108</v>
      </c>
    </row>
    <row r="36" ht="12.75">
      <c r="O36" s="162" t="s">
        <v>109</v>
      </c>
    </row>
    <row r="37" ht="12.75">
      <c r="O37" s="162" t="s">
        <v>110</v>
      </c>
    </row>
    <row r="38" ht="12.75">
      <c r="O38" s="162" t="s">
        <v>111</v>
      </c>
    </row>
    <row r="39" ht="12.75">
      <c r="O39" s="162" t="s">
        <v>112</v>
      </c>
    </row>
    <row r="40" ht="12.75">
      <c r="O40" s="162" t="s">
        <v>113</v>
      </c>
    </row>
    <row r="41" ht="12.75">
      <c r="O41" s="162" t="s">
        <v>114</v>
      </c>
    </row>
    <row r="42" ht="12.75">
      <c r="O42" s="162" t="s">
        <v>115</v>
      </c>
    </row>
    <row r="43" ht="12.75">
      <c r="O43" s="162" t="s">
        <v>116</v>
      </c>
    </row>
    <row r="44" ht="12.75">
      <c r="O44" s="162" t="s">
        <v>117</v>
      </c>
    </row>
    <row r="45" ht="12.75">
      <c r="O45" s="162" t="s">
        <v>118</v>
      </c>
    </row>
    <row r="46" ht="12.75">
      <c r="O46" s="162" t="s">
        <v>119</v>
      </c>
    </row>
    <row r="47" ht="12.75">
      <c r="O47" s="162" t="s">
        <v>120</v>
      </c>
    </row>
    <row r="48" ht="12.75">
      <c r="O48" s="162" t="s">
        <v>121</v>
      </c>
    </row>
    <row r="49" ht="12.75">
      <c r="O49" s="162" t="s">
        <v>122</v>
      </c>
    </row>
    <row r="50" ht="12.75">
      <c r="O50" s="162" t="s">
        <v>123</v>
      </c>
    </row>
    <row r="51" ht="12.75">
      <c r="O51" s="162" t="s">
        <v>124</v>
      </c>
    </row>
    <row r="52" ht="12.75">
      <c r="O52" s="162" t="s">
        <v>125</v>
      </c>
    </row>
    <row r="53" ht="12.75">
      <c r="O53" s="162" t="s">
        <v>126</v>
      </c>
    </row>
    <row r="54" ht="12.75">
      <c r="O54" s="162" t="s">
        <v>127</v>
      </c>
    </row>
    <row r="55" ht="12.75">
      <c r="O55" s="162" t="s">
        <v>128</v>
      </c>
    </row>
    <row r="56" ht="12.75">
      <c r="O56" s="162" t="s">
        <v>129</v>
      </c>
    </row>
    <row r="57" ht="12.75">
      <c r="O57" s="162" t="s">
        <v>130</v>
      </c>
    </row>
    <row r="58" ht="12.75">
      <c r="O58" s="162" t="s">
        <v>131</v>
      </c>
    </row>
    <row r="59" ht="12.75">
      <c r="O59" s="162" t="s">
        <v>132</v>
      </c>
    </row>
    <row r="60" ht="12.75">
      <c r="O60" s="162" t="s">
        <v>133</v>
      </c>
    </row>
    <row r="61" ht="12.75">
      <c r="O61" s="162" t="s">
        <v>134</v>
      </c>
    </row>
    <row r="62" ht="12.75">
      <c r="O62" s="162" t="s">
        <v>135</v>
      </c>
    </row>
    <row r="63" ht="12.75">
      <c r="O63" s="162" t="s">
        <v>136</v>
      </c>
    </row>
    <row r="64" ht="12.75">
      <c r="O64" s="162" t="s">
        <v>137</v>
      </c>
    </row>
    <row r="65" ht="12.75">
      <c r="O65" s="162" t="s">
        <v>138</v>
      </c>
    </row>
    <row r="66" ht="12.75">
      <c r="O66" s="162" t="s">
        <v>139</v>
      </c>
    </row>
    <row r="67" ht="12.75">
      <c r="O67" s="162" t="s">
        <v>140</v>
      </c>
    </row>
    <row r="68" ht="12.75">
      <c r="O68" s="162" t="s">
        <v>141</v>
      </c>
    </row>
    <row r="69" ht="12.75">
      <c r="O69" s="162" t="s">
        <v>142</v>
      </c>
    </row>
    <row r="70" ht="12.75">
      <c r="O70" s="162" t="s">
        <v>143</v>
      </c>
    </row>
  </sheetData>
  <pageMargins left="0.7" right="0.7" top="0.75" bottom="0.75" header="0.3" footer="0.3"/>
  <pageSetup orientation="portrait" paperSize="9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AppVersion>16.0300</AppVersion>
  <DocSecurity>0</DocSecurity>
  <Template/>
  <Manager/>
  <Company>Microsoft Corporation</Company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PAL2G</dc:creator>
  <cp:keywords/>
  <dc:description/>
  <cp:lastModifiedBy>Tocy Tom (MariApps)</cp:lastModifiedBy>
  <cp:category/>
  <cp:contentType/>
  <cp:contentStatus/>
</cp:coreProperties>
</file>