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Quote!$A$1:$R$79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Quote!$A$60</definedName>
    <definedName name="Enquiry_To_Vendor_ID" comment="Enquiry to Vendor ID">Quote!$C$60</definedName>
    <definedName name="GrandTotal">Quote!$N$59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Quote!$A$52</definedName>
    <definedName name="ItemListStartupRow" comment="Item List Start Up Row">Quote!$A$19</definedName>
    <definedName name="ItemSubTotal">Quote!$N$58</definedName>
    <definedName name="ItemSubTotalTitle">Quote!$J$58</definedName>
    <definedName name="LeadDay">Quote!$M$11</definedName>
    <definedName name="Lock">Quote!$M$60</definedName>
    <definedName name="LoggedInEmailID">Quote!$N$60</definedName>
    <definedName name="LoggedInPwd">Quote!$O$60</definedName>
    <definedName name="OtherCharges">Quote!$C$54</definedName>
    <definedName name="OtherChargesLastRow">Quote!$A$58</definedName>
    <definedName name="OtherChargesStartRow">Quote!$A$53</definedName>
    <definedName name="Port">Quote!$P$60</definedName>
    <definedName name="PortOfDelivery" comment="Port of Delivery">Quote!$M$9</definedName>
    <definedName name="PurchaserName">Quote!$J$60</definedName>
    <definedName name="QuoteBefore">Quote!$M$8</definedName>
    <definedName name="QuoteID">MasterData!$N$7</definedName>
    <definedName name="QuoteSubject">Quote!$E$60</definedName>
    <definedName name="Remarks">Quote!$E$62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Quote!$K$60</definedName>
    <definedName name="SentIndex">Quote!$L$60</definedName>
    <definedName name="Server">Quote!$Q$60</definedName>
    <definedName name="Terms">Quote!$A$66:$T$87</definedName>
    <definedName name="ToEmailID">Quote!$I$60</definedName>
    <definedName name="ToEmailPwd">Quote!$H$60</definedName>
    <definedName name="VAL">Quote!$F$60</definedName>
    <definedName name="VAT_All">Quote!$M$16</definedName>
    <definedName name="Vendor_ID" comment="Vendor ID">Quote!$B$60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Quote!$D$60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Quote!$E$63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</definedName>
  </definedNames>
  <calcPr fullCalcOnLoad="1"/>
</workbook>
</file>

<file path=xl/sharedStrings.xml><?xml version="1.0" encoding="utf-8"?>
<sst xmlns="http://schemas.openxmlformats.org/spreadsheetml/2006/main" count="309" uniqueCount="214">
  <si>
    <t>RFQ</t>
  </si>
  <si>
    <t>Request for Quote</t>
  </si>
  <si>
    <t>Invoice To</t>
  </si>
  <si>
    <t>Bernhard Schulte Shipmanagement (Singapore) Pte. Ltd.
Master &amp; Owner of Taharoa Eos
 Regd. Owner: Stella Faith Shipping Pte. Limited,
 AS AGENTS: Bernhard Schulte Shipmanagement (Singapore) Pte Ltd
 108 Middle Road, #08-00 Bernhard Schulte House, Singapore 188967
 Attn:- Accounts Department
 Please send soft copy to: sg-smc-acct@bs-shipmanagement.com</t>
  </si>
  <si>
    <t>Vessel</t>
  </si>
  <si>
    <t>Taharoa Eos</t>
  </si>
  <si>
    <t>RFQ No.</t>
  </si>
  <si>
    <t>TAH/O0081/RF19</t>
  </si>
  <si>
    <t>RFQ Date</t>
  </si>
  <si>
    <t>Submit Quote Before:</t>
  </si>
  <si>
    <t>Port of Delivery</t>
  </si>
  <si>
    <t>Lanshan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</si>
  <si>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</si>
  <si>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</si>
  <si>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</si>
  <si>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</si>
  <si>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</si>
  <si>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</si>
  <si>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</si>
  <si>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</si>
  <si>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</si>
  <si>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</si>
  <si>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</si>
  <si>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</si>
  <si>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</si>
  <si>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</si>
  <si>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</si>
  <si>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</si>
  <si>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</si>
  <si>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</si>
  <si>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</si>
  <si>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</si>
  <si>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</si>
  <si>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</si>
  <si>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</si>
  <si>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</si>
  <si>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</si>
  <si>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</si>
  <si>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</si>
  <si>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</si>
  <si>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V_00000696</t>
  </si>
  <si>
    <t>Antibiotic Eardrops Containing In Each Ml: Neomycin 3,400 Units, Polymixin B Sulphate 10,000 Units, Hydrocortisone 50mg (5ml Dropper Bottle)</t>
  </si>
  <si>
    <t>BTL</t>
  </si>
  <si>
    <t>V_00000694</t>
  </si>
  <si>
    <t>Decongestant Solution : Ephedrine Nasal Drops BP 0.5% Ephedrine Dhyrochloride (10ml Bottle)</t>
  </si>
  <si>
    <t>EAR DROP 15ML For otitis media and internal and external otitis.</t>
  </si>
  <si>
    <t>BENZOIC ACID OINTMENT</t>
  </si>
  <si>
    <t>PCS</t>
  </si>
  <si>
    <t>TETANUS VACCINE 0.5ML AMPOULE, FOR U.K. SHIPS -</t>
  </si>
  <si>
    <t>V_00000692</t>
  </si>
  <si>
    <t>Chlorpromazine Hydrochloride 25mg Tablets 100tabs/bottle</t>
  </si>
  <si>
    <t>V_00000686</t>
  </si>
  <si>
    <t>Aluminium Magnesium Carbonate Chewable Tabletes 20tabs/box</t>
  </si>
  <si>
    <t>BOX</t>
  </si>
  <si>
    <t>SODIUM CHLORIDE INJECTION, 0.9% 1000ML For fluid replacement.  Can also be used for sterile eye irrigation</t>
  </si>
  <si>
    <t>EYE WASH 150ML For irrigating or flushing the eye to wash away foreign particles, mucous secretions, and fluorescein die used in diagnosis.</t>
  </si>
  <si>
    <t>V_00000708</t>
  </si>
  <si>
    <t>Sterile Eye Pads 2pieces/pck</t>
  </si>
  <si>
    <t>PCK</t>
  </si>
  <si>
    <t>V_00000706</t>
  </si>
  <si>
    <t>Glycerol suppository mould 4mg (20ml)</t>
  </si>
  <si>
    <t>V_00000704</t>
  </si>
  <si>
    <t>Sterile cotton wool 10g*3packet/Pcs</t>
  </si>
  <si>
    <t>PA</t>
  </si>
  <si>
    <t>CLOVES, OIL OF 10ML Toothache</t>
  </si>
  <si>
    <t>V_00000702</t>
  </si>
  <si>
    <t>Fenbid Ibuprofen Sustained Release Capsuls 20's/Pck</t>
  </si>
  <si>
    <t>V_00000700</t>
  </si>
  <si>
    <t>Cefixime Tablets 6 Tblts/Pck</t>
  </si>
  <si>
    <t>METRONIDAZOLE TABLET 200MG, 100'S For the treatment of salpingitis and other diseases of women and the treatment of amoebic dysentery.</t>
  </si>
  <si>
    <t>V_00000698</t>
  </si>
  <si>
    <t>WAN TONG JIN GU TIE ( ANALGESIC PLASTER ) 6'S/PCK</t>
  </si>
  <si>
    <t>V_00000712</t>
  </si>
  <si>
    <t>Promethazine Hydrochloride 25mg Per Ml (1ml Ampoules)</t>
  </si>
  <si>
    <t>AMP</t>
  </si>
  <si>
    <t>GLYCERYL TRINITRATE SPRAY, 400 MICROGRAMS FOR U.K. SHIPS -</t>
  </si>
  <si>
    <t>MED0188</t>
  </si>
  <si>
    <t>GLYCERYL TRINITRATE TABLET,50S</t>
  </si>
  <si>
    <t>V_00000714</t>
  </si>
  <si>
    <t>Topical analgesic spray 'Air salonpas'(Yun nan bai yao pen wu 2btl/pck)</t>
  </si>
  <si>
    <t>V_00000716</t>
  </si>
  <si>
    <t>Doxycycline Hyclate 100mg Tablets 20tabs/pck</t>
  </si>
  <si>
    <t>V_00000718</t>
  </si>
  <si>
    <t>Metoprolol  Tablet 25mg*20tablets/packet</t>
  </si>
  <si>
    <t>V_00000720</t>
  </si>
  <si>
    <t>Benzylpenicllin Soium</t>
  </si>
  <si>
    <t>MICONAZOLE NITRATE 2 % TOPICAL CREAM</t>
  </si>
  <si>
    <t>V_00000724</t>
  </si>
  <si>
    <t>Prednislone 5mg Tablets 100tabs/bottle</t>
  </si>
  <si>
    <t>GAUZE PAD 7.5X7.5CM 10SHT Ready to cut, sterilized gauze.  Packed 10 sheets per packet.</t>
  </si>
  <si>
    <t>PKT</t>
  </si>
  <si>
    <t>GAUZE DRESSING W/NON-ADHERENT, SURFACE 10 CM  Gauze dressing with non-adherent surface</t>
  </si>
  <si>
    <t>BANDAGE ADHESIVE ELASTIC, 4 M X 6 CM Adhesive elastic bandage</t>
  </si>
  <si>
    <t>PLASTER STRIPS, DIFF. TYPES, WATERPROOF STERILE (WHO 90.)</t>
  </si>
  <si>
    <t>ABSORBENT GAUZE FIRST-AID, COVERES COTTON PAD SMALL Sterile compression bandages</t>
  </si>
  <si>
    <t>ABSORBENT GAUZE FIRST-AID, COVERES COTTON PAD LARGE Sterile compression bandages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</si>
  <si>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</si>
  <si>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</si>
  <si>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</si>
  <si>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</si>
  <si>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</si>
  <si>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</si>
  <si>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</si>
  <si>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</si>
  <si>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</si>
  <si>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</si>
  <si>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</si>
  <si>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</si>
  <si>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</si>
  <si>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</si>
  <si>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</si>
  <si>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</si>
  <si>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</si>
  <si>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</si>
  <si>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</si>
  <si>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</si>
  <si>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</si>
  <si>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</si>
  <si>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</si>
  <si>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</si>
  <si>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</si>
  <si>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</si>
  <si>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</si>
  <si>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</si>
  <si>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</si>
  <si>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</si>
  <si>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</si>
  <si>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</si>
  <si>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</si>
  <si>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</si>
  <si>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</si>
  <si>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</si>
  <si>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</si>
  <si>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</si>
  <si>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</si>
  <si>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</si>
  <si>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</si>
  <si>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</si>
  <si>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</si>
  <si>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</si>
  <si>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</si>
  <si>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</si>
  <si>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</si>
  <si>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</si>
  <si>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</si>
  <si>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</si>
  <si>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</si>
  <si>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</si>
  <si>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</si>
  <si>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</si>
  <si>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</si>
  <si>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</si>
  <si>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</si>
  <si>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</si>
  <si>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</si>
  <si>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</si>
  <si>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</si>
  <si>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</si>
  <si>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</si>
  <si>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</si>
  <si>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</si>
  <si>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</si>
  <si>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</si>
  <si>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</si>
  <si>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</si>
  <si>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</si>
  <si>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</si>
  <si>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</si>
  <si>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</si>
  <si>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</si>
  <si>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</si>
  <si>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</si>
  <si>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</si>
  <si>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</si>
  <si>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</si>
  <si>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</si>
  <si>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</si>
  <si>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</si>
  <si>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</si>
  <si>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</si>
  <si>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</si>
  <si>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</si>
  <si>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</si>
  <si>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</si>
  <si>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</si>
  <si>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</si>
  <si>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</si>
  <si>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</si>
  <si>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</si>
  <si>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</si>
  <si>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</si>
  <si>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</si>
  <si>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</si>
  <si>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</si>
  <si>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</si>
  <si>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</si>
  <si>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</si>
  <si>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</si>
  <si>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</si>
  <si>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</si>
  <si>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</si>
  <si>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</si>
  <si>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</si>
  <si>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BJD1908201425311LET</t>
  </si>
  <si>
    <t>5ml</t>
  </si>
  <si>
    <t>Glycerine enema  20ml</t>
  </si>
  <si>
    <t>local  10s</t>
  </si>
  <si>
    <t>2ml:50mg</t>
  </si>
  <si>
    <t>12s</t>
  </si>
  <si>
    <t>8cm*8cm*10s</t>
  </si>
  <si>
    <t>8cm*10cm</t>
  </si>
  <si>
    <t>5cm*4.5m</t>
  </si>
  <si>
    <t>hainuo waterproof plaster</t>
  </si>
  <si>
    <t xml:space="preserve">
Date promised : 2019-08-26
Quote validity : 2019-09-22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</si>
</sst>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43697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43697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12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203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196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256800003593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1</v>
      </c>
      <c r="J20" s="232">
        <v>0.59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256800003592</v>
      </c>
      <c r="C21" s="227" t="s">
        <v>43</v>
      </c>
      <c r="D21" s="228" t="s">
        <v>44</v>
      </c>
      <c r="E21" s="229"/>
      <c r="F21" s="229" t="s">
        <v>43</v>
      </c>
      <c r="G21" s="229" t="s">
        <v>42</v>
      </c>
      <c r="H21" s="230">
        <v>0</v>
      </c>
      <c r="I21" s="231">
        <v>1</v>
      </c>
      <c r="J21" s="232">
        <v>1.02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204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99990010835601</v>
      </c>
      <c r="C22" s="227">
        <v>390302</v>
      </c>
      <c r="D22" s="228" t="s">
        <v>45</v>
      </c>
      <c r="E22" s="229"/>
      <c r="F22" s="229">
        <v>390302</v>
      </c>
      <c r="G22" s="229" t="s">
        <v>42</v>
      </c>
      <c r="H22" s="230">
        <v>0</v>
      </c>
      <c r="I22" s="231">
        <v>1</v>
      </c>
      <c r="J22" s="232">
        <v>0.59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99990009873580</v>
      </c>
      <c r="C23" s="227">
        <v>11</v>
      </c>
      <c r="D23" s="228" t="s">
        <v>46</v>
      </c>
      <c r="E23" s="229"/>
      <c r="F23" s="229">
        <v>11</v>
      </c>
      <c r="G23" s="229" t="s">
        <v>47</v>
      </c>
      <c r="H23" s="230">
        <v>0</v>
      </c>
      <c r="I23" s="231">
        <v>5</v>
      </c>
      <c r="J23" s="232">
        <v>0.83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99990010835446</v>
      </c>
      <c r="C24" s="227">
        <v>390844</v>
      </c>
      <c r="D24" s="228" t="s">
        <v>48</v>
      </c>
      <c r="E24" s="229"/>
      <c r="F24" s="229">
        <v>390844</v>
      </c>
      <c r="G24" s="229" t="s">
        <v>47</v>
      </c>
      <c r="H24" s="230">
        <v>0</v>
      </c>
      <c r="I24" s="231">
        <v>5</v>
      </c>
      <c r="J24" s="232">
        <v>2.86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256800003591</v>
      </c>
      <c r="C25" s="227" t="s">
        <v>49</v>
      </c>
      <c r="D25" s="228" t="s">
        <v>50</v>
      </c>
      <c r="E25" s="229"/>
      <c r="F25" s="229" t="s">
        <v>49</v>
      </c>
      <c r="G25" s="229" t="s">
        <v>42</v>
      </c>
      <c r="H25" s="230">
        <v>0</v>
      </c>
      <c r="I25" s="231">
        <v>1</v>
      </c>
      <c r="J25" s="232">
        <v>2.84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256800003587</v>
      </c>
      <c r="C26" s="227" t="s">
        <v>51</v>
      </c>
      <c r="D26" s="228" t="s">
        <v>52</v>
      </c>
      <c r="E26" s="229"/>
      <c r="F26" s="229" t="s">
        <v>51</v>
      </c>
      <c r="G26" s="229" t="s">
        <v>53</v>
      </c>
      <c r="H26" s="230">
        <v>0</v>
      </c>
      <c r="I26" s="231">
        <v>2</v>
      </c>
      <c r="J26" s="232">
        <v>1.54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99990010835053</v>
      </c>
      <c r="C27" s="227">
        <v>390673</v>
      </c>
      <c r="D27" s="228" t="s">
        <v>54</v>
      </c>
      <c r="E27" s="229"/>
      <c r="F27" s="229">
        <v>390673</v>
      </c>
      <c r="G27" s="229" t="s">
        <v>42</v>
      </c>
      <c r="H27" s="230">
        <v>0</v>
      </c>
      <c r="I27" s="231">
        <v>5</v>
      </c>
      <c r="J27" s="232">
        <v>1.07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99990010835266</v>
      </c>
      <c r="C28" s="227">
        <v>390316</v>
      </c>
      <c r="D28" s="228" t="s">
        <v>55</v>
      </c>
      <c r="E28" s="229"/>
      <c r="F28" s="229">
        <v>390316</v>
      </c>
      <c r="G28" s="229" t="s">
        <v>42</v>
      </c>
      <c r="H28" s="230">
        <v>0</v>
      </c>
      <c r="I28" s="231">
        <v>10</v>
      </c>
      <c r="J28" s="232">
        <v>2.49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256800003599</v>
      </c>
      <c r="C29" s="227" t="s">
        <v>56</v>
      </c>
      <c r="D29" s="228" t="s">
        <v>57</v>
      </c>
      <c r="E29" s="229"/>
      <c r="F29" s="229" t="s">
        <v>56</v>
      </c>
      <c r="G29" s="229" t="s">
        <v>58</v>
      </c>
      <c r="H29" s="230">
        <v>0</v>
      </c>
      <c r="I29" s="231">
        <v>10</v>
      </c>
      <c r="J29" s="232">
        <v>0.9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256800003598</v>
      </c>
      <c r="C30" s="227" t="s">
        <v>59</v>
      </c>
      <c r="D30" s="228" t="s">
        <v>60</v>
      </c>
      <c r="E30" s="229"/>
      <c r="F30" s="229" t="s">
        <v>59</v>
      </c>
      <c r="G30" s="229" t="s">
        <v>42</v>
      </c>
      <c r="H30" s="230">
        <v>0</v>
      </c>
      <c r="I30" s="231">
        <v>12</v>
      </c>
      <c r="J30" s="232">
        <v>0.23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205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256800003597</v>
      </c>
      <c r="C31" s="227" t="s">
        <v>61</v>
      </c>
      <c r="D31" s="228" t="s">
        <v>62</v>
      </c>
      <c r="E31" s="229"/>
      <c r="F31" s="229" t="s">
        <v>61</v>
      </c>
      <c r="G31" s="229" t="s">
        <v>63</v>
      </c>
      <c r="H31" s="230">
        <v>0</v>
      </c>
      <c r="I31" s="231">
        <v>10</v>
      </c>
      <c r="J31" s="232">
        <v>0.68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99990010835013</v>
      </c>
      <c r="C32" s="227">
        <v>391714</v>
      </c>
      <c r="D32" s="228" t="s">
        <v>64</v>
      </c>
      <c r="E32" s="229"/>
      <c r="F32" s="229">
        <v>391714</v>
      </c>
      <c r="G32" s="229" t="s">
        <v>42</v>
      </c>
      <c r="H32" s="230">
        <v>0</v>
      </c>
      <c r="I32" s="231">
        <v>1</v>
      </c>
      <c r="J32" s="232">
        <v>3.08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256800003596</v>
      </c>
      <c r="C33" s="227" t="s">
        <v>65</v>
      </c>
      <c r="D33" s="228" t="s">
        <v>66</v>
      </c>
      <c r="E33" s="229"/>
      <c r="F33" s="229" t="s">
        <v>65</v>
      </c>
      <c r="G33" s="229" t="s">
        <v>58</v>
      </c>
      <c r="H33" s="230">
        <v>0</v>
      </c>
      <c r="I33" s="231">
        <v>10</v>
      </c>
      <c r="J33" s="232">
        <v>1.47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206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256800003595</v>
      </c>
      <c r="C34" s="227" t="s">
        <v>67</v>
      </c>
      <c r="D34" s="228" t="s">
        <v>68</v>
      </c>
      <c r="E34" s="229"/>
      <c r="F34" s="229" t="s">
        <v>67</v>
      </c>
      <c r="G34" s="229" t="s">
        <v>58</v>
      </c>
      <c r="H34" s="230">
        <v>0</v>
      </c>
      <c r="I34" s="231">
        <v>10</v>
      </c>
      <c r="J34" s="232">
        <v>1.47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99990010835277</v>
      </c>
      <c r="C35" s="227">
        <v>390651</v>
      </c>
      <c r="D35" s="228" t="s">
        <v>69</v>
      </c>
      <c r="E35" s="229"/>
      <c r="F35" s="229">
        <v>390651</v>
      </c>
      <c r="G35" s="229" t="s">
        <v>42</v>
      </c>
      <c r="H35" s="230">
        <v>0</v>
      </c>
      <c r="I35" s="231">
        <v>2</v>
      </c>
      <c r="J35" s="232">
        <v>1.07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256800003594</v>
      </c>
      <c r="C36" s="227" t="s">
        <v>70</v>
      </c>
      <c r="D36" s="228" t="s">
        <v>71</v>
      </c>
      <c r="E36" s="229"/>
      <c r="F36" s="229" t="s">
        <v>70</v>
      </c>
      <c r="G36" s="229" t="s">
        <v>58</v>
      </c>
      <c r="H36" s="230">
        <v>0</v>
      </c>
      <c r="I36" s="231">
        <v>20</v>
      </c>
      <c r="J36" s="232">
        <v>3.72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256800003601</v>
      </c>
      <c r="C37" s="227" t="s">
        <v>72</v>
      </c>
      <c r="D37" s="228" t="s">
        <v>73</v>
      </c>
      <c r="E37" s="229"/>
      <c r="F37" s="229" t="s">
        <v>72</v>
      </c>
      <c r="G37" s="229" t="s">
        <v>74</v>
      </c>
      <c r="H37" s="230">
        <v>0</v>
      </c>
      <c r="I37" s="231">
        <v>10</v>
      </c>
      <c r="J37" s="232">
        <v>0.45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207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99990010835404</v>
      </c>
      <c r="C38" s="227">
        <v>390802</v>
      </c>
      <c r="D38" s="228" t="s">
        <v>75</v>
      </c>
      <c r="E38" s="229"/>
      <c r="F38" s="229">
        <v>390802</v>
      </c>
      <c r="G38" s="229" t="s">
        <v>47</v>
      </c>
      <c r="H38" s="230">
        <v>0</v>
      </c>
      <c r="I38" s="231">
        <v>1</v>
      </c>
      <c r="J38" s="232">
        <v>12.42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99990009874216</v>
      </c>
      <c r="C39" s="227" t="s">
        <v>76</v>
      </c>
      <c r="D39" s="228" t="s">
        <v>77</v>
      </c>
      <c r="E39" s="229"/>
      <c r="F39" s="229" t="s">
        <v>76</v>
      </c>
      <c r="G39" s="229" t="s">
        <v>42</v>
      </c>
      <c r="H39" s="230">
        <v>0</v>
      </c>
      <c r="I39" s="231">
        <v>1</v>
      </c>
      <c r="J39" s="232">
        <v>4.74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256800003602</v>
      </c>
      <c r="C40" s="227" t="s">
        <v>78</v>
      </c>
      <c r="D40" s="228" t="s">
        <v>79</v>
      </c>
      <c r="E40" s="229"/>
      <c r="F40" s="229" t="s">
        <v>78</v>
      </c>
      <c r="G40" s="229" t="s">
        <v>58</v>
      </c>
      <c r="H40" s="230">
        <v>0</v>
      </c>
      <c r="I40" s="231">
        <v>2</v>
      </c>
      <c r="J40" s="232">
        <v>7.34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256800003603</v>
      </c>
      <c r="C41" s="227" t="s">
        <v>80</v>
      </c>
      <c r="D41" s="228" t="s">
        <v>81</v>
      </c>
      <c r="E41" s="229"/>
      <c r="F41" s="229" t="s">
        <v>80</v>
      </c>
      <c r="G41" s="229" t="s">
        <v>58</v>
      </c>
      <c r="H41" s="230">
        <v>0</v>
      </c>
      <c r="I41" s="231">
        <v>1</v>
      </c>
      <c r="J41" s="232">
        <v>1.02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 t="s">
        <v>208</v>
      </c>
      <c r="Q41" s="236"/>
      <c r="R41" s="237"/>
      <c r="S41" s="238"/>
      <c r="T41" s="239"/>
    </row>
    <row r="42" spans="1:20" ht="24" customHeight="1">
      <c r="A42" s="226">
        <v>23</v>
      </c>
      <c r="B42" s="226">
        <v>256800003604</v>
      </c>
      <c r="C42" s="227" t="s">
        <v>82</v>
      </c>
      <c r="D42" s="228" t="s">
        <v>83</v>
      </c>
      <c r="E42" s="229"/>
      <c r="F42" s="229" t="s">
        <v>82</v>
      </c>
      <c r="G42" s="229" t="s">
        <v>58</v>
      </c>
      <c r="H42" s="230">
        <v>0</v>
      </c>
      <c r="I42" s="231">
        <v>2</v>
      </c>
      <c r="J42" s="232">
        <v>1.92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256800003605</v>
      </c>
      <c r="C43" s="227" t="s">
        <v>84</v>
      </c>
      <c r="D43" s="228" t="s">
        <v>85</v>
      </c>
      <c r="E43" s="229"/>
      <c r="F43" s="229" t="s">
        <v>84</v>
      </c>
      <c r="G43" s="229" t="s">
        <v>42</v>
      </c>
      <c r="H43" s="230">
        <v>0</v>
      </c>
      <c r="I43" s="231">
        <v>10</v>
      </c>
      <c r="J43" s="232">
        <v>0.15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99990009874499</v>
      </c>
      <c r="C44" s="227">
        <v>51</v>
      </c>
      <c r="D44" s="228" t="s">
        <v>86</v>
      </c>
      <c r="E44" s="229"/>
      <c r="F44" s="229">
        <v>51</v>
      </c>
      <c r="G44" s="229" t="s">
        <v>47</v>
      </c>
      <c r="H44" s="230">
        <v>0</v>
      </c>
      <c r="I44" s="231">
        <v>5</v>
      </c>
      <c r="J44" s="232">
        <v>1.07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256800003607</v>
      </c>
      <c r="C45" s="227" t="s">
        <v>87</v>
      </c>
      <c r="D45" s="228" t="s">
        <v>88</v>
      </c>
      <c r="E45" s="229"/>
      <c r="F45" s="229" t="s">
        <v>87</v>
      </c>
      <c r="G45" s="229" t="s">
        <v>42</v>
      </c>
      <c r="H45" s="230">
        <v>0</v>
      </c>
      <c r="I45" s="231">
        <v>1</v>
      </c>
      <c r="J45" s="232">
        <v>1.02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99990010835696</v>
      </c>
      <c r="C46" s="227">
        <v>391062</v>
      </c>
      <c r="D46" s="228" t="s">
        <v>89</v>
      </c>
      <c r="E46" s="229"/>
      <c r="F46" s="229">
        <v>391062</v>
      </c>
      <c r="G46" s="229" t="s">
        <v>90</v>
      </c>
      <c r="H46" s="230">
        <v>0</v>
      </c>
      <c r="I46" s="231">
        <v>10</v>
      </c>
      <c r="J46" s="232">
        <v>0.63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 t="s">
        <v>209</v>
      </c>
      <c r="Q46" s="236"/>
      <c r="R46" s="237"/>
      <c r="S46" s="238"/>
      <c r="T46" s="239"/>
    </row>
    <row r="47" spans="1:20" ht="24" customHeight="1">
      <c r="A47" s="226">
        <v>28</v>
      </c>
      <c r="B47" s="226">
        <v>99990010835078</v>
      </c>
      <c r="C47" s="227">
        <v>391814</v>
      </c>
      <c r="D47" s="228" t="s">
        <v>91</v>
      </c>
      <c r="E47" s="229"/>
      <c r="F47" s="229">
        <v>391814</v>
      </c>
      <c r="G47" s="229" t="s">
        <v>47</v>
      </c>
      <c r="H47" s="230">
        <v>0</v>
      </c>
      <c r="I47" s="231">
        <v>60</v>
      </c>
      <c r="J47" s="232">
        <v>0.07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 t="s">
        <v>210</v>
      </c>
      <c r="Q47" s="236"/>
      <c r="R47" s="237"/>
      <c r="S47" s="238"/>
      <c r="T47" s="239"/>
    </row>
    <row r="48" spans="1:20" ht="24" customHeight="1">
      <c r="A48" s="226">
        <v>29</v>
      </c>
      <c r="B48" s="226">
        <v>99990010835086</v>
      </c>
      <c r="C48" s="227">
        <v>391819</v>
      </c>
      <c r="D48" s="228" t="s">
        <v>92</v>
      </c>
      <c r="E48" s="229"/>
      <c r="F48" s="229">
        <v>391819</v>
      </c>
      <c r="G48" s="229" t="s">
        <v>47</v>
      </c>
      <c r="H48" s="230">
        <v>0</v>
      </c>
      <c r="I48" s="231">
        <v>10</v>
      </c>
      <c r="J48" s="232">
        <v>1.02</v>
      </c>
      <c r="K48" s="233"/>
      <c r="L48" s="231" t="s">
        <v>23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 t="s">
        <v>211</v>
      </c>
      <c r="Q48" s="236"/>
      <c r="R48" s="237"/>
      <c r="S48" s="238"/>
      <c r="T48" s="239"/>
    </row>
    <row r="49" spans="1:20" ht="24" customHeight="1">
      <c r="A49" s="226">
        <v>30</v>
      </c>
      <c r="B49" s="226">
        <v>99990009874691</v>
      </c>
      <c r="C49" s="227">
        <v>2.12</v>
      </c>
      <c r="D49" s="228" t="s">
        <v>93</v>
      </c>
      <c r="E49" s="229"/>
      <c r="F49" s="229">
        <v>2.12</v>
      </c>
      <c r="G49" s="229" t="s">
        <v>47</v>
      </c>
      <c r="H49" s="230">
        <v>0</v>
      </c>
      <c r="I49" s="231">
        <v>100</v>
      </c>
      <c r="J49" s="232">
        <v>0.06</v>
      </c>
      <c r="K49" s="233"/>
      <c r="L49" s="231" t="s">
        <v>23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 t="s">
        <v>212</v>
      </c>
      <c r="Q49" s="236"/>
      <c r="R49" s="237"/>
      <c r="S49" s="238"/>
      <c r="T49" s="239"/>
    </row>
    <row r="50" spans="1:20" ht="24" customHeight="1">
      <c r="A50" s="226">
        <v>31</v>
      </c>
      <c r="B50" s="226">
        <v>99990010835081</v>
      </c>
      <c r="C50" s="227">
        <v>391817</v>
      </c>
      <c r="D50" s="228" t="s">
        <v>94</v>
      </c>
      <c r="E50" s="229"/>
      <c r="F50" s="229">
        <v>391817</v>
      </c>
      <c r="G50" s="229" t="s">
        <v>47</v>
      </c>
      <c r="H50" s="230">
        <v>0</v>
      </c>
      <c r="I50" s="231">
        <v>10</v>
      </c>
      <c r="J50" s="232">
        <v>0.41</v>
      </c>
      <c r="K50" s="233"/>
      <c r="L50" s="231" t="s">
        <v>23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/>
      <c r="Q50" s="236"/>
      <c r="R50" s="237"/>
      <c r="S50" s="238"/>
      <c r="T50" s="239"/>
    </row>
    <row r="51" spans="1:20" ht="24" customHeight="1">
      <c r="A51" s="226">
        <v>32</v>
      </c>
      <c r="B51" s="226">
        <v>99990010835083</v>
      </c>
      <c r="C51" s="227">
        <v>391843</v>
      </c>
      <c r="D51" s="228" t="s">
        <v>95</v>
      </c>
      <c r="E51" s="229"/>
      <c r="F51" s="229">
        <v>391843</v>
      </c>
      <c r="G51" s="229" t="s">
        <v>47</v>
      </c>
      <c r="H51" s="230">
        <v>0</v>
      </c>
      <c r="I51" s="231">
        <v>10</v>
      </c>
      <c r="J51" s="232">
        <v>0.52</v>
      </c>
      <c r="K51" s="233"/>
      <c r="L51" s="231" t="s">
        <v>23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/>
      <c r="S51" s="238"/>
      <c r="T51" s="239"/>
    </row>
    <row r="52" spans="1:20" ht="15" customHeight="1">
      <c r="A52" s="32"/>
      <c r="B52" s="295"/>
      <c r="C52" s="296"/>
      <c r="D52" s="296"/>
      <c r="E52" s="296"/>
      <c r="F52" s="296"/>
      <c r="G52" s="296"/>
      <c r="H52" s="297"/>
      <c r="I52" s="297"/>
      <c r="J52" s="297"/>
      <c r="K52" s="297"/>
      <c r="L52" s="297"/>
      <c r="M52" s="297"/>
      <c r="N52" s="297"/>
      <c r="O52" s="297"/>
      <c r="P52" s="297"/>
      <c r="Q52" s="297"/>
      <c r="R52" s="297"/>
      <c r="S52" s="297"/>
      <c r="T52" s="298"/>
    </row>
    <row r="53" spans="1:20" ht="12.75" customHeight="1">
      <c r="A53" s="289" t="s">
        <v>28</v>
      </c>
      <c r="B53" s="289"/>
      <c r="C53" s="290" t="s">
        <v>96</v>
      </c>
      <c r="D53" s="291"/>
      <c r="E53" s="291"/>
      <c r="F53" s="291"/>
      <c r="G53" s="291"/>
      <c r="H53" s="291"/>
      <c r="I53" s="292"/>
      <c r="J53" s="292" t="s">
        <v>97</v>
      </c>
      <c r="K53" s="292"/>
      <c r="L53" s="292" t="s">
        <v>35</v>
      </c>
      <c r="M53" s="292" t="s">
        <v>36</v>
      </c>
      <c r="N53" s="293" t="s">
        <v>98</v>
      </c>
      <c r="O53" s="294" t="s">
        <v>38</v>
      </c>
      <c r="P53" s="294"/>
      <c r="Q53" s="294"/>
      <c r="R53" s="294"/>
      <c r="S53" s="294"/>
      <c r="T53" s="225"/>
    </row>
    <row r="54" spans="1:20" ht="15" customHeight="1">
      <c r="A54" s="269">
        <v>1</v>
      </c>
      <c r="B54" s="270"/>
      <c r="C54" s="271" t="s">
        <v>99</v>
      </c>
      <c r="D54" s="272" t="s">
        <v>99</v>
      </c>
      <c r="E54" s="272" t="s">
        <v>99</v>
      </c>
      <c r="F54" s="272" t="s">
        <v>99</v>
      </c>
      <c r="G54" s="272" t="s">
        <v>99</v>
      </c>
      <c r="H54" s="273" t="s">
        <v>99</v>
      </c>
      <c r="I54" s="274"/>
      <c r="J54" s="275">
        <v>0</v>
      </c>
      <c r="K54" s="276"/>
      <c r="L54" s="277">
        <v>0</v>
      </c>
      <c r="M54" s="277">
        <v>0</v>
      </c>
      <c r="N54" s="285">
        <f>(J54-(J54*L54/100)+((J54-(J54*L54/100))*M54/100))</f>
      </c>
      <c r="O54" s="286"/>
      <c r="P54" s="287"/>
      <c r="Q54" s="287"/>
      <c r="R54" s="287"/>
      <c r="S54" s="288"/>
      <c r="T54" s="283"/>
    </row>
    <row r="55" spans="1:20" ht="15" customHeight="1">
      <c r="A55" s="269">
        <v>2</v>
      </c>
      <c r="B55" s="270"/>
      <c r="C55" s="271" t="s">
        <v>100</v>
      </c>
      <c r="D55" s="272" t="s">
        <v>100</v>
      </c>
      <c r="E55" s="272" t="s">
        <v>100</v>
      </c>
      <c r="F55" s="272" t="s">
        <v>100</v>
      </c>
      <c r="G55" s="272" t="s">
        <v>100</v>
      </c>
      <c r="H55" s="273" t="s">
        <v>100</v>
      </c>
      <c r="I55" s="284"/>
      <c r="J55" s="275">
        <v>0</v>
      </c>
      <c r="K55" s="276"/>
      <c r="L55" s="277">
        <v>0</v>
      </c>
      <c r="M55" s="277">
        <v>0</v>
      </c>
      <c r="N55" s="279">
        <f>(J55-(J55*L55/100)+((J55-(J55*L55/100))*M55/100))</f>
      </c>
      <c r="O55" s="280"/>
      <c r="P55" s="281"/>
      <c r="Q55" s="281"/>
      <c r="R55" s="281"/>
      <c r="S55" s="282"/>
      <c r="T55" s="283"/>
    </row>
    <row r="56" spans="1:20" ht="15" customHeight="1">
      <c r="A56" s="269">
        <v>3</v>
      </c>
      <c r="B56" s="270"/>
      <c r="C56" s="271"/>
      <c r="D56" s="272"/>
      <c r="E56" s="272"/>
      <c r="F56" s="272"/>
      <c r="G56" s="272"/>
      <c r="H56" s="273"/>
      <c r="I56" s="274"/>
      <c r="J56" s="275">
        <v>0</v>
      </c>
      <c r="K56" s="276"/>
      <c r="L56" s="277">
        <v>0</v>
      </c>
      <c r="M56" s="277">
        <v>0</v>
      </c>
      <c r="N56" s="279">
        <f>(J56-(J56*L56/100)+((J56-(J56*L56/100))*M56/100))</f>
      </c>
      <c r="O56" s="280"/>
      <c r="P56" s="281"/>
      <c r="Q56" s="281"/>
      <c r="R56" s="281"/>
      <c r="S56" s="282"/>
      <c r="T56" s="283"/>
    </row>
    <row r="57" spans="1:20" ht="15.75" customHeight="1">
      <c r="A57" s="269">
        <v>4</v>
      </c>
      <c r="B57" s="270"/>
      <c r="C57" s="271"/>
      <c r="D57" s="272"/>
      <c r="E57" s="272"/>
      <c r="F57" s="272"/>
      <c r="G57" s="272"/>
      <c r="H57" s="273"/>
      <c r="I57" s="274"/>
      <c r="J57" s="275">
        <v>0</v>
      </c>
      <c r="K57" s="276"/>
      <c r="L57" s="277">
        <v>0</v>
      </c>
      <c r="M57" s="278">
        <v>0</v>
      </c>
      <c r="N57" s="279">
        <f>(J57-(J57*L57/100)+((J57-(J57*L57/100))*M57/100))</f>
      </c>
      <c r="O57" s="280"/>
      <c r="P57" s="281"/>
      <c r="Q57" s="281"/>
      <c r="R57" s="281"/>
      <c r="S57" s="282"/>
      <c r="T57" s="283"/>
    </row>
    <row r="58" spans="1:16" ht="15.95" customHeight="1">
      <c r="A58" s="247"/>
      <c r="B58" s="247"/>
      <c r="C58" s="248"/>
      <c r="D58" s="248"/>
      <c r="I58" s="163"/>
      <c r="J58" s="58" t="s">
        <v>101</v>
      </c>
      <c r="K58" s="59"/>
      <c r="L58" s="58"/>
      <c r="M58" s="59"/>
      <c r="N58" s="264">
        <f>SUM(ItmPrice)</f>
      </c>
      <c r="O58" s="267"/>
      <c r="P58" s="268"/>
    </row>
    <row r="59" spans="1:16" ht="15" customHeight="1">
      <c r="A59" s="247"/>
      <c r="B59" s="247"/>
      <c r="C59" s="248"/>
      <c r="D59" s="248"/>
      <c r="I59" s="163"/>
      <c r="J59" s="123" t="s">
        <v>102</v>
      </c>
      <c r="K59" s="124"/>
      <c r="L59" s="124"/>
      <c r="M59" s="125"/>
      <c r="N59" s="264">
        <f>SUM(N54:N58)</f>
      </c>
      <c r="O59" s="265"/>
      <c r="P59" s="266"/>
    </row>
    <row r="60" spans="1:19" ht="2.25" customHeight="1" hidden="1">
      <c r="A60" s="258">
        <v>0</v>
      </c>
      <c r="B60" s="258">
        <v>0</v>
      </c>
      <c r="C60" s="259">
        <v>0</v>
      </c>
      <c r="D60" s="248"/>
      <c r="E60" s="248"/>
      <c r="F60" s="260">
        <v>1</v>
      </c>
      <c r="G60" s="248"/>
      <c r="H60" s="248"/>
      <c r="I60" s="248"/>
      <c r="J60" s="248"/>
      <c r="K60" s="261"/>
      <c r="L60" s="262">
        <v>0</v>
      </c>
      <c r="M60" s="263">
        <v>0</v>
      </c>
      <c r="N60" s="162" t="s">
        <v>103</v>
      </c>
      <c r="O60" s="257"/>
      <c r="P60" s="263">
        <v>995</v>
      </c>
      <c r="Q60" s="248" t="s">
        <v>104</v>
      </c>
      <c r="R60" s="248"/>
      <c r="S60" s="248"/>
    </row>
    <row r="61" spans="1:19" ht="18.75" customHeight="1">
      <c r="A61" s="247"/>
      <c r="B61" s="247"/>
      <c r="C61" s="247"/>
      <c r="H61" s="257"/>
      <c r="I61" s="163"/>
      <c r="J61" s="248"/>
      <c r="K61" s="248"/>
      <c r="L61" s="248"/>
      <c r="M61" s="248"/>
      <c r="N61" s="248"/>
      <c r="O61" s="248"/>
      <c r="P61" s="248"/>
      <c r="R61" s="248"/>
      <c r="S61" s="248"/>
    </row>
    <row r="62" spans="1:20" ht="127.5" customHeight="1">
      <c r="A62" s="249" t="s">
        <v>105</v>
      </c>
      <c r="B62" s="249"/>
      <c r="C62" s="249"/>
      <c r="D62" s="250"/>
      <c r="E62" s="254"/>
      <c r="F62" s="255"/>
      <c r="G62" s="255"/>
      <c r="H62" s="255"/>
      <c r="I62" s="255"/>
      <c r="J62" s="255"/>
      <c r="K62" s="255"/>
      <c r="L62" s="255"/>
      <c r="M62" s="255"/>
      <c r="N62" s="255"/>
      <c r="O62" s="255"/>
      <c r="P62" s="255"/>
      <c r="Q62" s="255"/>
      <c r="R62" s="255"/>
      <c r="S62" s="255"/>
      <c r="T62" s="256"/>
    </row>
    <row r="63" spans="1:20" ht="129.75" customHeight="1">
      <c r="A63" s="249" t="s">
        <v>38</v>
      </c>
      <c r="B63" s="249"/>
      <c r="C63" s="249"/>
      <c r="D63" s="250"/>
      <c r="E63" s="251" t="s">
        <v>213</v>
      </c>
      <c r="F63" s="252"/>
      <c r="G63" s="252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3"/>
    </row>
    <row r="64" spans="1:19" ht="15.95" customHeight="1">
      <c r="A64" s="247"/>
      <c r="B64" s="247"/>
      <c r="C64" s="247"/>
      <c r="H64" s="248"/>
      <c r="I64" s="248"/>
      <c r="J64" s="248"/>
      <c r="K64" s="248"/>
      <c r="L64" s="248"/>
      <c r="M64" s="248"/>
      <c r="N64" s="248"/>
      <c r="O64" s="248"/>
      <c r="P64" s="248"/>
      <c r="Q64" s="248"/>
      <c r="R64" s="248"/>
      <c r="S64" s="248"/>
    </row>
    <row r="65" spans="1:20" ht="15.95" customHeight="1">
      <c r="A65" s="245" t="s">
        <v>106</v>
      </c>
      <c r="B65" s="245"/>
      <c r="C65" s="245"/>
      <c r="D65" s="245"/>
      <c r="E65" s="245"/>
      <c r="F65" s="245"/>
      <c r="G65" s="245"/>
      <c r="H65" s="245"/>
      <c r="I65" s="245"/>
      <c r="J65" s="245"/>
      <c r="K65" s="245"/>
      <c r="L65" s="245"/>
      <c r="M65" s="245"/>
      <c r="N65" s="245"/>
      <c r="O65" s="245"/>
      <c r="P65" s="245"/>
      <c r="Q65" s="245"/>
      <c r="R65" s="245"/>
      <c r="S65" s="245"/>
      <c r="T65" s="246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7.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7.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7.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12.7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12.75" customHeight="1">
      <c r="A84" s="243"/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4"/>
    </row>
    <row r="85" spans="1:20" ht="7.5" customHeight="1">
      <c r="A85" s="243"/>
      <c r="B85" s="243"/>
      <c r="C85" s="243"/>
      <c r="D85" s="243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4"/>
    </row>
    <row r="86" spans="1:20" ht="12.75" customHeight="1">
      <c r="A86" s="243"/>
      <c r="B86" s="243"/>
      <c r="C86" s="243"/>
      <c r="D86" s="243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4"/>
    </row>
    <row r="87" spans="1:20" ht="12.75" customHeight="1">
      <c r="A87" s="243"/>
      <c r="B87" s="243"/>
      <c r="C87" s="243"/>
      <c r="D87" s="243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4"/>
    </row>
    <row r="88" spans="1:20" ht="12.75" customHeight="1">
      <c r="A88" s="241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1"/>
      <c r="R88" s="241"/>
      <c r="S88" s="241"/>
      <c r="T88" s="242"/>
    </row>
    <row r="89" spans="1:9" ht="12.75">
      <c r="A89" s="240" t="s">
        <v>107</v>
      </c>
      <c r="B89" s="240"/>
      <c r="C89" s="240"/>
      <c r="D89" s="240"/>
      <c r="E89" s="240"/>
      <c r="F89" s="240"/>
      <c r="G89" s="240"/>
      <c r="I8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29">
    <mergeCell ref="E62:S62"/>
    <mergeCell ref="E63:S63"/>
    <mergeCell ref="E65:S65"/>
    <mergeCell ref="A66:S87"/>
    <mergeCell ref="A88:S88"/>
    <mergeCell ref="A62:D62"/>
    <mergeCell ref="A63:D63"/>
    <mergeCell ref="K1:R1"/>
    <mergeCell ref="R19:S19"/>
    <mergeCell ref="R20:S20"/>
    <mergeCell ref="O54:S54"/>
    <mergeCell ref="O55:S55"/>
    <mergeCell ref="O53:S53"/>
    <mergeCell ref="J53:K53"/>
    <mergeCell ref="K4:L4"/>
    <mergeCell ref="M4:P4"/>
    <mergeCell ref="K5:L5"/>
    <mergeCell ref="M5:P5"/>
    <mergeCell ref="M7:Q7"/>
    <mergeCell ref="P20:Q20"/>
    <mergeCell ref="M12:O12"/>
    <mergeCell ref="K12:L12"/>
    <mergeCell ref="O58:P58"/>
    <mergeCell ref="O59:P59"/>
    <mergeCell ref="J59:M59"/>
    <mergeCell ref="O56:S56"/>
    <mergeCell ref="O57:S5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53:H5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C54:H54"/>
    <mergeCell ref="J54:K54"/>
    <mergeCell ref="C55:H55"/>
    <mergeCell ref="J55:K55"/>
    <mergeCell ref="C56:H56"/>
    <mergeCell ref="J56:K56"/>
    <mergeCell ref="C57:H57"/>
    <mergeCell ref="J57:K57"/>
  </mergeCells>
  <dataValidations count="138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list" allowBlank="1" showInputMessage="1" showErrorMessage="1" sqref="C54:H54">
      <formula1>'MasterData'!$H$1:$H$20</formula1>
    </dataValidation>
    <dataValidation type="list" allowBlank="1" showInputMessage="1" showErrorMessage="1" sqref="C55:H55">
      <formula1>'MasterData'!$H$1:$H$20</formula1>
    </dataValidation>
    <dataValidation type="list" allowBlank="1" showInputMessage="1" showErrorMessage="1" sqref="C56:H56">
      <formula1>'MasterData'!$H$1:$H$20</formula1>
    </dataValidation>
    <dataValidation type="list" allowBlank="1" showInputMessage="1" showErrorMessage="1" sqref="C57:H57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99</v>
      </c>
      <c r="M1" s="300" t="s">
        <v>108</v>
      </c>
      <c r="N1" s="301" t="s">
        <v>0</v>
      </c>
      <c r="O1" s="162" t="s">
        <v>109</v>
      </c>
    </row>
    <row r="2" spans="7:15" ht="12.75">
      <c r="G2" s="162">
        <v>1001310</v>
      </c>
      <c r="H2" s="162" t="s">
        <v>100</v>
      </c>
      <c r="M2" s="300" t="s">
        <v>110</v>
      </c>
      <c r="N2" s="301">
        <v>1020668937</v>
      </c>
      <c r="O2" s="162" t="s">
        <v>111</v>
      </c>
    </row>
    <row r="3" spans="7:15" ht="12.75">
      <c r="G3" s="162">
        <v>1001352</v>
      </c>
      <c r="H3" s="162" t="s">
        <v>96</v>
      </c>
      <c r="M3" s="300" t="s">
        <v>112</v>
      </c>
      <c r="N3" s="301">
        <v>99990000419735</v>
      </c>
      <c r="O3" s="162" t="s">
        <v>113</v>
      </c>
    </row>
    <row r="4" spans="7:15" ht="12.75">
      <c r="G4" s="162">
        <v>1012729</v>
      </c>
      <c r="H4" s="162" t="s">
        <v>114</v>
      </c>
      <c r="M4" s="300" t="s">
        <v>115</v>
      </c>
      <c r="N4" s="301">
        <v>1021696566</v>
      </c>
      <c r="O4" s="162" t="s">
        <v>116</v>
      </c>
    </row>
    <row r="5" spans="7:15" ht="12.75">
      <c r="G5" s="162">
        <v>1012730</v>
      </c>
      <c r="H5" s="162" t="s">
        <v>117</v>
      </c>
      <c r="M5" s="300" t="s">
        <v>118</v>
      </c>
      <c r="N5" s="301"/>
      <c r="O5" s="162" t="s">
        <v>119</v>
      </c>
    </row>
    <row r="6" spans="7:15" ht="12.75">
      <c r="G6" s="162">
        <v>1012731</v>
      </c>
      <c r="H6" s="162" t="s">
        <v>120</v>
      </c>
      <c r="M6" s="300" t="s">
        <v>121</v>
      </c>
      <c r="N6" s="301" t="s">
        <v>122</v>
      </c>
      <c r="O6" s="162" t="s">
        <v>123</v>
      </c>
    </row>
    <row r="7" spans="7:15" ht="12.75">
      <c r="G7" s="162">
        <v>1012732</v>
      </c>
      <c r="H7" s="162" t="s">
        <v>124</v>
      </c>
      <c r="M7" s="300" t="s">
        <v>125</v>
      </c>
      <c r="N7" s="301">
        <v>0</v>
      </c>
      <c r="O7" s="162" t="s">
        <v>126</v>
      </c>
    </row>
    <row r="8" spans="7:15" ht="12.75">
      <c r="G8" s="162">
        <v>1012733</v>
      </c>
      <c r="H8" s="162" t="s">
        <v>127</v>
      </c>
      <c r="O8" s="162" t="s">
        <v>128</v>
      </c>
    </row>
    <row r="9" spans="7:15" ht="12.75">
      <c r="G9" s="162">
        <v>1012735</v>
      </c>
      <c r="H9" s="162" t="s">
        <v>129</v>
      </c>
      <c r="O9" s="162" t="s">
        <v>130</v>
      </c>
    </row>
    <row r="10" spans="7:15" ht="12.75">
      <c r="G10" s="162">
        <v>1012736</v>
      </c>
      <c r="H10" s="162" t="s">
        <v>131</v>
      </c>
      <c r="O10" s="162" t="s">
        <v>132</v>
      </c>
    </row>
    <row r="11" spans="7:15" ht="12.75">
      <c r="G11" s="162">
        <v>1012737</v>
      </c>
      <c r="H11" s="162" t="s">
        <v>133</v>
      </c>
      <c r="O11" s="162" t="s">
        <v>134</v>
      </c>
    </row>
    <row r="12" spans="7:15" ht="12.75">
      <c r="G12" s="162">
        <v>1012738</v>
      </c>
      <c r="H12" s="162" t="s">
        <v>135</v>
      </c>
      <c r="O12" s="162" t="s">
        <v>136</v>
      </c>
    </row>
    <row r="13" spans="7:15" ht="12.75">
      <c r="G13" s="162">
        <v>1012739</v>
      </c>
      <c r="H13" s="162" t="s">
        <v>137</v>
      </c>
      <c r="O13" s="162" t="s">
        <v>138</v>
      </c>
    </row>
    <row r="14" spans="7:15" ht="12.75">
      <c r="G14" s="162">
        <v>1012740</v>
      </c>
      <c r="H14" s="162" t="s">
        <v>139</v>
      </c>
      <c r="O14" s="162" t="s">
        <v>140</v>
      </c>
    </row>
    <row r="15" spans="7:15" ht="12.75">
      <c r="G15" s="162">
        <v>1012741</v>
      </c>
      <c r="H15" s="162" t="s">
        <v>141</v>
      </c>
      <c r="O15" s="162" t="s">
        <v>142</v>
      </c>
    </row>
    <row r="16" spans="7:15" ht="12.75">
      <c r="G16" s="162">
        <v>1012742</v>
      </c>
      <c r="H16" s="162" t="s">
        <v>143</v>
      </c>
      <c r="O16" s="162" t="s">
        <v>144</v>
      </c>
    </row>
    <row r="17" spans="7:15" ht="12.75">
      <c r="G17" s="162">
        <v>1012743</v>
      </c>
      <c r="H17" s="162" t="s">
        <v>145</v>
      </c>
      <c r="O17" s="162" t="s">
        <v>146</v>
      </c>
    </row>
    <row r="18" spans="7:15" ht="12.75">
      <c r="G18" s="162">
        <v>1012744</v>
      </c>
      <c r="H18" s="162" t="s">
        <v>147</v>
      </c>
      <c r="O18" s="162" t="s">
        <v>148</v>
      </c>
    </row>
    <row r="19" spans="7:15" ht="12.75">
      <c r="G19" s="162">
        <v>1020032</v>
      </c>
      <c r="H19" s="162" t="s">
        <v>149</v>
      </c>
      <c r="O19" s="162" t="s">
        <v>150</v>
      </c>
    </row>
    <row r="20" spans="7:15" ht="12.75">
      <c r="G20" s="162">
        <v>1020033</v>
      </c>
      <c r="H20" s="162" t="s">
        <v>151</v>
      </c>
      <c r="O20" s="162" t="s">
        <v>152</v>
      </c>
    </row>
    <row r="21" ht="12.75">
      <c r="O21" s="162" t="s">
        <v>153</v>
      </c>
    </row>
    <row r="22" ht="12.75">
      <c r="O22" s="162" t="s">
        <v>154</v>
      </c>
    </row>
    <row r="23" ht="12.75">
      <c r="O23" s="162" t="s">
        <v>155</v>
      </c>
    </row>
    <row r="24" ht="12.75">
      <c r="O24" s="162" t="s">
        <v>156</v>
      </c>
    </row>
    <row r="25" ht="12.75">
      <c r="O25" s="162" t="s">
        <v>157</v>
      </c>
    </row>
    <row r="26" ht="12.75">
      <c r="O26" s="162" t="s">
        <v>158</v>
      </c>
    </row>
    <row r="27" ht="12.75">
      <c r="O27" s="162" t="s">
        <v>159</v>
      </c>
    </row>
    <row r="28" ht="12.75">
      <c r="O28" s="162" t="s">
        <v>160</v>
      </c>
    </row>
    <row r="29" ht="12.75">
      <c r="O29" s="162" t="s">
        <v>161</v>
      </c>
    </row>
    <row r="30" ht="12.75">
      <c r="O30" s="162" t="s">
        <v>162</v>
      </c>
    </row>
    <row r="31" ht="12.75">
      <c r="O31" s="162" t="s">
        <v>163</v>
      </c>
    </row>
    <row r="32" ht="12.75">
      <c r="O32" s="162" t="s">
        <v>164</v>
      </c>
    </row>
    <row r="33" ht="12.75">
      <c r="O33" s="162" t="s">
        <v>165</v>
      </c>
    </row>
    <row r="34" ht="12.75">
      <c r="O34" s="162" t="s">
        <v>166</v>
      </c>
    </row>
    <row r="35" ht="12.75">
      <c r="O35" s="162" t="s">
        <v>167</v>
      </c>
    </row>
    <row r="36" ht="12.75">
      <c r="O36" s="162" t="s">
        <v>168</v>
      </c>
    </row>
    <row r="37" ht="12.75">
      <c r="O37" s="162" t="s">
        <v>169</v>
      </c>
    </row>
    <row r="38" ht="12.75">
      <c r="O38" s="162" t="s">
        <v>170</v>
      </c>
    </row>
    <row r="39" ht="12.75">
      <c r="O39" s="162" t="s">
        <v>171</v>
      </c>
    </row>
    <row r="40" ht="12.75">
      <c r="O40" s="162" t="s">
        <v>172</v>
      </c>
    </row>
    <row r="41" ht="12.75">
      <c r="O41" s="162" t="s">
        <v>173</v>
      </c>
    </row>
    <row r="42" ht="12.75">
      <c r="O42" s="162" t="s">
        <v>174</v>
      </c>
    </row>
    <row r="43" ht="12.75">
      <c r="O43" s="162" t="s">
        <v>175</v>
      </c>
    </row>
    <row r="44" ht="12.75">
      <c r="O44" s="162" t="s">
        <v>176</v>
      </c>
    </row>
    <row r="45" ht="12.75">
      <c r="O45" s="162" t="s">
        <v>177</v>
      </c>
    </row>
    <row r="46" ht="12.75">
      <c r="O46" s="162" t="s">
        <v>178</v>
      </c>
    </row>
    <row r="47" ht="12.75">
      <c r="O47" s="162" t="s">
        <v>179</v>
      </c>
    </row>
    <row r="48" ht="12.75">
      <c r="O48" s="162" t="s">
        <v>180</v>
      </c>
    </row>
    <row r="49" ht="12.75">
      <c r="O49" s="162" t="s">
        <v>181</v>
      </c>
    </row>
    <row r="50" ht="12.75">
      <c r="O50" s="162" t="s">
        <v>182</v>
      </c>
    </row>
    <row r="51" ht="12.75">
      <c r="O51" s="162" t="s">
        <v>183</v>
      </c>
    </row>
    <row r="52" ht="12.75">
      <c r="O52" s="162" t="s">
        <v>184</v>
      </c>
    </row>
    <row r="53" ht="12.75">
      <c r="O53" s="162" t="s">
        <v>185</v>
      </c>
    </row>
    <row r="54" ht="12.75">
      <c r="O54" s="162" t="s">
        <v>186</v>
      </c>
    </row>
    <row r="55" ht="12.75">
      <c r="O55" s="162" t="s">
        <v>187</v>
      </c>
    </row>
    <row r="56" ht="12.75">
      <c r="O56" s="162" t="s">
        <v>188</v>
      </c>
    </row>
    <row r="57" ht="12.75">
      <c r="O57" s="162" t="s">
        <v>189</v>
      </c>
    </row>
    <row r="58" ht="12.75">
      <c r="O58" s="162" t="s">
        <v>190</v>
      </c>
    </row>
    <row r="59" ht="12.75">
      <c r="O59" s="162" t="s">
        <v>191</v>
      </c>
    </row>
    <row r="60" ht="12.75">
      <c r="O60" s="162" t="s">
        <v>192</v>
      </c>
    </row>
    <row r="61" ht="12.75">
      <c r="O61" s="162" t="s">
        <v>193</v>
      </c>
    </row>
    <row r="62" ht="12.75">
      <c r="O62" s="162" t="s">
        <v>194</v>
      </c>
    </row>
    <row r="63" ht="12.75">
      <c r="O63" s="162" t="s">
        <v>195</v>
      </c>
    </row>
    <row r="64" ht="12.75">
      <c r="O64" s="162" t="s">
        <v>196</v>
      </c>
    </row>
    <row r="65" ht="12.75">
      <c r="O65" s="162" t="s">
        <v>197</v>
      </c>
    </row>
    <row r="66" ht="12.75">
      <c r="O66" s="162" t="s">
        <v>198</v>
      </c>
    </row>
    <row r="67" ht="12.75">
      <c r="O67" s="162" t="s">
        <v>199</v>
      </c>
    </row>
    <row r="68" ht="12.75">
      <c r="O68" s="162" t="s">
        <v>200</v>
      </c>
    </row>
    <row r="69" ht="12.75">
      <c r="O69" s="162" t="s">
        <v>201</v>
      </c>
    </row>
    <row r="70" ht="12.75">
      <c r="O70" s="162" t="s">
        <v>202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