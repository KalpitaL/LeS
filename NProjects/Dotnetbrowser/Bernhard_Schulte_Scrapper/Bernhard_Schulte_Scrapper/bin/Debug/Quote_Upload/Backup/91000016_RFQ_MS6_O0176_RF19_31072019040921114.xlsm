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Quote!$A$1:$R$58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Quote!$A$39</definedName>
    <definedName name="Enquiry_To_Vendor_ID" comment="Enquiry to Vendor ID">Quote!$C$39</definedName>
    <definedName name="GrandTotal">Quote!$N$38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Quote!$A$31</definedName>
    <definedName name="ItemListStartupRow" comment="Item List Start Up Row">Quote!$A$19</definedName>
    <definedName name="ItemSubTotal">Quote!$N$37</definedName>
    <definedName name="ItemSubTotalTitle">Quote!$J$37</definedName>
    <definedName name="LeadDay">Quote!$M$11</definedName>
    <definedName name="Lock">Quote!$M$39</definedName>
    <definedName name="LoggedInEmailID">Quote!$N$39</definedName>
    <definedName name="LoggedInPwd">Quote!$O$39</definedName>
    <definedName name="OtherCharges">Quote!$C$33</definedName>
    <definedName name="OtherChargesLastRow">Quote!$A$37</definedName>
    <definedName name="OtherChargesStartRow">Quote!$A$32</definedName>
    <definedName name="Port">Quote!$P$39</definedName>
    <definedName name="PortOfDelivery" comment="Port of Delivery">Quote!$M$9</definedName>
    <definedName name="PurchaserName">Quote!$J$39</definedName>
    <definedName name="QuoteBefore">Quote!$M$8</definedName>
    <definedName name="QuoteID">MasterData!$N$7</definedName>
    <definedName name="QuoteSubject">Quote!$E$39</definedName>
    <definedName name="Remarks">Quote!$E$41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Quote!$K$39</definedName>
    <definedName name="SentIndex">Quote!$L$39</definedName>
    <definedName name="Server">Quote!$Q$39</definedName>
    <definedName name="Terms">Quote!$A$45:$T$66</definedName>
    <definedName name="ToEmailID">Quote!$I$39</definedName>
    <definedName name="ToEmailPwd">Quote!$H$39</definedName>
    <definedName name="VAL">Quote!$F$39</definedName>
    <definedName name="VAT_All">Quote!$M$16</definedName>
    <definedName name="Vendor_ID" comment="Vendor ID">Quote!$B$39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Quote!$D$39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Quote!$E$42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Quote!$N$20:$N$20,Quote!$N$21:$N$21,Quote!$N$22:$N$22,Quote!$N$23:$N$23,Quote!$N$24:$N$24,Quote!$N$25:$N$25,Quote!$N$26:$N$26,Quote!$N$27:$N$27,Quote!$N$28:$N$28,Quote!$N$29:$N$29,Quote!$N$30:$N$30</definedName>
  </definedNames>
  <calcPr fullCalcOnLoad="1"/>
</workbook>
</file>

<file path=xl/sharedStrings.xml><?xml version="1.0" encoding="utf-8"?>
<sst xmlns="http://schemas.openxmlformats.org/spreadsheetml/2006/main" count="229" uniqueCount="185">
  <si>
    <t>RFQ</t>
  </si>
  <si>
    <t>Request for Quote</t>
  </si>
  <si>
    <t>Invoice To</t>
  </si>
  <si>
    <t xml:space="preserve">Bernhard Schulte Shipmanagement (Hong Kong) Limited Partnership
Invoice To: MASTER &amp; OWNER OF MIA SCHULTE
		  REGD. OWNER: BINJAI PARK SHIPPING CO. PTE. LTD.
		  BERNHARD SCHULTE SHIPMANGEMENT (HONG KONG) LTD. PARTNERSHIP
                  (AS AGENTS ONLY)
		  2602, K WAH CENTRE, 191 JAVA ROAD, 
		  NORTH POINT, HONG KONG
		  TEL:  +852 2561 8838
		  FAX:  +852 2561 8803
                  E-MAIL Address: hk-smc-invoices@bs-shipmanagement.com
</t>
  </si>
  <si>
    <t>Vessel</t>
  </si>
  <si>
    <t>Mia Schulte</t>
  </si>
  <si>
    <t>RFQ No.</t>
  </si>
  <si>
    <t>MS6/O0176/RF19</t>
  </si>
  <si>
    <t>RFQ Date</t>
  </si>
  <si>
    <t>Submit Quote Before:</t>
  </si>
  <si>
    <t>Port of Delivery</t>
  </si>
  <si>
    <t>Singapore</t>
  </si>
  <si>
    <t>Vessel ETA</t>
  </si>
  <si>
    <t>Lead Days</t>
  </si>
  <si>
    <t>Vendor Details</t>
  </si>
  <si>
    <t>Vendor Reference</t>
  </si>
  <si>
    <t>Name</t>
  </si>
  <si>
    <t>AMOS INTERNATIONAL (S) PTE LTD</t>
  </si>
  <si>
    <t>Address</t>
  </si>
  <si>
    <t>156 Gul Circle, Singapore 629613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</si>
  <si>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</si>
  <si>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</si>
  <si>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</si>
  <si>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</si>
  <si>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</si>
  <si>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</si>
  <si>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</si>
  <si>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sales.ms.sg@amosgroup.com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</si>
  <si>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</si>
  <si>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</si>
  <si>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</si>
  <si>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</si>
  <si>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</si>
  <si>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</si>
  <si>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</si>
  <si>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</si>
  <si>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</si>
  <si>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</si>
  <si>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</si>
  <si>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</si>
  <si>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IV INFUSION SET "FS-922G"</t>
  </si>
  <si>
    <t>PCS</t>
  </si>
  <si>
    <t xml:space="preserve">Infuction cannula 22G or 21G, Luker lock connection, sterile,non-recape type + mandrian </t>
  </si>
  <si>
    <t>CALCIUM GLUCONATE GEL, 25 G</t>
  </si>
  <si>
    <t>0.5 g x 100 tab / btl</t>
  </si>
  <si>
    <t>ANAESTHETIC EYE DROPS</t>
  </si>
  <si>
    <t xml:space="preserve"> 8 ml x 24 mg  </t>
  </si>
  <si>
    <t>SODIUM CHLORIDE INJ. 0,9 % WITH ADMINISTRATION SET</t>
  </si>
  <si>
    <t>Cefuroxime Sodium inj., 0.75g x 10amp / box</t>
  </si>
  <si>
    <t>09B5</t>
  </si>
  <si>
    <t>FLUORESCEIN SODIUM OPHTHALMIC STRIPS, STERILE, 1% (WHO 40.)</t>
  </si>
  <si>
    <t>Fluorescein Sodium Opthalmic Strip, Steril 10s/ pack</t>
  </si>
  <si>
    <t>METOCLOPRAMIDE INJ. 2 ML</t>
  </si>
  <si>
    <t>HCL inj 10mg /2ml amp</t>
  </si>
  <si>
    <t>ORAL REHYDRATION SALTS (5 X 30  G)</t>
  </si>
  <si>
    <t xml:space="preserve">Oral Rehydration Salt 14.75kg x 50 sachet /box </t>
  </si>
  <si>
    <t>ORAL REHYDRATION SALTS (WHO 58.)</t>
  </si>
  <si>
    <t>Oral Rehydration Salt  Tablets</t>
  </si>
  <si>
    <t>BUDESONIDE AEROSOL, 200 DOSE</t>
  </si>
  <si>
    <t xml:space="preserve">Salbutamol Aerosol Inhaler 200does , btls </t>
  </si>
  <si>
    <t>9B6</t>
  </si>
  <si>
    <t>SODIUM CHLORIDE SOL. 0,9 % (1000 ML)</t>
  </si>
  <si>
    <t>Sodium Chloride inj IP 0.9% W/V 10ml ,btl</t>
  </si>
  <si>
    <t>GUEDEL AIRWAY SIZE 3 U. 4</t>
  </si>
  <si>
    <t>Guedel Airway Size 2 , 3 and 4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</si>
  <si>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</si>
  <si>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</si>
  <si>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</si>
  <si>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</si>
  <si>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</si>
  <si>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</si>
  <si>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</si>
  <si>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</si>
  <si>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</si>
  <si>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</si>
  <si>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</si>
  <si>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</si>
  <si>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</si>
  <si>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</si>
  <si>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</si>
  <si>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</si>
  <si>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RequestForQuoteID</t>
  </si>
  <si>
    <t>AFA</t>
  </si>
  <si>
    <t>ADDITIONAL JOBS</t>
  </si>
  <si>
    <t>HeaderID</t>
  </si>
  <si>
    <t>AUD</t>
  </si>
  <si>
    <t>AGENCY FEE</t>
  </si>
  <si>
    <t>VendorID</t>
  </si>
  <si>
    <t>BAD</t>
  </si>
  <si>
    <t>HANDLING CHARGE</t>
  </si>
  <si>
    <t>RFQCategory</t>
  </si>
  <si>
    <t>CP - SS : MEDICAL STORES &amp; EQUIPMENT</t>
  </si>
  <si>
    <t>BAM</t>
  </si>
  <si>
    <t>PACKING CHARGE</t>
  </si>
  <si>
    <t>QuoteID</t>
  </si>
  <si>
    <t>BBD</t>
  </si>
  <si>
    <t>SPARE USED</t>
  </si>
  <si>
    <t>BHD</t>
  </si>
  <si>
    <t>WAREHOUSING</t>
  </si>
  <si>
    <t>BMD</t>
  </si>
  <si>
    <t>CRANAGE</t>
  </si>
  <si>
    <t>BOL</t>
  </si>
  <si>
    <t>CUSTOMS</t>
  </si>
  <si>
    <t>BRL</t>
  </si>
  <si>
    <t>OTHERS 1</t>
  </si>
  <si>
    <t>BSD</t>
  </si>
  <si>
    <t>OTHERS 2</t>
  </si>
  <si>
    <t>CAD</t>
  </si>
  <si>
    <t>OTHERS 3</t>
  </si>
  <si>
    <t>CDZ</t>
  </si>
  <si>
    <t>LAUNCH HIRE CHARGE</t>
  </si>
  <si>
    <t>CHF</t>
  </si>
  <si>
    <t>ROUNDING ADJUSTMENT</t>
  </si>
  <si>
    <t>CLP</t>
  </si>
  <si>
    <t>BOAT CHARGES</t>
  </si>
  <si>
    <t>CNY</t>
  </si>
  <si>
    <t>MINIMUM QUANTITY CHARGE</t>
  </si>
  <si>
    <t>CYP</t>
  </si>
  <si>
    <t>PORT SURCHARGE</t>
  </si>
  <si>
    <t>CZK</t>
  </si>
  <si>
    <t>TRANSPORTATION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</si>
  <si>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</si>
  <si>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</si>
  <si>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</si>
  <si>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</si>
  <si>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</si>
  <si>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</si>
  <si>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</si>
  <si>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</si>
  <si>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</si>
  <si>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</si>
  <si>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</si>
  <si>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</si>
  <si>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</si>
  <si>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</si>
  <si>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</si>
  <si>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</si>
  <si>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</si>
  <si>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</si>
  <si>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</si>
  <si>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</si>
  <si>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</si>
  <si>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</si>
  <si>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</si>
  <si>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</si>
  <si>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</si>
  <si>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</si>
  <si>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</si>
  <si>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</si>
  <si>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</si>
  <si>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</si>
  <si>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</si>
  <si>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</si>
  <si>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</si>
  <si>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</si>
  <si>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</si>
  <si>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</si>
  <si>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</si>
  <si>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</si>
  <si>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</si>
  <si>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</si>
  <si>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</si>
  <si>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</si>
  <si>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</si>
  <si>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</si>
  <si>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</si>
  <si>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</si>
  <si>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</si>
  <si>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</si>
  <si>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</si>
  <si>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</si>
  <si>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</si>
  <si>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T-SQ-190708226</t>
  </si>
  <si>
    <t>OFFER VASOFIX IV CANNULA 22G</t>
  </si>
  <si>
    <t>OFFER CALCIUM GLUCONATE TABLET 500MG 50'S (NO LOOSE) EXPIRY DATE: 05/2020 |  QTY : 2 | UOM : BOX</t>
  </si>
  <si>
    <t>OFFER LIGNOCAINE EYE DROP 0.2% 10ML |  QTY : 5 | UOM : BTL</t>
  </si>
  <si>
    <t>OFFER CEFUROXIME INJ 750MG WITH WATER FOR INJ</t>
  </si>
  <si>
    <t>OFFER FLUORETS OPTHALMIC STRIP 1% 10'S |  QTY : 1 | UOM : BOX</t>
  </si>
  <si>
    <t>OFFER METOCLOPRAMIDE INJECTION 10MG/2ML 1'S</t>
  </si>
  <si>
    <t>OFFER ORAL REHYDRATION SALT 7.84GM 50'S (NO LOOSE) |  QTY : 2 | UOM : BOX</t>
  </si>
  <si>
    <t>OFFER SALT &amp; DEXTROSE TABLET 500MG/200MG 100'S (NO LOOSE) |  QTY : 10 | UOM : BOX</t>
  </si>
  <si>
    <t>OFFER SALBUTAMOL INHALER 100MCG 200 DOSES
~~DANGEROUS CARGO!</t>
  </si>
  <si>
    <t>OFFER SODIUM CHLORIDE INJECTION 0.9% 10ML</t>
  </si>
  <si>
    <t>OFFER GUEDAL AIRWAY SIZE 2, SIZE 3, SIZE 4 (2'S EACH SIZE)</t>
  </si>
  <si>
    <t xml:space="preserve">
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</si>
</sst>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68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43677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43677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>
        <v>43681.50</v>
      </c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0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172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156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>
        <v>6562622323</v>
      </c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99990009874344</v>
      </c>
      <c r="C20" s="227">
        <v>2127303</v>
      </c>
      <c r="D20" s="228" t="s">
        <v>40</v>
      </c>
      <c r="E20" s="229"/>
      <c r="F20" s="229">
        <v>2127303</v>
      </c>
      <c r="G20" s="229" t="s">
        <v>41</v>
      </c>
      <c r="H20" s="230">
        <v>0</v>
      </c>
      <c r="I20" s="231">
        <v>10</v>
      </c>
      <c r="J20" s="232">
        <v>3.95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173</v>
      </c>
      <c r="Q20" s="236"/>
      <c r="R20" s="237" t="s">
        <v>42</v>
      </c>
      <c r="S20" s="238"/>
      <c r="T20" s="239"/>
    </row>
    <row r="21" spans="1:20" ht="24" customHeight="1">
      <c r="A21" s="226">
        <v>2</v>
      </c>
      <c r="B21" s="226">
        <v>99990009873634</v>
      </c>
      <c r="C21" s="227">
        <v>6</v>
      </c>
      <c r="D21" s="228" t="s">
        <v>43</v>
      </c>
      <c r="E21" s="229"/>
      <c r="F21" s="229">
        <v>6</v>
      </c>
      <c r="G21" s="229" t="s">
        <v>41</v>
      </c>
      <c r="H21" s="230">
        <v>0</v>
      </c>
      <c r="I21" s="231">
        <v>20</v>
      </c>
      <c r="J21" s="232">
        <v>0.845</v>
      </c>
      <c r="K21" s="233"/>
      <c r="L21" s="231" t="s">
        <v>23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 t="s">
        <v>174</v>
      </c>
      <c r="Q21" s="236"/>
      <c r="R21" s="237" t="s">
        <v>44</v>
      </c>
      <c r="S21" s="238"/>
      <c r="T21" s="239"/>
    </row>
    <row r="22" spans="1:20" ht="24" customHeight="1">
      <c r="A22" s="226">
        <v>3</v>
      </c>
      <c r="B22" s="226">
        <v>99990009873462</v>
      </c>
      <c r="C22" s="227">
        <v>2</v>
      </c>
      <c r="D22" s="228" t="s">
        <v>45</v>
      </c>
      <c r="E22" s="229"/>
      <c r="F22" s="229">
        <v>2</v>
      </c>
      <c r="G22" s="229" t="s">
        <v>41</v>
      </c>
      <c r="H22" s="230">
        <v>0</v>
      </c>
      <c r="I22" s="231">
        <v>5</v>
      </c>
      <c r="J22" s="232">
        <v>7.3</v>
      </c>
      <c r="K22" s="233"/>
      <c r="L22" s="231" t="s">
        <v>23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 t="s">
        <v>175</v>
      </c>
      <c r="Q22" s="236"/>
      <c r="R22" s="237" t="s">
        <v>46</v>
      </c>
      <c r="S22" s="238"/>
      <c r="T22" s="239"/>
    </row>
    <row r="23" spans="1:20" ht="24" customHeight="1">
      <c r="A23" s="226">
        <v>4</v>
      </c>
      <c r="B23" s="226">
        <v>99990009874858</v>
      </c>
      <c r="C23" s="227">
        <v>64</v>
      </c>
      <c r="D23" s="228" t="s">
        <v>47</v>
      </c>
      <c r="E23" s="229"/>
      <c r="F23" s="229">
        <v>64</v>
      </c>
      <c r="G23" s="229" t="s">
        <v>41</v>
      </c>
      <c r="H23" s="230">
        <v>0</v>
      </c>
      <c r="I23" s="231">
        <v>10</v>
      </c>
      <c r="J23" s="232">
        <v>5.65</v>
      </c>
      <c r="K23" s="233"/>
      <c r="L23" s="231" t="s">
        <v>23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 t="s">
        <v>176</v>
      </c>
      <c r="Q23" s="236"/>
      <c r="R23" s="237" t="s">
        <v>48</v>
      </c>
      <c r="S23" s="238"/>
      <c r="T23" s="239"/>
    </row>
    <row r="24" spans="1:20" ht="24" customHeight="1">
      <c r="A24" s="226">
        <v>5</v>
      </c>
      <c r="B24" s="226">
        <v>99990009874107</v>
      </c>
      <c r="C24" s="227" t="s">
        <v>49</v>
      </c>
      <c r="D24" s="228" t="s">
        <v>50</v>
      </c>
      <c r="E24" s="229"/>
      <c r="F24" s="229" t="s">
        <v>49</v>
      </c>
      <c r="G24" s="229" t="s">
        <v>41</v>
      </c>
      <c r="H24" s="230">
        <v>0</v>
      </c>
      <c r="I24" s="231">
        <v>10</v>
      </c>
      <c r="J24" s="232">
        <v>0.405</v>
      </c>
      <c r="K24" s="233"/>
      <c r="L24" s="231" t="s">
        <v>23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 t="s">
        <v>177</v>
      </c>
      <c r="Q24" s="236"/>
      <c r="R24" s="237" t="s">
        <v>51</v>
      </c>
      <c r="S24" s="238"/>
      <c r="T24" s="239"/>
    </row>
    <row r="25" spans="1:20" ht="24" customHeight="1">
      <c r="A25" s="226">
        <v>6</v>
      </c>
      <c r="B25" s="226">
        <v>99990009874485</v>
      </c>
      <c r="C25" s="227">
        <v>17</v>
      </c>
      <c r="D25" s="228" t="s">
        <v>52</v>
      </c>
      <c r="E25" s="229"/>
      <c r="F25" s="229">
        <v>17</v>
      </c>
      <c r="G25" s="229" t="s">
        <v>41</v>
      </c>
      <c r="H25" s="230">
        <v>0</v>
      </c>
      <c r="I25" s="231">
        <v>10</v>
      </c>
      <c r="J25" s="232">
        <v>1.8</v>
      </c>
      <c r="K25" s="233"/>
      <c r="L25" s="231" t="s">
        <v>23</v>
      </c>
      <c r="M25" s="231">
        <v>0</v>
      </c>
      <c r="N25" s="234">
        <f>ROUND(((I25*J25)-((I25*J25)*L25/100))+(((I25*J25)-((I25*J25)*L25/100))*M25/100),2)</f>
      </c>
      <c r="O25" s="230">
        <f>M11</f>
      </c>
      <c r="P25" s="235" t="s">
        <v>178</v>
      </c>
      <c r="Q25" s="236"/>
      <c r="R25" s="237" t="s">
        <v>53</v>
      </c>
      <c r="S25" s="238"/>
      <c r="T25" s="239"/>
    </row>
    <row r="26" spans="1:20" ht="24" customHeight="1">
      <c r="A26" s="226">
        <v>7</v>
      </c>
      <c r="B26" s="226">
        <v>99990009874598</v>
      </c>
      <c r="C26" s="227">
        <v>8.40</v>
      </c>
      <c r="D26" s="228" t="s">
        <v>54</v>
      </c>
      <c r="E26" s="229"/>
      <c r="F26" s="229">
        <v>8.40</v>
      </c>
      <c r="G26" s="229" t="s">
        <v>41</v>
      </c>
      <c r="H26" s="230">
        <v>0</v>
      </c>
      <c r="I26" s="231">
        <v>100</v>
      </c>
      <c r="J26" s="232">
        <v>0.191</v>
      </c>
      <c r="K26" s="233"/>
      <c r="L26" s="231" t="s">
        <v>23</v>
      </c>
      <c r="M26" s="231">
        <v>0</v>
      </c>
      <c r="N26" s="234">
        <f>ROUND(((I26*J26)-((I26*J26)*L26/100))+(((I26*J26)-((I26*J26)*L26/100))*M26/100),2)</f>
      </c>
      <c r="O26" s="230">
        <f>M11</f>
      </c>
      <c r="P26" s="235" t="s">
        <v>179</v>
      </c>
      <c r="Q26" s="236"/>
      <c r="R26" s="237" t="s">
        <v>55</v>
      </c>
      <c r="S26" s="238"/>
      <c r="T26" s="239"/>
    </row>
    <row r="27" spans="1:20" ht="24" customHeight="1">
      <c r="A27" s="226">
        <v>8</v>
      </c>
      <c r="B27" s="226">
        <v>99990009874599</v>
      </c>
      <c r="C27" s="227">
        <v>8.01</v>
      </c>
      <c r="D27" s="228" t="s">
        <v>56</v>
      </c>
      <c r="E27" s="229"/>
      <c r="F27" s="229">
        <v>8.01</v>
      </c>
      <c r="G27" s="229" t="s">
        <v>41</v>
      </c>
      <c r="H27" s="230">
        <v>0</v>
      </c>
      <c r="I27" s="231">
        <v>1000</v>
      </c>
      <c r="J27" s="232">
        <v>0.045</v>
      </c>
      <c r="K27" s="233"/>
      <c r="L27" s="231" t="s">
        <v>23</v>
      </c>
      <c r="M27" s="231">
        <v>0</v>
      </c>
      <c r="N27" s="234">
        <f>ROUND(((I27*J27)-((I27*J27)*L27/100))+(((I27*J27)-((I27*J27)*L27/100))*M27/100),2)</f>
      </c>
      <c r="O27" s="230">
        <f>M11</f>
      </c>
      <c r="P27" s="235" t="s">
        <v>180</v>
      </c>
      <c r="Q27" s="236"/>
      <c r="R27" s="237" t="s">
        <v>57</v>
      </c>
      <c r="S27" s="238"/>
      <c r="T27" s="239"/>
    </row>
    <row r="28" spans="1:20" ht="24" customHeight="1">
      <c r="A28" s="226">
        <v>9</v>
      </c>
      <c r="B28" s="226">
        <v>99990009873612</v>
      </c>
      <c r="C28" s="227">
        <v>5</v>
      </c>
      <c r="D28" s="228" t="s">
        <v>58</v>
      </c>
      <c r="E28" s="229"/>
      <c r="F28" s="229">
        <v>5</v>
      </c>
      <c r="G28" s="229" t="s">
        <v>41</v>
      </c>
      <c r="H28" s="230">
        <v>0</v>
      </c>
      <c r="I28" s="231">
        <v>5</v>
      </c>
      <c r="J28" s="232">
        <v>4.5</v>
      </c>
      <c r="K28" s="233"/>
      <c r="L28" s="231" t="s">
        <v>23</v>
      </c>
      <c r="M28" s="231">
        <v>0</v>
      </c>
      <c r="N28" s="234">
        <f>ROUND(((I28*J28)-((I28*J28)*L28/100))+(((I28*J28)-((I28*J28)*L28/100))*M28/100),2)</f>
      </c>
      <c r="O28" s="230">
        <f>M11</f>
      </c>
      <c r="P28" s="235" t="s">
        <v>181</v>
      </c>
      <c r="Q28" s="236"/>
      <c r="R28" s="237" t="s">
        <v>59</v>
      </c>
      <c r="S28" s="238"/>
      <c r="T28" s="239"/>
    </row>
    <row r="29" spans="1:20" ht="24" customHeight="1">
      <c r="A29" s="226">
        <v>10</v>
      </c>
      <c r="B29" s="226">
        <v>99990009874859</v>
      </c>
      <c r="C29" s="227" t="s">
        <v>60</v>
      </c>
      <c r="D29" s="228" t="s">
        <v>61</v>
      </c>
      <c r="E29" s="229"/>
      <c r="F29" s="229" t="s">
        <v>60</v>
      </c>
      <c r="G29" s="229" t="s">
        <v>41</v>
      </c>
      <c r="H29" s="230">
        <v>0</v>
      </c>
      <c r="I29" s="231">
        <v>5</v>
      </c>
      <c r="J29" s="232">
        <v>0.45</v>
      </c>
      <c r="K29" s="233"/>
      <c r="L29" s="231" t="s">
        <v>23</v>
      </c>
      <c r="M29" s="231">
        <v>0</v>
      </c>
      <c r="N29" s="234">
        <f>ROUND(((I29*J29)-((I29*J29)*L29/100))+(((I29*J29)-((I29*J29)*L29/100))*M29/100),2)</f>
      </c>
      <c r="O29" s="230">
        <f>M11</f>
      </c>
      <c r="P29" s="235" t="s">
        <v>182</v>
      </c>
      <c r="Q29" s="236"/>
      <c r="R29" s="237" t="s">
        <v>62</v>
      </c>
      <c r="S29" s="238"/>
      <c r="T29" s="239"/>
    </row>
    <row r="30" spans="1:20" ht="24" customHeight="1">
      <c r="A30" s="226">
        <v>11</v>
      </c>
      <c r="B30" s="226">
        <v>99990009874229</v>
      </c>
      <c r="C30" s="227">
        <v>1.03</v>
      </c>
      <c r="D30" s="228" t="s">
        <v>63</v>
      </c>
      <c r="E30" s="229"/>
      <c r="F30" s="229">
        <v>1.03</v>
      </c>
      <c r="G30" s="229" t="s">
        <v>41</v>
      </c>
      <c r="H30" s="230">
        <v>0</v>
      </c>
      <c r="I30" s="231">
        <v>6</v>
      </c>
      <c r="J30" s="232">
        <v>2.85</v>
      </c>
      <c r="K30" s="233"/>
      <c r="L30" s="231" t="s">
        <v>23</v>
      </c>
      <c r="M30" s="231">
        <v>0</v>
      </c>
      <c r="N30" s="234">
        <f>ROUND(((I30*J30)-((I30*J30)*L30/100))+(((I30*J30)-((I30*J30)*L30/100))*M30/100),2)</f>
      </c>
      <c r="O30" s="230">
        <f>M11</f>
      </c>
      <c r="P30" s="235" t="s">
        <v>183</v>
      </c>
      <c r="Q30" s="236"/>
      <c r="R30" s="237" t="s">
        <v>64</v>
      </c>
      <c r="S30" s="238"/>
      <c r="T30" s="239"/>
    </row>
    <row r="31" spans="1:20" ht="15" customHeight="1">
      <c r="A31" s="32"/>
      <c r="B31" s="295"/>
      <c r="C31" s="296"/>
      <c r="D31" s="296"/>
      <c r="E31" s="296"/>
      <c r="F31" s="296"/>
      <c r="G31" s="296"/>
      <c r="H31" s="297"/>
      <c r="I31" s="297"/>
      <c r="J31" s="297"/>
      <c r="K31" s="297"/>
      <c r="L31" s="297"/>
      <c r="M31" s="297"/>
      <c r="N31" s="297"/>
      <c r="O31" s="297"/>
      <c r="P31" s="297"/>
      <c r="Q31" s="297"/>
      <c r="R31" s="297"/>
      <c r="S31" s="297"/>
      <c r="T31" s="298"/>
    </row>
    <row r="32" spans="1:20" ht="12.75" customHeight="1">
      <c r="A32" s="289" t="s">
        <v>28</v>
      </c>
      <c r="B32" s="289"/>
      <c r="C32" s="290" t="s">
        <v>65</v>
      </c>
      <c r="D32" s="291"/>
      <c r="E32" s="291"/>
      <c r="F32" s="291"/>
      <c r="G32" s="291"/>
      <c r="H32" s="291"/>
      <c r="I32" s="292"/>
      <c r="J32" s="292" t="s">
        <v>66</v>
      </c>
      <c r="K32" s="292"/>
      <c r="L32" s="292" t="s">
        <v>35</v>
      </c>
      <c r="M32" s="292" t="s">
        <v>36</v>
      </c>
      <c r="N32" s="293" t="s">
        <v>67</v>
      </c>
      <c r="O32" s="294" t="s">
        <v>38</v>
      </c>
      <c r="P32" s="294"/>
      <c r="Q32" s="294"/>
      <c r="R32" s="294"/>
      <c r="S32" s="294"/>
      <c r="T32" s="225"/>
    </row>
    <row r="33" spans="1:20" ht="15" customHeight="1">
      <c r="A33" s="269">
        <v>1</v>
      </c>
      <c r="B33" s="270"/>
      <c r="C33" s="271" t="s">
        <v>68</v>
      </c>
      <c r="D33" s="272" t="s">
        <v>68</v>
      </c>
      <c r="E33" s="272" t="s">
        <v>68</v>
      </c>
      <c r="F33" s="272" t="s">
        <v>68</v>
      </c>
      <c r="G33" s="272" t="s">
        <v>68</v>
      </c>
      <c r="H33" s="273" t="s">
        <v>68</v>
      </c>
      <c r="I33" s="274"/>
      <c r="J33" s="275">
        <v>0</v>
      </c>
      <c r="K33" s="276"/>
      <c r="L33" s="277">
        <v>0</v>
      </c>
      <c r="M33" s="277">
        <v>0</v>
      </c>
      <c r="N33" s="285">
        <f>(J33-(J33*L33/100)+((J33-(J33*L33/100))*M33/100))</f>
      </c>
      <c r="O33" s="286"/>
      <c r="P33" s="287"/>
      <c r="Q33" s="287"/>
      <c r="R33" s="287"/>
      <c r="S33" s="288"/>
      <c r="T33" s="283"/>
    </row>
    <row r="34" spans="1:20" ht="15" customHeight="1">
      <c r="A34" s="269">
        <v>2</v>
      </c>
      <c r="B34" s="270"/>
      <c r="C34" s="271" t="s">
        <v>69</v>
      </c>
      <c r="D34" s="272" t="s">
        <v>69</v>
      </c>
      <c r="E34" s="272" t="s">
        <v>69</v>
      </c>
      <c r="F34" s="272" t="s">
        <v>69</v>
      </c>
      <c r="G34" s="272" t="s">
        <v>69</v>
      </c>
      <c r="H34" s="273" t="s">
        <v>69</v>
      </c>
      <c r="I34" s="284"/>
      <c r="J34" s="275">
        <v>0</v>
      </c>
      <c r="K34" s="276"/>
      <c r="L34" s="277">
        <v>0</v>
      </c>
      <c r="M34" s="277">
        <v>0</v>
      </c>
      <c r="N34" s="279">
        <f>(J34-(J34*L34/100)+((J34-(J34*L34/100))*M34/100))</f>
      </c>
      <c r="O34" s="280"/>
      <c r="P34" s="281"/>
      <c r="Q34" s="281"/>
      <c r="R34" s="281"/>
      <c r="S34" s="282"/>
      <c r="T34" s="283"/>
    </row>
    <row r="35" spans="1:20" ht="15" customHeight="1">
      <c r="A35" s="269">
        <v>3</v>
      </c>
      <c r="B35" s="270"/>
      <c r="C35" s="271"/>
      <c r="D35" s="272"/>
      <c r="E35" s="272"/>
      <c r="F35" s="272"/>
      <c r="G35" s="272"/>
      <c r="H35" s="273"/>
      <c r="I35" s="274"/>
      <c r="J35" s="275">
        <v>0</v>
      </c>
      <c r="K35" s="276"/>
      <c r="L35" s="277">
        <v>0</v>
      </c>
      <c r="M35" s="277">
        <v>0</v>
      </c>
      <c r="N35" s="279">
        <f>(J35-(J35*L35/100)+((J35-(J35*L35/100))*M35/100))</f>
      </c>
      <c r="O35" s="280"/>
      <c r="P35" s="281"/>
      <c r="Q35" s="281"/>
      <c r="R35" s="281"/>
      <c r="S35" s="282"/>
      <c r="T35" s="283"/>
    </row>
    <row r="36" spans="1:20" ht="15.75" customHeight="1">
      <c r="A36" s="269">
        <v>4</v>
      </c>
      <c r="B36" s="270"/>
      <c r="C36" s="271"/>
      <c r="D36" s="272"/>
      <c r="E36" s="272"/>
      <c r="F36" s="272"/>
      <c r="G36" s="272"/>
      <c r="H36" s="273"/>
      <c r="I36" s="274"/>
      <c r="J36" s="275">
        <v>0</v>
      </c>
      <c r="K36" s="276"/>
      <c r="L36" s="277">
        <v>0</v>
      </c>
      <c r="M36" s="278">
        <v>0</v>
      </c>
      <c r="N36" s="279">
        <f>(J36-(J36*L36/100)+((J36-(J36*L36/100))*M36/100))</f>
      </c>
      <c r="O36" s="280"/>
      <c r="P36" s="281"/>
      <c r="Q36" s="281"/>
      <c r="R36" s="281"/>
      <c r="S36" s="282"/>
      <c r="T36" s="283"/>
    </row>
    <row r="37" spans="1:16" ht="15.95" customHeight="1">
      <c r="A37" s="247"/>
      <c r="B37" s="247"/>
      <c r="C37" s="248"/>
      <c r="D37" s="248"/>
      <c r="I37" s="163"/>
      <c r="J37" s="58" t="s">
        <v>70</v>
      </c>
      <c r="K37" s="59"/>
      <c r="L37" s="58"/>
      <c r="M37" s="59"/>
      <c r="N37" s="264">
        <f>SUM(ItmPrice)</f>
      </c>
      <c r="O37" s="267"/>
      <c r="P37" s="268"/>
    </row>
    <row r="38" spans="1:16" ht="15" customHeight="1">
      <c r="A38" s="247"/>
      <c r="B38" s="247"/>
      <c r="C38" s="248"/>
      <c r="D38" s="248"/>
      <c r="I38" s="163"/>
      <c r="J38" s="123" t="s">
        <v>71</v>
      </c>
      <c r="K38" s="124"/>
      <c r="L38" s="124"/>
      <c r="M38" s="125"/>
      <c r="N38" s="264">
        <f>SUM(N33:N37)</f>
      </c>
      <c r="O38" s="265"/>
      <c r="P38" s="266"/>
    </row>
    <row r="39" spans="1:19" ht="2.25" customHeight="1" hidden="1">
      <c r="A39" s="258">
        <v>0</v>
      </c>
      <c r="B39" s="258">
        <v>0</v>
      </c>
      <c r="C39" s="259">
        <v>0</v>
      </c>
      <c r="D39" s="248"/>
      <c r="E39" s="248"/>
      <c r="F39" s="260">
        <v>1</v>
      </c>
      <c r="G39" s="248"/>
      <c r="H39" s="248"/>
      <c r="I39" s="248"/>
      <c r="J39" s="248"/>
      <c r="K39" s="261"/>
      <c r="L39" s="262">
        <v>0</v>
      </c>
      <c r="M39" s="263">
        <v>0</v>
      </c>
      <c r="N39" s="162" t="s">
        <v>72</v>
      </c>
      <c r="O39" s="257"/>
      <c r="P39" s="263">
        <v>995</v>
      </c>
      <c r="Q39" s="248" t="s">
        <v>73</v>
      </c>
      <c r="R39" s="248"/>
      <c r="S39" s="248"/>
    </row>
    <row r="40" spans="1:19" ht="18.75" customHeight="1">
      <c r="A40" s="247"/>
      <c r="B40" s="247"/>
      <c r="C40" s="247"/>
      <c r="H40" s="257"/>
      <c r="I40" s="163"/>
      <c r="J40" s="248"/>
      <c r="K40" s="248"/>
      <c r="L40" s="248"/>
      <c r="M40" s="248"/>
      <c r="N40" s="248"/>
      <c r="O40" s="248"/>
      <c r="P40" s="248"/>
      <c r="R40" s="248"/>
      <c r="S40" s="248"/>
    </row>
    <row r="41" spans="1:20" ht="127.5" customHeight="1">
      <c r="A41" s="249" t="s">
        <v>74</v>
      </c>
      <c r="B41" s="249"/>
      <c r="C41" s="249"/>
      <c r="D41" s="250"/>
      <c r="E41" s="254"/>
      <c r="F41" s="255"/>
      <c r="G41" s="255"/>
      <c r="H41" s="255"/>
      <c r="I41" s="255"/>
      <c r="J41" s="255"/>
      <c r="K41" s="255"/>
      <c r="L41" s="255"/>
      <c r="M41" s="255"/>
      <c r="N41" s="255"/>
      <c r="O41" s="255"/>
      <c r="P41" s="255"/>
      <c r="Q41" s="255"/>
      <c r="R41" s="255"/>
      <c r="S41" s="255"/>
      <c r="T41" s="256"/>
    </row>
    <row r="42" spans="1:20" ht="129.75" customHeight="1">
      <c r="A42" s="249" t="s">
        <v>38</v>
      </c>
      <c r="B42" s="249"/>
      <c r="C42" s="249"/>
      <c r="D42" s="250"/>
      <c r="E42" s="251" t="s">
        <v>184</v>
      </c>
      <c r="F42" s="252"/>
      <c r="G42" s="252"/>
      <c r="H42" s="252"/>
      <c r="I42" s="252"/>
      <c r="J42" s="252"/>
      <c r="K42" s="252"/>
      <c r="L42" s="252"/>
      <c r="M42" s="252"/>
      <c r="N42" s="252"/>
      <c r="O42" s="252"/>
      <c r="P42" s="252"/>
      <c r="Q42" s="252"/>
      <c r="R42" s="252"/>
      <c r="S42" s="252"/>
      <c r="T42" s="253"/>
    </row>
    <row r="43" spans="1:19" ht="15.95" customHeight="1">
      <c r="A43" s="247"/>
      <c r="B43" s="247"/>
      <c r="C43" s="247"/>
      <c r="H43" s="248"/>
      <c r="I43" s="248"/>
      <c r="J43" s="248"/>
      <c r="K43" s="248"/>
      <c r="L43" s="248"/>
      <c r="M43" s="248"/>
      <c r="N43" s="248"/>
      <c r="O43" s="248"/>
      <c r="P43" s="248"/>
      <c r="Q43" s="248"/>
      <c r="R43" s="248"/>
      <c r="S43" s="248"/>
    </row>
    <row r="44" spans="1:20" ht="15.95" customHeight="1">
      <c r="A44" s="245" t="s">
        <v>75</v>
      </c>
      <c r="B44" s="245"/>
      <c r="C44" s="245"/>
      <c r="D44" s="245"/>
      <c r="E44" s="245"/>
      <c r="F44" s="245"/>
      <c r="G44" s="245"/>
      <c r="H44" s="245"/>
      <c r="I44" s="245"/>
      <c r="J44" s="245"/>
      <c r="K44" s="245"/>
      <c r="L44" s="245"/>
      <c r="M44" s="245"/>
      <c r="N44" s="245"/>
      <c r="O44" s="245"/>
      <c r="P44" s="245"/>
      <c r="Q44" s="245"/>
      <c r="R44" s="245"/>
      <c r="S44" s="245"/>
      <c r="T44" s="246"/>
    </row>
    <row r="45" spans="1:20" ht="12.75" customHeight="1">
      <c r="A45" s="243"/>
      <c r="B45" s="243"/>
      <c r="C45" s="243"/>
      <c r="D45" s="243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4"/>
    </row>
    <row r="46" spans="1:20" ht="12.75" customHeight="1">
      <c r="A46" s="243"/>
      <c r="B46" s="243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4"/>
    </row>
    <row r="47" spans="1:20" ht="7.5" customHeight="1">
      <c r="A47" s="243"/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4"/>
    </row>
    <row r="48" spans="1:20" ht="12.75" customHeight="1">
      <c r="A48" s="243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4"/>
    </row>
    <row r="49" spans="1:20" ht="12.75" customHeight="1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4"/>
    </row>
    <row r="50" spans="1:20" ht="12.75" customHeight="1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4"/>
    </row>
    <row r="51" spans="1:20" ht="7.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12.7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12.7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12.7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12.7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12.7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12.7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7.5" customHeight="1">
      <c r="A58" s="243"/>
      <c r="B58" s="243"/>
      <c r="C58" s="243"/>
      <c r="D58" s="243"/>
      <c r="E58" s="243"/>
      <c r="F58" s="243"/>
      <c r="G58" s="243"/>
      <c r="H58" s="243"/>
      <c r="I58" s="243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244"/>
    </row>
    <row r="59" spans="1:20" ht="12.75" customHeight="1">
      <c r="A59" s="243"/>
      <c r="B59" s="243"/>
      <c r="C59" s="243"/>
      <c r="D59" s="243"/>
      <c r="E59" s="243"/>
      <c r="F59" s="243"/>
      <c r="G59" s="243"/>
      <c r="H59" s="243"/>
      <c r="I59" s="243"/>
      <c r="J59" s="243"/>
      <c r="K59" s="243"/>
      <c r="L59" s="243"/>
      <c r="M59" s="243"/>
      <c r="N59" s="243"/>
      <c r="O59" s="243"/>
      <c r="P59" s="243"/>
      <c r="Q59" s="243"/>
      <c r="R59" s="243"/>
      <c r="S59" s="243"/>
      <c r="T59" s="244"/>
    </row>
    <row r="60" spans="1:20" ht="12.75" customHeight="1">
      <c r="A60" s="243"/>
      <c r="B60" s="243"/>
      <c r="C60" s="243"/>
      <c r="D60" s="243"/>
      <c r="E60" s="243"/>
      <c r="F60" s="243"/>
      <c r="G60" s="243"/>
      <c r="H60" s="243"/>
      <c r="I60" s="243"/>
      <c r="J60" s="243"/>
      <c r="K60" s="243"/>
      <c r="L60" s="243"/>
      <c r="M60" s="243"/>
      <c r="N60" s="243"/>
      <c r="O60" s="243"/>
      <c r="P60" s="243"/>
      <c r="Q60" s="243"/>
      <c r="R60" s="243"/>
      <c r="S60" s="243"/>
      <c r="T60" s="244"/>
    </row>
    <row r="61" spans="1:20" ht="12.75" customHeight="1">
      <c r="A61" s="243"/>
      <c r="B61" s="243"/>
      <c r="C61" s="243"/>
      <c r="D61" s="243"/>
      <c r="E61" s="243"/>
      <c r="F61" s="243"/>
      <c r="G61" s="243"/>
      <c r="H61" s="243"/>
      <c r="I61" s="243"/>
      <c r="J61" s="243"/>
      <c r="K61" s="243"/>
      <c r="L61" s="243"/>
      <c r="M61" s="243"/>
      <c r="N61" s="243"/>
      <c r="O61" s="243"/>
      <c r="P61" s="243"/>
      <c r="Q61" s="243"/>
      <c r="R61" s="243"/>
      <c r="S61" s="243"/>
      <c r="T61" s="244"/>
    </row>
    <row r="62" spans="1:20" ht="12.75" customHeight="1">
      <c r="A62" s="243"/>
      <c r="B62" s="243"/>
      <c r="C62" s="243"/>
      <c r="D62" s="243"/>
      <c r="E62" s="243"/>
      <c r="F62" s="243"/>
      <c r="G62" s="243"/>
      <c r="H62" s="243"/>
      <c r="I62" s="243"/>
      <c r="J62" s="243"/>
      <c r="K62" s="243"/>
      <c r="L62" s="243"/>
      <c r="M62" s="243"/>
      <c r="N62" s="243"/>
      <c r="O62" s="243"/>
      <c r="P62" s="243"/>
      <c r="Q62" s="243"/>
      <c r="R62" s="243"/>
      <c r="S62" s="243"/>
      <c r="T62" s="244"/>
    </row>
    <row r="63" spans="1:20" ht="12.75" customHeight="1">
      <c r="A63" s="243"/>
      <c r="B63" s="243"/>
      <c r="C63" s="243"/>
      <c r="D63" s="243"/>
      <c r="E63" s="243"/>
      <c r="F63" s="243"/>
      <c r="G63" s="243"/>
      <c r="H63" s="243"/>
      <c r="I63" s="243"/>
      <c r="J63" s="243"/>
      <c r="K63" s="243"/>
      <c r="L63" s="243"/>
      <c r="M63" s="243"/>
      <c r="N63" s="243"/>
      <c r="O63" s="243"/>
      <c r="P63" s="243"/>
      <c r="Q63" s="243"/>
      <c r="R63" s="243"/>
      <c r="S63" s="243"/>
      <c r="T63" s="244"/>
    </row>
    <row r="64" spans="1:20" ht="7.5" customHeight="1">
      <c r="A64" s="243"/>
      <c r="B64" s="243"/>
      <c r="C64" s="243"/>
      <c r="D64" s="243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3"/>
      <c r="P64" s="243"/>
      <c r="Q64" s="243"/>
      <c r="R64" s="243"/>
      <c r="S64" s="243"/>
      <c r="T64" s="244"/>
    </row>
    <row r="65" spans="1:20" ht="12.75" customHeight="1">
      <c r="A65" s="243"/>
      <c r="B65" s="243"/>
      <c r="C65" s="243"/>
      <c r="D65" s="243"/>
      <c r="E65" s="243"/>
      <c r="F65" s="243"/>
      <c r="G65" s="243"/>
      <c r="H65" s="243"/>
      <c r="I65" s="243"/>
      <c r="J65" s="243"/>
      <c r="K65" s="243"/>
      <c r="L65" s="243"/>
      <c r="M65" s="243"/>
      <c r="N65" s="243"/>
      <c r="O65" s="243"/>
      <c r="P65" s="243"/>
      <c r="Q65" s="243"/>
      <c r="R65" s="243"/>
      <c r="S65" s="243"/>
      <c r="T65" s="244"/>
    </row>
    <row r="66" spans="1:20" ht="12.75" customHeight="1">
      <c r="A66" s="243"/>
      <c r="B66" s="243"/>
      <c r="C66" s="243"/>
      <c r="D66" s="243"/>
      <c r="E66" s="243"/>
      <c r="F66" s="243"/>
      <c r="G66" s="243"/>
      <c r="H66" s="243"/>
      <c r="I66" s="243"/>
      <c r="J66" s="243"/>
      <c r="K66" s="243"/>
      <c r="L66" s="243"/>
      <c r="M66" s="243"/>
      <c r="N66" s="243"/>
      <c r="O66" s="243"/>
      <c r="P66" s="243"/>
      <c r="Q66" s="243"/>
      <c r="R66" s="243"/>
      <c r="S66" s="243"/>
      <c r="T66" s="244"/>
    </row>
    <row r="67" spans="1:20" ht="12.75" customHeight="1">
      <c r="A67" s="241"/>
      <c r="B67" s="241"/>
      <c r="C67" s="241"/>
      <c r="D67" s="241"/>
      <c r="E67" s="241"/>
      <c r="F67" s="241"/>
      <c r="G67" s="241"/>
      <c r="H67" s="241"/>
      <c r="I67" s="241"/>
      <c r="J67" s="241"/>
      <c r="K67" s="241"/>
      <c r="L67" s="241"/>
      <c r="M67" s="241"/>
      <c r="N67" s="241"/>
      <c r="O67" s="241"/>
      <c r="P67" s="241"/>
      <c r="Q67" s="241"/>
      <c r="R67" s="241"/>
      <c r="S67" s="241"/>
      <c r="T67" s="242"/>
    </row>
    <row r="68" spans="1:9" ht="12.75">
      <c r="A68" s="240" t="s">
        <v>76</v>
      </c>
      <c r="B68" s="240"/>
      <c r="C68" s="240"/>
      <c r="D68" s="240"/>
      <c r="E68" s="240"/>
      <c r="F68" s="240"/>
      <c r="G68" s="240"/>
      <c r="I68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87">
    <mergeCell ref="E41:S41"/>
    <mergeCell ref="E42:S42"/>
    <mergeCell ref="E44:S44"/>
    <mergeCell ref="A45:S66"/>
    <mergeCell ref="A67:S67"/>
    <mergeCell ref="A41:D41"/>
    <mergeCell ref="A42:D42"/>
    <mergeCell ref="K1:R1"/>
    <mergeCell ref="R19:S19"/>
    <mergeCell ref="R20:S20"/>
    <mergeCell ref="O33:S33"/>
    <mergeCell ref="O34:S34"/>
    <mergeCell ref="O32:S32"/>
    <mergeCell ref="J32:K32"/>
    <mergeCell ref="K4:L4"/>
    <mergeCell ref="M4:P4"/>
    <mergeCell ref="K5:L5"/>
    <mergeCell ref="M5:P5"/>
    <mergeCell ref="M7:Q7"/>
    <mergeCell ref="P20:Q20"/>
    <mergeCell ref="M12:O12"/>
    <mergeCell ref="K12:L12"/>
    <mergeCell ref="O37:P37"/>
    <mergeCell ref="O38:P38"/>
    <mergeCell ref="J38:M38"/>
    <mergeCell ref="O35:S35"/>
    <mergeCell ref="O36:S36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32:H32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D25:E25"/>
    <mergeCell ref="J25:K25"/>
    <mergeCell ref="D26:E26"/>
    <mergeCell ref="J26:K26"/>
    <mergeCell ref="D27:E27"/>
    <mergeCell ref="J27:K27"/>
    <mergeCell ref="D28:E28"/>
    <mergeCell ref="J28:K28"/>
    <mergeCell ref="D29:E29"/>
    <mergeCell ref="J29:K29"/>
    <mergeCell ref="D30:E30"/>
    <mergeCell ref="J30:K30"/>
    <mergeCell ref="C33:H33"/>
    <mergeCell ref="J33:K33"/>
    <mergeCell ref="C34:H34"/>
    <mergeCell ref="J34:K34"/>
    <mergeCell ref="C35:H35"/>
    <mergeCell ref="J35:K35"/>
    <mergeCell ref="C36:H36"/>
    <mergeCell ref="J36:K36"/>
  </mergeCells>
  <dataValidations count="54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decimal" operator="greaterThanOrEqual" allowBlank="1" showInputMessage="1" showErrorMessage="1" sqref="I25">
      <formula1>0</formula1>
    </dataValidation>
    <dataValidation type="decimal" operator="greaterThanOrEqual" allowBlank="1" showInputMessage="1" showErrorMessage="1" sqref="J25">
      <formula1>0</formula1>
    </dataValidation>
    <dataValidation type="decimal" allowBlank="1" showInputMessage="1" showErrorMessage="1" sqref="L25">
      <formula1>0</formula1>
      <formula2>100</formula2>
    </dataValidation>
    <dataValidation type="decimal" allowBlank="1" showInputMessage="1" showErrorMessage="1" sqref="M25">
      <formula1>0</formula1>
      <formula2>100</formula2>
    </dataValidation>
    <dataValidation type="decimal" operator="greaterThanOrEqual" allowBlank="1" showInputMessage="1" showErrorMessage="1" sqref="I26">
      <formula1>0</formula1>
    </dataValidation>
    <dataValidation type="decimal" operator="greaterThanOrEqual" allowBlank="1" showInputMessage="1" showErrorMessage="1" sqref="J26">
      <formula1>0</formula1>
    </dataValidation>
    <dataValidation type="decimal" allowBlank="1" showInputMessage="1" showErrorMessage="1" sqref="L26">
      <formula1>0</formula1>
      <formula2>100</formula2>
    </dataValidation>
    <dataValidation type="decimal" allowBlank="1" showInputMessage="1" showErrorMessage="1" sqref="M26">
      <formula1>0</formula1>
      <formula2>100</formula2>
    </dataValidation>
    <dataValidation type="decimal" operator="greaterThanOrEqual" allowBlank="1" showInputMessage="1" showErrorMessage="1" sqref="I27">
      <formula1>0</formula1>
    </dataValidation>
    <dataValidation type="decimal" operator="greaterThanOrEqual" allowBlank="1" showInputMessage="1" showErrorMessage="1" sqref="J27">
      <formula1>0</formula1>
    </dataValidation>
    <dataValidation type="decimal" allowBlank="1" showInputMessage="1" showErrorMessage="1" sqref="L27">
      <formula1>0</formula1>
      <formula2>100</formula2>
    </dataValidation>
    <dataValidation type="decimal" allowBlank="1" showInputMessage="1" showErrorMessage="1" sqref="M27">
      <formula1>0</formula1>
      <formula2>100</formula2>
    </dataValidation>
    <dataValidation type="decimal" operator="greaterThanOrEqual" allowBlank="1" showInputMessage="1" showErrorMessage="1" sqref="I28">
      <formula1>0</formula1>
    </dataValidation>
    <dataValidation type="decimal" operator="greaterThanOrEqual" allowBlank="1" showInputMessage="1" showErrorMessage="1" sqref="J28">
      <formula1>0</formula1>
    </dataValidation>
    <dataValidation type="decimal" allowBlank="1" showInputMessage="1" showErrorMessage="1" sqref="L28">
      <formula1>0</formula1>
      <formula2>100</formula2>
    </dataValidation>
    <dataValidation type="decimal" allowBlank="1" showInputMessage="1" showErrorMessage="1" sqref="M28">
      <formula1>0</formula1>
      <formula2>100</formula2>
    </dataValidation>
    <dataValidation type="decimal" operator="greaterThanOrEqual" allowBlank="1" showInputMessage="1" showErrorMessage="1" sqref="I29">
      <formula1>0</formula1>
    </dataValidation>
    <dataValidation type="decimal" operator="greaterThanOrEqual" allowBlank="1" showInputMessage="1" showErrorMessage="1" sqref="J29">
      <formula1>0</formula1>
    </dataValidation>
    <dataValidation type="decimal" allowBlank="1" showInputMessage="1" showErrorMessage="1" sqref="L29">
      <formula1>0</formula1>
      <formula2>100</formula2>
    </dataValidation>
    <dataValidation type="decimal" allowBlank="1" showInputMessage="1" showErrorMessage="1" sqref="M29">
      <formula1>0</formula1>
      <formula2>100</formula2>
    </dataValidation>
    <dataValidation type="decimal" operator="greaterThanOrEqual" allowBlank="1" showInputMessage="1" showErrorMessage="1" sqref="I30">
      <formula1>0</formula1>
    </dataValidation>
    <dataValidation type="decimal" operator="greaterThanOrEqual" allowBlank="1" showInputMessage="1" showErrorMessage="1" sqref="J30">
      <formula1>0</formula1>
    </dataValidation>
    <dataValidation type="decimal" allowBlank="1" showInputMessage="1" showErrorMessage="1" sqref="L30">
      <formula1>0</formula1>
      <formula2>100</formula2>
    </dataValidation>
    <dataValidation type="decimal" allowBlank="1" showInputMessage="1" showErrorMessage="1" sqref="M30">
      <formula1>0</formula1>
      <formula2>100</formula2>
    </dataValidation>
    <dataValidation type="list" allowBlank="1" showInputMessage="1" showErrorMessage="1" sqref="C33:H33">
      <formula1>'MasterData'!$H$1:$H$20</formula1>
    </dataValidation>
    <dataValidation type="list" allowBlank="1" showInputMessage="1" showErrorMessage="1" sqref="C34:H34">
      <formula1>'MasterData'!$H$1:$H$20</formula1>
    </dataValidation>
    <dataValidation type="list" allowBlank="1" showInputMessage="1" showErrorMessage="1" sqref="C35:H35">
      <formula1>'MasterData'!$H$1:$H$20</formula1>
    </dataValidation>
    <dataValidation type="list" allowBlank="1" showInputMessage="1" showErrorMessage="1" sqref="C36:H36">
      <formula1>'MasterData'!$H$1:$H$20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68</v>
      </c>
      <c r="M1" s="300" t="s">
        <v>77</v>
      </c>
      <c r="N1" s="301" t="s">
        <v>0</v>
      </c>
      <c r="O1" s="162" t="s">
        <v>78</v>
      </c>
    </row>
    <row r="2" spans="7:15" ht="12.75">
      <c r="G2" s="162">
        <v>1001310</v>
      </c>
      <c r="H2" s="162" t="s">
        <v>69</v>
      </c>
      <c r="M2" s="300" t="s">
        <v>79</v>
      </c>
      <c r="N2" s="301">
        <v>1020657075</v>
      </c>
      <c r="O2" s="162" t="s">
        <v>80</v>
      </c>
    </row>
    <row r="3" spans="7:15" ht="12.75">
      <c r="G3" s="162">
        <v>1001352</v>
      </c>
      <c r="H3" s="162" t="s">
        <v>65</v>
      </c>
      <c r="M3" s="300" t="s">
        <v>81</v>
      </c>
      <c r="N3" s="301">
        <v>99990000415562</v>
      </c>
      <c r="O3" s="162" t="s">
        <v>82</v>
      </c>
    </row>
    <row r="4" spans="7:15" ht="12.75">
      <c r="G4" s="162">
        <v>1012729</v>
      </c>
      <c r="H4" s="162" t="s">
        <v>83</v>
      </c>
      <c r="M4" s="300" t="s">
        <v>84</v>
      </c>
      <c r="N4" s="301">
        <v>1021648162</v>
      </c>
      <c r="O4" s="162" t="s">
        <v>85</v>
      </c>
    </row>
    <row r="5" spans="7:15" ht="12.75">
      <c r="G5" s="162">
        <v>1012730</v>
      </c>
      <c r="H5" s="162" t="s">
        <v>86</v>
      </c>
      <c r="M5" s="300" t="s">
        <v>87</v>
      </c>
      <c r="N5" s="301"/>
      <c r="O5" s="162" t="s">
        <v>88</v>
      </c>
    </row>
    <row r="6" spans="7:15" ht="12.75">
      <c r="G6" s="162">
        <v>1012731</v>
      </c>
      <c r="H6" s="162" t="s">
        <v>89</v>
      </c>
      <c r="M6" s="300" t="s">
        <v>90</v>
      </c>
      <c r="N6" s="301" t="s">
        <v>91</v>
      </c>
      <c r="O6" s="162" t="s">
        <v>92</v>
      </c>
    </row>
    <row r="7" spans="7:15" ht="12.75">
      <c r="G7" s="162">
        <v>1012732</v>
      </c>
      <c r="H7" s="162" t="s">
        <v>93</v>
      </c>
      <c r="M7" s="300" t="s">
        <v>94</v>
      </c>
      <c r="N7" s="301">
        <v>0</v>
      </c>
      <c r="O7" s="162" t="s">
        <v>95</v>
      </c>
    </row>
    <row r="8" spans="7:15" ht="12.75">
      <c r="G8" s="162">
        <v>1012733</v>
      </c>
      <c r="H8" s="162" t="s">
        <v>96</v>
      </c>
      <c r="O8" s="162" t="s">
        <v>97</v>
      </c>
    </row>
    <row r="9" spans="7:15" ht="12.75">
      <c r="G9" s="162">
        <v>1012735</v>
      </c>
      <c r="H9" s="162" t="s">
        <v>98</v>
      </c>
      <c r="O9" s="162" t="s">
        <v>99</v>
      </c>
    </row>
    <row r="10" spans="7:15" ht="12.75">
      <c r="G10" s="162">
        <v>1012736</v>
      </c>
      <c r="H10" s="162" t="s">
        <v>100</v>
      </c>
      <c r="O10" s="162" t="s">
        <v>101</v>
      </c>
    </row>
    <row r="11" spans="7:15" ht="12.75">
      <c r="G11" s="162">
        <v>1012737</v>
      </c>
      <c r="H11" s="162" t="s">
        <v>102</v>
      </c>
      <c r="O11" s="162" t="s">
        <v>103</v>
      </c>
    </row>
    <row r="12" spans="7:15" ht="12.75">
      <c r="G12" s="162">
        <v>1012738</v>
      </c>
      <c r="H12" s="162" t="s">
        <v>104</v>
      </c>
      <c r="O12" s="162" t="s">
        <v>105</v>
      </c>
    </row>
    <row r="13" spans="7:15" ht="12.75">
      <c r="G13" s="162">
        <v>1012739</v>
      </c>
      <c r="H13" s="162" t="s">
        <v>106</v>
      </c>
      <c r="O13" s="162" t="s">
        <v>107</v>
      </c>
    </row>
    <row r="14" spans="7:15" ht="12.75">
      <c r="G14" s="162">
        <v>1012740</v>
      </c>
      <c r="H14" s="162" t="s">
        <v>108</v>
      </c>
      <c r="O14" s="162" t="s">
        <v>109</v>
      </c>
    </row>
    <row r="15" spans="7:15" ht="12.75">
      <c r="G15" s="162">
        <v>1012741</v>
      </c>
      <c r="H15" s="162" t="s">
        <v>110</v>
      </c>
      <c r="O15" s="162" t="s">
        <v>111</v>
      </c>
    </row>
    <row r="16" spans="7:15" ht="12.75">
      <c r="G16" s="162">
        <v>1012742</v>
      </c>
      <c r="H16" s="162" t="s">
        <v>112</v>
      </c>
      <c r="O16" s="162" t="s">
        <v>113</v>
      </c>
    </row>
    <row r="17" spans="7:15" ht="12.75">
      <c r="G17" s="162">
        <v>1012743</v>
      </c>
      <c r="H17" s="162" t="s">
        <v>114</v>
      </c>
      <c r="O17" s="162" t="s">
        <v>115</v>
      </c>
    </row>
    <row r="18" spans="7:15" ht="12.75">
      <c r="G18" s="162">
        <v>1012744</v>
      </c>
      <c r="H18" s="162" t="s">
        <v>116</v>
      </c>
      <c r="O18" s="162" t="s">
        <v>117</v>
      </c>
    </row>
    <row r="19" spans="7:15" ht="12.75">
      <c r="G19" s="162">
        <v>1020032</v>
      </c>
      <c r="H19" s="162" t="s">
        <v>118</v>
      </c>
      <c r="O19" s="162" t="s">
        <v>119</v>
      </c>
    </row>
    <row r="20" spans="7:15" ht="12.75">
      <c r="G20" s="162">
        <v>1020033</v>
      </c>
      <c r="H20" s="162" t="s">
        <v>120</v>
      </c>
      <c r="O20" s="162" t="s">
        <v>121</v>
      </c>
    </row>
    <row r="21" ht="12.75">
      <c r="O21" s="162" t="s">
        <v>122</v>
      </c>
    </row>
    <row r="22" ht="12.75">
      <c r="O22" s="162" t="s">
        <v>123</v>
      </c>
    </row>
    <row r="23" ht="12.75">
      <c r="O23" s="162" t="s">
        <v>124</v>
      </c>
    </row>
    <row r="24" ht="12.75">
      <c r="O24" s="162" t="s">
        <v>125</v>
      </c>
    </row>
    <row r="25" ht="12.75">
      <c r="O25" s="162" t="s">
        <v>126</v>
      </c>
    </row>
    <row r="26" ht="12.75">
      <c r="O26" s="162" t="s">
        <v>127</v>
      </c>
    </row>
    <row r="27" ht="12.75">
      <c r="O27" s="162" t="s">
        <v>128</v>
      </c>
    </row>
    <row r="28" ht="12.75">
      <c r="O28" s="162" t="s">
        <v>129</v>
      </c>
    </row>
    <row r="29" ht="12.75">
      <c r="O29" s="162" t="s">
        <v>130</v>
      </c>
    </row>
    <row r="30" ht="12.75">
      <c r="O30" s="162" t="s">
        <v>131</v>
      </c>
    </row>
    <row r="31" ht="12.75">
      <c r="O31" s="162" t="s">
        <v>132</v>
      </c>
    </row>
    <row r="32" ht="12.75">
      <c r="O32" s="162" t="s">
        <v>133</v>
      </c>
    </row>
    <row r="33" ht="12.75">
      <c r="O33" s="162" t="s">
        <v>134</v>
      </c>
    </row>
    <row r="34" ht="12.75">
      <c r="O34" s="162" t="s">
        <v>135</v>
      </c>
    </row>
    <row r="35" ht="12.75">
      <c r="O35" s="162" t="s">
        <v>136</v>
      </c>
    </row>
    <row r="36" ht="12.75">
      <c r="O36" s="162" t="s">
        <v>137</v>
      </c>
    </row>
    <row r="37" ht="12.75">
      <c r="O37" s="162" t="s">
        <v>138</v>
      </c>
    </row>
    <row r="38" ht="12.75">
      <c r="O38" s="162" t="s">
        <v>139</v>
      </c>
    </row>
    <row r="39" ht="12.75">
      <c r="O39" s="162" t="s">
        <v>140</v>
      </c>
    </row>
    <row r="40" ht="12.75">
      <c r="O40" s="162" t="s">
        <v>141</v>
      </c>
    </row>
    <row r="41" ht="12.75">
      <c r="O41" s="162" t="s">
        <v>142</v>
      </c>
    </row>
    <row r="42" ht="12.75">
      <c r="O42" s="162" t="s">
        <v>143</v>
      </c>
    </row>
    <row r="43" ht="12.75">
      <c r="O43" s="162" t="s">
        <v>144</v>
      </c>
    </row>
    <row r="44" ht="12.75">
      <c r="O44" s="162" t="s">
        <v>145</v>
      </c>
    </row>
    <row r="45" ht="12.75">
      <c r="O45" s="162" t="s">
        <v>146</v>
      </c>
    </row>
    <row r="46" ht="12.75">
      <c r="O46" s="162" t="s">
        <v>147</v>
      </c>
    </row>
    <row r="47" ht="12.75">
      <c r="O47" s="162" t="s">
        <v>148</v>
      </c>
    </row>
    <row r="48" ht="12.75">
      <c r="O48" s="162" t="s">
        <v>149</v>
      </c>
    </row>
    <row r="49" ht="12.75">
      <c r="O49" s="162" t="s">
        <v>150</v>
      </c>
    </row>
    <row r="50" ht="12.75">
      <c r="O50" s="162" t="s">
        <v>151</v>
      </c>
    </row>
    <row r="51" ht="12.75">
      <c r="O51" s="162" t="s">
        <v>152</v>
      </c>
    </row>
    <row r="52" ht="12.75">
      <c r="O52" s="162" t="s">
        <v>153</v>
      </c>
    </row>
    <row r="53" ht="12.75">
      <c r="O53" s="162" t="s">
        <v>154</v>
      </c>
    </row>
    <row r="54" ht="12.75">
      <c r="O54" s="162" t="s">
        <v>155</v>
      </c>
    </row>
    <row r="55" ht="12.75">
      <c r="O55" s="162" t="s">
        <v>156</v>
      </c>
    </row>
    <row r="56" ht="12.75">
      <c r="O56" s="162" t="s">
        <v>157</v>
      </c>
    </row>
    <row r="57" ht="12.75">
      <c r="O57" s="162" t="s">
        <v>158</v>
      </c>
    </row>
    <row r="58" ht="12.75">
      <c r="O58" s="162" t="s">
        <v>159</v>
      </c>
    </row>
    <row r="59" ht="12.75">
      <c r="O59" s="162" t="s">
        <v>160</v>
      </c>
    </row>
    <row r="60" ht="12.75">
      <c r="O60" s="162" t="s">
        <v>161</v>
      </c>
    </row>
    <row r="61" ht="12.75">
      <c r="O61" s="162" t="s">
        <v>162</v>
      </c>
    </row>
    <row r="62" ht="12.75">
      <c r="O62" s="162" t="s">
        <v>163</v>
      </c>
    </row>
    <row r="63" ht="12.75">
      <c r="O63" s="162" t="s">
        <v>164</v>
      </c>
    </row>
    <row r="64" ht="12.75">
      <c r="O64" s="162" t="s">
        <v>165</v>
      </c>
    </row>
    <row r="65" ht="12.75">
      <c r="O65" s="162" t="s">
        <v>166</v>
      </c>
    </row>
    <row r="66" ht="12.75">
      <c r="O66" s="162" t="s">
        <v>167</v>
      </c>
    </row>
    <row r="67" ht="12.75">
      <c r="O67" s="162" t="s">
        <v>168</v>
      </c>
    </row>
    <row r="68" ht="12.75">
      <c r="O68" s="162" t="s">
        <v>169</v>
      </c>
    </row>
    <row r="69" ht="12.75">
      <c r="O69" s="162" t="s">
        <v>170</v>
      </c>
    </row>
    <row r="70" ht="12.75">
      <c r="O70" s="162" t="s">
        <v>171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