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Quote!$A$1:$R$103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Quote!$A$84</definedName>
    <definedName name="Enquiry_To_Vendor_ID" comment="Enquiry to Vendor ID">Quote!$C$84</definedName>
    <definedName name="GrandTotal">Quote!$N$83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Quote!$A$76</definedName>
    <definedName name="ItemListStartupRow" comment="Item List Start Up Row">Quote!$A$19</definedName>
    <definedName name="ItemSubTotal">Quote!$N$82</definedName>
    <definedName name="ItemSubTotalTitle">Quote!$J$82</definedName>
    <definedName name="LeadDay">Quote!$M$11</definedName>
    <definedName name="Lock">Quote!$M$84</definedName>
    <definedName name="LoggedInEmailID">Quote!$N$84</definedName>
    <definedName name="LoggedInPwd">Quote!$O$84</definedName>
    <definedName name="OtherCharges">Quote!$C$78</definedName>
    <definedName name="OtherChargesLastRow">Quote!$A$82</definedName>
    <definedName name="OtherChargesStartRow">Quote!$A$77</definedName>
    <definedName name="Port">Quote!$P$84</definedName>
    <definedName name="PortOfDelivery" comment="Port of Delivery">Quote!$M$9</definedName>
    <definedName name="PurchaserName">Quote!$J$84</definedName>
    <definedName name="QuoteBefore">Quote!$M$8</definedName>
    <definedName name="QuoteID">MasterData!$N$7</definedName>
    <definedName name="QuoteSubject">Quote!$E$84</definedName>
    <definedName name="Remarks">Quote!$E$86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Quote!$K$84</definedName>
    <definedName name="SentIndex">Quote!$L$84</definedName>
    <definedName name="Server">Quote!$Q$84</definedName>
    <definedName name="Terms">Quote!$A$90:$T$111</definedName>
    <definedName name="ToEmailID">Quote!$I$84</definedName>
    <definedName name="ToEmailPwd">Quote!$H$84</definedName>
    <definedName name="VAL">Quote!$F$84</definedName>
    <definedName name="VAT_All">Quote!$M$16</definedName>
    <definedName name="Vendor_ID" comment="Vendor ID">Quote!$B$84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Quote!$D$84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Quote!$E$87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</definedName>
  </definedNames>
  <calcPr fullCalcOnLoad="1"/>
</workbook>
</file>

<file path=xl/sharedStrings.xml><?xml version="1.0" encoding="utf-8"?>
<sst xmlns="http://schemas.openxmlformats.org/spreadsheetml/2006/main" count="410" uniqueCount="267">
  <si>
    <t>RFQ</t>
  </si>
  <si>
    <t>Request for Quote</t>
  </si>
  <si>
    <t>Invoice To</t>
  </si>
  <si>
    <t>Bernhard Schulte Shipmanagement (Hong Kong) Limited Partnership
Invoice To: MASTER &amp; OWNER OF FMG NICOLA
REGD. OWNER: FORTESCUE METALS GROUP LTD.
BERNHARD SCHULTE SHIPMANGEMENT (HONG KONG) LTD. PARTNERSHIP
(AS AGENTS ONLY)
2602, K WAH CENTRE, 191 JAVA ROAD,
NORTH POINT, HONG KONG
TEL: +852 2561 8838
FAX: +852 2561 8803
EMAIL: hk-smc-invoices@bs-shipmanagement.com</t>
  </si>
  <si>
    <t>Vessel</t>
  </si>
  <si>
    <t>FMG Nicola</t>
  </si>
  <si>
    <t>RFQ No.</t>
  </si>
  <si>
    <t>FNC/O0132/RF19</t>
  </si>
  <si>
    <t>RFQ Date</t>
  </si>
  <si>
    <t>Submit Quote Before:</t>
  </si>
  <si>
    <t>Port of Delivery</t>
  </si>
  <si>
    <t>Rizhao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</si>
  <si>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</si>
  <si>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</si>
  <si>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</si>
  <si>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</si>
  <si>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</si>
  <si>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</si>
  <si>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</si>
  <si>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</si>
  <si>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</si>
  <si>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</si>
  <si>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</si>
  <si>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</si>
  <si>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</si>
  <si>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</si>
  <si>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</si>
  <si>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</si>
  <si>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</si>
  <si>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</si>
  <si>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</si>
  <si>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</si>
  <si>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</si>
  <si>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</si>
  <si>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</si>
  <si>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</si>
  <si>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</si>
  <si>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</si>
  <si>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</si>
  <si>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</si>
  <si>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FOAM HAND SANITIZER - 500ML MPA - 18</t>
  </si>
  <si>
    <t>BTL</t>
  </si>
  <si>
    <t>MISC 26</t>
  </si>
  <si>
    <t>ANTI MOSQUITO REPELLANT LOTION</t>
  </si>
  <si>
    <t>PCS</t>
  </si>
  <si>
    <t>MED0294</t>
  </si>
  <si>
    <t>WEIGHING SCALE</t>
  </si>
  <si>
    <t>FIRST AID KIT, COMPLETE</t>
  </si>
  <si>
    <t>SPHYGMOMANOMETER DIGITAL Compact and lightweight, battery operated sphygmomanometer.  Power source is two R6P (UM-3 • AA) batteries.  The measuring range</t>
  </si>
  <si>
    <t>SET</t>
  </si>
  <si>
    <t>GAMMA BENZENE HEXYCHLORIDE 2 % HAIR APPL.</t>
  </si>
  <si>
    <t>MAGNESIUM TRISILICATE TABLETS</t>
  </si>
  <si>
    <t>METRONIDAZOLE TABLET 200MG, 100'S For the treatment of salpingitis and other diseases of women and the treatment of amoebic dysentery.</t>
  </si>
  <si>
    <t>MED0215</t>
  </si>
  <si>
    <t>MENTHOL AND BENZOIN 50 ML. BTL.</t>
  </si>
  <si>
    <t>TETRACYCLINE HYDROCHLORIDE 250 MG CAPS.</t>
  </si>
  <si>
    <t>AMITRIPTYLINE TABLET, 25MG 100'S A psychotherapuetic drug used in the treatment of depression and anxiety.  To be prescribed only after obtaining radio medical a</t>
  </si>
  <si>
    <t>CHLORPHENAMINE MALEATE INJECT., 10MG 1ML AMPOULES 10'S See previous item.</t>
  </si>
  <si>
    <t>BOX</t>
  </si>
  <si>
    <t>MED0196</t>
  </si>
  <si>
    <t>INDOMETHACINE 100MG SUPPOSITORY</t>
  </si>
  <si>
    <t>ZINC DUSTING POWDER, (TALCUM POWDER) 200GRM For soothing irritated skin or heat rashes.</t>
  </si>
  <si>
    <t>TIN</t>
  </si>
  <si>
    <t>Zinc Oxide Ointment 50g</t>
  </si>
  <si>
    <t>TUB</t>
  </si>
  <si>
    <t>MED0130</t>
  </si>
  <si>
    <t>CO-TRIMAXAZOLE TAB 480MG,</t>
  </si>
  <si>
    <t>PROGUANIL TALBET 100MG 100'S For the prevention of malaria.  Given either alone or in association with chloroquine.</t>
  </si>
  <si>
    <t>ERYTHROMYCIN TABLET 250MG, 100'S Used for the treatment of a variety of infections of the upper and lower respiratory tract; infections of the mouth, gums, and t</t>
  </si>
  <si>
    <t>MULTI VITAMIN TABLET 120TAB For fatigue, anorexia, anemia, and as a nutritional supplement.</t>
  </si>
  <si>
    <t>CASTOR OIL 20ML Used to safely induce vomiting in the treatment of poisoning.</t>
  </si>
  <si>
    <t>MED0203</t>
  </si>
  <si>
    <t>LIGNOCAINE GEL ,LIGNOCAINE HCL 2%, 30GM TUBE</t>
  </si>
  <si>
    <t>GLUCOSE 50 MG/ML INFUSION (1000 ML)</t>
  </si>
  <si>
    <t>PROVIDONE IODINE SOLUTION 10%, 30 TO 120ML To disinfect skin and wounds.</t>
  </si>
  <si>
    <t>MED0229</t>
  </si>
  <si>
    <t>PAIN RELIEF SPRAY 80GM</t>
  </si>
  <si>
    <t>CAN</t>
  </si>
  <si>
    <t>MED0220</t>
  </si>
  <si>
    <t>MOUTHWASH LISTERINE, 250ML</t>
  </si>
  <si>
    <t>NASAL SPRAY 15ML For acute or chronic rhinitis, allergic rhinitis, and sinusitis.</t>
  </si>
  <si>
    <t>BECLOMETHASONE INCLUDING, INHALATION DEVICE 50 MICROGRM -</t>
  </si>
  <si>
    <t>CETRIZINE TABLET 10MG  To treat allergy symptoms in hay fever, hives, allergic dermatitis, etc.</t>
  </si>
  <si>
    <t>BURN CREAM, TUBE</t>
  </si>
  <si>
    <t>CALCIUM GLUCONATE GEL 2%, 25 GRM -</t>
  </si>
  <si>
    <t>SPRAY DRESSING 120ML -</t>
  </si>
  <si>
    <t>MICONAZOLE NITRATE 2 % TOPICAL CREAM</t>
  </si>
  <si>
    <t>MED0133</t>
  </si>
  <si>
    <t>COTTON WOOL 20GM STERILE</t>
  </si>
  <si>
    <t>RLS</t>
  </si>
  <si>
    <t>MED0134</t>
  </si>
  <si>
    <t>COTTON WOOL 50GM</t>
  </si>
  <si>
    <t>7F2</t>
  </si>
  <si>
    <t>TETANUS IMMUNEGLOBULINE INJECTION (1 ML)</t>
  </si>
  <si>
    <t>CPS 0198</t>
  </si>
  <si>
    <t>COTTON APPLICATOR FOR EAR</t>
  </si>
  <si>
    <t>SOFT PARAFFIN (VASELINE) 50GRM To treat chapped skin.  See page 212, 261 for lubricating rectal thermometer</t>
  </si>
  <si>
    <t>JAR</t>
  </si>
  <si>
    <t>PARACETAMOL TABLET 500MG  To reduce pain and fever (but not inflammation)</t>
  </si>
  <si>
    <t>IBUPROFEN COATED TABLET400 MG To treat inflammation.  To reduce mild-to-moderate pain, especially if associated with inflammation</t>
  </si>
  <si>
    <t>MED0187</t>
  </si>
  <si>
    <t>GLUCOSE D POWDER 500GM</t>
  </si>
  <si>
    <t>PKT</t>
  </si>
  <si>
    <t>PARAFFIN GAUZE 10X10CM - 10'S MPA - 2.5</t>
  </si>
  <si>
    <t>EYE WASH 150ML For irrigating or flushing the eye to wash away foreign particles, mucous secretions, and fluorescein die used in diagnosis.</t>
  </si>
  <si>
    <t>URINE TEST STICKS, KETONES</t>
  </si>
  <si>
    <t>MED0242</t>
  </si>
  <si>
    <t>PREDNISOLONE 5MG TABLET,</t>
  </si>
  <si>
    <t>DETTOL ANTISEPTIC LIQUID - 500ML MPA - 8.7</t>
  </si>
  <si>
    <t>MISC 01</t>
  </si>
  <si>
    <t>ANTACID LIQUID</t>
  </si>
  <si>
    <t>.</t>
  </si>
  <si>
    <t>09C1</t>
  </si>
  <si>
    <t>ANTIBIOTIC EAR DROPS 1 % (WHO 80.)</t>
  </si>
  <si>
    <t>CLOVE OIL (WHO 24.)</t>
  </si>
  <si>
    <t>ALUMINIUM ACETATE EAR DROP, 13% SOLUTION IN 20ML BOTTLE Used for treating a boil in the ear.</t>
  </si>
  <si>
    <t>GELOFUSINE SOLUTION - 500ML APPE14-22</t>
  </si>
  <si>
    <t>SCOPOLAMINE TRANSDERMAL PATCHES</t>
  </si>
  <si>
    <t>ZINC OINTMENT 100GRM For the soothing and protection of eczema and psoriasis.</t>
  </si>
  <si>
    <t>HYDROCORTISONE OINTMENT 1%, 30GRM TUBE To treat allergy and some other inflammatory skin conditions.</t>
  </si>
  <si>
    <t>VITAMIN K1 INJECTION 10MG/ML - 10'S APPE14-21</t>
  </si>
  <si>
    <t>DEXAMETHASONE INJECTION 4MG/ML - 3'S MPA - 14</t>
  </si>
  <si>
    <t>MED0549</t>
  </si>
  <si>
    <t>CHLORPHENAMINE MALEATE 4 MG TABLETS,WHO-B LIST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</si>
  <si>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</si>
  <si>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</si>
  <si>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</si>
  <si>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</si>
  <si>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</si>
  <si>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</si>
  <si>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</si>
  <si>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</si>
  <si>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</si>
  <si>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</si>
  <si>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</si>
  <si>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</si>
  <si>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</si>
  <si>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</si>
  <si>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</si>
  <si>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</si>
  <si>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</si>
  <si>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</si>
  <si>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</si>
  <si>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</si>
  <si>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</si>
  <si>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</si>
  <si>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</si>
  <si>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</si>
  <si>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</si>
  <si>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</si>
  <si>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</si>
  <si>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</si>
  <si>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</si>
  <si>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</si>
  <si>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</si>
  <si>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</si>
  <si>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</si>
  <si>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</si>
  <si>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</si>
  <si>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</si>
  <si>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</si>
  <si>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</si>
  <si>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</si>
  <si>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</si>
  <si>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</si>
  <si>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</si>
  <si>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</si>
  <si>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</si>
  <si>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</si>
  <si>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</si>
  <si>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</si>
  <si>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</si>
  <si>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</si>
  <si>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</si>
  <si>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</si>
  <si>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</si>
  <si>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</si>
  <si>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</si>
  <si>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</si>
  <si>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</si>
  <si>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</si>
  <si>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</si>
  <si>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</si>
  <si>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</si>
  <si>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</si>
  <si>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</si>
  <si>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</si>
  <si>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</si>
  <si>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</si>
  <si>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</si>
  <si>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</si>
  <si>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</si>
  <si>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</si>
  <si>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</si>
  <si>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</si>
  <si>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</si>
  <si>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</si>
  <si>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</si>
  <si>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</si>
  <si>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</si>
  <si>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</si>
  <si>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</si>
  <si>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</si>
  <si>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</si>
  <si>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</si>
  <si>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</si>
  <si>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</si>
  <si>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</si>
  <si>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</si>
  <si>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</si>
  <si>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</si>
  <si>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</si>
  <si>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</si>
  <si>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</si>
  <si>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</si>
  <si>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</si>
  <si>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</si>
  <si>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</si>
  <si>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</si>
  <si>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</si>
  <si>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</si>
  <si>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</si>
  <si>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</si>
  <si>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</si>
  <si>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</si>
  <si>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</si>
  <si>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</si>
  <si>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</si>
  <si>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</si>
  <si>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</si>
  <si>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</si>
  <si>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BJD190805214512LET</t>
  </si>
  <si>
    <t>local</t>
  </si>
  <si>
    <t>wenbuding  95ml</t>
  </si>
  <si>
    <t>391092</t>
  </si>
  <si>
    <t>Eliminate lice shampoo 100g</t>
  </si>
  <si>
    <t>local  352.6mg</t>
  </si>
  <si>
    <t>Oral Ulcers  Spray  35ml</t>
  </si>
  <si>
    <t>Doxepin Hydrochloride Tablets  25mg*100s</t>
  </si>
  <si>
    <t>150g</t>
  </si>
  <si>
    <t>20g</t>
  </si>
  <si>
    <t>Chloroquine Phosphate Tablets,250mg*100's</t>
  </si>
  <si>
    <t>125mg*100s</t>
  </si>
  <si>
    <t>1tab</t>
  </si>
  <si>
    <t>10g</t>
  </si>
  <si>
    <t>500ml</t>
  </si>
  <si>
    <t>Bone pain spray 60ml</t>
  </si>
  <si>
    <t>local  200ml</t>
  </si>
  <si>
    <t>35ml</t>
  </si>
  <si>
    <t>Burn Ointment 20g</t>
  </si>
  <si>
    <t>Lidocaine and Chlorhexine Acetate  Aerosol 60g</t>
  </si>
  <si>
    <t>local  1500iu</t>
  </si>
  <si>
    <t>100ml</t>
  </si>
  <si>
    <t>100mg*100s</t>
  </si>
  <si>
    <t>500ml+1cup</t>
  </si>
  <si>
    <t>20s</t>
  </si>
  <si>
    <t>5mg</t>
  </si>
  <si>
    <t>Gastritis granule 5g*20's</t>
  </si>
  <si>
    <t>Boric  Acid  Ear   Drops  8g</t>
  </si>
  <si>
    <t>5ml</t>
  </si>
  <si>
    <t>Ofloxacin Ear Drops 5ml</t>
  </si>
  <si>
    <t>local  500ml</t>
  </si>
  <si>
    <t>MOTION SICKNESS PATCH</t>
  </si>
  <si>
    <t>local  10g</t>
  </si>
  <si>
    <t>PLS CHECK THE QTY</t>
  </si>
  <si>
    <t>1ml;5mg*5s</t>
  </si>
  <si>
    <t xml:space="preserve">
Date promised : 2019-08-09
Quote validity : 2019-09-05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</si>
</sst>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1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231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224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99990009874113</v>
      </c>
      <c r="C20" s="227">
        <v>2045971</v>
      </c>
      <c r="D20" s="228" t="s">
        <v>40</v>
      </c>
      <c r="E20" s="229"/>
      <c r="F20" s="229">
        <v>2045971</v>
      </c>
      <c r="G20" s="229" t="s">
        <v>41</v>
      </c>
      <c r="H20" s="230">
        <v>0</v>
      </c>
      <c r="I20" s="231">
        <v>5</v>
      </c>
      <c r="J20" s="232">
        <v>1.3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232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99990013165137</v>
      </c>
      <c r="C21" s="227" t="s">
        <v>42</v>
      </c>
      <c r="D21" s="228" t="s">
        <v>43</v>
      </c>
      <c r="E21" s="229"/>
      <c r="F21" s="229" t="s">
        <v>42</v>
      </c>
      <c r="G21" s="229" t="s">
        <v>44</v>
      </c>
      <c r="H21" s="230">
        <v>0</v>
      </c>
      <c r="I21" s="231">
        <v>12</v>
      </c>
      <c r="J21" s="232">
        <v>0.9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233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99990009875191</v>
      </c>
      <c r="C22" s="227" t="s">
        <v>45</v>
      </c>
      <c r="D22" s="228" t="s">
        <v>46</v>
      </c>
      <c r="E22" s="229"/>
      <c r="F22" s="229" t="s">
        <v>45</v>
      </c>
      <c r="G22" s="229" t="s">
        <v>44</v>
      </c>
      <c r="H22" s="230">
        <v>0</v>
      </c>
      <c r="I22" s="231">
        <v>2</v>
      </c>
      <c r="J22" s="232">
        <v>8.29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99990009874080</v>
      </c>
      <c r="C23" s="227">
        <v>15</v>
      </c>
      <c r="D23" s="228" t="s">
        <v>47</v>
      </c>
      <c r="E23" s="229"/>
      <c r="F23" s="229">
        <v>15</v>
      </c>
      <c r="G23" s="229" t="s">
        <v>44</v>
      </c>
      <c r="H23" s="230">
        <v>0</v>
      </c>
      <c r="I23" s="231">
        <v>4</v>
      </c>
      <c r="J23" s="232">
        <v>16.59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234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99990010835746</v>
      </c>
      <c r="C24" s="227">
        <v>391369</v>
      </c>
      <c r="D24" s="228" t="s">
        <v>48</v>
      </c>
      <c r="E24" s="229"/>
      <c r="F24" s="229">
        <v>391369</v>
      </c>
      <c r="G24" s="229" t="s">
        <v>49</v>
      </c>
      <c r="H24" s="230">
        <v>0</v>
      </c>
      <c r="I24" s="231">
        <v>2</v>
      </c>
      <c r="J24" s="232">
        <v>30.33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99990009874167</v>
      </c>
      <c r="C25" s="227">
        <v>37</v>
      </c>
      <c r="D25" s="228" t="s">
        <v>50</v>
      </c>
      <c r="E25" s="229"/>
      <c r="F25" s="229">
        <v>37</v>
      </c>
      <c r="G25" s="229" t="s">
        <v>44</v>
      </c>
      <c r="H25" s="230">
        <v>0</v>
      </c>
      <c r="I25" s="231">
        <v>2</v>
      </c>
      <c r="J25" s="232">
        <v>1.54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235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99990009874411</v>
      </c>
      <c r="C26" s="227">
        <v>46</v>
      </c>
      <c r="D26" s="228" t="s">
        <v>51</v>
      </c>
      <c r="E26" s="229"/>
      <c r="F26" s="229">
        <v>46</v>
      </c>
      <c r="G26" s="229" t="s">
        <v>44</v>
      </c>
      <c r="H26" s="230">
        <v>0</v>
      </c>
      <c r="I26" s="231">
        <v>100</v>
      </c>
      <c r="J26" s="232">
        <v>0.02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236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99990010835277</v>
      </c>
      <c r="C27" s="227">
        <v>390651</v>
      </c>
      <c r="D27" s="228" t="s">
        <v>52</v>
      </c>
      <c r="E27" s="229"/>
      <c r="F27" s="229">
        <v>390651</v>
      </c>
      <c r="G27" s="229" t="s">
        <v>41</v>
      </c>
      <c r="H27" s="230">
        <v>0</v>
      </c>
      <c r="I27" s="231">
        <v>1</v>
      </c>
      <c r="J27" s="232">
        <v>1.07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99990009874464</v>
      </c>
      <c r="C28" s="227" t="s">
        <v>53</v>
      </c>
      <c r="D28" s="228" t="s">
        <v>54</v>
      </c>
      <c r="E28" s="229"/>
      <c r="F28" s="229" t="s">
        <v>53</v>
      </c>
      <c r="G28" s="229" t="s">
        <v>41</v>
      </c>
      <c r="H28" s="230">
        <v>0</v>
      </c>
      <c r="I28" s="231">
        <v>2</v>
      </c>
      <c r="J28" s="232">
        <v>1.55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237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99990009875052</v>
      </c>
      <c r="C29" s="227">
        <v>72</v>
      </c>
      <c r="D29" s="228" t="s">
        <v>55</v>
      </c>
      <c r="E29" s="229"/>
      <c r="F29" s="229">
        <v>72</v>
      </c>
      <c r="G29" s="229" t="s">
        <v>44</v>
      </c>
      <c r="H29" s="230">
        <v>0</v>
      </c>
      <c r="I29" s="231">
        <v>10</v>
      </c>
      <c r="J29" s="232">
        <v>0.3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99990010835237</v>
      </c>
      <c r="C30" s="227">
        <v>390608</v>
      </c>
      <c r="D30" s="228" t="s">
        <v>56</v>
      </c>
      <c r="E30" s="229"/>
      <c r="F30" s="229">
        <v>390608</v>
      </c>
      <c r="G30" s="229" t="s">
        <v>41</v>
      </c>
      <c r="H30" s="230">
        <v>0</v>
      </c>
      <c r="I30" s="231">
        <v>10</v>
      </c>
      <c r="J30" s="232">
        <v>7.11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238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99990010835250</v>
      </c>
      <c r="C31" s="227">
        <v>390621</v>
      </c>
      <c r="D31" s="228" t="s">
        <v>57</v>
      </c>
      <c r="E31" s="229"/>
      <c r="F31" s="229">
        <v>390621</v>
      </c>
      <c r="G31" s="229" t="s">
        <v>58</v>
      </c>
      <c r="H31" s="230">
        <v>0</v>
      </c>
      <c r="I31" s="231">
        <v>5</v>
      </c>
      <c r="J31" s="232">
        <v>1.54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99990009874307</v>
      </c>
      <c r="C32" s="227" t="s">
        <v>59</v>
      </c>
      <c r="D32" s="228" t="s">
        <v>60</v>
      </c>
      <c r="E32" s="229"/>
      <c r="F32" s="229" t="s">
        <v>59</v>
      </c>
      <c r="G32" s="229" t="s">
        <v>44</v>
      </c>
      <c r="H32" s="230">
        <v>0</v>
      </c>
      <c r="I32" s="231">
        <v>5</v>
      </c>
      <c r="J32" s="232">
        <v>0.31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99990010835676</v>
      </c>
      <c r="C33" s="227">
        <v>390571</v>
      </c>
      <c r="D33" s="228" t="s">
        <v>61</v>
      </c>
      <c r="E33" s="229"/>
      <c r="F33" s="229">
        <v>390571</v>
      </c>
      <c r="G33" s="229" t="s">
        <v>62</v>
      </c>
      <c r="H33" s="230">
        <v>0</v>
      </c>
      <c r="I33" s="231">
        <v>1</v>
      </c>
      <c r="J33" s="232">
        <v>1.07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239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99990011451347</v>
      </c>
      <c r="C34" s="227">
        <v>2547771</v>
      </c>
      <c r="D34" s="228" t="s">
        <v>63</v>
      </c>
      <c r="E34" s="229"/>
      <c r="F34" s="229">
        <v>2547771</v>
      </c>
      <c r="G34" s="229" t="s">
        <v>64</v>
      </c>
      <c r="H34" s="230">
        <v>0</v>
      </c>
      <c r="I34" s="231">
        <v>6</v>
      </c>
      <c r="J34" s="232">
        <v>1.18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240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99990009873785</v>
      </c>
      <c r="C35" s="227" t="s">
        <v>65</v>
      </c>
      <c r="D35" s="228" t="s">
        <v>66</v>
      </c>
      <c r="E35" s="229"/>
      <c r="F35" s="229" t="s">
        <v>65</v>
      </c>
      <c r="G35" s="229" t="s">
        <v>44</v>
      </c>
      <c r="H35" s="230">
        <v>0</v>
      </c>
      <c r="I35" s="231">
        <v>100</v>
      </c>
      <c r="J35" s="232">
        <v>0.03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99990010835287</v>
      </c>
      <c r="C36" s="227">
        <v>390668</v>
      </c>
      <c r="D36" s="228" t="s">
        <v>67</v>
      </c>
      <c r="E36" s="229"/>
      <c r="F36" s="229">
        <v>390668</v>
      </c>
      <c r="G36" s="229" t="s">
        <v>41</v>
      </c>
      <c r="H36" s="230">
        <v>0</v>
      </c>
      <c r="I36" s="231">
        <v>4</v>
      </c>
      <c r="J36" s="232">
        <v>15.4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241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99990010835262</v>
      </c>
      <c r="C37" s="227">
        <v>390635</v>
      </c>
      <c r="D37" s="228" t="s">
        <v>68</v>
      </c>
      <c r="E37" s="229"/>
      <c r="F37" s="229">
        <v>390635</v>
      </c>
      <c r="G37" s="229" t="s">
        <v>41</v>
      </c>
      <c r="H37" s="230">
        <v>0</v>
      </c>
      <c r="I37" s="231">
        <v>1</v>
      </c>
      <c r="J37" s="232">
        <v>2.88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242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99990010835672</v>
      </c>
      <c r="C38" s="227">
        <v>390550</v>
      </c>
      <c r="D38" s="228" t="s">
        <v>69</v>
      </c>
      <c r="E38" s="229"/>
      <c r="F38" s="229">
        <v>390550</v>
      </c>
      <c r="G38" s="229" t="s">
        <v>41</v>
      </c>
      <c r="H38" s="230">
        <v>0</v>
      </c>
      <c r="I38" s="231">
        <v>50</v>
      </c>
      <c r="J38" s="232">
        <v>0.07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243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99990010835578</v>
      </c>
      <c r="C39" s="227">
        <v>390222</v>
      </c>
      <c r="D39" s="228" t="s">
        <v>70</v>
      </c>
      <c r="E39" s="229"/>
      <c r="F39" s="229">
        <v>390222</v>
      </c>
      <c r="G39" s="229" t="s">
        <v>41</v>
      </c>
      <c r="H39" s="230">
        <v>0</v>
      </c>
      <c r="I39" s="231">
        <v>3</v>
      </c>
      <c r="J39" s="232">
        <v>2.25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99990009874387</v>
      </c>
      <c r="C40" s="227" t="s">
        <v>71</v>
      </c>
      <c r="D40" s="228" t="s">
        <v>72</v>
      </c>
      <c r="E40" s="229"/>
      <c r="F40" s="229" t="s">
        <v>71</v>
      </c>
      <c r="G40" s="229" t="s">
        <v>64</v>
      </c>
      <c r="H40" s="230">
        <v>0</v>
      </c>
      <c r="I40" s="231">
        <v>10</v>
      </c>
      <c r="J40" s="232">
        <v>1.07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244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99990009874210</v>
      </c>
      <c r="C41" s="227">
        <v>8.10</v>
      </c>
      <c r="D41" s="228" t="s">
        <v>73</v>
      </c>
      <c r="E41" s="229"/>
      <c r="F41" s="229">
        <v>8.10</v>
      </c>
      <c r="G41" s="229" t="s">
        <v>44</v>
      </c>
      <c r="H41" s="230">
        <v>0</v>
      </c>
      <c r="I41" s="231">
        <v>5</v>
      </c>
      <c r="J41" s="232">
        <v>2.02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245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99990010835048</v>
      </c>
      <c r="C42" s="227">
        <v>391748</v>
      </c>
      <c r="D42" s="228" t="s">
        <v>74</v>
      </c>
      <c r="E42" s="229"/>
      <c r="F42" s="229">
        <v>391748</v>
      </c>
      <c r="G42" s="229" t="s">
        <v>41</v>
      </c>
      <c r="H42" s="230">
        <v>0</v>
      </c>
      <c r="I42" s="231">
        <v>12</v>
      </c>
      <c r="J42" s="232">
        <v>2.02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245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99990009874632</v>
      </c>
      <c r="C43" s="227" t="s">
        <v>75</v>
      </c>
      <c r="D43" s="228" t="s">
        <v>76</v>
      </c>
      <c r="E43" s="229"/>
      <c r="F43" s="229" t="s">
        <v>75</v>
      </c>
      <c r="G43" s="229" t="s">
        <v>77</v>
      </c>
      <c r="H43" s="230">
        <v>0</v>
      </c>
      <c r="I43" s="231">
        <v>12</v>
      </c>
      <c r="J43" s="232">
        <v>2.02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246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99990009874533</v>
      </c>
      <c r="C44" s="227" t="s">
        <v>78</v>
      </c>
      <c r="D44" s="228" t="s">
        <v>79</v>
      </c>
      <c r="E44" s="229"/>
      <c r="F44" s="229" t="s">
        <v>78</v>
      </c>
      <c r="G44" s="229" t="s">
        <v>41</v>
      </c>
      <c r="H44" s="230">
        <v>0</v>
      </c>
      <c r="I44" s="231">
        <v>6</v>
      </c>
      <c r="J44" s="232">
        <v>2.84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247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99990010835631</v>
      </c>
      <c r="C45" s="227">
        <v>390402</v>
      </c>
      <c r="D45" s="228" t="s">
        <v>80</v>
      </c>
      <c r="E45" s="229"/>
      <c r="F45" s="229">
        <v>390402</v>
      </c>
      <c r="G45" s="229" t="s">
        <v>41</v>
      </c>
      <c r="H45" s="230">
        <v>0</v>
      </c>
      <c r="I45" s="231">
        <v>2</v>
      </c>
      <c r="J45" s="232">
        <v>1.54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248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99990010835192</v>
      </c>
      <c r="C46" s="227">
        <v>391905</v>
      </c>
      <c r="D46" s="228" t="s">
        <v>81</v>
      </c>
      <c r="E46" s="229"/>
      <c r="F46" s="229">
        <v>391905</v>
      </c>
      <c r="G46" s="229" t="s">
        <v>44</v>
      </c>
      <c r="H46" s="230">
        <v>0</v>
      </c>
      <c r="I46" s="231">
        <v>1</v>
      </c>
      <c r="J46" s="232">
        <v>14.22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99990010835010</v>
      </c>
      <c r="C47" s="227">
        <v>391711</v>
      </c>
      <c r="D47" s="228" t="s">
        <v>82</v>
      </c>
      <c r="E47" s="229"/>
      <c r="F47" s="229">
        <v>391711</v>
      </c>
      <c r="G47" s="229" t="s">
        <v>41</v>
      </c>
      <c r="H47" s="230">
        <v>0</v>
      </c>
      <c r="I47" s="231">
        <v>2</v>
      </c>
      <c r="J47" s="232">
        <v>1.54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99990009873616</v>
      </c>
      <c r="C48" s="227">
        <v>15</v>
      </c>
      <c r="D48" s="228" t="s">
        <v>83</v>
      </c>
      <c r="E48" s="229"/>
      <c r="F48" s="229">
        <v>15</v>
      </c>
      <c r="G48" s="229" t="s">
        <v>44</v>
      </c>
      <c r="H48" s="230">
        <v>0</v>
      </c>
      <c r="I48" s="231">
        <v>6</v>
      </c>
      <c r="J48" s="232">
        <v>1.54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99990010835194</v>
      </c>
      <c r="C49" s="227">
        <v>391907</v>
      </c>
      <c r="D49" s="228" t="s">
        <v>84</v>
      </c>
      <c r="E49" s="229"/>
      <c r="F49" s="229">
        <v>391907</v>
      </c>
      <c r="G49" s="229" t="s">
        <v>64</v>
      </c>
      <c r="H49" s="230">
        <v>0</v>
      </c>
      <c r="I49" s="231">
        <v>5</v>
      </c>
      <c r="J49" s="232">
        <v>1.54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249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99990010835346</v>
      </c>
      <c r="C50" s="227">
        <v>391059</v>
      </c>
      <c r="D50" s="228" t="s">
        <v>85</v>
      </c>
      <c r="E50" s="229"/>
      <c r="F50" s="229">
        <v>391059</v>
      </c>
      <c r="G50" s="229" t="s">
        <v>41</v>
      </c>
      <c r="H50" s="230">
        <v>0</v>
      </c>
      <c r="I50" s="231">
        <v>6</v>
      </c>
      <c r="J50" s="232">
        <v>2.49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250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99990009874499</v>
      </c>
      <c r="C51" s="227">
        <v>51</v>
      </c>
      <c r="D51" s="228" t="s">
        <v>86</v>
      </c>
      <c r="E51" s="229"/>
      <c r="F51" s="229">
        <v>51</v>
      </c>
      <c r="G51" s="229" t="s">
        <v>44</v>
      </c>
      <c r="H51" s="230">
        <v>0</v>
      </c>
      <c r="I51" s="231">
        <v>6</v>
      </c>
      <c r="J51" s="232">
        <v>1.07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99990009873802</v>
      </c>
      <c r="C52" s="227" t="s">
        <v>87</v>
      </c>
      <c r="D52" s="228" t="s">
        <v>88</v>
      </c>
      <c r="E52" s="229"/>
      <c r="F52" s="229" t="s">
        <v>87</v>
      </c>
      <c r="G52" s="229" t="s">
        <v>89</v>
      </c>
      <c r="H52" s="230">
        <v>0</v>
      </c>
      <c r="I52" s="231">
        <v>20</v>
      </c>
      <c r="J52" s="232">
        <v>0.24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244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99990009873803</v>
      </c>
      <c r="C53" s="227" t="s">
        <v>90</v>
      </c>
      <c r="D53" s="228" t="s">
        <v>91</v>
      </c>
      <c r="E53" s="229"/>
      <c r="F53" s="229" t="s">
        <v>90</v>
      </c>
      <c r="G53" s="229" t="s">
        <v>58</v>
      </c>
      <c r="H53" s="230">
        <v>0</v>
      </c>
      <c r="I53" s="231">
        <v>6</v>
      </c>
      <c r="J53" s="232">
        <v>0.59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99990009875040</v>
      </c>
      <c r="C54" s="227" t="s">
        <v>92</v>
      </c>
      <c r="D54" s="228" t="s">
        <v>93</v>
      </c>
      <c r="E54" s="229"/>
      <c r="F54" s="229" t="s">
        <v>92</v>
      </c>
      <c r="G54" s="229" t="s">
        <v>44</v>
      </c>
      <c r="H54" s="230">
        <v>0</v>
      </c>
      <c r="I54" s="231">
        <v>10</v>
      </c>
      <c r="J54" s="232">
        <v>2.37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251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99990010779819</v>
      </c>
      <c r="C55" s="227" t="s">
        <v>94</v>
      </c>
      <c r="D55" s="228" t="s">
        <v>95</v>
      </c>
      <c r="E55" s="229"/>
      <c r="F55" s="229" t="s">
        <v>94</v>
      </c>
      <c r="G55" s="229" t="s">
        <v>44</v>
      </c>
      <c r="H55" s="230">
        <v>0</v>
      </c>
      <c r="I55" s="231">
        <v>6</v>
      </c>
      <c r="J55" s="232">
        <v>0.36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99990010835050</v>
      </c>
      <c r="C56" s="227">
        <v>390472</v>
      </c>
      <c r="D56" s="228" t="s">
        <v>96</v>
      </c>
      <c r="E56" s="229"/>
      <c r="F56" s="229">
        <v>390472</v>
      </c>
      <c r="G56" s="229" t="s">
        <v>97</v>
      </c>
      <c r="H56" s="230">
        <v>0</v>
      </c>
      <c r="I56" s="231">
        <v>6</v>
      </c>
      <c r="J56" s="232">
        <v>0.47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252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99990010835044</v>
      </c>
      <c r="C57" s="227">
        <v>390660</v>
      </c>
      <c r="D57" s="228" t="s">
        <v>98</v>
      </c>
      <c r="E57" s="229"/>
      <c r="F57" s="229">
        <v>390660</v>
      </c>
      <c r="G57" s="229" t="s">
        <v>44</v>
      </c>
      <c r="H57" s="230">
        <v>0</v>
      </c>
      <c r="I57" s="231">
        <v>100</v>
      </c>
      <c r="J57" s="232">
        <v>0.01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99990010835025</v>
      </c>
      <c r="C58" s="227">
        <v>391726</v>
      </c>
      <c r="D58" s="228" t="s">
        <v>99</v>
      </c>
      <c r="E58" s="229"/>
      <c r="F58" s="229">
        <v>391726</v>
      </c>
      <c r="G58" s="229" t="s">
        <v>41</v>
      </c>
      <c r="H58" s="230">
        <v>0</v>
      </c>
      <c r="I58" s="231">
        <v>2</v>
      </c>
      <c r="J58" s="232">
        <v>1.07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253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99990009874211</v>
      </c>
      <c r="C59" s="227" t="s">
        <v>100</v>
      </c>
      <c r="D59" s="228" t="s">
        <v>101</v>
      </c>
      <c r="E59" s="229"/>
      <c r="F59" s="229" t="s">
        <v>100</v>
      </c>
      <c r="G59" s="229" t="s">
        <v>102</v>
      </c>
      <c r="H59" s="230">
        <v>0</v>
      </c>
      <c r="I59" s="231">
        <v>4</v>
      </c>
      <c r="J59" s="232">
        <v>1.54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99990009874640</v>
      </c>
      <c r="C60" s="227">
        <v>2046026</v>
      </c>
      <c r="D60" s="228" t="s">
        <v>103</v>
      </c>
      <c r="E60" s="229"/>
      <c r="F60" s="229">
        <v>2046026</v>
      </c>
      <c r="G60" s="229" t="s">
        <v>58</v>
      </c>
      <c r="H60" s="230">
        <v>0</v>
      </c>
      <c r="I60" s="231">
        <v>2</v>
      </c>
      <c r="J60" s="232">
        <v>4.74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99990010835266</v>
      </c>
      <c r="C61" s="227">
        <v>390316</v>
      </c>
      <c r="D61" s="228" t="s">
        <v>104</v>
      </c>
      <c r="E61" s="229"/>
      <c r="F61" s="229">
        <v>390316</v>
      </c>
      <c r="G61" s="229" t="s">
        <v>41</v>
      </c>
      <c r="H61" s="230">
        <v>0</v>
      </c>
      <c r="I61" s="231">
        <v>6</v>
      </c>
      <c r="J61" s="232">
        <v>2.37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254</v>
      </c>
      <c r="Q61" s="236"/>
      <c r="R61" s="237"/>
      <c r="S61" s="238"/>
      <c r="T61" s="239"/>
    </row>
    <row r="62" spans="1:20" ht="24" customHeight="1">
      <c r="A62" s="226">
        <v>43</v>
      </c>
      <c r="B62" s="226">
        <v>99990009875142</v>
      </c>
      <c r="C62" s="227">
        <v>52</v>
      </c>
      <c r="D62" s="228" t="s">
        <v>105</v>
      </c>
      <c r="E62" s="229"/>
      <c r="F62" s="229">
        <v>52</v>
      </c>
      <c r="G62" s="229" t="s">
        <v>44</v>
      </c>
      <c r="H62" s="230">
        <v>0</v>
      </c>
      <c r="I62" s="231">
        <v>2</v>
      </c>
      <c r="J62" s="232">
        <v>4.26</v>
      </c>
      <c r="K62" s="233"/>
      <c r="L62" s="231" t="s">
        <v>23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255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99990009874713</v>
      </c>
      <c r="C63" s="227" t="s">
        <v>106</v>
      </c>
      <c r="D63" s="228" t="s">
        <v>107</v>
      </c>
      <c r="E63" s="229"/>
      <c r="F63" s="229" t="s">
        <v>106</v>
      </c>
      <c r="G63" s="229" t="s">
        <v>44</v>
      </c>
      <c r="H63" s="230">
        <v>0</v>
      </c>
      <c r="I63" s="231">
        <v>60</v>
      </c>
      <c r="J63" s="232">
        <v>0.02</v>
      </c>
      <c r="K63" s="233"/>
      <c r="L63" s="231" t="s">
        <v>23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256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99990009873841</v>
      </c>
      <c r="C64" s="227">
        <v>2046128</v>
      </c>
      <c r="D64" s="228" t="s">
        <v>108</v>
      </c>
      <c r="E64" s="229"/>
      <c r="F64" s="229">
        <v>2046128</v>
      </c>
      <c r="G64" s="229" t="s">
        <v>41</v>
      </c>
      <c r="H64" s="230">
        <v>0</v>
      </c>
      <c r="I64" s="231">
        <v>6</v>
      </c>
      <c r="J64" s="232">
        <v>2.96</v>
      </c>
      <c r="K64" s="233"/>
      <c r="L64" s="231" t="s">
        <v>23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 t="s">
        <v>252</v>
      </c>
      <c r="Q64" s="236"/>
      <c r="R64" s="237"/>
      <c r="S64" s="238"/>
      <c r="T64" s="239"/>
    </row>
    <row r="65" spans="1:20" ht="24" customHeight="1">
      <c r="A65" s="226">
        <v>46</v>
      </c>
      <c r="B65" s="226">
        <v>99990012140338</v>
      </c>
      <c r="C65" s="227" t="s">
        <v>109</v>
      </c>
      <c r="D65" s="228" t="s">
        <v>110</v>
      </c>
      <c r="E65" s="229"/>
      <c r="F65" s="229" t="s">
        <v>111</v>
      </c>
      <c r="G65" s="229" t="s">
        <v>41</v>
      </c>
      <c r="H65" s="230">
        <v>0</v>
      </c>
      <c r="I65" s="231">
        <v>12</v>
      </c>
      <c r="J65" s="232">
        <v>1.54</v>
      </c>
      <c r="K65" s="233"/>
      <c r="L65" s="231" t="s">
        <v>23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 t="s">
        <v>257</v>
      </c>
      <c r="Q65" s="236"/>
      <c r="R65" s="237"/>
      <c r="S65" s="238"/>
      <c r="T65" s="239"/>
    </row>
    <row r="66" spans="1:20" ht="24" customHeight="1">
      <c r="A66" s="226">
        <v>47</v>
      </c>
      <c r="B66" s="226">
        <v>99990009873470</v>
      </c>
      <c r="C66" s="227" t="s">
        <v>112</v>
      </c>
      <c r="D66" s="228" t="s">
        <v>113</v>
      </c>
      <c r="E66" s="229"/>
      <c r="F66" s="229" t="s">
        <v>112</v>
      </c>
      <c r="G66" s="229" t="s">
        <v>44</v>
      </c>
      <c r="H66" s="230">
        <v>0</v>
      </c>
      <c r="I66" s="231">
        <v>10</v>
      </c>
      <c r="J66" s="232">
        <v>0.59</v>
      </c>
      <c r="K66" s="233"/>
      <c r="L66" s="231" t="s">
        <v>23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 t="s">
        <v>258</v>
      </c>
      <c r="Q66" s="236"/>
      <c r="R66" s="237"/>
      <c r="S66" s="238"/>
      <c r="T66" s="239"/>
    </row>
    <row r="67" spans="1:20" ht="24" customHeight="1">
      <c r="A67" s="226">
        <v>48</v>
      </c>
      <c r="B67" s="226">
        <v>99990009873740</v>
      </c>
      <c r="C67" s="227">
        <v>9000</v>
      </c>
      <c r="D67" s="228" t="s">
        <v>114</v>
      </c>
      <c r="E67" s="229"/>
      <c r="F67" s="229">
        <v>9000</v>
      </c>
      <c r="G67" s="229" t="s">
        <v>44</v>
      </c>
      <c r="H67" s="230">
        <v>0</v>
      </c>
      <c r="I67" s="231">
        <v>10</v>
      </c>
      <c r="J67" s="232">
        <v>1.54</v>
      </c>
      <c r="K67" s="233"/>
      <c r="L67" s="231" t="s">
        <v>23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 t="s">
        <v>259</v>
      </c>
      <c r="Q67" s="236"/>
      <c r="R67" s="237"/>
      <c r="S67" s="238"/>
      <c r="T67" s="239"/>
    </row>
    <row r="68" spans="1:20" ht="24" customHeight="1">
      <c r="A68" s="226">
        <v>49</v>
      </c>
      <c r="B68" s="226">
        <v>99990010835232</v>
      </c>
      <c r="C68" s="227">
        <v>390603</v>
      </c>
      <c r="D68" s="228" t="s">
        <v>115</v>
      </c>
      <c r="E68" s="229"/>
      <c r="F68" s="229">
        <v>390603</v>
      </c>
      <c r="G68" s="229" t="s">
        <v>41</v>
      </c>
      <c r="H68" s="230">
        <v>0</v>
      </c>
      <c r="I68" s="231">
        <v>10</v>
      </c>
      <c r="J68" s="232">
        <v>0.59</v>
      </c>
      <c r="K68" s="233"/>
      <c r="L68" s="231" t="s">
        <v>23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 t="s">
        <v>260</v>
      </c>
      <c r="Q68" s="236"/>
      <c r="R68" s="237"/>
      <c r="S68" s="238"/>
      <c r="T68" s="239"/>
    </row>
    <row r="69" spans="1:20" ht="24" customHeight="1">
      <c r="A69" s="226">
        <v>50</v>
      </c>
      <c r="B69" s="226">
        <v>99990009874192</v>
      </c>
      <c r="C69" s="227">
        <v>2045910</v>
      </c>
      <c r="D69" s="228" t="s">
        <v>116</v>
      </c>
      <c r="E69" s="229"/>
      <c r="F69" s="229">
        <v>2045910</v>
      </c>
      <c r="G69" s="229" t="s">
        <v>41</v>
      </c>
      <c r="H69" s="230">
        <v>0</v>
      </c>
      <c r="I69" s="231">
        <v>10</v>
      </c>
      <c r="J69" s="232">
        <v>2.49</v>
      </c>
      <c r="K69" s="233"/>
      <c r="L69" s="231" t="s">
        <v>23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 t="s">
        <v>261</v>
      </c>
      <c r="Q69" s="236"/>
      <c r="R69" s="237"/>
      <c r="S69" s="238"/>
      <c r="T69" s="239"/>
    </row>
    <row r="70" spans="1:20" ht="24" customHeight="1">
      <c r="A70" s="226">
        <v>51</v>
      </c>
      <c r="B70" s="226">
        <v>99990009874819</v>
      </c>
      <c r="C70" s="227">
        <v>2068518</v>
      </c>
      <c r="D70" s="228" t="s">
        <v>117</v>
      </c>
      <c r="E70" s="229"/>
      <c r="F70" s="229">
        <v>2068518</v>
      </c>
      <c r="G70" s="229" t="s">
        <v>44</v>
      </c>
      <c r="H70" s="230">
        <v>0</v>
      </c>
      <c r="I70" s="231">
        <v>5</v>
      </c>
      <c r="J70" s="232">
        <v>0.81</v>
      </c>
      <c r="K70" s="233"/>
      <c r="L70" s="231" t="s">
        <v>23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 t="s">
        <v>262</v>
      </c>
      <c r="Q70" s="236"/>
      <c r="R70" s="237"/>
      <c r="S70" s="238"/>
      <c r="T70" s="239"/>
    </row>
    <row r="71" spans="1:20" ht="24" customHeight="1">
      <c r="A71" s="226">
        <v>52</v>
      </c>
      <c r="B71" s="226">
        <v>99990010835677</v>
      </c>
      <c r="C71" s="227">
        <v>390574</v>
      </c>
      <c r="D71" s="228" t="s">
        <v>118</v>
      </c>
      <c r="E71" s="229"/>
      <c r="F71" s="229">
        <v>390574</v>
      </c>
      <c r="G71" s="229" t="s">
        <v>97</v>
      </c>
      <c r="H71" s="230">
        <v>0</v>
      </c>
      <c r="I71" s="231">
        <v>10</v>
      </c>
      <c r="J71" s="232">
        <v>1.18</v>
      </c>
      <c r="K71" s="233"/>
      <c r="L71" s="231" t="s">
        <v>23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 t="s">
        <v>240</v>
      </c>
      <c r="Q71" s="236"/>
      <c r="R71" s="237"/>
      <c r="S71" s="238"/>
      <c r="T71" s="239"/>
    </row>
    <row r="72" spans="1:20" ht="24" customHeight="1">
      <c r="A72" s="226">
        <v>53</v>
      </c>
      <c r="B72" s="226">
        <v>99990010835024</v>
      </c>
      <c r="C72" s="227">
        <v>390644</v>
      </c>
      <c r="D72" s="228" t="s">
        <v>119</v>
      </c>
      <c r="E72" s="229"/>
      <c r="F72" s="229">
        <v>390644</v>
      </c>
      <c r="G72" s="229" t="s">
        <v>44</v>
      </c>
      <c r="H72" s="230">
        <v>0</v>
      </c>
      <c r="I72" s="231">
        <v>10</v>
      </c>
      <c r="J72" s="232">
        <v>0.47</v>
      </c>
      <c r="K72" s="233"/>
      <c r="L72" s="231" t="s">
        <v>23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 t="s">
        <v>263</v>
      </c>
      <c r="Q72" s="236"/>
      <c r="R72" s="237"/>
      <c r="S72" s="238"/>
      <c r="T72" s="239"/>
    </row>
    <row r="73" spans="1:20" ht="24" customHeight="1">
      <c r="A73" s="226">
        <v>54</v>
      </c>
      <c r="B73" s="226">
        <v>99990009875173</v>
      </c>
      <c r="C73" s="227">
        <v>2045909</v>
      </c>
      <c r="D73" s="228" t="s">
        <v>120</v>
      </c>
      <c r="E73" s="229"/>
      <c r="F73" s="229">
        <v>2045909</v>
      </c>
      <c r="G73" s="229" t="s">
        <v>58</v>
      </c>
      <c r="H73" s="230">
        <v>0</v>
      </c>
      <c r="I73" s="231">
        <v>10</v>
      </c>
      <c r="J73" s="232">
        <v>47.39</v>
      </c>
      <c r="K73" s="233"/>
      <c r="L73" s="231" t="s">
        <v>23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 t="s">
        <v>264</v>
      </c>
      <c r="Q73" s="236"/>
      <c r="R73" s="237"/>
      <c r="S73" s="238"/>
      <c r="T73" s="239"/>
    </row>
    <row r="74" spans="1:20" ht="24" customHeight="1">
      <c r="A74" s="226">
        <v>55</v>
      </c>
      <c r="B74" s="226">
        <v>99990009873843</v>
      </c>
      <c r="C74" s="227">
        <v>2045967</v>
      </c>
      <c r="D74" s="228" t="s">
        <v>121</v>
      </c>
      <c r="E74" s="229"/>
      <c r="F74" s="229">
        <v>2045967</v>
      </c>
      <c r="G74" s="229" t="s">
        <v>58</v>
      </c>
      <c r="H74" s="230">
        <v>0</v>
      </c>
      <c r="I74" s="231">
        <v>5</v>
      </c>
      <c r="J74" s="232">
        <v>0.59</v>
      </c>
      <c r="K74" s="233"/>
      <c r="L74" s="231" t="s">
        <v>23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 t="s">
        <v>265</v>
      </c>
      <c r="Q74" s="236"/>
      <c r="R74" s="237"/>
      <c r="S74" s="238"/>
      <c r="T74" s="239"/>
    </row>
    <row r="75" spans="1:20" ht="24" customHeight="1">
      <c r="A75" s="226">
        <v>56</v>
      </c>
      <c r="B75" s="226">
        <v>99990009873704</v>
      </c>
      <c r="C75" s="227" t="s">
        <v>122</v>
      </c>
      <c r="D75" s="228" t="s">
        <v>123</v>
      </c>
      <c r="E75" s="229"/>
      <c r="F75" s="229" t="s">
        <v>122</v>
      </c>
      <c r="G75" s="229" t="s">
        <v>44</v>
      </c>
      <c r="H75" s="230">
        <v>0</v>
      </c>
      <c r="I75" s="231">
        <v>20</v>
      </c>
      <c r="J75" s="232">
        <v>0.08</v>
      </c>
      <c r="K75" s="233"/>
      <c r="L75" s="231" t="s">
        <v>23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/>
      <c r="Q75" s="236"/>
      <c r="R75" s="237"/>
      <c r="S75" s="238"/>
      <c r="T75" s="239"/>
    </row>
    <row r="76" spans="1:20" ht="15" customHeight="1">
      <c r="A76" s="32"/>
      <c r="B76" s="295"/>
      <c r="C76" s="296"/>
      <c r="D76" s="296"/>
      <c r="E76" s="296"/>
      <c r="F76" s="296"/>
      <c r="G76" s="296"/>
      <c r="H76" s="297"/>
      <c r="I76" s="297"/>
      <c r="J76" s="297"/>
      <c r="K76" s="297"/>
      <c r="L76" s="297"/>
      <c r="M76" s="297"/>
      <c r="N76" s="297"/>
      <c r="O76" s="297"/>
      <c r="P76" s="297"/>
      <c r="Q76" s="297"/>
      <c r="R76" s="297"/>
      <c r="S76" s="297"/>
      <c r="T76" s="298"/>
    </row>
    <row r="77" spans="1:20" ht="12.75" customHeight="1">
      <c r="A77" s="289" t="s">
        <v>28</v>
      </c>
      <c r="B77" s="289"/>
      <c r="C77" s="290" t="s">
        <v>124</v>
      </c>
      <c r="D77" s="291"/>
      <c r="E77" s="291"/>
      <c r="F77" s="291"/>
      <c r="G77" s="291"/>
      <c r="H77" s="291"/>
      <c r="I77" s="292"/>
      <c r="J77" s="292" t="s">
        <v>125</v>
      </c>
      <c r="K77" s="292"/>
      <c r="L77" s="292" t="s">
        <v>35</v>
      </c>
      <c r="M77" s="292" t="s">
        <v>36</v>
      </c>
      <c r="N77" s="293" t="s">
        <v>126</v>
      </c>
      <c r="O77" s="294" t="s">
        <v>38</v>
      </c>
      <c r="P77" s="294"/>
      <c r="Q77" s="294"/>
      <c r="R77" s="294"/>
      <c r="S77" s="294"/>
      <c r="T77" s="225"/>
    </row>
    <row r="78" spans="1:20" ht="15" customHeight="1">
      <c r="A78" s="269">
        <v>1</v>
      </c>
      <c r="B78" s="270"/>
      <c r="C78" s="271" t="s">
        <v>127</v>
      </c>
      <c r="D78" s="272" t="s">
        <v>127</v>
      </c>
      <c r="E78" s="272" t="s">
        <v>127</v>
      </c>
      <c r="F78" s="272" t="s">
        <v>127</v>
      </c>
      <c r="G78" s="272" t="s">
        <v>127</v>
      </c>
      <c r="H78" s="273" t="s">
        <v>127</v>
      </c>
      <c r="I78" s="274"/>
      <c r="J78" s="275">
        <v>0</v>
      </c>
      <c r="K78" s="276"/>
      <c r="L78" s="277">
        <v>0</v>
      </c>
      <c r="M78" s="277">
        <v>0</v>
      </c>
      <c r="N78" s="285">
        <f>(J78-(J78*L78/100)+((J78-(J78*L78/100))*M78/100))</f>
      </c>
      <c r="O78" s="286"/>
      <c r="P78" s="287"/>
      <c r="Q78" s="287"/>
      <c r="R78" s="287"/>
      <c r="S78" s="288"/>
      <c r="T78" s="283"/>
    </row>
    <row r="79" spans="1:20" ht="15" customHeight="1">
      <c r="A79" s="269">
        <v>2</v>
      </c>
      <c r="B79" s="270"/>
      <c r="C79" s="271" t="s">
        <v>128</v>
      </c>
      <c r="D79" s="272" t="s">
        <v>128</v>
      </c>
      <c r="E79" s="272" t="s">
        <v>128</v>
      </c>
      <c r="F79" s="272" t="s">
        <v>128</v>
      </c>
      <c r="G79" s="272" t="s">
        <v>128</v>
      </c>
      <c r="H79" s="273" t="s">
        <v>128</v>
      </c>
      <c r="I79" s="284"/>
      <c r="J79" s="275">
        <v>0</v>
      </c>
      <c r="K79" s="276"/>
      <c r="L79" s="277">
        <v>0</v>
      </c>
      <c r="M79" s="277">
        <v>0</v>
      </c>
      <c r="N79" s="279">
        <f>(J79-(J79*L79/100)+((J79-(J79*L79/100))*M79/100))</f>
      </c>
      <c r="O79" s="280"/>
      <c r="P79" s="281"/>
      <c r="Q79" s="281"/>
      <c r="R79" s="281"/>
      <c r="S79" s="282"/>
      <c r="T79" s="283"/>
    </row>
    <row r="80" spans="1:20" ht="15" customHeight="1">
      <c r="A80" s="269">
        <v>3</v>
      </c>
      <c r="B80" s="270"/>
      <c r="C80" s="271"/>
      <c r="D80" s="272"/>
      <c r="E80" s="272"/>
      <c r="F80" s="272"/>
      <c r="G80" s="272"/>
      <c r="H80" s="273"/>
      <c r="I80" s="274"/>
      <c r="J80" s="275">
        <v>0</v>
      </c>
      <c r="K80" s="276"/>
      <c r="L80" s="277">
        <v>0</v>
      </c>
      <c r="M80" s="277">
        <v>0</v>
      </c>
      <c r="N80" s="279">
        <f>(J80-(J80*L80/100)+((J80-(J80*L80/100))*M80/100))</f>
      </c>
      <c r="O80" s="280"/>
      <c r="P80" s="281"/>
      <c r="Q80" s="281"/>
      <c r="R80" s="281"/>
      <c r="S80" s="282"/>
      <c r="T80" s="283"/>
    </row>
    <row r="81" spans="1:20" ht="15.75" customHeight="1">
      <c r="A81" s="269">
        <v>4</v>
      </c>
      <c r="B81" s="270"/>
      <c r="C81" s="271"/>
      <c r="D81" s="272"/>
      <c r="E81" s="272"/>
      <c r="F81" s="272"/>
      <c r="G81" s="272"/>
      <c r="H81" s="273"/>
      <c r="I81" s="274"/>
      <c r="J81" s="275">
        <v>0</v>
      </c>
      <c r="K81" s="276"/>
      <c r="L81" s="277">
        <v>0</v>
      </c>
      <c r="M81" s="278">
        <v>0</v>
      </c>
      <c r="N81" s="279">
        <f>(J81-(J81*L81/100)+((J81-(J81*L81/100))*M81/100))</f>
      </c>
      <c r="O81" s="280"/>
      <c r="P81" s="281"/>
      <c r="Q81" s="281"/>
      <c r="R81" s="281"/>
      <c r="S81" s="282"/>
      <c r="T81" s="283"/>
    </row>
    <row r="82" spans="1:16" ht="15.95" customHeight="1">
      <c r="A82" s="247"/>
      <c r="B82" s="247"/>
      <c r="C82" s="248"/>
      <c r="D82" s="248"/>
      <c r="I82" s="163"/>
      <c r="J82" s="58" t="s">
        <v>129</v>
      </c>
      <c r="K82" s="59"/>
      <c r="L82" s="58"/>
      <c r="M82" s="59"/>
      <c r="N82" s="264">
        <f>SUM(ItmPrice)</f>
      </c>
      <c r="O82" s="267"/>
      <c r="P82" s="268"/>
    </row>
    <row r="83" spans="1:16" ht="15" customHeight="1">
      <c r="A83" s="247"/>
      <c r="B83" s="247"/>
      <c r="C83" s="248"/>
      <c r="D83" s="248"/>
      <c r="I83" s="163"/>
      <c r="J83" s="123" t="s">
        <v>130</v>
      </c>
      <c r="K83" s="124"/>
      <c r="L83" s="124"/>
      <c r="M83" s="125"/>
      <c r="N83" s="264">
        <f>SUM(N78:N82)</f>
      </c>
      <c r="O83" s="265"/>
      <c r="P83" s="266"/>
    </row>
    <row r="84" spans="1:19" ht="2.25" customHeight="1" hidden="1">
      <c r="A84" s="258">
        <v>0</v>
      </c>
      <c r="B84" s="258">
        <v>0</v>
      </c>
      <c r="C84" s="259">
        <v>0</v>
      </c>
      <c r="D84" s="248"/>
      <c r="E84" s="248"/>
      <c r="F84" s="260">
        <v>1</v>
      </c>
      <c r="G84" s="248"/>
      <c r="H84" s="248"/>
      <c r="I84" s="248"/>
      <c r="J84" s="248"/>
      <c r="K84" s="261"/>
      <c r="L84" s="262">
        <v>0</v>
      </c>
      <c r="M84" s="263">
        <v>0</v>
      </c>
      <c r="N84" s="162" t="s">
        <v>131</v>
      </c>
      <c r="O84" s="257"/>
      <c r="P84" s="263">
        <v>995</v>
      </c>
      <c r="Q84" s="248" t="s">
        <v>132</v>
      </c>
      <c r="R84" s="248"/>
      <c r="S84" s="248"/>
    </row>
    <row r="85" spans="1:19" ht="18.75" customHeight="1">
      <c r="A85" s="247"/>
      <c r="B85" s="247"/>
      <c r="C85" s="247"/>
      <c r="H85" s="257"/>
      <c r="I85" s="163"/>
      <c r="J85" s="248"/>
      <c r="K85" s="248"/>
      <c r="L85" s="248"/>
      <c r="M85" s="248"/>
      <c r="N85" s="248"/>
      <c r="O85" s="248"/>
      <c r="P85" s="248"/>
      <c r="R85" s="248"/>
      <c r="S85" s="248"/>
    </row>
    <row r="86" spans="1:20" ht="127.5" customHeight="1">
      <c r="A86" s="249" t="s">
        <v>133</v>
      </c>
      <c r="B86" s="249"/>
      <c r="C86" s="249"/>
      <c r="D86" s="250"/>
      <c r="E86" s="254"/>
      <c r="F86" s="255"/>
      <c r="G86" s="255"/>
      <c r="H86" s="255"/>
      <c r="I86" s="255"/>
      <c r="J86" s="255"/>
      <c r="K86" s="255"/>
      <c r="L86" s="255"/>
      <c r="M86" s="255"/>
      <c r="N86" s="255"/>
      <c r="O86" s="255"/>
      <c r="P86" s="255"/>
      <c r="Q86" s="255"/>
      <c r="R86" s="255"/>
      <c r="S86" s="255"/>
      <c r="T86" s="256"/>
    </row>
    <row r="87" spans="1:20" ht="129.75" customHeight="1">
      <c r="A87" s="249" t="s">
        <v>38</v>
      </c>
      <c r="B87" s="249"/>
      <c r="C87" s="249"/>
      <c r="D87" s="250"/>
      <c r="E87" s="251" t="s">
        <v>266</v>
      </c>
      <c r="F87" s="252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252"/>
      <c r="S87" s="252"/>
      <c r="T87" s="253"/>
    </row>
    <row r="88" spans="1:19" ht="15.95" customHeight="1">
      <c r="A88" s="247"/>
      <c r="B88" s="247"/>
      <c r="C88" s="247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</row>
    <row r="89" spans="1:20" ht="15.95" customHeight="1">
      <c r="A89" s="245" t="s">
        <v>134</v>
      </c>
      <c r="B89" s="245"/>
      <c r="C89" s="245"/>
      <c r="D89" s="245"/>
      <c r="E89" s="245"/>
      <c r="F89" s="245"/>
      <c r="G89" s="245"/>
      <c r="H89" s="245"/>
      <c r="I89" s="245"/>
      <c r="J89" s="245"/>
      <c r="K89" s="245"/>
      <c r="L89" s="245"/>
      <c r="M89" s="245"/>
      <c r="N89" s="245"/>
      <c r="O89" s="245"/>
      <c r="P89" s="245"/>
      <c r="Q89" s="245"/>
      <c r="R89" s="245"/>
      <c r="S89" s="245"/>
      <c r="T89" s="246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7.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12.7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7.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12.7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3"/>
      <c r="B100" s="243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4"/>
    </row>
    <row r="101" spans="1:20" ht="12.75" customHeight="1">
      <c r="A101" s="243"/>
      <c r="B101" s="243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4"/>
    </row>
    <row r="102" spans="1:20" ht="12.75" customHeight="1">
      <c r="A102" s="243"/>
      <c r="B102" s="243"/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4"/>
    </row>
    <row r="103" spans="1:20" ht="7.5" customHeight="1">
      <c r="A103" s="243"/>
      <c r="B103" s="243"/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4"/>
    </row>
    <row r="104" spans="1:20" ht="12.75" customHeight="1">
      <c r="A104" s="243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4"/>
    </row>
    <row r="105" spans="1:20" ht="12.75" customHeight="1">
      <c r="A105" s="243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4"/>
    </row>
    <row r="106" spans="1:20" ht="12.75" customHeight="1">
      <c r="A106" s="243"/>
      <c r="B106" s="243"/>
      <c r="C106" s="243"/>
      <c r="D106" s="243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4"/>
    </row>
    <row r="107" spans="1:20" ht="12.75" customHeight="1">
      <c r="A107" s="243"/>
      <c r="B107" s="243"/>
      <c r="C107" s="243"/>
      <c r="D107" s="243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4"/>
    </row>
    <row r="108" spans="1:20" ht="12.75" customHeight="1">
      <c r="A108" s="243"/>
      <c r="B108" s="243"/>
      <c r="C108" s="243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4"/>
    </row>
    <row r="109" spans="1:20" ht="7.5" customHeight="1">
      <c r="A109" s="243"/>
      <c r="B109" s="243"/>
      <c r="C109" s="243"/>
      <c r="D109" s="243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4"/>
    </row>
    <row r="110" spans="1:20" ht="12.75" customHeight="1">
      <c r="A110" s="243"/>
      <c r="B110" s="243"/>
      <c r="C110" s="243"/>
      <c r="D110" s="243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4"/>
    </row>
    <row r="111" spans="1:20" ht="12.75" customHeight="1">
      <c r="A111" s="243"/>
      <c r="B111" s="243"/>
      <c r="C111" s="243"/>
      <c r="D111" s="243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4"/>
    </row>
    <row r="112" spans="1:20" ht="12.75" customHeight="1">
      <c r="A112" s="241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41"/>
      <c r="S112" s="241"/>
      <c r="T112" s="242"/>
    </row>
    <row r="113" spans="1:9" ht="12.75">
      <c r="A113" s="240" t="s">
        <v>135</v>
      </c>
      <c r="B113" s="240"/>
      <c r="C113" s="240"/>
      <c r="D113" s="240"/>
      <c r="E113" s="240"/>
      <c r="F113" s="240"/>
      <c r="G113" s="240"/>
      <c r="I11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77">
    <mergeCell ref="E86:S86"/>
    <mergeCell ref="E87:S87"/>
    <mergeCell ref="E89:S89"/>
    <mergeCell ref="A90:S111"/>
    <mergeCell ref="A112:S112"/>
    <mergeCell ref="A86:D86"/>
    <mergeCell ref="A87:D87"/>
    <mergeCell ref="K1:R1"/>
    <mergeCell ref="R19:S19"/>
    <mergeCell ref="R20:S20"/>
    <mergeCell ref="O78:S78"/>
    <mergeCell ref="O79:S79"/>
    <mergeCell ref="O77:S77"/>
    <mergeCell ref="J77:K77"/>
    <mergeCell ref="K4:L4"/>
    <mergeCell ref="M4:P4"/>
    <mergeCell ref="K5:L5"/>
    <mergeCell ref="M5:P5"/>
    <mergeCell ref="M7:Q7"/>
    <mergeCell ref="P20:Q20"/>
    <mergeCell ref="M12:O12"/>
    <mergeCell ref="K12:L12"/>
    <mergeCell ref="O82:P82"/>
    <mergeCell ref="O83:P83"/>
    <mergeCell ref="J83:M83"/>
    <mergeCell ref="O80:S80"/>
    <mergeCell ref="O81:S8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77:H7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C78:H78"/>
    <mergeCell ref="J78:K78"/>
    <mergeCell ref="C79:H79"/>
    <mergeCell ref="J79:K79"/>
    <mergeCell ref="C80:H80"/>
    <mergeCell ref="J80:K80"/>
    <mergeCell ref="C81:H81"/>
    <mergeCell ref="J81:K81"/>
  </mergeCells>
  <dataValidations count="23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list" allowBlank="1" showInputMessage="1" showErrorMessage="1" sqref="C78:H78">
      <formula1>'MasterData'!$H$1:$H$20</formula1>
    </dataValidation>
    <dataValidation type="list" allowBlank="1" showInputMessage="1" showErrorMessage="1" sqref="C79:H79">
      <formula1>'MasterData'!$H$1:$H$20</formula1>
    </dataValidation>
    <dataValidation type="list" allowBlank="1" showInputMessage="1" showErrorMessage="1" sqref="C80:H80">
      <formula1>'MasterData'!$H$1:$H$20</formula1>
    </dataValidation>
    <dataValidation type="list" allowBlank="1" showInputMessage="1" showErrorMessage="1" sqref="C81:H81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127</v>
      </c>
      <c r="M1" s="300" t="s">
        <v>136</v>
      </c>
      <c r="N1" s="301" t="s">
        <v>0</v>
      </c>
      <c r="O1" s="162" t="s">
        <v>137</v>
      </c>
    </row>
    <row r="2" spans="7:15" ht="12.75">
      <c r="G2" s="162">
        <v>1001310</v>
      </c>
      <c r="H2" s="162" t="s">
        <v>128</v>
      </c>
      <c r="M2" s="300" t="s">
        <v>138</v>
      </c>
      <c r="N2" s="301">
        <v>1020660449</v>
      </c>
      <c r="O2" s="162" t="s">
        <v>139</v>
      </c>
    </row>
    <row r="3" spans="7:15" ht="12.75">
      <c r="G3" s="162">
        <v>1001352</v>
      </c>
      <c r="H3" s="162" t="s">
        <v>124</v>
      </c>
      <c r="M3" s="300" t="s">
        <v>140</v>
      </c>
      <c r="N3" s="301">
        <v>99990000416662</v>
      </c>
      <c r="O3" s="162" t="s">
        <v>141</v>
      </c>
    </row>
    <row r="4" spans="7:15" ht="12.75">
      <c r="G4" s="162">
        <v>1012729</v>
      </c>
      <c r="H4" s="162" t="s">
        <v>142</v>
      </c>
      <c r="M4" s="300" t="s">
        <v>143</v>
      </c>
      <c r="N4" s="301">
        <v>1021666057</v>
      </c>
      <c r="O4" s="162" t="s">
        <v>144</v>
      </c>
    </row>
    <row r="5" spans="7:15" ht="12.75">
      <c r="G5" s="162">
        <v>1012730</v>
      </c>
      <c r="H5" s="162" t="s">
        <v>145</v>
      </c>
      <c r="M5" s="300" t="s">
        <v>146</v>
      </c>
      <c r="N5" s="301"/>
      <c r="O5" s="162" t="s">
        <v>147</v>
      </c>
    </row>
    <row r="6" spans="7:15" ht="12.75">
      <c r="G6" s="162">
        <v>1012731</v>
      </c>
      <c r="H6" s="162" t="s">
        <v>148</v>
      </c>
      <c r="M6" s="300" t="s">
        <v>149</v>
      </c>
      <c r="N6" s="301" t="s">
        <v>150</v>
      </c>
      <c r="O6" s="162" t="s">
        <v>151</v>
      </c>
    </row>
    <row r="7" spans="7:15" ht="12.75">
      <c r="G7" s="162">
        <v>1012732</v>
      </c>
      <c r="H7" s="162" t="s">
        <v>152</v>
      </c>
      <c r="M7" s="300" t="s">
        <v>153</v>
      </c>
      <c r="N7" s="301">
        <v>0</v>
      </c>
      <c r="O7" s="162" t="s">
        <v>154</v>
      </c>
    </row>
    <row r="8" spans="7:15" ht="12.75">
      <c r="G8" s="162">
        <v>1012733</v>
      </c>
      <c r="H8" s="162" t="s">
        <v>155</v>
      </c>
      <c r="O8" s="162" t="s">
        <v>156</v>
      </c>
    </row>
    <row r="9" spans="7:15" ht="12.75">
      <c r="G9" s="162">
        <v>1012735</v>
      </c>
      <c r="H9" s="162" t="s">
        <v>157</v>
      </c>
      <c r="O9" s="162" t="s">
        <v>158</v>
      </c>
    </row>
    <row r="10" spans="7:15" ht="12.75">
      <c r="G10" s="162">
        <v>1012736</v>
      </c>
      <c r="H10" s="162" t="s">
        <v>159</v>
      </c>
      <c r="O10" s="162" t="s">
        <v>160</v>
      </c>
    </row>
    <row r="11" spans="7:15" ht="12.75">
      <c r="G11" s="162">
        <v>1012737</v>
      </c>
      <c r="H11" s="162" t="s">
        <v>161</v>
      </c>
      <c r="O11" s="162" t="s">
        <v>162</v>
      </c>
    </row>
    <row r="12" spans="7:15" ht="12.75">
      <c r="G12" s="162">
        <v>1012738</v>
      </c>
      <c r="H12" s="162" t="s">
        <v>163</v>
      </c>
      <c r="O12" s="162" t="s">
        <v>164</v>
      </c>
    </row>
    <row r="13" spans="7:15" ht="12.75">
      <c r="G13" s="162">
        <v>1012739</v>
      </c>
      <c r="H13" s="162" t="s">
        <v>165</v>
      </c>
      <c r="O13" s="162" t="s">
        <v>166</v>
      </c>
    </row>
    <row r="14" spans="7:15" ht="12.75">
      <c r="G14" s="162">
        <v>1012740</v>
      </c>
      <c r="H14" s="162" t="s">
        <v>167</v>
      </c>
      <c r="O14" s="162" t="s">
        <v>168</v>
      </c>
    </row>
    <row r="15" spans="7:15" ht="12.75">
      <c r="G15" s="162">
        <v>1012741</v>
      </c>
      <c r="H15" s="162" t="s">
        <v>169</v>
      </c>
      <c r="O15" s="162" t="s">
        <v>170</v>
      </c>
    </row>
    <row r="16" spans="7:15" ht="12.75">
      <c r="G16" s="162">
        <v>1012742</v>
      </c>
      <c r="H16" s="162" t="s">
        <v>171</v>
      </c>
      <c r="O16" s="162" t="s">
        <v>172</v>
      </c>
    </row>
    <row r="17" spans="7:15" ht="12.75">
      <c r="G17" s="162">
        <v>1012743</v>
      </c>
      <c r="H17" s="162" t="s">
        <v>173</v>
      </c>
      <c r="O17" s="162" t="s">
        <v>174</v>
      </c>
    </row>
    <row r="18" spans="7:15" ht="12.75">
      <c r="G18" s="162">
        <v>1012744</v>
      </c>
      <c r="H18" s="162" t="s">
        <v>175</v>
      </c>
      <c r="O18" s="162" t="s">
        <v>176</v>
      </c>
    </row>
    <row r="19" spans="7:15" ht="12.75">
      <c r="G19" s="162">
        <v>1020032</v>
      </c>
      <c r="H19" s="162" t="s">
        <v>177</v>
      </c>
      <c r="O19" s="162" t="s">
        <v>178</v>
      </c>
    </row>
    <row r="20" spans="7:15" ht="12.75">
      <c r="G20" s="162">
        <v>1020033</v>
      </c>
      <c r="H20" s="162" t="s">
        <v>179</v>
      </c>
      <c r="O20" s="162" t="s">
        <v>180</v>
      </c>
    </row>
    <row r="21" ht="12.75">
      <c r="O21" s="162" t="s">
        <v>181</v>
      </c>
    </row>
    <row r="22" ht="12.75">
      <c r="O22" s="162" t="s">
        <v>182</v>
      </c>
    </row>
    <row r="23" ht="12.75">
      <c r="O23" s="162" t="s">
        <v>183</v>
      </c>
    </row>
    <row r="24" ht="12.75">
      <c r="O24" s="162" t="s">
        <v>184</v>
      </c>
    </row>
    <row r="25" ht="12.75">
      <c r="O25" s="162" t="s">
        <v>185</v>
      </c>
    </row>
    <row r="26" ht="12.75">
      <c r="O26" s="162" t="s">
        <v>186</v>
      </c>
    </row>
    <row r="27" ht="12.75">
      <c r="O27" s="162" t="s">
        <v>187</v>
      </c>
    </row>
    <row r="28" ht="12.75">
      <c r="O28" s="162" t="s">
        <v>188</v>
      </c>
    </row>
    <row r="29" ht="12.75">
      <c r="O29" s="162" t="s">
        <v>189</v>
      </c>
    </row>
    <row r="30" ht="12.75">
      <c r="O30" s="162" t="s">
        <v>190</v>
      </c>
    </row>
    <row r="31" ht="12.75">
      <c r="O31" s="162" t="s">
        <v>191</v>
      </c>
    </row>
    <row r="32" ht="12.75">
      <c r="O32" s="162" t="s">
        <v>192</v>
      </c>
    </row>
    <row r="33" ht="12.75">
      <c r="O33" s="162" t="s">
        <v>193</v>
      </c>
    </row>
    <row r="34" ht="12.75">
      <c r="O34" s="162" t="s">
        <v>194</v>
      </c>
    </row>
    <row r="35" ht="12.75">
      <c r="O35" s="162" t="s">
        <v>195</v>
      </c>
    </row>
    <row r="36" ht="12.75">
      <c r="O36" s="162" t="s">
        <v>196</v>
      </c>
    </row>
    <row r="37" ht="12.75">
      <c r="O37" s="162" t="s">
        <v>197</v>
      </c>
    </row>
    <row r="38" ht="12.75">
      <c r="O38" s="162" t="s">
        <v>198</v>
      </c>
    </row>
    <row r="39" ht="12.75">
      <c r="O39" s="162" t="s">
        <v>199</v>
      </c>
    </row>
    <row r="40" ht="12.75">
      <c r="O40" s="162" t="s">
        <v>200</v>
      </c>
    </row>
    <row r="41" ht="12.75">
      <c r="O41" s="162" t="s">
        <v>201</v>
      </c>
    </row>
    <row r="42" ht="12.75">
      <c r="O42" s="162" t="s">
        <v>202</v>
      </c>
    </row>
    <row r="43" ht="12.75">
      <c r="O43" s="162" t="s">
        <v>203</v>
      </c>
    </row>
    <row r="44" ht="12.75">
      <c r="O44" s="162" t="s">
        <v>204</v>
      </c>
    </row>
    <row r="45" ht="12.75">
      <c r="O45" s="162" t="s">
        <v>205</v>
      </c>
    </row>
    <row r="46" ht="12.75">
      <c r="O46" s="162" t="s">
        <v>206</v>
      </c>
    </row>
    <row r="47" ht="12.75">
      <c r="O47" s="162" t="s">
        <v>207</v>
      </c>
    </row>
    <row r="48" ht="12.75">
      <c r="O48" s="162" t="s">
        <v>208</v>
      </c>
    </row>
    <row r="49" ht="12.75">
      <c r="O49" s="162" t="s">
        <v>209</v>
      </c>
    </row>
    <row r="50" ht="12.75">
      <c r="O50" s="162" t="s">
        <v>210</v>
      </c>
    </row>
    <row r="51" ht="12.75">
      <c r="O51" s="162" t="s">
        <v>211</v>
      </c>
    </row>
    <row r="52" ht="12.75">
      <c r="O52" s="162" t="s">
        <v>212</v>
      </c>
    </row>
    <row r="53" ht="12.75">
      <c r="O53" s="162" t="s">
        <v>213</v>
      </c>
    </row>
    <row r="54" ht="12.75">
      <c r="O54" s="162" t="s">
        <v>214</v>
      </c>
    </row>
    <row r="55" ht="12.75">
      <c r="O55" s="162" t="s">
        <v>215</v>
      </c>
    </row>
    <row r="56" ht="12.75">
      <c r="O56" s="162" t="s">
        <v>216</v>
      </c>
    </row>
    <row r="57" ht="12.75">
      <c r="O57" s="162" t="s">
        <v>217</v>
      </c>
    </row>
    <row r="58" ht="12.75">
      <c r="O58" s="162" t="s">
        <v>218</v>
      </c>
    </row>
    <row r="59" ht="12.75">
      <c r="O59" s="162" t="s">
        <v>219</v>
      </c>
    </row>
    <row r="60" ht="12.75">
      <c r="O60" s="162" t="s">
        <v>220</v>
      </c>
    </row>
    <row r="61" ht="12.75">
      <c r="O61" s="162" t="s">
        <v>221</v>
      </c>
    </row>
    <row r="62" ht="12.75">
      <c r="O62" s="162" t="s">
        <v>222</v>
      </c>
    </row>
    <row r="63" ht="12.75">
      <c r="O63" s="162" t="s">
        <v>223</v>
      </c>
    </row>
    <row r="64" ht="12.75">
      <c r="O64" s="162" t="s">
        <v>224</v>
      </c>
    </row>
    <row r="65" ht="12.75">
      <c r="O65" s="162" t="s">
        <v>225</v>
      </c>
    </row>
    <row r="66" ht="12.75">
      <c r="O66" s="162" t="s">
        <v>226</v>
      </c>
    </row>
    <row r="67" ht="12.75">
      <c r="O67" s="162" t="s">
        <v>227</v>
      </c>
    </row>
    <row r="68" ht="12.75">
      <c r="O68" s="162" t="s">
        <v>228</v>
      </c>
    </row>
    <row r="69" ht="12.75">
      <c r="O69" s="162" t="s">
        <v>229</v>
      </c>
    </row>
    <row r="70" ht="12.75">
      <c r="O70" s="162" t="s">
        <v>230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