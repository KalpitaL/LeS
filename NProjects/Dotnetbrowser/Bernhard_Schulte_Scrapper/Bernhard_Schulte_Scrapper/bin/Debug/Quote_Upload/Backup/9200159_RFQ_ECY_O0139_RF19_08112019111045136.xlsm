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_xlnm.Print_Area" localSheetId="0">Quote!$A$1:$R$51</definedName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Quote!$A$32</definedName>
    <definedName name="Enquiry_To_Vendor_ID" comment="Enquiry to Vendor ID">Quote!$C$32</definedName>
    <definedName name="GrandTotal">Quote!$N$31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Quote!$A$24</definedName>
    <definedName name="ItemListStartupRow" comment="Item List Start Up Row">Quote!$A$19</definedName>
    <definedName name="ItemSubTotal">Quote!$N$30</definedName>
    <definedName name="ItemSubTotalTitle">Quote!$J$30</definedName>
    <definedName name="LeadDay">Quote!$M$11</definedName>
    <definedName name="Lock">Quote!$M$32</definedName>
    <definedName name="LoggedInEmailID">Quote!$N$32</definedName>
    <definedName name="LoggedInPwd">Quote!$O$32</definedName>
    <definedName name="OtherCharges">Quote!$C$26</definedName>
    <definedName name="OtherChargesLastRow">Quote!$A$30</definedName>
    <definedName name="OtherChargesStartRow">Quote!$A$25</definedName>
    <definedName name="Port">Quote!$P$32</definedName>
    <definedName name="PortOfDelivery" comment="Port of Delivery">Quote!$M$9</definedName>
    <definedName name="PurchaserName">Quote!$J$32</definedName>
    <definedName name="QuoteBefore">Quote!$M$8</definedName>
    <definedName name="QuoteID">MasterData!$N$7</definedName>
    <definedName name="QuoteSubject">Quote!$E$32</definedName>
    <definedName name="Remarks">Quote!$E$34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Quote!$K$32</definedName>
    <definedName name="SentIndex">Quote!$L$32</definedName>
    <definedName name="Server">Quote!$Q$32</definedName>
    <definedName name="Terms">Quote!$A$38:$T$59</definedName>
    <definedName name="ToEmailID">Quote!$I$32</definedName>
    <definedName name="ToEmailPwd">Quote!$H$32</definedName>
    <definedName name="VAL">Quote!$F$32</definedName>
    <definedName name="VAT_All">Quote!$M$16</definedName>
    <definedName name="Vendor_ID" comment="Vendor ID">Quote!$B$32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Quote!$D$32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Quote!$E$35</definedName>
    <definedName name="VesselETA" comment="Vessel ETA">Quote!$M$10</definedName>
    <definedName name="VesselName" comment="Vessel Name">Quote!$M$4</definedName>
    <definedName name="ItmPrice">Quote!$N$20:$N$20,Quote!$N$21:$N$21,Quote!$N$22:$N$22,Quote!$N$23:$N$23</definedName>
  </definedNames>
  <calcPr fullCalcOnLoad="1"/>
</workbook>
</file>

<file path=xl/sharedStrings.xml><?xml version="1.0" encoding="utf-8"?>
<sst xmlns="http://schemas.openxmlformats.org/spreadsheetml/2006/main" count="182" uniqueCount="158">
  <si>
    <t>RFQ</t>
  </si>
  <si>
    <t>Request for Quote</t>
  </si>
  <si>
    <t>Invoice To</t>
  </si>
  <si>
    <t>Bernhard Schulte Shipmanagement (Singapore) Pte. Ltd.
Master &amp; Owner Of Egeiro Cyan,
Regd. Owner: Egeiro Pte. Ltd.,
AS AGENTS: Bernhard Schulte Shipmanagement (Singapore) Pte Ltd
108 Middle Road, 
#08-00 Bernhard Schulte House, Singapore 188967
ATTN:- Accounts Department
Please send soft copy to the email address: sg-smc-acct@bs-shipmanagement.com</t>
  </si>
  <si>
    <t>Vessel</t>
  </si>
  <si>
    <t>Egeiro Cyan</t>
  </si>
  <si>
    <t>RFQ No.</t>
  </si>
  <si>
    <t>ECY/O0139/RF19</t>
  </si>
  <si>
    <t>RFQ Date</t>
  </si>
  <si>
    <t>Submit Quote Before:</t>
  </si>
  <si>
    <t>Port of Delivery</t>
  </si>
  <si>
    <t>Singapore</t>
  </si>
  <si>
    <t>Vessel ETA</t>
  </si>
  <si>
    <t>Lead Days</t>
  </si>
  <si>
    <t>Vendor Details</t>
  </si>
  <si>
    <t>Vendor Reference</t>
  </si>
  <si>
    <t>Name</t>
  </si>
  <si>
    <t>RMS MARINE SERVICE COMPANY LTD</t>
  </si>
  <si>
    <t>Address</t>
  </si>
  <si>
    <t>365, Gaodong, No 2 Road, Pudong District,SHANGHAI, CHINA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</si>
  <si>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</si>
  <si>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</si>
  <si>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</si>
  <si>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</si>
  <si>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</si>
  <si>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</si>
  <si>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</si>
  <si>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mt@rmsmarineservice.com,mt@rmsmarineservice.com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</si>
  <si>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</si>
  <si>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</si>
  <si>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</si>
  <si>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</si>
  <si>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</si>
  <si>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</si>
  <si>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</si>
  <si>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</si>
  <si>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</si>
  <si>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</si>
  <si>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</si>
  <si>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</si>
  <si>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CANON DIGITAL CAMERA WITH MEMORY CARD</t>
  </si>
  <si>
    <t>SET</t>
  </si>
  <si>
    <t>FULL HD</t>
  </si>
  <si>
    <t>V_00002367</t>
  </si>
  <si>
    <t>CANON CARTRIDGES 051 FOR MF264dw PRINTER</t>
  </si>
  <si>
    <t>PCS</t>
  </si>
  <si>
    <t>CANON TONER CARTRIDGE 337</t>
  </si>
  <si>
    <t>V_00002626</t>
  </si>
  <si>
    <t>63 ink cartridges Black HP Deskjet 2130 Series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</si>
  <si>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</si>
  <si>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</si>
  <si>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</si>
  <si>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</si>
  <si>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</si>
  <si>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</si>
  <si>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</si>
  <si>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</si>
  <si>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</si>
  <si>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</si>
  <si>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If any doubt please ask before quote.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</si>
  <si>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</si>
  <si>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</si>
  <si>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</si>
  <si>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</si>
  <si>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</si>
  <si>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</si>
  <si>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ADDITIONAL JOBS</t>
  </si>
  <si>
    <t>RequestForQuoteID</t>
  </si>
  <si>
    <t>AFA</t>
  </si>
  <si>
    <t>AGENCY FEE</t>
  </si>
  <si>
    <t>HeaderID</t>
  </si>
  <si>
    <t>AUD</t>
  </si>
  <si>
    <t>HANDLING CHARGE</t>
  </si>
  <si>
    <t>VendorID</t>
  </si>
  <si>
    <t>BAD</t>
  </si>
  <si>
    <t>PACKING CHARGE</t>
  </si>
  <si>
    <t>RFQCategory</t>
  </si>
  <si>
    <t>SMC - STORES</t>
  </si>
  <si>
    <t>BAM</t>
  </si>
  <si>
    <t>SPARE USED</t>
  </si>
  <si>
    <t>QuoteID</t>
  </si>
  <si>
    <t>BBD</t>
  </si>
  <si>
    <t>WAREHOUSING</t>
  </si>
  <si>
    <t>BHD</t>
  </si>
  <si>
    <t>CRANAGE</t>
  </si>
  <si>
    <t>BMD</t>
  </si>
  <si>
    <t>CUSTOMS</t>
  </si>
  <si>
    <t>BOL</t>
  </si>
  <si>
    <t>LAUNCH HIRE CHARGE</t>
  </si>
  <si>
    <t>BRL</t>
  </si>
  <si>
    <t>ROUNDING ADJUSTMENT</t>
  </si>
  <si>
    <t>BSD</t>
  </si>
  <si>
    <t>BOAT CHARGES</t>
  </si>
  <si>
    <t>CAD</t>
  </si>
  <si>
    <t>MINIMUM QUANTITY CHARGE</t>
  </si>
  <si>
    <t>CDZ</t>
  </si>
  <si>
    <t>CHF</t>
  </si>
  <si>
    <t>CLP</t>
  </si>
  <si>
    <t>CNY</t>
  </si>
  <si>
    <t>CYP</t>
  </si>
  <si>
    <t>CZK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</si>
  <si>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</si>
  <si>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</si>
  <si>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</si>
  <si>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</si>
  <si>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</si>
  <si>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</si>
  <si>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</si>
  <si>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</si>
  <si>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</si>
  <si>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</si>
  <si>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</si>
  <si>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</si>
  <si>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</si>
  <si>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</si>
  <si>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</si>
  <si>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</si>
  <si>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</si>
  <si>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</si>
  <si>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</si>
  <si>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</si>
  <si>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</si>
  <si>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</si>
  <si>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</si>
  <si>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</si>
  <si>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</si>
  <si>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</si>
  <si>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</si>
  <si>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</si>
  <si>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</si>
  <si>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</si>
  <si>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</si>
  <si>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</si>
  <si>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</si>
  <si>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</si>
  <si>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</si>
  <si>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</si>
  <si>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</si>
  <si>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</si>
  <si>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</si>
  <si>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</si>
  <si>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</si>
  <si>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</si>
  <si>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</si>
  <si>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</si>
  <si>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</si>
  <si>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</si>
  <si>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</si>
  <si>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</si>
  <si>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</si>
  <si>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</si>
  <si>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</si>
  <si>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SG1911081146657LET</t>
  </si>
  <si>
    <t>CANON IXUS 185,WITH 16G CARD</t>
  </si>
  <si>
    <t>EQUIVALENT
2.10 ORIGINAL | Price-39.06</t>
  </si>
  <si>
    <t>EQUIVALENT
3.10 ORIGINAL | Price-72.26</t>
  </si>
  <si>
    <t>EQUIVALENT ONLY</t>
  </si>
  <si>
    <t xml:space="preserve">
Date promised : 2019-11-11
Quote validity : 2019-12-08
Item Added - 2.10 : CANON CARTRIDGES 051 FOR MF264dw PRINTER | Ref.No.:V_00002367 | QTY : 0 | UOM : PCS | Price : 39.06 USD | Remarks : ORIGINAL
Item Added - 3.10 : CANON TONER CARTRIDGE 337 | Ref.No.:2045050 | QTY : 0 | UOM : PCS | Price : 72.26 USD | Remarks : ORIGINAL
 Item Total : 515.59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</si>
</sst>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9989061356"/>
      <name val="Calibri"/>
      <family val="2"/>
      <scheme val="minor"/>
    </font>
    <font>
      <b/>
      <sz val="10"/>
      <color theme="3" tint="-0.499969989061356"/>
      <name val="Calibri"/>
      <family val="2"/>
      <scheme val="minor"/>
    </font>
    <font>
      <sz val="8"/>
      <color theme="3" tint="-0.499969989061356"/>
      <name val="Calibri"/>
      <family val="2"/>
      <scheme val="minor"/>
    </font>
    <font>
      <b/>
      <sz val="9"/>
      <color theme="3" tint="-0.499969989061356"/>
      <name val="Calibri"/>
      <family val="2"/>
      <scheme val="minor"/>
    </font>
    <font>
      <sz val="10"/>
      <color theme="3" tint="-0.499969989061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9989061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61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0" fontId="27" fillId="0" borderId="0" xfId="0" applyNumberFormat="1" applyFill="1" applyAlignment="1" applyProtection="1">
      <alignment horizontal="left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44" fontId="13" fillId="33" borderId="0" xfId="0" applyNumberFormat="1" applyAlignment="1" applyProtection="1">
      <alignment horizontal="left"/>
      <protection locked="0"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20"/>
    <cellStyle name="Heading 3" xfId="21"/>
    <cellStyle name="Calculation" xfId="22"/>
    <cellStyle name="40% - Accent1" xfId="23"/>
    <cellStyle name="Title" xfId="24"/>
    <cellStyle name="Heading 2" xfId="25"/>
    <cellStyle name="Heading 4" xfId="26"/>
    <cellStyle name="Good" xfId="27"/>
    <cellStyle name="Bad" xfId="28"/>
    <cellStyle name="Neutral" xfId="29"/>
    <cellStyle name="Input" xfId="30"/>
    <cellStyle name="Output" xfId="31"/>
    <cellStyle name="Linked Cell" xfId="32"/>
    <cellStyle name="Check Cell" xfId="33"/>
    <cellStyle name="Warning Text" xfId="34"/>
    <cellStyle name="Note" xfId="35"/>
    <cellStyle name="Explanatory Text" xfId="36"/>
    <cellStyle name="Total" xfId="37"/>
    <cellStyle name="Accent1" xfId="38"/>
    <cellStyle name="20% - Accent1" xfId="39"/>
    <cellStyle name="60% - Accent1" xfId="40"/>
    <cellStyle name="Accent2" xfId="41"/>
    <cellStyle name="20% - Accent2" xfId="42"/>
    <cellStyle name="40% - Accent2" xfId="43"/>
    <cellStyle name="60% - Accent2" xfId="44"/>
    <cellStyle name="Accent3" xfId="45"/>
    <cellStyle name="20% - Accent3" xfId="46"/>
    <cellStyle name="40% - Accent3" xfId="47"/>
    <cellStyle name="60% - Accent3" xfId="48"/>
    <cellStyle name="Accent4" xfId="49"/>
    <cellStyle name="20% - Accent4" xfId="50"/>
    <cellStyle name="40% - Accent4" xfId="51"/>
    <cellStyle name="60% - Accent4" xfId="52"/>
    <cellStyle name="Accent5" xfId="53"/>
    <cellStyle name="20% - Accent5" xfId="54"/>
    <cellStyle name="40% - Accent5" xfId="55"/>
    <cellStyle name="60% - Accent5" xfId="56"/>
    <cellStyle name="Accent6" xfId="57"/>
    <cellStyle name="20% - Accent6" xfId="58"/>
    <cellStyle name="40% - Accent6" xfId="59"/>
    <cellStyle name="60% - Accent6" xfId="6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61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1" width="9.14285714285714" style="163" hidden="1" customWidth="1"/>
    <col min="22" max="22" width="9.14285714285714" style="163" hidden="1" customWidth="1"/>
    <col min="23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43777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43777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/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3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152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145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/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99990011447524</v>
      </c>
      <c r="C20" s="227">
        <v>2545902</v>
      </c>
      <c r="D20" s="228" t="s">
        <v>40</v>
      </c>
      <c r="E20" s="229"/>
      <c r="F20" s="229">
        <v>2545902</v>
      </c>
      <c r="G20" s="229" t="s">
        <v>41</v>
      </c>
      <c r="H20" s="230">
        <v>0</v>
      </c>
      <c r="I20" s="231">
        <v>1</v>
      </c>
      <c r="J20" s="232">
        <v>166.01</v>
      </c>
      <c r="K20" s="233"/>
      <c r="L20" s="231">
        <v>0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 t="s">
        <v>153</v>
      </c>
      <c r="Q20" s="236"/>
      <c r="R20" s="237" t="s">
        <v>42</v>
      </c>
      <c r="S20" s="238"/>
      <c r="T20" s="239"/>
    </row>
    <row r="21" spans="1:20" ht="24" customHeight="1">
      <c r="A21" s="226">
        <v>2</v>
      </c>
      <c r="B21" s="226">
        <v>247924801668</v>
      </c>
      <c r="C21" s="227" t="s">
        <v>43</v>
      </c>
      <c r="D21" s="228" t="s">
        <v>44</v>
      </c>
      <c r="E21" s="229"/>
      <c r="F21" s="229" t="s">
        <v>43</v>
      </c>
      <c r="G21" s="229" t="s">
        <v>45</v>
      </c>
      <c r="H21" s="230">
        <v>0</v>
      </c>
      <c r="I21" s="231">
        <v>8</v>
      </c>
      <c r="J21" s="232">
        <v>23.44</v>
      </c>
      <c r="K21" s="233"/>
      <c r="L21" s="231">
        <v>0</v>
      </c>
      <c r="M21" s="231">
        <v>0</v>
      </c>
      <c r="N21" s="234">
        <f>ROUND(((I21*J21)-((I21*J21)*L21/100))+(((I21*J21)-((I21*J21)*L21/100))*M21/100),2)</f>
      </c>
      <c r="O21" s="230">
        <f>M11</f>
      </c>
      <c r="P21" s="235" t="s">
        <v>154</v>
      </c>
      <c r="Q21" s="236"/>
      <c r="R21" s="237"/>
      <c r="S21" s="238"/>
      <c r="T21" s="239"/>
    </row>
    <row r="22" spans="1:20" ht="24" customHeight="1">
      <c r="A22" s="226">
        <v>3</v>
      </c>
      <c r="B22" s="226">
        <v>99990008531817</v>
      </c>
      <c r="C22" s="227">
        <v>2045050</v>
      </c>
      <c r="D22" s="228" t="s">
        <v>46</v>
      </c>
      <c r="E22" s="229"/>
      <c r="F22" s="229">
        <v>2045050</v>
      </c>
      <c r="G22" s="229" t="s">
        <v>45</v>
      </c>
      <c r="H22" s="230">
        <v>0</v>
      </c>
      <c r="I22" s="231">
        <v>3</v>
      </c>
      <c r="J22" s="232">
        <v>11.72</v>
      </c>
      <c r="K22" s="233"/>
      <c r="L22" s="231">
        <v>0</v>
      </c>
      <c r="M22" s="231">
        <v>0</v>
      </c>
      <c r="N22" s="234">
        <f>ROUND(((I22*J22)-((I22*J22)*L22/100))+(((I22*J22)-((I22*J22)*L22/100))*M22/100),2)</f>
      </c>
      <c r="O22" s="230">
        <f>M11</f>
      </c>
      <c r="P22" s="235" t="s">
        <v>155</v>
      </c>
      <c r="Q22" s="236"/>
      <c r="R22" s="237"/>
      <c r="S22" s="238"/>
      <c r="T22" s="239"/>
    </row>
    <row r="23" spans="1:20" ht="24" customHeight="1">
      <c r="A23" s="226">
        <v>4</v>
      </c>
      <c r="B23" s="226">
        <v>247924801874</v>
      </c>
      <c r="C23" s="227" t="s">
        <v>47</v>
      </c>
      <c r="D23" s="228" t="s">
        <v>48</v>
      </c>
      <c r="E23" s="229"/>
      <c r="F23" s="229" t="s">
        <v>47</v>
      </c>
      <c r="G23" s="229" t="s">
        <v>45</v>
      </c>
      <c r="H23" s="230">
        <v>0</v>
      </c>
      <c r="I23" s="231">
        <v>10</v>
      </c>
      <c r="J23" s="232">
        <v>12.69</v>
      </c>
      <c r="K23" s="233"/>
      <c r="L23" s="231">
        <v>0</v>
      </c>
      <c r="M23" s="231">
        <v>0</v>
      </c>
      <c r="N23" s="234">
        <f>ROUND(((I23*J23)-((I23*J23)*L23/100))+(((I23*J23)-((I23*J23)*L23/100))*M23/100),2)</f>
      </c>
      <c r="O23" s="230">
        <f>M11</f>
      </c>
      <c r="P23" s="235" t="s">
        <v>156</v>
      </c>
      <c r="Q23" s="236"/>
      <c r="R23" s="237"/>
      <c r="S23" s="238"/>
      <c r="T23" s="239"/>
    </row>
    <row r="24" spans="1:20" ht="15" customHeight="1">
      <c r="A24" s="32"/>
      <c r="B24" s="295"/>
      <c r="C24" s="296"/>
      <c r="D24" s="296"/>
      <c r="E24" s="296"/>
      <c r="F24" s="296"/>
      <c r="G24" s="296"/>
      <c r="H24" s="297"/>
      <c r="I24" s="297"/>
      <c r="J24" s="297"/>
      <c r="K24" s="297"/>
      <c r="L24" s="297"/>
      <c r="M24" s="297"/>
      <c r="N24" s="297"/>
      <c r="O24" s="297"/>
      <c r="P24" s="297"/>
      <c r="Q24" s="297"/>
      <c r="R24" s="297"/>
      <c r="S24" s="297"/>
      <c r="T24" s="298"/>
    </row>
    <row r="25" spans="1:20" ht="12.75" customHeight="1">
      <c r="A25" s="289" t="s">
        <v>28</v>
      </c>
      <c r="B25" s="289"/>
      <c r="C25" s="290" t="s">
        <v>49</v>
      </c>
      <c r="D25" s="291"/>
      <c r="E25" s="291"/>
      <c r="F25" s="291"/>
      <c r="G25" s="291"/>
      <c r="H25" s="291"/>
      <c r="I25" s="292"/>
      <c r="J25" s="292" t="s">
        <v>50</v>
      </c>
      <c r="K25" s="292"/>
      <c r="L25" s="292" t="s">
        <v>35</v>
      </c>
      <c r="M25" s="292" t="s">
        <v>36</v>
      </c>
      <c r="N25" s="293" t="s">
        <v>51</v>
      </c>
      <c r="O25" s="294" t="s">
        <v>38</v>
      </c>
      <c r="P25" s="294"/>
      <c r="Q25" s="294"/>
      <c r="R25" s="294"/>
      <c r="S25" s="294"/>
      <c r="T25" s="225"/>
    </row>
    <row r="26" spans="1:20" ht="15" customHeight="1">
      <c r="A26" s="269">
        <v>1</v>
      </c>
      <c r="B26" s="270"/>
      <c r="C26" s="271" t="s">
        <v>52</v>
      </c>
      <c r="D26" s="272" t="s">
        <v>52</v>
      </c>
      <c r="E26" s="272" t="s">
        <v>52</v>
      </c>
      <c r="F26" s="272" t="s">
        <v>52</v>
      </c>
      <c r="G26" s="272" t="s">
        <v>52</v>
      </c>
      <c r="H26" s="273" t="s">
        <v>52</v>
      </c>
      <c r="I26" s="274"/>
      <c r="J26" s="275">
        <v>0</v>
      </c>
      <c r="K26" s="276"/>
      <c r="L26" s="277">
        <v>0</v>
      </c>
      <c r="M26" s="277">
        <v>0</v>
      </c>
      <c r="N26" s="285">
        <f>(J26-(J26*L26/100)+((J26-(J26*L26/100))*M26/100))</f>
      </c>
      <c r="O26" s="286"/>
      <c r="P26" s="287"/>
      <c r="Q26" s="287"/>
      <c r="R26" s="287"/>
      <c r="S26" s="288"/>
      <c r="T26" s="283"/>
    </row>
    <row r="27" spans="1:20" ht="15" customHeight="1">
      <c r="A27" s="269">
        <v>2</v>
      </c>
      <c r="B27" s="270"/>
      <c r="C27" s="271" t="s">
        <v>53</v>
      </c>
      <c r="D27" s="272" t="s">
        <v>53</v>
      </c>
      <c r="E27" s="272" t="s">
        <v>53</v>
      </c>
      <c r="F27" s="272" t="s">
        <v>53</v>
      </c>
      <c r="G27" s="272" t="s">
        <v>53</v>
      </c>
      <c r="H27" s="273" t="s">
        <v>53</v>
      </c>
      <c r="I27" s="284"/>
      <c r="J27" s="275">
        <v>0</v>
      </c>
      <c r="K27" s="276"/>
      <c r="L27" s="277">
        <v>0</v>
      </c>
      <c r="M27" s="277">
        <v>0</v>
      </c>
      <c r="N27" s="279">
        <f>(J27-(J27*L27/100)+((J27-(J27*L27/100))*M27/100))</f>
      </c>
      <c r="O27" s="280"/>
      <c r="P27" s="281"/>
      <c r="Q27" s="281"/>
      <c r="R27" s="281"/>
      <c r="S27" s="282"/>
      <c r="T27" s="283"/>
    </row>
    <row r="28" spans="1:20" ht="15" customHeight="1">
      <c r="A28" s="269">
        <v>3</v>
      </c>
      <c r="B28" s="270"/>
      <c r="C28" s="271"/>
      <c r="D28" s="272"/>
      <c r="E28" s="272"/>
      <c r="F28" s="272"/>
      <c r="G28" s="272"/>
      <c r="H28" s="273"/>
      <c r="I28" s="274"/>
      <c r="J28" s="275">
        <v>0</v>
      </c>
      <c r="K28" s="276"/>
      <c r="L28" s="277">
        <v>0</v>
      </c>
      <c r="M28" s="277">
        <v>0</v>
      </c>
      <c r="N28" s="279">
        <f>(J28-(J28*L28/100)+((J28-(J28*L28/100))*M28/100))</f>
      </c>
      <c r="O28" s="280"/>
      <c r="P28" s="281"/>
      <c r="Q28" s="281"/>
      <c r="R28" s="281"/>
      <c r="S28" s="282"/>
      <c r="T28" s="283"/>
    </row>
    <row r="29" spans="1:20" ht="15.75" customHeight="1">
      <c r="A29" s="269">
        <v>4</v>
      </c>
      <c r="B29" s="270"/>
      <c r="C29" s="271"/>
      <c r="D29" s="272"/>
      <c r="E29" s="272"/>
      <c r="F29" s="272"/>
      <c r="G29" s="272"/>
      <c r="H29" s="273"/>
      <c r="I29" s="274"/>
      <c r="J29" s="275">
        <v>0</v>
      </c>
      <c r="K29" s="276"/>
      <c r="L29" s="277">
        <v>0</v>
      </c>
      <c r="M29" s="278">
        <v>0</v>
      </c>
      <c r="N29" s="279">
        <f>(J29-(J29*L29/100)+((J29-(J29*L29/100))*M29/100))</f>
      </c>
      <c r="O29" s="280"/>
      <c r="P29" s="281"/>
      <c r="Q29" s="281"/>
      <c r="R29" s="281"/>
      <c r="S29" s="282"/>
      <c r="T29" s="283"/>
    </row>
    <row r="30" spans="1:16" ht="15.95" customHeight="1">
      <c r="A30" s="247"/>
      <c r="B30" s="247"/>
      <c r="C30" s="248"/>
      <c r="D30" s="248"/>
      <c r="I30" s="163"/>
      <c r="J30" s="58" t="s">
        <v>54</v>
      </c>
      <c r="K30" s="59"/>
      <c r="L30" s="58"/>
      <c r="M30" s="59"/>
      <c r="N30" s="264">
        <f>SUM(ItmPrice)</f>
      </c>
      <c r="O30" s="267"/>
      <c r="P30" s="268"/>
    </row>
    <row r="31" spans="1:16" ht="15" customHeight="1">
      <c r="A31" s="247"/>
      <c r="B31" s="247"/>
      <c r="C31" s="248"/>
      <c r="D31" s="248"/>
      <c r="I31" s="163"/>
      <c r="J31" s="123" t="s">
        <v>55</v>
      </c>
      <c r="K31" s="124"/>
      <c r="L31" s="124"/>
      <c r="M31" s="125"/>
      <c r="N31" s="264">
        <f>SUM(N26:N30)</f>
      </c>
      <c r="O31" s="265"/>
      <c r="P31" s="266"/>
    </row>
    <row r="32" spans="1:19" ht="2.25" customHeight="1" hidden="1">
      <c r="A32" s="258">
        <v>0</v>
      </c>
      <c r="B32" s="258">
        <v>0</v>
      </c>
      <c r="C32" s="259">
        <v>0</v>
      </c>
      <c r="D32" s="248"/>
      <c r="E32" s="248"/>
      <c r="F32" s="260">
        <v>1</v>
      </c>
      <c r="G32" s="248"/>
      <c r="H32" s="248"/>
      <c r="I32" s="248"/>
      <c r="J32" s="248"/>
      <c r="K32" s="261"/>
      <c r="L32" s="262">
        <v>0</v>
      </c>
      <c r="M32" s="263">
        <v>0</v>
      </c>
      <c r="N32" s="162" t="s">
        <v>56</v>
      </c>
      <c r="O32" s="257"/>
      <c r="P32" s="263">
        <v>995</v>
      </c>
      <c r="Q32" s="248" t="s">
        <v>57</v>
      </c>
      <c r="R32" s="248"/>
      <c r="S32" s="248"/>
    </row>
    <row r="33" spans="1:19" ht="18.75" customHeight="1">
      <c r="A33" s="247"/>
      <c r="B33" s="247"/>
      <c r="C33" s="247"/>
      <c r="H33" s="257"/>
      <c r="I33" s="163"/>
      <c r="J33" s="248"/>
      <c r="K33" s="248"/>
      <c r="L33" s="248"/>
      <c r="M33" s="248"/>
      <c r="N33" s="248"/>
      <c r="O33" s="248"/>
      <c r="P33" s="248"/>
      <c r="R33" s="248"/>
      <c r="S33" s="248"/>
    </row>
    <row r="34" spans="1:20" ht="127.5" customHeight="1">
      <c r="A34" s="249" t="s">
        <v>58</v>
      </c>
      <c r="B34" s="249"/>
      <c r="C34" s="249"/>
      <c r="D34" s="250"/>
      <c r="E34" s="254" t="s">
        <v>59</v>
      </c>
      <c r="F34" s="255"/>
      <c r="G34" s="255"/>
      <c r="H34" s="255"/>
      <c r="I34" s="255"/>
      <c r="J34" s="255"/>
      <c r="K34" s="255"/>
      <c r="L34" s="255"/>
      <c r="M34" s="255"/>
      <c r="N34" s="255"/>
      <c r="O34" s="255"/>
      <c r="P34" s="255"/>
      <c r="Q34" s="255"/>
      <c r="R34" s="255"/>
      <c r="S34" s="255"/>
      <c r="T34" s="256"/>
    </row>
    <row r="35" spans="1:20" ht="129.75" customHeight="1">
      <c r="A35" s="249" t="s">
        <v>38</v>
      </c>
      <c r="B35" s="249"/>
      <c r="C35" s="249"/>
      <c r="D35" s="250"/>
      <c r="E35" s="251" t="s">
        <v>157</v>
      </c>
      <c r="F35" s="252"/>
      <c r="G35" s="252"/>
      <c r="H35" s="252"/>
      <c r="I35" s="252"/>
      <c r="J35" s="252"/>
      <c r="K35" s="252"/>
      <c r="L35" s="252"/>
      <c r="M35" s="252"/>
      <c r="N35" s="252"/>
      <c r="O35" s="252"/>
      <c r="P35" s="252"/>
      <c r="Q35" s="252"/>
      <c r="R35" s="252"/>
      <c r="S35" s="252"/>
      <c r="T35" s="253"/>
    </row>
    <row r="36" spans="1:19" ht="15.95" customHeight="1">
      <c r="A36" s="247"/>
      <c r="B36" s="247"/>
      <c r="C36" s="247"/>
      <c r="H36" s="248"/>
      <c r="I36" s="248"/>
      <c r="J36" s="248"/>
      <c r="K36" s="248"/>
      <c r="L36" s="248"/>
      <c r="M36" s="248"/>
      <c r="N36" s="248"/>
      <c r="O36" s="248"/>
      <c r="P36" s="248"/>
      <c r="Q36" s="248"/>
      <c r="R36" s="248"/>
      <c r="S36" s="248"/>
    </row>
    <row r="37" spans="1:20" ht="15.95" customHeight="1">
      <c r="A37" s="245" t="s">
        <v>60</v>
      </c>
      <c r="B37" s="245"/>
      <c r="C37" s="245"/>
      <c r="D37" s="245"/>
      <c r="E37" s="245"/>
      <c r="F37" s="245"/>
      <c r="G37" s="245"/>
      <c r="H37" s="245"/>
      <c r="I37" s="245"/>
      <c r="J37" s="245"/>
      <c r="K37" s="245"/>
      <c r="L37" s="245"/>
      <c r="M37" s="245"/>
      <c r="N37" s="245"/>
      <c r="O37" s="245"/>
      <c r="P37" s="245"/>
      <c r="Q37" s="245"/>
      <c r="R37" s="245"/>
      <c r="S37" s="245"/>
      <c r="T37" s="246"/>
    </row>
    <row r="38" spans="1:20" ht="12.75" customHeight="1">
      <c r="A38" s="243"/>
      <c r="B38" s="243"/>
      <c r="C38" s="243"/>
      <c r="D38" s="243"/>
      <c r="E38" s="243"/>
      <c r="F38" s="243"/>
      <c r="G38" s="243"/>
      <c r="H38" s="243"/>
      <c r="I38" s="243"/>
      <c r="J38" s="243"/>
      <c r="K38" s="243"/>
      <c r="L38" s="243"/>
      <c r="M38" s="243"/>
      <c r="N38" s="243"/>
      <c r="O38" s="243"/>
      <c r="P38" s="243"/>
      <c r="Q38" s="243"/>
      <c r="R38" s="243"/>
      <c r="S38" s="243"/>
      <c r="T38" s="244"/>
    </row>
    <row r="39" spans="1:20" ht="12.75" customHeight="1">
      <c r="A39" s="243"/>
      <c r="B39" s="243"/>
      <c r="C39" s="243"/>
      <c r="D39" s="243"/>
      <c r="E39" s="243"/>
      <c r="F39" s="243"/>
      <c r="G39" s="243"/>
      <c r="H39" s="243"/>
      <c r="I39" s="243"/>
      <c r="J39" s="243"/>
      <c r="K39" s="243"/>
      <c r="L39" s="243"/>
      <c r="M39" s="243"/>
      <c r="N39" s="243"/>
      <c r="O39" s="243"/>
      <c r="P39" s="243"/>
      <c r="Q39" s="243"/>
      <c r="R39" s="243"/>
      <c r="S39" s="243"/>
      <c r="T39" s="244"/>
    </row>
    <row r="40" spans="1:20" ht="7.5" customHeight="1">
      <c r="A40" s="243"/>
      <c r="B40" s="243"/>
      <c r="C40" s="243"/>
      <c r="D40" s="243"/>
      <c r="E40" s="243"/>
      <c r="F40" s="243"/>
      <c r="G40" s="243"/>
      <c r="H40" s="243"/>
      <c r="I40" s="243"/>
      <c r="J40" s="243"/>
      <c r="K40" s="243"/>
      <c r="L40" s="243"/>
      <c r="M40" s="243"/>
      <c r="N40" s="243"/>
      <c r="O40" s="243"/>
      <c r="P40" s="243"/>
      <c r="Q40" s="243"/>
      <c r="R40" s="243"/>
      <c r="S40" s="243"/>
      <c r="T40" s="244"/>
    </row>
    <row r="41" spans="1:20" ht="12.75" customHeight="1">
      <c r="A41" s="243"/>
      <c r="B41" s="243"/>
      <c r="C41" s="243"/>
      <c r="D41" s="243"/>
      <c r="E41" s="243"/>
      <c r="F41" s="243"/>
      <c r="G41" s="243"/>
      <c r="H41" s="243"/>
      <c r="I41" s="243"/>
      <c r="J41" s="243"/>
      <c r="K41" s="243"/>
      <c r="L41" s="243"/>
      <c r="M41" s="243"/>
      <c r="N41" s="243"/>
      <c r="O41" s="243"/>
      <c r="P41" s="243"/>
      <c r="Q41" s="243"/>
      <c r="R41" s="243"/>
      <c r="S41" s="243"/>
      <c r="T41" s="244"/>
    </row>
    <row r="42" spans="1:20" ht="12.75" customHeight="1">
      <c r="A42" s="243"/>
      <c r="B42" s="243"/>
      <c r="C42" s="243"/>
      <c r="D42" s="243"/>
      <c r="E42" s="243"/>
      <c r="F42" s="243"/>
      <c r="G42" s="243"/>
      <c r="H42" s="243"/>
      <c r="I42" s="243"/>
      <c r="J42" s="243"/>
      <c r="K42" s="243"/>
      <c r="L42" s="243"/>
      <c r="M42" s="243"/>
      <c r="N42" s="243"/>
      <c r="O42" s="243"/>
      <c r="P42" s="243"/>
      <c r="Q42" s="243"/>
      <c r="R42" s="243"/>
      <c r="S42" s="243"/>
      <c r="T42" s="244"/>
    </row>
    <row r="43" spans="1:20" ht="12.75" customHeight="1">
      <c r="A43" s="243"/>
      <c r="B43" s="243"/>
      <c r="C43" s="243"/>
      <c r="D43" s="243"/>
      <c r="E43" s="243"/>
      <c r="F43" s="243"/>
      <c r="G43" s="243"/>
      <c r="H43" s="243"/>
      <c r="I43" s="243"/>
      <c r="J43" s="243"/>
      <c r="K43" s="243"/>
      <c r="L43" s="243"/>
      <c r="M43" s="243"/>
      <c r="N43" s="243"/>
      <c r="O43" s="243"/>
      <c r="P43" s="243"/>
      <c r="Q43" s="243"/>
      <c r="R43" s="243"/>
      <c r="S43" s="243"/>
      <c r="T43" s="244"/>
    </row>
    <row r="44" spans="1:20" ht="7.5" customHeight="1">
      <c r="A44" s="243"/>
      <c r="B44" s="243"/>
      <c r="C44" s="243"/>
      <c r="D44" s="243"/>
      <c r="E44" s="243"/>
      <c r="F44" s="243"/>
      <c r="G44" s="243"/>
      <c r="H44" s="243"/>
      <c r="I44" s="243"/>
      <c r="J44" s="243"/>
      <c r="K44" s="243"/>
      <c r="L44" s="243"/>
      <c r="M44" s="243"/>
      <c r="N44" s="243"/>
      <c r="O44" s="243"/>
      <c r="P44" s="243"/>
      <c r="Q44" s="243"/>
      <c r="R44" s="243"/>
      <c r="S44" s="243"/>
      <c r="T44" s="244"/>
    </row>
    <row r="45" spans="1:20" ht="12.75" customHeight="1">
      <c r="A45" s="243"/>
      <c r="B45" s="243"/>
      <c r="C45" s="243"/>
      <c r="D45" s="243"/>
      <c r="E45" s="243"/>
      <c r="F45" s="243"/>
      <c r="G45" s="243"/>
      <c r="H45" s="243"/>
      <c r="I45" s="243"/>
      <c r="J45" s="243"/>
      <c r="K45" s="243"/>
      <c r="L45" s="243"/>
      <c r="M45" s="243"/>
      <c r="N45" s="243"/>
      <c r="O45" s="243"/>
      <c r="P45" s="243"/>
      <c r="Q45" s="243"/>
      <c r="R45" s="243"/>
      <c r="S45" s="243"/>
      <c r="T45" s="244"/>
    </row>
    <row r="46" spans="1:20" ht="12.75" customHeight="1">
      <c r="A46" s="243"/>
      <c r="B46" s="243"/>
      <c r="C46" s="243"/>
      <c r="D46" s="243"/>
      <c r="E46" s="243"/>
      <c r="F46" s="243"/>
      <c r="G46" s="243"/>
      <c r="H46" s="243"/>
      <c r="I46" s="243"/>
      <c r="J46" s="243"/>
      <c r="K46" s="243"/>
      <c r="L46" s="243"/>
      <c r="M46" s="243"/>
      <c r="N46" s="243"/>
      <c r="O46" s="243"/>
      <c r="P46" s="243"/>
      <c r="Q46" s="243"/>
      <c r="R46" s="243"/>
      <c r="S46" s="243"/>
      <c r="T46" s="244"/>
    </row>
    <row r="47" spans="1:20" ht="12.75" customHeight="1">
      <c r="A47" s="243"/>
      <c r="B47" s="243"/>
      <c r="C47" s="243"/>
      <c r="D47" s="243"/>
      <c r="E47" s="243"/>
      <c r="F47" s="243"/>
      <c r="G47" s="243"/>
      <c r="H47" s="243"/>
      <c r="I47" s="243"/>
      <c r="J47" s="243"/>
      <c r="K47" s="243"/>
      <c r="L47" s="243"/>
      <c r="M47" s="243"/>
      <c r="N47" s="243"/>
      <c r="O47" s="243"/>
      <c r="P47" s="243"/>
      <c r="Q47" s="243"/>
      <c r="R47" s="243"/>
      <c r="S47" s="243"/>
      <c r="T47" s="244"/>
    </row>
    <row r="48" spans="1:20" ht="12.75" customHeight="1">
      <c r="A48" s="243"/>
      <c r="B48" s="243"/>
      <c r="C48" s="243"/>
      <c r="D48" s="243"/>
      <c r="E48" s="243"/>
      <c r="F48" s="243"/>
      <c r="G48" s="243"/>
      <c r="H48" s="243"/>
      <c r="I48" s="243"/>
      <c r="J48" s="243"/>
      <c r="K48" s="243"/>
      <c r="L48" s="243"/>
      <c r="M48" s="243"/>
      <c r="N48" s="243"/>
      <c r="O48" s="243"/>
      <c r="P48" s="243"/>
      <c r="Q48" s="243"/>
      <c r="R48" s="243"/>
      <c r="S48" s="243"/>
      <c r="T48" s="244"/>
    </row>
    <row r="49" spans="1:20" ht="12.75" customHeight="1">
      <c r="A49" s="243"/>
      <c r="B49" s="243"/>
      <c r="C49" s="243"/>
      <c r="D49" s="243"/>
      <c r="E49" s="243"/>
      <c r="F49" s="243"/>
      <c r="G49" s="243"/>
      <c r="H49" s="243"/>
      <c r="I49" s="243"/>
      <c r="J49" s="243"/>
      <c r="K49" s="243"/>
      <c r="L49" s="243"/>
      <c r="M49" s="243"/>
      <c r="N49" s="243"/>
      <c r="O49" s="243"/>
      <c r="P49" s="243"/>
      <c r="Q49" s="243"/>
      <c r="R49" s="243"/>
      <c r="S49" s="243"/>
      <c r="T49" s="244"/>
    </row>
    <row r="50" spans="1:20" ht="12.75" customHeight="1">
      <c r="A50" s="243"/>
      <c r="B50" s="243"/>
      <c r="C50" s="243"/>
      <c r="D50" s="243"/>
      <c r="E50" s="243"/>
      <c r="F50" s="243"/>
      <c r="G50" s="243"/>
      <c r="H50" s="243"/>
      <c r="I50" s="243"/>
      <c r="J50" s="243"/>
      <c r="K50" s="243"/>
      <c r="L50" s="243"/>
      <c r="M50" s="243"/>
      <c r="N50" s="243"/>
      <c r="O50" s="243"/>
      <c r="P50" s="243"/>
      <c r="Q50" s="243"/>
      <c r="R50" s="243"/>
      <c r="S50" s="243"/>
      <c r="T50" s="244"/>
    </row>
    <row r="51" spans="1:20" ht="7.5" customHeight="1">
      <c r="A51" s="243"/>
      <c r="B51" s="243"/>
      <c r="C51" s="243"/>
      <c r="D51" s="243"/>
      <c r="E51" s="243"/>
      <c r="F51" s="243"/>
      <c r="G51" s="243"/>
      <c r="H51" s="243"/>
      <c r="I51" s="243"/>
      <c r="J51" s="243"/>
      <c r="K51" s="243"/>
      <c r="L51" s="243"/>
      <c r="M51" s="243"/>
      <c r="N51" s="243"/>
      <c r="O51" s="243"/>
      <c r="P51" s="243"/>
      <c r="Q51" s="243"/>
      <c r="R51" s="243"/>
      <c r="S51" s="243"/>
      <c r="T51" s="244"/>
    </row>
    <row r="52" spans="1:20" ht="12.75" customHeight="1">
      <c r="A52" s="243"/>
      <c r="B52" s="243"/>
      <c r="C52" s="243"/>
      <c r="D52" s="243"/>
      <c r="E52" s="243"/>
      <c r="F52" s="243"/>
      <c r="G52" s="243"/>
      <c r="H52" s="243"/>
      <c r="I52" s="243"/>
      <c r="J52" s="243"/>
      <c r="K52" s="243"/>
      <c r="L52" s="243"/>
      <c r="M52" s="243"/>
      <c r="N52" s="243"/>
      <c r="O52" s="243"/>
      <c r="P52" s="243"/>
      <c r="Q52" s="243"/>
      <c r="R52" s="243"/>
      <c r="S52" s="243"/>
      <c r="T52" s="244"/>
    </row>
    <row r="53" spans="1:20" ht="12.75" customHeight="1">
      <c r="A53" s="243"/>
      <c r="B53" s="243"/>
      <c r="C53" s="243"/>
      <c r="D53" s="243"/>
      <c r="E53" s="243"/>
      <c r="F53" s="243"/>
      <c r="G53" s="243"/>
      <c r="H53" s="243"/>
      <c r="I53" s="243"/>
      <c r="J53" s="243"/>
      <c r="K53" s="243"/>
      <c r="L53" s="243"/>
      <c r="M53" s="243"/>
      <c r="N53" s="243"/>
      <c r="O53" s="243"/>
      <c r="P53" s="243"/>
      <c r="Q53" s="243"/>
      <c r="R53" s="243"/>
      <c r="S53" s="243"/>
      <c r="T53" s="244"/>
    </row>
    <row r="54" spans="1:20" ht="12.75" customHeight="1">
      <c r="A54" s="243"/>
      <c r="B54" s="243"/>
      <c r="C54" s="243"/>
      <c r="D54" s="243"/>
      <c r="E54" s="243"/>
      <c r="F54" s="243"/>
      <c r="G54" s="243"/>
      <c r="H54" s="243"/>
      <c r="I54" s="243"/>
      <c r="J54" s="243"/>
      <c r="K54" s="243"/>
      <c r="L54" s="243"/>
      <c r="M54" s="243"/>
      <c r="N54" s="243"/>
      <c r="O54" s="243"/>
      <c r="P54" s="243"/>
      <c r="Q54" s="243"/>
      <c r="R54" s="243"/>
      <c r="S54" s="243"/>
      <c r="T54" s="244"/>
    </row>
    <row r="55" spans="1:20" ht="12.75" customHeight="1">
      <c r="A55" s="243"/>
      <c r="B55" s="243"/>
      <c r="C55" s="243"/>
      <c r="D55" s="243"/>
      <c r="E55" s="243"/>
      <c r="F55" s="243"/>
      <c r="G55" s="243"/>
      <c r="H55" s="243"/>
      <c r="I55" s="243"/>
      <c r="J55" s="243"/>
      <c r="K55" s="243"/>
      <c r="L55" s="243"/>
      <c r="M55" s="243"/>
      <c r="N55" s="243"/>
      <c r="O55" s="243"/>
      <c r="P55" s="243"/>
      <c r="Q55" s="243"/>
      <c r="R55" s="243"/>
      <c r="S55" s="243"/>
      <c r="T55" s="244"/>
    </row>
    <row r="56" spans="1:20" ht="12.75" customHeight="1">
      <c r="A56" s="243"/>
      <c r="B56" s="243"/>
      <c r="C56" s="243"/>
      <c r="D56" s="243"/>
      <c r="E56" s="243"/>
      <c r="F56" s="243"/>
      <c r="G56" s="243"/>
      <c r="H56" s="243"/>
      <c r="I56" s="243"/>
      <c r="J56" s="243"/>
      <c r="K56" s="243"/>
      <c r="L56" s="243"/>
      <c r="M56" s="243"/>
      <c r="N56" s="243"/>
      <c r="O56" s="243"/>
      <c r="P56" s="243"/>
      <c r="Q56" s="243"/>
      <c r="R56" s="243"/>
      <c r="S56" s="243"/>
      <c r="T56" s="244"/>
    </row>
    <row r="57" spans="1:20" ht="7.5" customHeight="1">
      <c r="A57" s="243"/>
      <c r="B57" s="243"/>
      <c r="C57" s="243"/>
      <c r="D57" s="243"/>
      <c r="E57" s="243"/>
      <c r="F57" s="243"/>
      <c r="G57" s="243"/>
      <c r="H57" s="243"/>
      <c r="I57" s="243"/>
      <c r="J57" s="243"/>
      <c r="K57" s="243"/>
      <c r="L57" s="243"/>
      <c r="M57" s="243"/>
      <c r="N57" s="243"/>
      <c r="O57" s="243"/>
      <c r="P57" s="243"/>
      <c r="Q57" s="243"/>
      <c r="R57" s="243"/>
      <c r="S57" s="243"/>
      <c r="T57" s="244"/>
    </row>
    <row r="58" spans="1:20" ht="12.75" customHeight="1">
      <c r="A58" s="243"/>
      <c r="B58" s="243"/>
      <c r="C58" s="243"/>
      <c r="D58" s="243"/>
      <c r="E58" s="243"/>
      <c r="F58" s="243"/>
      <c r="G58" s="243"/>
      <c r="H58" s="243"/>
      <c r="I58" s="243"/>
      <c r="J58" s="243"/>
      <c r="K58" s="243"/>
      <c r="L58" s="243"/>
      <c r="M58" s="243"/>
      <c r="N58" s="243"/>
      <c r="O58" s="243"/>
      <c r="P58" s="243"/>
      <c r="Q58" s="243"/>
      <c r="R58" s="243"/>
      <c r="S58" s="243"/>
      <c r="T58" s="244"/>
    </row>
    <row r="59" spans="1:20" ht="12.75" customHeight="1">
      <c r="A59" s="243"/>
      <c r="B59" s="243"/>
      <c r="C59" s="243"/>
      <c r="D59" s="243"/>
      <c r="E59" s="243"/>
      <c r="F59" s="243"/>
      <c r="G59" s="243"/>
      <c r="H59" s="243"/>
      <c r="I59" s="243"/>
      <c r="J59" s="243"/>
      <c r="K59" s="243"/>
      <c r="L59" s="243"/>
      <c r="M59" s="243"/>
      <c r="N59" s="243"/>
      <c r="O59" s="243"/>
      <c r="P59" s="243"/>
      <c r="Q59" s="243"/>
      <c r="R59" s="243"/>
      <c r="S59" s="243"/>
      <c r="T59" s="244"/>
    </row>
    <row r="60" spans="1:20" ht="12.75" customHeight="1">
      <c r="A60" s="241"/>
      <c r="B60" s="241"/>
      <c r="C60" s="241"/>
      <c r="D60" s="241"/>
      <c r="E60" s="241"/>
      <c r="F60" s="241"/>
      <c r="G60" s="241"/>
      <c r="H60" s="241"/>
      <c r="I60" s="241"/>
      <c r="J60" s="241"/>
      <c r="K60" s="241"/>
      <c r="L60" s="241"/>
      <c r="M60" s="241"/>
      <c r="N60" s="241"/>
      <c r="O60" s="241"/>
      <c r="P60" s="241"/>
      <c r="Q60" s="241"/>
      <c r="R60" s="241"/>
      <c r="S60" s="241"/>
      <c r="T60" s="242"/>
    </row>
    <row r="61" spans="1:9" ht="12.75">
      <c r="A61" s="240" t="s">
        <v>61</v>
      </c>
      <c r="B61" s="240"/>
      <c r="C61" s="240"/>
      <c r="D61" s="240"/>
      <c r="E61" s="240"/>
      <c r="F61" s="240"/>
      <c r="G61" s="240"/>
      <c r="I61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73">
    <mergeCell ref="E34:S34"/>
    <mergeCell ref="E35:S35"/>
    <mergeCell ref="E37:S37"/>
    <mergeCell ref="A38:S59"/>
    <mergeCell ref="A60:S60"/>
    <mergeCell ref="A34:D34"/>
    <mergeCell ref="A35:D35"/>
    <mergeCell ref="K1:R1"/>
    <mergeCell ref="R19:S19"/>
    <mergeCell ref="R20:S20"/>
    <mergeCell ref="O26:S26"/>
    <mergeCell ref="O27:S27"/>
    <mergeCell ref="O25:S25"/>
    <mergeCell ref="J25:K25"/>
    <mergeCell ref="K4:L4"/>
    <mergeCell ref="M4:P4"/>
    <mergeCell ref="K5:L5"/>
    <mergeCell ref="M5:P5"/>
    <mergeCell ref="M7:Q7"/>
    <mergeCell ref="P20:Q20"/>
    <mergeCell ref="M12:O12"/>
    <mergeCell ref="K12:L12"/>
    <mergeCell ref="O30:P30"/>
    <mergeCell ref="O31:P31"/>
    <mergeCell ref="J31:M31"/>
    <mergeCell ref="O28:S28"/>
    <mergeCell ref="O29:S29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25:H25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D21:E21"/>
    <mergeCell ref="J21:K21"/>
    <mergeCell ref="D22:E22"/>
    <mergeCell ref="J22:K22"/>
    <mergeCell ref="D23:E23"/>
    <mergeCell ref="J23:K23"/>
    <mergeCell ref="C26:H26"/>
    <mergeCell ref="J26:K26"/>
    <mergeCell ref="C27:H27"/>
    <mergeCell ref="J27:K27"/>
    <mergeCell ref="C28:H28"/>
    <mergeCell ref="J28:K28"/>
    <mergeCell ref="C29:H29"/>
    <mergeCell ref="J29:K29"/>
  </mergeCells>
  <dataValidations count="27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L29"/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decimal" operator="greaterThanOrEqual" allowBlank="1" showInputMessage="1" showErrorMessage="1" sqref="I21">
      <formula1>0</formula1>
    </dataValidation>
    <dataValidation type="decimal" operator="greaterThanOrEqual" allowBlank="1" showInputMessage="1" showErrorMessage="1" sqref="J21">
      <formula1>0</formula1>
    </dataValidation>
    <dataValidation type="decimal" allowBlank="1" showInputMessage="1" showErrorMessage="1" sqref="L21">
      <formula1>0</formula1>
      <formula2>100</formula2>
    </dataValidation>
    <dataValidation type="decimal" allowBlank="1" showInputMessage="1" showErrorMessage="1" sqref="M21">
      <formula1>0</formula1>
      <formula2>100</formula2>
    </dataValidation>
    <dataValidation type="decimal" operator="greaterThanOrEqual" allowBlank="1" showInputMessage="1" showErrorMessage="1" sqref="I22">
      <formula1>0</formula1>
    </dataValidation>
    <dataValidation type="decimal" operator="greaterThanOrEqual" allowBlank="1" showInputMessage="1" showErrorMessage="1" sqref="J22">
      <formula1>0</formula1>
    </dataValidation>
    <dataValidation type="decimal" allowBlank="1" showInputMessage="1" showErrorMessage="1" sqref="L22">
      <formula1>0</formula1>
      <formula2>100</formula2>
    </dataValidation>
    <dataValidation type="decimal" allowBlank="1" showInputMessage="1" showErrorMessage="1" sqref="M22">
      <formula1>0</formula1>
      <formula2>100</formula2>
    </dataValidation>
    <dataValidation type="decimal" operator="greaterThanOrEqual" allowBlank="1" showInputMessage="1" showErrorMessage="1" sqref="I23">
      <formula1>0</formula1>
    </dataValidation>
    <dataValidation type="decimal" operator="greaterThanOrEqual" allowBlank="1" showInputMessage="1" showErrorMessage="1" sqref="J23">
      <formula1>0</formula1>
    </dataValidation>
    <dataValidation type="decimal" allowBlank="1" showInputMessage="1" showErrorMessage="1" sqref="L23">
      <formula1>0</formula1>
      <formula2>100</formula2>
    </dataValidation>
    <dataValidation type="decimal" allowBlank="1" showInputMessage="1" showErrorMessage="1" sqref="M23">
      <formula1>0</formula1>
      <formula2>100</formula2>
    </dataValidation>
    <dataValidation type="list" allowBlank="1" showInputMessage="1" showErrorMessage="1" sqref="C26:H26">
      <formula1>'MasterData'!$H$1:$H$14</formula1>
    </dataValidation>
    <dataValidation type="list" allowBlank="1" showInputMessage="1" showErrorMessage="1" sqref="C27:H27">
      <formula1>'MasterData'!$H$1:$H$14</formula1>
    </dataValidation>
    <dataValidation type="list" allowBlank="1" showInputMessage="1" showErrorMessage="1" sqref="C28:H28">
      <formula1>'MasterData'!$H$1:$H$14</formula1>
    </dataValidation>
    <dataValidation type="list" allowBlank="1" showInputMessage="1" showErrorMessage="1" sqref="C29:H29">
      <formula1>'MasterData'!$H$1:$H$14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paperSize="1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52</v>
      </c>
      <c r="M1" s="300" t="s">
        <v>62</v>
      </c>
      <c r="N1" s="301" t="s">
        <v>0</v>
      </c>
      <c r="O1" s="162" t="s">
        <v>63</v>
      </c>
    </row>
    <row r="2" spans="7:15" ht="12.75">
      <c r="G2" s="162">
        <v>1001310</v>
      </c>
      <c r="H2" s="162" t="s">
        <v>53</v>
      </c>
      <c r="M2" s="300" t="s">
        <v>64</v>
      </c>
      <c r="N2" s="301">
        <v>1020738212</v>
      </c>
      <c r="O2" s="162" t="s">
        <v>65</v>
      </c>
    </row>
    <row r="3" spans="7:15" ht="12.75">
      <c r="G3" s="162">
        <v>1012729</v>
      </c>
      <c r="H3" s="162" t="s">
        <v>66</v>
      </c>
      <c r="M3" s="300" t="s">
        <v>67</v>
      </c>
      <c r="N3" s="301">
        <v>99990000436571</v>
      </c>
      <c r="O3" s="162" t="s">
        <v>68</v>
      </c>
    </row>
    <row r="4" spans="7:15" ht="12.75">
      <c r="G4" s="162">
        <v>1012730</v>
      </c>
      <c r="H4" s="162" t="s">
        <v>69</v>
      </c>
      <c r="M4" s="300" t="s">
        <v>70</v>
      </c>
      <c r="N4" s="301">
        <v>1021858711</v>
      </c>
      <c r="O4" s="162" t="s">
        <v>71</v>
      </c>
    </row>
    <row r="5" spans="7:15" ht="12.75">
      <c r="G5" s="162">
        <v>1012731</v>
      </c>
      <c r="H5" s="162" t="s">
        <v>72</v>
      </c>
      <c r="M5" s="300" t="s">
        <v>73</v>
      </c>
      <c r="N5" s="301"/>
      <c r="O5" s="162" t="s">
        <v>74</v>
      </c>
    </row>
    <row r="6" spans="7:15" ht="12.75">
      <c r="G6" s="162">
        <v>1012732</v>
      </c>
      <c r="H6" s="162" t="s">
        <v>75</v>
      </c>
      <c r="M6" s="300" t="s">
        <v>76</v>
      </c>
      <c r="N6" s="301" t="s">
        <v>77</v>
      </c>
      <c r="O6" s="162" t="s">
        <v>78</v>
      </c>
    </row>
    <row r="7" spans="7:15" ht="12.75">
      <c r="G7" s="162">
        <v>1012733</v>
      </c>
      <c r="H7" s="162" t="s">
        <v>79</v>
      </c>
      <c r="M7" s="300" t="s">
        <v>80</v>
      </c>
      <c r="N7" s="301">
        <v>0</v>
      </c>
      <c r="O7" s="162" t="s">
        <v>81</v>
      </c>
    </row>
    <row r="8" spans="7:15" ht="12.75">
      <c r="G8" s="162">
        <v>1012735</v>
      </c>
      <c r="H8" s="162" t="s">
        <v>82</v>
      </c>
      <c r="O8" s="162" t="s">
        <v>83</v>
      </c>
    </row>
    <row r="9" spans="7:15" ht="12.75">
      <c r="G9" s="162">
        <v>1012736</v>
      </c>
      <c r="H9" s="162" t="s">
        <v>84</v>
      </c>
      <c r="O9" s="162" t="s">
        <v>85</v>
      </c>
    </row>
    <row r="10" spans="7:15" ht="12.75">
      <c r="G10" s="162">
        <v>1012737</v>
      </c>
      <c r="H10" s="162" t="s">
        <v>86</v>
      </c>
      <c r="O10" s="162" t="s">
        <v>87</v>
      </c>
    </row>
    <row r="11" spans="7:15" ht="12.75">
      <c r="G11" s="162">
        <v>1012741</v>
      </c>
      <c r="H11" s="162" t="s">
        <v>88</v>
      </c>
      <c r="O11" s="162" t="s">
        <v>89</v>
      </c>
    </row>
    <row r="12" spans="7:15" ht="12.75">
      <c r="G12" s="162">
        <v>1012742</v>
      </c>
      <c r="H12" s="162" t="s">
        <v>90</v>
      </c>
      <c r="O12" s="162" t="s">
        <v>91</v>
      </c>
    </row>
    <row r="13" spans="7:15" ht="12.75">
      <c r="G13" s="162">
        <v>1012743</v>
      </c>
      <c r="H13" s="162" t="s">
        <v>92</v>
      </c>
      <c r="O13" s="162" t="s">
        <v>93</v>
      </c>
    </row>
    <row r="14" spans="7:15" ht="12.75">
      <c r="G14" s="162">
        <v>1012744</v>
      </c>
      <c r="H14" s="162" t="s">
        <v>94</v>
      </c>
      <c r="O14" s="162" t="s">
        <v>95</v>
      </c>
    </row>
    <row r="15" ht="12.75">
      <c r="O15" s="162" t="s">
        <v>96</v>
      </c>
    </row>
    <row r="16" ht="12.75">
      <c r="O16" s="162" t="s">
        <v>97</v>
      </c>
    </row>
    <row r="17" ht="12.75">
      <c r="O17" s="162" t="s">
        <v>98</v>
      </c>
    </row>
    <row r="18" ht="12.75">
      <c r="O18" s="162" t="s">
        <v>99</v>
      </c>
    </row>
    <row r="19" ht="12.75">
      <c r="O19" s="162" t="s">
        <v>100</v>
      </c>
    </row>
    <row r="20" ht="12.75">
      <c r="O20" s="162" t="s">
        <v>101</v>
      </c>
    </row>
    <row r="21" ht="12.75">
      <c r="O21" s="162" t="s">
        <v>102</v>
      </c>
    </row>
    <row r="22" ht="12.75">
      <c r="O22" s="162" t="s">
        <v>103</v>
      </c>
    </row>
    <row r="23" ht="12.75">
      <c r="O23" s="162" t="s">
        <v>104</v>
      </c>
    </row>
    <row r="24" ht="12.75">
      <c r="O24" s="162" t="s">
        <v>105</v>
      </c>
    </row>
    <row r="25" ht="12.75">
      <c r="O25" s="162" t="s">
        <v>106</v>
      </c>
    </row>
    <row r="26" ht="12.75">
      <c r="O26" s="162" t="s">
        <v>107</v>
      </c>
    </row>
    <row r="27" ht="12.75">
      <c r="O27" s="162" t="s">
        <v>108</v>
      </c>
    </row>
    <row r="28" ht="12.75">
      <c r="O28" s="162" t="s">
        <v>109</v>
      </c>
    </row>
    <row r="29" ht="12.75">
      <c r="O29" s="162" t="s">
        <v>110</v>
      </c>
    </row>
    <row r="30" ht="12.75">
      <c r="O30" s="162" t="s">
        <v>111</v>
      </c>
    </row>
    <row r="31" ht="12.75">
      <c r="O31" s="162" t="s">
        <v>112</v>
      </c>
    </row>
    <row r="32" ht="12.75">
      <c r="O32" s="162" t="s">
        <v>113</v>
      </c>
    </row>
    <row r="33" ht="12.75">
      <c r="O33" s="162" t="s">
        <v>114</v>
      </c>
    </row>
    <row r="34" ht="12.75">
      <c r="O34" s="162" t="s">
        <v>115</v>
      </c>
    </row>
    <row r="35" ht="12.75">
      <c r="O35" s="162" t="s">
        <v>116</v>
      </c>
    </row>
    <row r="36" ht="12.75">
      <c r="O36" s="162" t="s">
        <v>117</v>
      </c>
    </row>
    <row r="37" ht="12.75">
      <c r="O37" s="162" t="s">
        <v>118</v>
      </c>
    </row>
    <row r="38" ht="12.75">
      <c r="O38" s="162" t="s">
        <v>119</v>
      </c>
    </row>
    <row r="39" ht="12.75">
      <c r="O39" s="162" t="s">
        <v>120</v>
      </c>
    </row>
    <row r="40" ht="12.75">
      <c r="O40" s="162" t="s">
        <v>121</v>
      </c>
    </row>
    <row r="41" ht="12.75">
      <c r="O41" s="162" t="s">
        <v>122</v>
      </c>
    </row>
    <row r="42" ht="12.75">
      <c r="O42" s="162" t="s">
        <v>123</v>
      </c>
    </row>
    <row r="43" ht="12.75">
      <c r="O43" s="162" t="s">
        <v>124</v>
      </c>
    </row>
    <row r="44" ht="12.75">
      <c r="O44" s="162" t="s">
        <v>125</v>
      </c>
    </row>
    <row r="45" ht="12.75">
      <c r="O45" s="162" t="s">
        <v>126</v>
      </c>
    </row>
    <row r="46" ht="12.75">
      <c r="O46" s="162" t="s">
        <v>127</v>
      </c>
    </row>
    <row r="47" ht="12.75">
      <c r="O47" s="162" t="s">
        <v>128</v>
      </c>
    </row>
    <row r="48" ht="12.75">
      <c r="O48" s="162" t="s">
        <v>129</v>
      </c>
    </row>
    <row r="49" ht="12.75">
      <c r="O49" s="162" t="s">
        <v>130</v>
      </c>
    </row>
    <row r="50" ht="12.75">
      <c r="O50" s="162" t="s">
        <v>131</v>
      </c>
    </row>
    <row r="51" ht="12.75">
      <c r="O51" s="162" t="s">
        <v>132</v>
      </c>
    </row>
    <row r="52" ht="12.75">
      <c r="O52" s="162" t="s">
        <v>133</v>
      </c>
    </row>
    <row r="53" ht="12.75">
      <c r="O53" s="162" t="s">
        <v>134</v>
      </c>
    </row>
    <row r="54" ht="12.75">
      <c r="O54" s="162" t="s">
        <v>135</v>
      </c>
    </row>
    <row r="55" ht="12.75">
      <c r="O55" s="162" t="s">
        <v>136</v>
      </c>
    </row>
    <row r="56" ht="12.75">
      <c r="O56" s="162" t="s">
        <v>137</v>
      </c>
    </row>
    <row r="57" ht="12.75">
      <c r="O57" s="162" t="s">
        <v>138</v>
      </c>
    </row>
    <row r="58" ht="12.75">
      <c r="O58" s="162" t="s">
        <v>139</v>
      </c>
    </row>
    <row r="59" ht="12.75">
      <c r="O59" s="162" t="s">
        <v>140</v>
      </c>
    </row>
    <row r="60" ht="12.75">
      <c r="O60" s="162" t="s">
        <v>141</v>
      </c>
    </row>
    <row r="61" ht="12.75">
      <c r="O61" s="162" t="s">
        <v>142</v>
      </c>
    </row>
    <row r="62" ht="12.75">
      <c r="O62" s="162" t="s">
        <v>143</v>
      </c>
    </row>
    <row r="63" ht="12.75">
      <c r="O63" s="162" t="s">
        <v>144</v>
      </c>
    </row>
    <row r="64" ht="12.75">
      <c r="O64" s="162" t="s">
        <v>145</v>
      </c>
    </row>
    <row r="65" ht="12.75">
      <c r="O65" s="162" t="s">
        <v>146</v>
      </c>
    </row>
    <row r="66" ht="12.75">
      <c r="O66" s="162" t="s">
        <v>147</v>
      </c>
    </row>
    <row r="67" ht="12.75">
      <c r="O67" s="162" t="s">
        <v>148</v>
      </c>
    </row>
    <row r="68" ht="12.75">
      <c r="O68" s="162" t="s">
        <v>149</v>
      </c>
    </row>
    <row r="69" ht="12.75">
      <c r="O69" s="162" t="s">
        <v>150</v>
      </c>
    </row>
    <row r="70" ht="12.75">
      <c r="O70" s="162" t="s">
        <v>151</v>
      </c>
    </row>
  </sheetData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