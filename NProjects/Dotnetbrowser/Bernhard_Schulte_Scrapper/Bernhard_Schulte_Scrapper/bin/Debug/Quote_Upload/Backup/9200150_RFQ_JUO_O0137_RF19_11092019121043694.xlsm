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Quote!$A$1:$R$82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Quote!$A$63</definedName>
    <definedName name="Enquiry_To_Vendor_ID" comment="Enquiry to Vendor ID">Quote!$C$63</definedName>
    <definedName name="GrandTotal">Quote!$N$62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Quote!$A$55</definedName>
    <definedName name="ItemListStartupRow" comment="Item List Start Up Row">Quote!$A$19</definedName>
    <definedName name="ItemSubTotal">Quote!$N$61</definedName>
    <definedName name="ItemSubTotalTitle">Quote!$J$61</definedName>
    <definedName name="LeadDay">Quote!$M$11</definedName>
    <definedName name="Lock">Quote!$M$63</definedName>
    <definedName name="LoggedInEmailID">Quote!$N$63</definedName>
    <definedName name="LoggedInPwd">Quote!$O$63</definedName>
    <definedName name="OtherCharges">Quote!$C$57</definedName>
    <definedName name="OtherChargesLastRow">Quote!$A$61</definedName>
    <definedName name="OtherChargesStartRow">Quote!$A$56</definedName>
    <definedName name="Port">Quote!$P$63</definedName>
    <definedName name="PortOfDelivery" comment="Port of Delivery">Quote!$M$9</definedName>
    <definedName name="PurchaserName">Quote!$J$63</definedName>
    <definedName name="QuoteBefore">Quote!$M$8</definedName>
    <definedName name="QuoteID">MasterData!$N$7</definedName>
    <definedName name="QuoteSubject">Quote!$E$63</definedName>
    <definedName name="Remarks">Quote!$E$65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Quote!$K$63</definedName>
    <definedName name="SentIndex">Quote!$L$63</definedName>
    <definedName name="Server">Quote!$Q$63</definedName>
    <definedName name="Terms">Quote!$A$69:$T$90</definedName>
    <definedName name="ToEmailID">Quote!$I$63</definedName>
    <definedName name="ToEmailPwd">Quote!$H$63</definedName>
    <definedName name="VAL">Quote!$F$63</definedName>
    <definedName name="VAT_All">Quote!$M$16</definedName>
    <definedName name="Vendor_ID" comment="Vendor ID">Quote!$B$63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Quote!$D$63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Quote!$E$66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</definedName>
  </definedNames>
  <calcPr fullCalcOnLoad="1"/>
</workbook>
</file>

<file path=xl/sharedStrings.xml><?xml version="1.0" encoding="utf-8"?>
<sst xmlns="http://schemas.openxmlformats.org/spreadsheetml/2006/main" count="286" uniqueCount="203">
  <si>
    <t>RFQ</t>
  </si>
  <si>
    <t>Request for Quote</t>
  </si>
  <si>
    <t>Invoice To</t>
  </si>
  <si>
    <t xml:space="preserve">Bernhard Schulte Shipmanagement (China) Company Ltd.
Invoice To: MASTER &amp; OWNER OF CL EDI
 REGD. OWNER: CDB Financial Leasing Co., Ltd.
 Bernhard Schulte Shipmanagement (China) Co., Ltd.
 2F, Block 7, 1690, Cai Lun Road,
 Zhang Jiang, Pu Dong, Shanghai,
 201203, People's Republic of China
 Tel: (86) 21 61061333,
 Fax: (86) 21 61061300
</t>
  </si>
  <si>
    <t>Vessel</t>
  </si>
  <si>
    <t>CL Edi</t>
  </si>
  <si>
    <t>RFQ No.</t>
  </si>
  <si>
    <t>JUO/O0137/RF19</t>
  </si>
  <si>
    <t>RFQ Date</t>
  </si>
  <si>
    <t>Submit Quote Before:</t>
  </si>
  <si>
    <t>Port of Delivery</t>
  </si>
  <si>
    <t>Tianjinxingang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</si>
  <si>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</si>
  <si>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</si>
  <si>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</si>
  <si>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</si>
  <si>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</si>
  <si>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</si>
  <si>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</si>
  <si>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</si>
  <si>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</si>
  <si>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</si>
  <si>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</si>
  <si>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</si>
  <si>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</si>
  <si>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</si>
  <si>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</si>
  <si>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</si>
  <si>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</si>
  <si>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</si>
  <si>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</si>
  <si>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</si>
  <si>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</si>
  <si>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</si>
  <si>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</si>
  <si>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</si>
  <si>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</si>
  <si>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</si>
  <si>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</si>
  <si>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</si>
  <si>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LIFE JACKET INFLATABLE F/ADULT, W/LIGHT&amp;WHISTLE USCG APPROVED</t>
  </si>
  <si>
    <t>PCS</t>
  </si>
  <si>
    <t>PILOT LADDERS A-TYPE 9MTR COMPLETE (with SOLAS Approved)</t>
  </si>
  <si>
    <t>SET</t>
  </si>
  <si>
    <t>PILOT LADDER A-TYPE 9MTR COMPLETE,PLS CHECK ATTACHMENT</t>
  </si>
  <si>
    <t>WASHING MACHINE FULL AUTOMATIC, 220V, 10KG</t>
  </si>
  <si>
    <t>QUOTED BRAND ELECTROLUX,EWW10912  10KG 1P/220V/60HZ/2100W    600</t>
  </si>
  <si>
    <t>FIRE HOSE INNER/OUTER RUBBER  , LINED 65MMX20MTR 16KGF/CM2</t>
  </si>
  <si>
    <t>C/L</t>
  </si>
  <si>
    <t>BROOM BAMBOO LONG HANDLED</t>
  </si>
  <si>
    <t>PLASTIC GARBAGE BAG (CABIN USE) 450x450MM</t>
  </si>
  <si>
    <t>PKT</t>
  </si>
  <si>
    <t>QUOTED 30S/PKT</t>
  </si>
  <si>
    <t>PLASTIC BAG BLACK, 500X400X1300MM 50'S</t>
  </si>
  <si>
    <t>BED SPREAD COTTON WHITE 1500X2400MM</t>
  </si>
  <si>
    <t>SHT</t>
  </si>
  <si>
    <t>RAIN SUITS WITH HOOD, CLOTH LINED RUBBER SIZE LL</t>
  </si>
  <si>
    <t>QUILT WITH FURTHER DETAILS</t>
  </si>
  <si>
    <t>PLATTER OVAL CHINA, STANDARD QUALITY 235X172MM</t>
  </si>
  <si>
    <t>BATH TOWEL COTTON WHITE, 700-800 X 1300-1400MM (300grm )</t>
  </si>
  <si>
    <t>THICK QUALITY</t>
  </si>
  <si>
    <t>PILLOW POLYURETHAN FOAM 400X600MM</t>
  </si>
  <si>
    <t>BOOTS RUBBER CLOTH-LINING, LONG 27CM</t>
  </si>
  <si>
    <t>PRS</t>
  </si>
  <si>
    <t>BOOTS RUBBER CLOTH-LINING, LONG 31CM</t>
  </si>
  <si>
    <t>PILOT LADDER STEP RUBBER, 525X115X28MM</t>
  </si>
  <si>
    <t>GANGWAY NET P.P. 4X16MTR, SAFETY-KNITTED (Solas / USCG compliance)</t>
  </si>
  <si>
    <t>MANILA ROPE 3STRAND 2-3/4"CIRX200MTR</t>
  </si>
  <si>
    <t>RAT GUARD 600MM FOR 73MM ROPE DIA</t>
  </si>
  <si>
    <t>TROUSERS WINTER SIZE XXL (3L)</t>
  </si>
  <si>
    <t>EYEWEAR PROTECTIVE ANTIFOG , CLEAR LENS #10026005</t>
  </si>
  <si>
    <t>EYEWEAR PROTECTIVE ANTIFOG , GRAY LENS #10026006</t>
  </si>
  <si>
    <t>JET CHISEL PNEUMATIC, MODEL JEX-24</t>
  </si>
  <si>
    <t>SCALING HAMMER PNEUMATIC SINGLE</t>
  </si>
  <si>
    <t>SPARE HAMMER HEAD FOR SCALING HAMMER SINGLE</t>
  </si>
  <si>
    <t>PEDAL FLIP  WASTE BASKET 290MM X 445MM; 20 LTR CAPACITY</t>
  </si>
  <si>
    <t>SCRAPER HAND NON-SPARK 40X75MM, BERYLLIUM COPPER ALLOY</t>
  </si>
  <si>
    <t>PRTCONS</t>
  </si>
  <si>
    <t>TAPE SEALING CLOTH 100MMX25MTR</t>
  </si>
  <si>
    <t>RLS</t>
  </si>
  <si>
    <t>TAPE OIL GAUGE STAINLESS STEEL, METRIC 30MTR</t>
  </si>
  <si>
    <t>HAMMER CHIPPING WITH HANDLE, 450GRM</t>
  </si>
  <si>
    <t>SNAKE WIRE PIPE CLEANERS 6MMX10MTR</t>
  </si>
  <si>
    <t>BALL-POINT PEN WATER-SOLUBLE, BLACK 0.5MM</t>
  </si>
  <si>
    <t>EAR PLUG SELF-FIT FOAM</t>
  </si>
  <si>
    <t>NEEDLE SAILMAKERS' #15</t>
  </si>
  <si>
    <t>TARPAULIN POLYESTER COLOR, THICK 0.65MM 1030MM WIDTH</t>
  </si>
  <si>
    <t>MTR</t>
  </si>
  <si>
    <t>SAME AS ITEM 973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</si>
  <si>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</si>
  <si>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</si>
  <si>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</si>
  <si>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</si>
  <si>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</si>
  <si>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</si>
  <si>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</si>
  <si>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</si>
  <si>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</si>
  <si>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</si>
  <si>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1.NEXT PORT: TIANJIN
2.ETA: 12/Sept/2019
3.Local agent:
Tianjin Sinoport Shipping Agency Co.,Ltd
Tel: 022-59848857,022-59848846,59848856
Fax: 022-65170398
Email: agency@sinoport.net.cn
Add: Room 409, No. 2 Building, BoRun Business Plaza, Economic-Technological Development Area, Tianjin 300457.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</si>
  <si>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</si>
  <si>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</si>
  <si>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</si>
  <si>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</si>
  <si>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</si>
  <si>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</si>
  <si>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</si>
  <si>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</si>
  <si>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</si>
  <si>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</si>
  <si>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</si>
  <si>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</si>
  <si>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</si>
  <si>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</si>
  <si>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</si>
  <si>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</si>
  <si>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</si>
  <si>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</si>
  <si>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</si>
  <si>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</si>
  <si>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</si>
  <si>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</si>
  <si>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</si>
  <si>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</si>
  <si>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</si>
  <si>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</si>
  <si>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</si>
  <si>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</si>
  <si>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</si>
  <si>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</si>
  <si>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</si>
  <si>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</si>
  <si>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</si>
  <si>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</si>
  <si>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</si>
  <si>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</si>
  <si>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</si>
  <si>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</si>
  <si>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</si>
  <si>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</si>
  <si>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</si>
  <si>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</si>
  <si>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</si>
  <si>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</si>
  <si>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</si>
  <si>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</si>
  <si>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</si>
  <si>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</si>
  <si>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</si>
  <si>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</si>
  <si>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</si>
  <si>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</si>
  <si>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</si>
  <si>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</si>
  <si>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</si>
  <si>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</si>
  <si>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</si>
  <si>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</si>
  <si>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</si>
  <si>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</si>
  <si>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</si>
  <si>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</si>
  <si>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</si>
  <si>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</si>
  <si>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</si>
  <si>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</si>
  <si>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</si>
  <si>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</si>
  <si>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</si>
  <si>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</si>
  <si>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</si>
  <si>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</si>
  <si>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</si>
  <si>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</si>
  <si>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</si>
  <si>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</si>
  <si>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</si>
  <si>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</si>
  <si>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</si>
  <si>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</si>
  <si>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</si>
  <si>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</si>
  <si>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</si>
  <si>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</si>
  <si>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</si>
  <si>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</si>
  <si>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</si>
  <si>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</si>
  <si>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</si>
  <si>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</si>
  <si>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</si>
  <si>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</si>
  <si>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BJD1909111225418LET</t>
  </si>
  <si>
    <t>WITH EC CERT</t>
  </si>
  <si>
    <t>WITH CCS COPY CERT</t>
  </si>
  <si>
    <t>CLARENCE TOP LOAD,220V/60HZ/6.5KG 380W 530*530*910MM
3.10 CLARENCE TOP LOAD,220V/60HZ/10KG 400W 600*560*980MM | Price-309.78</t>
  </si>
  <si>
    <t>TOTAL PRICE FOR 1020PCS</t>
  </si>
  <si>
    <t>TOTAL PRICE FOR 1000PCS</t>
  </si>
  <si>
    <t>1500*2000MM</t>
  </si>
  <si>
    <t>4*16MTR MESH 200*200/ MESH ROPE 5.5MM/RIM ROPE 8MM</t>
  </si>
  <si>
    <t>100MM*18M/ROLL</t>
  </si>
  <si>
    <t>W*1MTR T=0.54MM 50M/COIL,NO CUT</t>
  </si>
  <si>
    <t xml:space="preserve">
Date promised : 2019-09-14
Quote validity : 2019-10-11
Item Added - 3.10 : WASHING MACHINE FULL AUTOMATIC, 220V, 10KG | Ref.No.:174707 | QTY : 0 | UOM : SET | Price : 309.78 USD | Remarks : CLARENCE TOP LOAD,220V/60HZ/10KG 400W 600*560*980MM
 Item Total : 3899.45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</si>
</sst>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92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192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185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99990009873068</v>
      </c>
      <c r="C20" s="227">
        <v>330142</v>
      </c>
      <c r="D20" s="228" t="s">
        <v>40</v>
      </c>
      <c r="E20" s="229"/>
      <c r="F20" s="229">
        <v>330142</v>
      </c>
      <c r="G20" s="229" t="s">
        <v>41</v>
      </c>
      <c r="H20" s="230">
        <v>0</v>
      </c>
      <c r="I20" s="231">
        <v>6</v>
      </c>
      <c r="J20" s="232">
        <v>95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193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99990008656069</v>
      </c>
      <c r="C21" s="227">
        <v>232001</v>
      </c>
      <c r="D21" s="228" t="s">
        <v>42</v>
      </c>
      <c r="E21" s="229"/>
      <c r="F21" s="229">
        <v>232001</v>
      </c>
      <c r="G21" s="229" t="s">
        <v>43</v>
      </c>
      <c r="H21" s="230">
        <v>360.62</v>
      </c>
      <c r="I21" s="231">
        <v>1</v>
      </c>
      <c r="J21" s="232">
        <v>320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194</v>
      </c>
      <c r="Q21" s="236"/>
      <c r="R21" s="237" t="s">
        <v>44</v>
      </c>
      <c r="S21" s="238"/>
      <c r="T21" s="239"/>
    </row>
    <row r="22" spans="1:20" ht="24" customHeight="1">
      <c r="A22" s="226">
        <v>3</v>
      </c>
      <c r="B22" s="226">
        <v>99990008657394</v>
      </c>
      <c r="C22" s="227">
        <v>174707</v>
      </c>
      <c r="D22" s="228" t="s">
        <v>45</v>
      </c>
      <c r="E22" s="229"/>
      <c r="F22" s="229">
        <v>174707</v>
      </c>
      <c r="G22" s="229" t="s">
        <v>43</v>
      </c>
      <c r="H22" s="230">
        <v>1307.69</v>
      </c>
      <c r="I22" s="231">
        <v>2</v>
      </c>
      <c r="J22" s="232">
        <v>163.12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195</v>
      </c>
      <c r="Q22" s="236"/>
      <c r="R22" s="237" t="s">
        <v>46</v>
      </c>
      <c r="S22" s="238"/>
      <c r="T22" s="239"/>
    </row>
    <row r="23" spans="1:20" ht="24" customHeight="1">
      <c r="A23" s="226">
        <v>4</v>
      </c>
      <c r="B23" s="226">
        <v>99990009868243</v>
      </c>
      <c r="C23" s="227">
        <v>330733</v>
      </c>
      <c r="D23" s="228" t="s">
        <v>47</v>
      </c>
      <c r="E23" s="229"/>
      <c r="F23" s="229">
        <v>330733</v>
      </c>
      <c r="G23" s="229" t="s">
        <v>48</v>
      </c>
      <c r="H23" s="230">
        <v>0</v>
      </c>
      <c r="I23" s="231">
        <v>4</v>
      </c>
      <c r="J23" s="232">
        <v>27.67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99990009553205</v>
      </c>
      <c r="C24" s="227">
        <v>2123831</v>
      </c>
      <c r="D24" s="228" t="s">
        <v>49</v>
      </c>
      <c r="E24" s="229"/>
      <c r="F24" s="229">
        <v>510803</v>
      </c>
      <c r="G24" s="229" t="s">
        <v>41</v>
      </c>
      <c r="H24" s="230">
        <v>2.56</v>
      </c>
      <c r="I24" s="231">
        <v>20</v>
      </c>
      <c r="J24" s="232">
        <v>2.48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99990008655442</v>
      </c>
      <c r="C25" s="227">
        <v>174173</v>
      </c>
      <c r="D25" s="228" t="s">
        <v>50</v>
      </c>
      <c r="E25" s="229"/>
      <c r="F25" s="229">
        <v>174173</v>
      </c>
      <c r="G25" s="229" t="s">
        <v>51</v>
      </c>
      <c r="H25" s="230">
        <v>1.55</v>
      </c>
      <c r="I25" s="231">
        <v>1000</v>
      </c>
      <c r="J25" s="232">
        <v>0.03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196</v>
      </c>
      <c r="Q25" s="236"/>
      <c r="R25" s="237" t="s">
        <v>52</v>
      </c>
      <c r="S25" s="238"/>
      <c r="T25" s="239"/>
    </row>
    <row r="26" spans="1:20" ht="24" customHeight="1">
      <c r="A26" s="226">
        <v>7</v>
      </c>
      <c r="B26" s="226">
        <v>99990008655444</v>
      </c>
      <c r="C26" s="227">
        <v>174176</v>
      </c>
      <c r="D26" s="228" t="s">
        <v>53</v>
      </c>
      <c r="E26" s="229"/>
      <c r="F26" s="229">
        <v>174176</v>
      </c>
      <c r="G26" s="229" t="s">
        <v>51</v>
      </c>
      <c r="H26" s="230">
        <v>5.23</v>
      </c>
      <c r="I26" s="231">
        <v>1000</v>
      </c>
      <c r="J26" s="232">
        <v>0.09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197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99990008655241</v>
      </c>
      <c r="C27" s="227">
        <v>150371</v>
      </c>
      <c r="D27" s="228" t="s">
        <v>54</v>
      </c>
      <c r="E27" s="229"/>
      <c r="F27" s="229">
        <v>150371</v>
      </c>
      <c r="G27" s="229" t="s">
        <v>55</v>
      </c>
      <c r="H27" s="230">
        <v>4.73</v>
      </c>
      <c r="I27" s="231">
        <v>40</v>
      </c>
      <c r="J27" s="232">
        <v>7.94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99990009872431</v>
      </c>
      <c r="C28" s="227">
        <v>190413</v>
      </c>
      <c r="D28" s="228" t="s">
        <v>56</v>
      </c>
      <c r="E28" s="229"/>
      <c r="F28" s="229">
        <v>190413</v>
      </c>
      <c r="G28" s="229" t="s">
        <v>43</v>
      </c>
      <c r="H28" s="230">
        <v>0</v>
      </c>
      <c r="I28" s="231">
        <v>20</v>
      </c>
      <c r="J28" s="232">
        <v>5.57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99990011282680</v>
      </c>
      <c r="C29" s="227">
        <v>150387</v>
      </c>
      <c r="D29" s="228" t="s">
        <v>57</v>
      </c>
      <c r="E29" s="229"/>
      <c r="F29" s="229">
        <v>150387</v>
      </c>
      <c r="G29" s="229" t="s">
        <v>41</v>
      </c>
      <c r="H29" s="230">
        <v>0</v>
      </c>
      <c r="I29" s="231">
        <v>20</v>
      </c>
      <c r="J29" s="232">
        <v>14.3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198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99990008169681</v>
      </c>
      <c r="C30" s="227">
        <v>170303</v>
      </c>
      <c r="D30" s="228" t="s">
        <v>58</v>
      </c>
      <c r="E30" s="229"/>
      <c r="F30" s="229">
        <v>170303</v>
      </c>
      <c r="G30" s="229" t="s">
        <v>41</v>
      </c>
      <c r="H30" s="230">
        <v>0</v>
      </c>
      <c r="I30" s="231">
        <v>50</v>
      </c>
      <c r="J30" s="232">
        <v>0.52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99990008655248</v>
      </c>
      <c r="C31" s="227">
        <v>150601</v>
      </c>
      <c r="D31" s="228" t="s">
        <v>59</v>
      </c>
      <c r="E31" s="229"/>
      <c r="F31" s="229">
        <v>150601</v>
      </c>
      <c r="G31" s="229" t="s">
        <v>55</v>
      </c>
      <c r="H31" s="230">
        <v>3.30</v>
      </c>
      <c r="I31" s="231">
        <v>40</v>
      </c>
      <c r="J31" s="232">
        <v>3.3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 t="s">
        <v>60</v>
      </c>
      <c r="S31" s="238"/>
      <c r="T31" s="239"/>
    </row>
    <row r="32" spans="1:20" ht="24" customHeight="1">
      <c r="A32" s="226">
        <v>13</v>
      </c>
      <c r="B32" s="226">
        <v>99990008655228</v>
      </c>
      <c r="C32" s="227">
        <v>150281</v>
      </c>
      <c r="D32" s="228" t="s">
        <v>61</v>
      </c>
      <c r="E32" s="229"/>
      <c r="F32" s="229">
        <v>150281</v>
      </c>
      <c r="G32" s="229" t="s">
        <v>41</v>
      </c>
      <c r="H32" s="230">
        <v>2.56</v>
      </c>
      <c r="I32" s="231">
        <v>30</v>
      </c>
      <c r="J32" s="232">
        <v>2.56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99990009872877</v>
      </c>
      <c r="C33" s="227">
        <v>190213</v>
      </c>
      <c r="D33" s="228" t="s">
        <v>62</v>
      </c>
      <c r="E33" s="229"/>
      <c r="F33" s="229">
        <v>190213</v>
      </c>
      <c r="G33" s="229" t="s">
        <v>63</v>
      </c>
      <c r="H33" s="230">
        <v>0</v>
      </c>
      <c r="I33" s="231">
        <v>10</v>
      </c>
      <c r="J33" s="232">
        <v>4.96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99990009872873</v>
      </c>
      <c r="C34" s="227">
        <v>190217</v>
      </c>
      <c r="D34" s="228" t="s">
        <v>64</v>
      </c>
      <c r="E34" s="229"/>
      <c r="F34" s="229">
        <v>190217</v>
      </c>
      <c r="G34" s="229" t="s">
        <v>63</v>
      </c>
      <c r="H34" s="230">
        <v>0</v>
      </c>
      <c r="I34" s="231">
        <v>2</v>
      </c>
      <c r="J34" s="232">
        <v>15.89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99990008656073</v>
      </c>
      <c r="C35" s="227">
        <v>232016</v>
      </c>
      <c r="D35" s="228" t="s">
        <v>65</v>
      </c>
      <c r="E35" s="229"/>
      <c r="F35" s="229">
        <v>232016</v>
      </c>
      <c r="G35" s="229" t="s">
        <v>41</v>
      </c>
      <c r="H35" s="230">
        <v>7.09</v>
      </c>
      <c r="I35" s="231">
        <v>8</v>
      </c>
      <c r="J35" s="232">
        <v>7.09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99990008656083</v>
      </c>
      <c r="C36" s="227">
        <v>232162</v>
      </c>
      <c r="D36" s="228" t="s">
        <v>66</v>
      </c>
      <c r="E36" s="229"/>
      <c r="F36" s="229">
        <v>232162</v>
      </c>
      <c r="G36" s="229" t="s">
        <v>55</v>
      </c>
      <c r="H36" s="230">
        <v>55.90</v>
      </c>
      <c r="I36" s="231">
        <v>2</v>
      </c>
      <c r="J36" s="232">
        <v>55.9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199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99990009554081</v>
      </c>
      <c r="C37" s="227">
        <v>2124616</v>
      </c>
      <c r="D37" s="228" t="s">
        <v>67</v>
      </c>
      <c r="E37" s="229"/>
      <c r="F37" s="229">
        <v>210109</v>
      </c>
      <c r="G37" s="229" t="s">
        <v>48</v>
      </c>
      <c r="H37" s="230">
        <v>143.23</v>
      </c>
      <c r="I37" s="231">
        <v>1</v>
      </c>
      <c r="J37" s="232">
        <v>154.41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99990008656088</v>
      </c>
      <c r="C38" s="227">
        <v>232363</v>
      </c>
      <c r="D38" s="228" t="s">
        <v>68</v>
      </c>
      <c r="E38" s="229"/>
      <c r="F38" s="229">
        <v>232363</v>
      </c>
      <c r="G38" s="229" t="s">
        <v>41</v>
      </c>
      <c r="H38" s="230">
        <v>3.99</v>
      </c>
      <c r="I38" s="231">
        <v>20</v>
      </c>
      <c r="J38" s="232">
        <v>10.48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99990009872279</v>
      </c>
      <c r="C39" s="227">
        <v>190659</v>
      </c>
      <c r="D39" s="228" t="s">
        <v>69</v>
      </c>
      <c r="E39" s="229"/>
      <c r="F39" s="229">
        <v>190659</v>
      </c>
      <c r="G39" s="229" t="s">
        <v>63</v>
      </c>
      <c r="H39" s="230">
        <v>0</v>
      </c>
      <c r="I39" s="231">
        <v>10</v>
      </c>
      <c r="J39" s="232">
        <v>8.74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99990009873263</v>
      </c>
      <c r="C40" s="227">
        <v>311051</v>
      </c>
      <c r="D40" s="228" t="s">
        <v>70</v>
      </c>
      <c r="E40" s="229"/>
      <c r="F40" s="229">
        <v>311051</v>
      </c>
      <c r="G40" s="229" t="s">
        <v>63</v>
      </c>
      <c r="H40" s="230">
        <v>0</v>
      </c>
      <c r="I40" s="231">
        <v>30</v>
      </c>
      <c r="J40" s="232">
        <v>0.51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99990009873262</v>
      </c>
      <c r="C41" s="227">
        <v>311052</v>
      </c>
      <c r="D41" s="228" t="s">
        <v>71</v>
      </c>
      <c r="E41" s="229"/>
      <c r="F41" s="229">
        <v>311052</v>
      </c>
      <c r="G41" s="229" t="s">
        <v>63</v>
      </c>
      <c r="H41" s="230">
        <v>0</v>
      </c>
      <c r="I41" s="231">
        <v>30</v>
      </c>
      <c r="J41" s="232">
        <v>0.72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99990008655930</v>
      </c>
      <c r="C42" s="227">
        <v>590463</v>
      </c>
      <c r="D42" s="228" t="s">
        <v>72</v>
      </c>
      <c r="E42" s="229"/>
      <c r="F42" s="229">
        <v>590463</v>
      </c>
      <c r="G42" s="229" t="s">
        <v>43</v>
      </c>
      <c r="H42" s="230">
        <v>44.29</v>
      </c>
      <c r="I42" s="231">
        <v>3</v>
      </c>
      <c r="J42" s="232">
        <v>44.29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99990008656208</v>
      </c>
      <c r="C43" s="227">
        <v>590382</v>
      </c>
      <c r="D43" s="228" t="s">
        <v>73</v>
      </c>
      <c r="E43" s="229"/>
      <c r="F43" s="229">
        <v>590382</v>
      </c>
      <c r="G43" s="229" t="s">
        <v>43</v>
      </c>
      <c r="H43" s="230">
        <v>20.28</v>
      </c>
      <c r="I43" s="231">
        <v>3</v>
      </c>
      <c r="J43" s="232">
        <v>20.28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99990008656209</v>
      </c>
      <c r="C44" s="227">
        <v>590387</v>
      </c>
      <c r="D44" s="228" t="s">
        <v>74</v>
      </c>
      <c r="E44" s="229"/>
      <c r="F44" s="229">
        <v>590387</v>
      </c>
      <c r="G44" s="229" t="s">
        <v>41</v>
      </c>
      <c r="H44" s="230">
        <v>1.83</v>
      </c>
      <c r="I44" s="231">
        <v>6</v>
      </c>
      <c r="J44" s="232">
        <v>1.83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99990008655435</v>
      </c>
      <c r="C45" s="227">
        <v>174154</v>
      </c>
      <c r="D45" s="228" t="s">
        <v>75</v>
      </c>
      <c r="E45" s="229"/>
      <c r="F45" s="229">
        <v>174154</v>
      </c>
      <c r="G45" s="229" t="s">
        <v>41</v>
      </c>
      <c r="H45" s="230">
        <v>8.98</v>
      </c>
      <c r="I45" s="231">
        <v>10</v>
      </c>
      <c r="J45" s="232">
        <v>8.98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99990011282633</v>
      </c>
      <c r="C46" s="227">
        <v>615840</v>
      </c>
      <c r="D46" s="228" t="s">
        <v>76</v>
      </c>
      <c r="E46" s="229"/>
      <c r="F46" s="229">
        <v>615840</v>
      </c>
      <c r="G46" s="229" t="s">
        <v>41</v>
      </c>
      <c r="H46" s="230">
        <v>0</v>
      </c>
      <c r="I46" s="231">
        <v>20</v>
      </c>
      <c r="J46" s="232">
        <v>0.28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99990008657865</v>
      </c>
      <c r="C47" s="227" t="s">
        <v>77</v>
      </c>
      <c r="D47" s="228" t="s">
        <v>78</v>
      </c>
      <c r="E47" s="229"/>
      <c r="F47" s="229">
        <v>471286</v>
      </c>
      <c r="G47" s="229" t="s">
        <v>79</v>
      </c>
      <c r="H47" s="230">
        <v>2.61</v>
      </c>
      <c r="I47" s="231">
        <v>30</v>
      </c>
      <c r="J47" s="232">
        <v>2.61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 t="s">
        <v>200</v>
      </c>
      <c r="Q47" s="236"/>
      <c r="R47" s="237"/>
      <c r="S47" s="238"/>
      <c r="T47" s="239"/>
    </row>
    <row r="48" spans="1:20" ht="24" customHeight="1">
      <c r="A48" s="226">
        <v>29</v>
      </c>
      <c r="B48" s="226">
        <v>99990008655761</v>
      </c>
      <c r="C48" s="227">
        <v>650873</v>
      </c>
      <c r="D48" s="228" t="s">
        <v>80</v>
      </c>
      <c r="E48" s="229"/>
      <c r="F48" s="229">
        <v>650873</v>
      </c>
      <c r="G48" s="229" t="s">
        <v>41</v>
      </c>
      <c r="H48" s="230">
        <v>18.58</v>
      </c>
      <c r="I48" s="231">
        <v>3</v>
      </c>
      <c r="J48" s="232">
        <v>18.83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99990008657971</v>
      </c>
      <c r="C49" s="227">
        <v>612612</v>
      </c>
      <c r="D49" s="228" t="s">
        <v>81</v>
      </c>
      <c r="E49" s="229"/>
      <c r="F49" s="229">
        <v>612612</v>
      </c>
      <c r="G49" s="229" t="s">
        <v>41</v>
      </c>
      <c r="H49" s="230">
        <v>1.54</v>
      </c>
      <c r="I49" s="231">
        <v>20</v>
      </c>
      <c r="J49" s="232">
        <v>1.54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99990008655453</v>
      </c>
      <c r="C50" s="227">
        <v>174262</v>
      </c>
      <c r="D50" s="228" t="s">
        <v>82</v>
      </c>
      <c r="E50" s="229"/>
      <c r="F50" s="229">
        <v>174262</v>
      </c>
      <c r="G50" s="229" t="s">
        <v>41</v>
      </c>
      <c r="H50" s="230">
        <v>14.75</v>
      </c>
      <c r="I50" s="231">
        <v>1</v>
      </c>
      <c r="J50" s="232">
        <v>7.94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99990010270508</v>
      </c>
      <c r="C51" s="227" t="s">
        <v>77</v>
      </c>
      <c r="D51" s="228" t="s">
        <v>83</v>
      </c>
      <c r="E51" s="229"/>
      <c r="F51" s="229">
        <v>470617</v>
      </c>
      <c r="G51" s="229" t="s">
        <v>41</v>
      </c>
      <c r="H51" s="230">
        <v>0</v>
      </c>
      <c r="I51" s="231">
        <v>200</v>
      </c>
      <c r="J51" s="232">
        <v>0.14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99990009866953</v>
      </c>
      <c r="C52" s="227">
        <v>331158</v>
      </c>
      <c r="D52" s="228" t="s">
        <v>84</v>
      </c>
      <c r="E52" s="229"/>
      <c r="F52" s="229">
        <v>331158</v>
      </c>
      <c r="G52" s="229" t="s">
        <v>63</v>
      </c>
      <c r="H52" s="230">
        <v>0</v>
      </c>
      <c r="I52" s="231">
        <v>50</v>
      </c>
      <c r="J52" s="232">
        <v>0.15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99990008655479</v>
      </c>
      <c r="C53" s="227">
        <v>232269</v>
      </c>
      <c r="D53" s="228" t="s">
        <v>85</v>
      </c>
      <c r="E53" s="229"/>
      <c r="F53" s="229">
        <v>232269</v>
      </c>
      <c r="G53" s="229" t="s">
        <v>41</v>
      </c>
      <c r="H53" s="230">
        <v>0.14</v>
      </c>
      <c r="I53" s="231">
        <v>10</v>
      </c>
      <c r="J53" s="232">
        <v>0.18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99990008655475</v>
      </c>
      <c r="C54" s="227">
        <v>232224</v>
      </c>
      <c r="D54" s="228" t="s">
        <v>86</v>
      </c>
      <c r="E54" s="229"/>
      <c r="F54" s="229">
        <v>232224</v>
      </c>
      <c r="G54" s="229" t="s">
        <v>87</v>
      </c>
      <c r="H54" s="230">
        <v>1.02</v>
      </c>
      <c r="I54" s="231">
        <v>200</v>
      </c>
      <c r="J54" s="232">
        <v>1.02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 t="s">
        <v>201</v>
      </c>
      <c r="Q54" s="236"/>
      <c r="R54" s="237" t="s">
        <v>88</v>
      </c>
      <c r="S54" s="238"/>
      <c r="T54" s="239"/>
    </row>
    <row r="55" spans="1:20" ht="15" customHeight="1">
      <c r="A55" s="32"/>
      <c r="B55" s="295"/>
      <c r="C55" s="296"/>
      <c r="D55" s="296"/>
      <c r="E55" s="296"/>
      <c r="F55" s="296"/>
      <c r="G55" s="296"/>
      <c r="H55" s="297"/>
      <c r="I55" s="297"/>
      <c r="J55" s="297"/>
      <c r="K55" s="297"/>
      <c r="L55" s="297"/>
      <c r="M55" s="297"/>
      <c r="N55" s="297"/>
      <c r="O55" s="297"/>
      <c r="P55" s="297"/>
      <c r="Q55" s="297"/>
      <c r="R55" s="297"/>
      <c r="S55" s="297"/>
      <c r="T55" s="298"/>
    </row>
    <row r="56" spans="1:20" ht="12.75" customHeight="1">
      <c r="A56" s="289" t="s">
        <v>28</v>
      </c>
      <c r="B56" s="289"/>
      <c r="C56" s="290" t="s">
        <v>89</v>
      </c>
      <c r="D56" s="291"/>
      <c r="E56" s="291"/>
      <c r="F56" s="291"/>
      <c r="G56" s="291"/>
      <c r="H56" s="291"/>
      <c r="I56" s="292"/>
      <c r="J56" s="292" t="s">
        <v>90</v>
      </c>
      <c r="K56" s="292"/>
      <c r="L56" s="292" t="s">
        <v>35</v>
      </c>
      <c r="M56" s="292" t="s">
        <v>36</v>
      </c>
      <c r="N56" s="293" t="s">
        <v>91</v>
      </c>
      <c r="O56" s="294" t="s">
        <v>38</v>
      </c>
      <c r="P56" s="294"/>
      <c r="Q56" s="294"/>
      <c r="R56" s="294"/>
      <c r="S56" s="294"/>
      <c r="T56" s="225"/>
    </row>
    <row r="57" spans="1:20" ht="15" customHeight="1">
      <c r="A57" s="269">
        <v>1</v>
      </c>
      <c r="B57" s="270"/>
      <c r="C57" s="271" t="s">
        <v>92</v>
      </c>
      <c r="D57" s="272" t="s">
        <v>92</v>
      </c>
      <c r="E57" s="272" t="s">
        <v>92</v>
      </c>
      <c r="F57" s="272" t="s">
        <v>92</v>
      </c>
      <c r="G57" s="272" t="s">
        <v>92</v>
      </c>
      <c r="H57" s="273" t="s">
        <v>92</v>
      </c>
      <c r="I57" s="274"/>
      <c r="J57" s="275">
        <v>0</v>
      </c>
      <c r="K57" s="276"/>
      <c r="L57" s="277">
        <v>0</v>
      </c>
      <c r="M57" s="277">
        <v>0</v>
      </c>
      <c r="N57" s="285">
        <f>(J57-(J57*L57/100)+((J57-(J57*L57/100))*M57/100))</f>
      </c>
      <c r="O57" s="286"/>
      <c r="P57" s="287"/>
      <c r="Q57" s="287"/>
      <c r="R57" s="287"/>
      <c r="S57" s="288"/>
      <c r="T57" s="283"/>
    </row>
    <row r="58" spans="1:20" ht="15" customHeight="1">
      <c r="A58" s="269">
        <v>2</v>
      </c>
      <c r="B58" s="270"/>
      <c r="C58" s="271" t="s">
        <v>93</v>
      </c>
      <c r="D58" s="272" t="s">
        <v>93</v>
      </c>
      <c r="E58" s="272" t="s">
        <v>93</v>
      </c>
      <c r="F58" s="272" t="s">
        <v>93</v>
      </c>
      <c r="G58" s="272" t="s">
        <v>93</v>
      </c>
      <c r="H58" s="273" t="s">
        <v>93</v>
      </c>
      <c r="I58" s="284"/>
      <c r="J58" s="275">
        <v>0</v>
      </c>
      <c r="K58" s="276"/>
      <c r="L58" s="277">
        <v>0</v>
      </c>
      <c r="M58" s="277">
        <v>0</v>
      </c>
      <c r="N58" s="279">
        <f>(J58-(J58*L58/100)+((J58-(J58*L58/100))*M58/100))</f>
      </c>
      <c r="O58" s="280"/>
      <c r="P58" s="281"/>
      <c r="Q58" s="281"/>
      <c r="R58" s="281"/>
      <c r="S58" s="282"/>
      <c r="T58" s="283"/>
    </row>
    <row r="59" spans="1:20" ht="15" customHeight="1">
      <c r="A59" s="269">
        <v>3</v>
      </c>
      <c r="B59" s="270"/>
      <c r="C59" s="271"/>
      <c r="D59" s="272"/>
      <c r="E59" s="272"/>
      <c r="F59" s="272"/>
      <c r="G59" s="272"/>
      <c r="H59" s="273"/>
      <c r="I59" s="274"/>
      <c r="J59" s="275">
        <v>0</v>
      </c>
      <c r="K59" s="276"/>
      <c r="L59" s="277">
        <v>0</v>
      </c>
      <c r="M59" s="277">
        <v>0</v>
      </c>
      <c r="N59" s="279">
        <f>(J59-(J59*L59/100)+((J59-(J59*L59/100))*M59/100))</f>
      </c>
      <c r="O59" s="280"/>
      <c r="P59" s="281"/>
      <c r="Q59" s="281"/>
      <c r="R59" s="281"/>
      <c r="S59" s="282"/>
      <c r="T59" s="283"/>
    </row>
    <row r="60" spans="1:20" ht="15.75" customHeight="1">
      <c r="A60" s="269">
        <v>4</v>
      </c>
      <c r="B60" s="270"/>
      <c r="C60" s="271"/>
      <c r="D60" s="272"/>
      <c r="E60" s="272"/>
      <c r="F60" s="272"/>
      <c r="G60" s="272"/>
      <c r="H60" s="273"/>
      <c r="I60" s="274"/>
      <c r="J60" s="275">
        <v>0</v>
      </c>
      <c r="K60" s="276"/>
      <c r="L60" s="277">
        <v>0</v>
      </c>
      <c r="M60" s="278">
        <v>0</v>
      </c>
      <c r="N60" s="279">
        <f>(J60-(J60*L60/100)+((J60-(J60*L60/100))*M60/100))</f>
      </c>
      <c r="O60" s="280"/>
      <c r="P60" s="281"/>
      <c r="Q60" s="281"/>
      <c r="R60" s="281"/>
      <c r="S60" s="282"/>
      <c r="T60" s="283"/>
    </row>
    <row r="61" spans="1:16" ht="15.95" customHeight="1">
      <c r="A61" s="247"/>
      <c r="B61" s="247"/>
      <c r="C61" s="248"/>
      <c r="D61" s="248"/>
      <c r="I61" s="163"/>
      <c r="J61" s="58" t="s">
        <v>94</v>
      </c>
      <c r="K61" s="59"/>
      <c r="L61" s="58"/>
      <c r="M61" s="59"/>
      <c r="N61" s="264">
        <f>SUM(ItmPrice)</f>
      </c>
      <c r="O61" s="267"/>
      <c r="P61" s="268"/>
    </row>
    <row r="62" spans="1:16" ht="15" customHeight="1">
      <c r="A62" s="247"/>
      <c r="B62" s="247"/>
      <c r="C62" s="248"/>
      <c r="D62" s="248"/>
      <c r="I62" s="163"/>
      <c r="J62" s="123" t="s">
        <v>95</v>
      </c>
      <c r="K62" s="124"/>
      <c r="L62" s="124"/>
      <c r="M62" s="125"/>
      <c r="N62" s="264">
        <f>SUM(N57:N61)</f>
      </c>
      <c r="O62" s="265"/>
      <c r="P62" s="266"/>
    </row>
    <row r="63" spans="1:19" ht="2.25" customHeight="1" hidden="1">
      <c r="A63" s="258">
        <v>0</v>
      </c>
      <c r="B63" s="258">
        <v>0</v>
      </c>
      <c r="C63" s="259">
        <v>0</v>
      </c>
      <c r="D63" s="248"/>
      <c r="E63" s="248"/>
      <c r="F63" s="260">
        <v>1</v>
      </c>
      <c r="G63" s="248"/>
      <c r="H63" s="248"/>
      <c r="I63" s="248"/>
      <c r="J63" s="248"/>
      <c r="K63" s="261"/>
      <c r="L63" s="262">
        <v>0</v>
      </c>
      <c r="M63" s="263">
        <v>0</v>
      </c>
      <c r="N63" s="162" t="s">
        <v>96</v>
      </c>
      <c r="O63" s="257"/>
      <c r="P63" s="263">
        <v>995</v>
      </c>
      <c r="Q63" s="248" t="s">
        <v>97</v>
      </c>
      <c r="R63" s="248"/>
      <c r="S63" s="248"/>
    </row>
    <row r="64" spans="1:19" ht="18.75" customHeight="1">
      <c r="A64" s="247"/>
      <c r="B64" s="247"/>
      <c r="C64" s="247"/>
      <c r="H64" s="257"/>
      <c r="I64" s="163"/>
      <c r="J64" s="248"/>
      <c r="K64" s="248"/>
      <c r="L64" s="248"/>
      <c r="M64" s="248"/>
      <c r="N64" s="248"/>
      <c r="O64" s="248"/>
      <c r="P64" s="248"/>
      <c r="R64" s="248"/>
      <c r="S64" s="248"/>
    </row>
    <row r="65" spans="1:20" ht="127.5" customHeight="1">
      <c r="A65" s="249" t="s">
        <v>98</v>
      </c>
      <c r="B65" s="249"/>
      <c r="C65" s="249"/>
      <c r="D65" s="250"/>
      <c r="E65" s="254" t="s">
        <v>99</v>
      </c>
      <c r="F65" s="255"/>
      <c r="G65" s="255"/>
      <c r="H65" s="255"/>
      <c r="I65" s="255"/>
      <c r="J65" s="255"/>
      <c r="K65" s="255"/>
      <c r="L65" s="255"/>
      <c r="M65" s="255"/>
      <c r="N65" s="255"/>
      <c r="O65" s="255"/>
      <c r="P65" s="255"/>
      <c r="Q65" s="255"/>
      <c r="R65" s="255"/>
      <c r="S65" s="255"/>
      <c r="T65" s="256"/>
    </row>
    <row r="66" spans="1:20" ht="129.75" customHeight="1">
      <c r="A66" s="249" t="s">
        <v>38</v>
      </c>
      <c r="B66" s="249"/>
      <c r="C66" s="249"/>
      <c r="D66" s="250"/>
      <c r="E66" s="251" t="s">
        <v>202</v>
      </c>
      <c r="F66" s="252"/>
      <c r="G66" s="252"/>
      <c r="H66" s="252"/>
      <c r="I66" s="252"/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3"/>
    </row>
    <row r="67" spans="1:19" ht="15.95" customHeight="1">
      <c r="A67" s="247"/>
      <c r="B67" s="247"/>
      <c r="C67" s="247"/>
      <c r="H67" s="248"/>
      <c r="I67" s="248"/>
      <c r="J67" s="248"/>
      <c r="K67" s="248"/>
      <c r="L67" s="248"/>
      <c r="M67" s="248"/>
      <c r="N67" s="248"/>
      <c r="O67" s="248"/>
      <c r="P67" s="248"/>
      <c r="Q67" s="248"/>
      <c r="R67" s="248"/>
      <c r="S67" s="248"/>
    </row>
    <row r="68" spans="1:20" ht="15.95" customHeight="1">
      <c r="A68" s="245" t="s">
        <v>100</v>
      </c>
      <c r="B68" s="245"/>
      <c r="C68" s="245"/>
      <c r="D68" s="245"/>
      <c r="E68" s="245"/>
      <c r="F68" s="245"/>
      <c r="G68" s="245"/>
      <c r="H68" s="245"/>
      <c r="I68" s="245"/>
      <c r="J68" s="245"/>
      <c r="K68" s="245"/>
      <c r="L68" s="245"/>
      <c r="M68" s="245"/>
      <c r="N68" s="245"/>
      <c r="O68" s="245"/>
      <c r="P68" s="245"/>
      <c r="Q68" s="245"/>
      <c r="R68" s="245"/>
      <c r="S68" s="245"/>
      <c r="T68" s="246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7.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7.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12.7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7.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3"/>
      <c r="B83" s="243"/>
      <c r="C83" s="243"/>
      <c r="D83" s="243"/>
      <c r="E83" s="243"/>
      <c r="F83" s="243"/>
      <c r="G83" s="243"/>
      <c r="H83" s="243"/>
      <c r="I83" s="243"/>
      <c r="J83" s="243"/>
      <c r="K83" s="243"/>
      <c r="L83" s="243"/>
      <c r="M83" s="243"/>
      <c r="N83" s="243"/>
      <c r="O83" s="243"/>
      <c r="P83" s="243"/>
      <c r="Q83" s="243"/>
      <c r="R83" s="243"/>
      <c r="S83" s="243"/>
      <c r="T83" s="244"/>
    </row>
    <row r="84" spans="1:20" ht="12.75" customHeight="1">
      <c r="A84" s="243"/>
      <c r="B84" s="243"/>
      <c r="C84" s="243"/>
      <c r="D84" s="243"/>
      <c r="E84" s="243"/>
      <c r="F84" s="243"/>
      <c r="G84" s="243"/>
      <c r="H84" s="243"/>
      <c r="I84" s="243"/>
      <c r="J84" s="243"/>
      <c r="K84" s="243"/>
      <c r="L84" s="243"/>
      <c r="M84" s="243"/>
      <c r="N84" s="243"/>
      <c r="O84" s="243"/>
      <c r="P84" s="243"/>
      <c r="Q84" s="243"/>
      <c r="R84" s="243"/>
      <c r="S84" s="243"/>
      <c r="T84" s="244"/>
    </row>
    <row r="85" spans="1:20" ht="12.75" customHeight="1">
      <c r="A85" s="243"/>
      <c r="B85" s="243"/>
      <c r="C85" s="243"/>
      <c r="D85" s="243"/>
      <c r="E85" s="243"/>
      <c r="F85" s="243"/>
      <c r="G85" s="243"/>
      <c r="H85" s="243"/>
      <c r="I85" s="243"/>
      <c r="J85" s="243"/>
      <c r="K85" s="243"/>
      <c r="L85" s="243"/>
      <c r="M85" s="243"/>
      <c r="N85" s="243"/>
      <c r="O85" s="243"/>
      <c r="P85" s="243"/>
      <c r="Q85" s="243"/>
      <c r="R85" s="243"/>
      <c r="S85" s="243"/>
      <c r="T85" s="244"/>
    </row>
    <row r="86" spans="1:20" ht="12.75" customHeight="1">
      <c r="A86" s="243"/>
      <c r="B86" s="243"/>
      <c r="C86" s="243"/>
      <c r="D86" s="243"/>
      <c r="E86" s="243"/>
      <c r="F86" s="243"/>
      <c r="G86" s="243"/>
      <c r="H86" s="243"/>
      <c r="I86" s="243"/>
      <c r="J86" s="243"/>
      <c r="K86" s="243"/>
      <c r="L86" s="243"/>
      <c r="M86" s="243"/>
      <c r="N86" s="243"/>
      <c r="O86" s="243"/>
      <c r="P86" s="243"/>
      <c r="Q86" s="243"/>
      <c r="R86" s="243"/>
      <c r="S86" s="243"/>
      <c r="T86" s="244"/>
    </row>
    <row r="87" spans="1:20" ht="12.75" customHeight="1">
      <c r="A87" s="243"/>
      <c r="B87" s="243"/>
      <c r="C87" s="243"/>
      <c r="D87" s="243"/>
      <c r="E87" s="243"/>
      <c r="F87" s="243"/>
      <c r="G87" s="243"/>
      <c r="H87" s="243"/>
      <c r="I87" s="243"/>
      <c r="J87" s="243"/>
      <c r="K87" s="243"/>
      <c r="L87" s="243"/>
      <c r="M87" s="243"/>
      <c r="N87" s="243"/>
      <c r="O87" s="243"/>
      <c r="P87" s="243"/>
      <c r="Q87" s="243"/>
      <c r="R87" s="243"/>
      <c r="S87" s="243"/>
      <c r="T87" s="244"/>
    </row>
    <row r="88" spans="1:20" ht="7.5" customHeight="1">
      <c r="A88" s="243"/>
      <c r="B88" s="243"/>
      <c r="C88" s="243"/>
      <c r="D88" s="243"/>
      <c r="E88" s="243"/>
      <c r="F88" s="243"/>
      <c r="G88" s="243"/>
      <c r="H88" s="243"/>
      <c r="I88" s="243"/>
      <c r="J88" s="243"/>
      <c r="K88" s="243"/>
      <c r="L88" s="243"/>
      <c r="M88" s="243"/>
      <c r="N88" s="243"/>
      <c r="O88" s="243"/>
      <c r="P88" s="243"/>
      <c r="Q88" s="243"/>
      <c r="R88" s="243"/>
      <c r="S88" s="243"/>
      <c r="T88" s="244"/>
    </row>
    <row r="89" spans="1:20" ht="12.75" customHeight="1">
      <c r="A89" s="243"/>
      <c r="B89" s="243"/>
      <c r="C89" s="243"/>
      <c r="D89" s="243"/>
      <c r="E89" s="243"/>
      <c r="F89" s="243"/>
      <c r="G89" s="243"/>
      <c r="H89" s="243"/>
      <c r="I89" s="243"/>
      <c r="J89" s="243"/>
      <c r="K89" s="243"/>
      <c r="L89" s="243"/>
      <c r="M89" s="243"/>
      <c r="N89" s="243"/>
      <c r="O89" s="243"/>
      <c r="P89" s="243"/>
      <c r="Q89" s="243"/>
      <c r="R89" s="243"/>
      <c r="S89" s="243"/>
      <c r="T89" s="244"/>
    </row>
    <row r="90" spans="1:20" ht="12.75" customHeight="1">
      <c r="A90" s="243"/>
      <c r="B90" s="243"/>
      <c r="C90" s="243"/>
      <c r="D90" s="243"/>
      <c r="E90" s="243"/>
      <c r="F90" s="243"/>
      <c r="G90" s="243"/>
      <c r="H90" s="243"/>
      <c r="I90" s="243"/>
      <c r="J90" s="243"/>
      <c r="K90" s="243"/>
      <c r="L90" s="243"/>
      <c r="M90" s="243"/>
      <c r="N90" s="243"/>
      <c r="O90" s="243"/>
      <c r="P90" s="243"/>
      <c r="Q90" s="243"/>
      <c r="R90" s="243"/>
      <c r="S90" s="243"/>
      <c r="T90" s="244"/>
    </row>
    <row r="91" spans="1:20" ht="12.75" customHeight="1">
      <c r="A91" s="241"/>
      <c r="B91" s="241"/>
      <c r="C91" s="241"/>
      <c r="D91" s="241"/>
      <c r="E91" s="241"/>
      <c r="F91" s="241"/>
      <c r="G91" s="241"/>
      <c r="H91" s="241"/>
      <c r="I91" s="241"/>
      <c r="J91" s="241"/>
      <c r="K91" s="241"/>
      <c r="L91" s="241"/>
      <c r="M91" s="241"/>
      <c r="N91" s="241"/>
      <c r="O91" s="241"/>
      <c r="P91" s="241"/>
      <c r="Q91" s="241"/>
      <c r="R91" s="241"/>
      <c r="S91" s="241"/>
      <c r="T91" s="242"/>
    </row>
    <row r="92" spans="1:9" ht="12.75">
      <c r="A92" s="240" t="s">
        <v>101</v>
      </c>
      <c r="B92" s="240"/>
      <c r="C92" s="240"/>
      <c r="D92" s="240"/>
      <c r="E92" s="240"/>
      <c r="F92" s="240"/>
      <c r="G92" s="240"/>
      <c r="I92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35">
    <mergeCell ref="E65:S65"/>
    <mergeCell ref="E66:S66"/>
    <mergeCell ref="E68:S68"/>
    <mergeCell ref="A69:S90"/>
    <mergeCell ref="A91:S91"/>
    <mergeCell ref="A65:D65"/>
    <mergeCell ref="A66:D66"/>
    <mergeCell ref="K1:R1"/>
    <mergeCell ref="R19:S19"/>
    <mergeCell ref="R20:S20"/>
    <mergeCell ref="O57:S57"/>
    <mergeCell ref="O58:S58"/>
    <mergeCell ref="O56:S56"/>
    <mergeCell ref="J56:K56"/>
    <mergeCell ref="K4:L4"/>
    <mergeCell ref="M4:P4"/>
    <mergeCell ref="K5:L5"/>
    <mergeCell ref="M5:P5"/>
    <mergeCell ref="M7:Q7"/>
    <mergeCell ref="P20:Q20"/>
    <mergeCell ref="M12:O12"/>
    <mergeCell ref="K12:L12"/>
    <mergeCell ref="O61:P61"/>
    <mergeCell ref="O62:P62"/>
    <mergeCell ref="J62:M62"/>
    <mergeCell ref="O59:S59"/>
    <mergeCell ref="O60:S60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56:H56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C57:H57"/>
    <mergeCell ref="J57:K57"/>
    <mergeCell ref="C58:H58"/>
    <mergeCell ref="J58:K58"/>
    <mergeCell ref="C59:H59"/>
    <mergeCell ref="J59:K59"/>
    <mergeCell ref="C60:H60"/>
    <mergeCell ref="J60:K60"/>
  </mergeCells>
  <dataValidations count="150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list" allowBlank="1" showInputMessage="1" showErrorMessage="1" sqref="C57:H57">
      <formula1>'MasterData'!$H$1:$H$14</formula1>
    </dataValidation>
    <dataValidation type="list" allowBlank="1" showInputMessage="1" showErrorMessage="1" sqref="C58:H58">
      <formula1>'MasterData'!$H$1:$H$14</formula1>
    </dataValidation>
    <dataValidation type="list" allowBlank="1" showInputMessage="1" showErrorMessage="1" sqref="C59:H59">
      <formula1>'MasterData'!$H$1:$H$14</formula1>
    </dataValidation>
    <dataValidation type="list" allowBlank="1" showInputMessage="1" showErrorMessage="1" sqref="C60:H60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92</v>
      </c>
      <c r="M1" s="300" t="s">
        <v>102</v>
      </c>
      <c r="N1" s="301" t="s">
        <v>0</v>
      </c>
      <c r="O1" s="162" t="s">
        <v>103</v>
      </c>
    </row>
    <row r="2" spans="7:15" ht="12.75">
      <c r="G2" s="162">
        <v>1001310</v>
      </c>
      <c r="H2" s="162" t="s">
        <v>93</v>
      </c>
      <c r="M2" s="300" t="s">
        <v>104</v>
      </c>
      <c r="N2" s="301">
        <v>1020682537</v>
      </c>
      <c r="O2" s="162" t="s">
        <v>105</v>
      </c>
    </row>
    <row r="3" spans="7:15" ht="12.75">
      <c r="G3" s="162">
        <v>1012729</v>
      </c>
      <c r="H3" s="162" t="s">
        <v>106</v>
      </c>
      <c r="M3" s="300" t="s">
        <v>107</v>
      </c>
      <c r="N3" s="301">
        <v>99990000424292</v>
      </c>
      <c r="O3" s="162" t="s">
        <v>108</v>
      </c>
    </row>
    <row r="4" spans="7:15" ht="12.75">
      <c r="G4" s="162">
        <v>1012730</v>
      </c>
      <c r="H4" s="162" t="s">
        <v>109</v>
      </c>
      <c r="M4" s="300" t="s">
        <v>110</v>
      </c>
      <c r="N4" s="301">
        <v>1021729323</v>
      </c>
      <c r="O4" s="162" t="s">
        <v>111</v>
      </c>
    </row>
    <row r="5" spans="7:15" ht="12.75">
      <c r="G5" s="162">
        <v>1012731</v>
      </c>
      <c r="H5" s="162" t="s">
        <v>112</v>
      </c>
      <c r="M5" s="300" t="s">
        <v>113</v>
      </c>
      <c r="N5" s="301"/>
      <c r="O5" s="162" t="s">
        <v>114</v>
      </c>
    </row>
    <row r="6" spans="7:15" ht="12.75">
      <c r="G6" s="162">
        <v>1012732</v>
      </c>
      <c r="H6" s="162" t="s">
        <v>115</v>
      </c>
      <c r="M6" s="300" t="s">
        <v>116</v>
      </c>
      <c r="N6" s="301" t="s">
        <v>117</v>
      </c>
      <c r="O6" s="162" t="s">
        <v>118</v>
      </c>
    </row>
    <row r="7" spans="7:15" ht="12.75">
      <c r="G7" s="162">
        <v>1012733</v>
      </c>
      <c r="H7" s="162" t="s">
        <v>119</v>
      </c>
      <c r="M7" s="300" t="s">
        <v>120</v>
      </c>
      <c r="N7" s="301">
        <v>0</v>
      </c>
      <c r="O7" s="162" t="s">
        <v>121</v>
      </c>
    </row>
    <row r="8" spans="7:15" ht="12.75">
      <c r="G8" s="162">
        <v>1012735</v>
      </c>
      <c r="H8" s="162" t="s">
        <v>122</v>
      </c>
      <c r="O8" s="162" t="s">
        <v>123</v>
      </c>
    </row>
    <row r="9" spans="7:15" ht="12.75">
      <c r="G9" s="162">
        <v>1012736</v>
      </c>
      <c r="H9" s="162" t="s">
        <v>124</v>
      </c>
      <c r="O9" s="162" t="s">
        <v>125</v>
      </c>
    </row>
    <row r="10" spans="7:15" ht="12.75">
      <c r="G10" s="162">
        <v>1012737</v>
      </c>
      <c r="H10" s="162" t="s">
        <v>126</v>
      </c>
      <c r="O10" s="162" t="s">
        <v>127</v>
      </c>
    </row>
    <row r="11" spans="7:15" ht="12.75">
      <c r="G11" s="162">
        <v>1012741</v>
      </c>
      <c r="H11" s="162" t="s">
        <v>128</v>
      </c>
      <c r="O11" s="162" t="s">
        <v>129</v>
      </c>
    </row>
    <row r="12" spans="7:15" ht="12.75">
      <c r="G12" s="162">
        <v>1012742</v>
      </c>
      <c r="H12" s="162" t="s">
        <v>130</v>
      </c>
      <c r="O12" s="162" t="s">
        <v>131</v>
      </c>
    </row>
    <row r="13" spans="7:15" ht="12.75">
      <c r="G13" s="162">
        <v>1012743</v>
      </c>
      <c r="H13" s="162" t="s">
        <v>132</v>
      </c>
      <c r="O13" s="162" t="s">
        <v>133</v>
      </c>
    </row>
    <row r="14" spans="7:15" ht="12.75">
      <c r="G14" s="162">
        <v>1012744</v>
      </c>
      <c r="H14" s="162" t="s">
        <v>134</v>
      </c>
      <c r="O14" s="162" t="s">
        <v>135</v>
      </c>
    </row>
    <row r="15" ht="12.75">
      <c r="O15" s="162" t="s">
        <v>136</v>
      </c>
    </row>
    <row r="16" ht="12.75">
      <c r="O16" s="162" t="s">
        <v>137</v>
      </c>
    </row>
    <row r="17" ht="12.75">
      <c r="O17" s="162" t="s">
        <v>138</v>
      </c>
    </row>
    <row r="18" ht="12.75">
      <c r="O18" s="162" t="s">
        <v>139</v>
      </c>
    </row>
    <row r="19" ht="12.75">
      <c r="O19" s="162" t="s">
        <v>140</v>
      </c>
    </row>
    <row r="20" ht="12.75">
      <c r="O20" s="162" t="s">
        <v>141</v>
      </c>
    </row>
    <row r="21" ht="12.75">
      <c r="O21" s="162" t="s">
        <v>142</v>
      </c>
    </row>
    <row r="22" ht="12.75">
      <c r="O22" s="162" t="s">
        <v>143</v>
      </c>
    </row>
    <row r="23" ht="12.75">
      <c r="O23" s="162" t="s">
        <v>144</v>
      </c>
    </row>
    <row r="24" ht="12.75">
      <c r="O24" s="162" t="s">
        <v>145</v>
      </c>
    </row>
    <row r="25" ht="12.75">
      <c r="O25" s="162" t="s">
        <v>146</v>
      </c>
    </row>
    <row r="26" ht="12.75">
      <c r="O26" s="162" t="s">
        <v>147</v>
      </c>
    </row>
    <row r="27" ht="12.75">
      <c r="O27" s="162" t="s">
        <v>148</v>
      </c>
    </row>
    <row r="28" ht="12.75">
      <c r="O28" s="162" t="s">
        <v>149</v>
      </c>
    </row>
    <row r="29" ht="12.75">
      <c r="O29" s="162" t="s">
        <v>150</v>
      </c>
    </row>
    <row r="30" ht="12.75">
      <c r="O30" s="162" t="s">
        <v>151</v>
      </c>
    </row>
    <row r="31" ht="12.75">
      <c r="O31" s="162" t="s">
        <v>152</v>
      </c>
    </row>
    <row r="32" ht="12.75">
      <c r="O32" s="162" t="s">
        <v>153</v>
      </c>
    </row>
    <row r="33" ht="12.75">
      <c r="O33" s="162" t="s">
        <v>154</v>
      </c>
    </row>
    <row r="34" ht="12.75">
      <c r="O34" s="162" t="s">
        <v>155</v>
      </c>
    </row>
    <row r="35" ht="12.75">
      <c r="O35" s="162" t="s">
        <v>156</v>
      </c>
    </row>
    <row r="36" ht="12.75">
      <c r="O36" s="162" t="s">
        <v>157</v>
      </c>
    </row>
    <row r="37" ht="12.75">
      <c r="O37" s="162" t="s">
        <v>158</v>
      </c>
    </row>
    <row r="38" ht="12.75">
      <c r="O38" s="162" t="s">
        <v>159</v>
      </c>
    </row>
    <row r="39" ht="12.75">
      <c r="O39" s="162" t="s">
        <v>160</v>
      </c>
    </row>
    <row r="40" ht="12.75">
      <c r="O40" s="162" t="s">
        <v>161</v>
      </c>
    </row>
    <row r="41" ht="12.75">
      <c r="O41" s="162" t="s">
        <v>162</v>
      </c>
    </row>
    <row r="42" ht="12.75">
      <c r="O42" s="162" t="s">
        <v>163</v>
      </c>
    </row>
    <row r="43" ht="12.75">
      <c r="O43" s="162" t="s">
        <v>164</v>
      </c>
    </row>
    <row r="44" ht="12.75">
      <c r="O44" s="162" t="s">
        <v>165</v>
      </c>
    </row>
    <row r="45" ht="12.75">
      <c r="O45" s="162" t="s">
        <v>166</v>
      </c>
    </row>
    <row r="46" ht="12.75">
      <c r="O46" s="162" t="s">
        <v>167</v>
      </c>
    </row>
    <row r="47" ht="12.75">
      <c r="O47" s="162" t="s">
        <v>168</v>
      </c>
    </row>
    <row r="48" ht="12.75">
      <c r="O48" s="162" t="s">
        <v>169</v>
      </c>
    </row>
    <row r="49" ht="12.75">
      <c r="O49" s="162" t="s">
        <v>170</v>
      </c>
    </row>
    <row r="50" ht="12.75">
      <c r="O50" s="162" t="s">
        <v>171</v>
      </c>
    </row>
    <row r="51" ht="12.75">
      <c r="O51" s="162" t="s">
        <v>172</v>
      </c>
    </row>
    <row r="52" ht="12.75">
      <c r="O52" s="162" t="s">
        <v>173</v>
      </c>
    </row>
    <row r="53" ht="12.75">
      <c r="O53" s="162" t="s">
        <v>174</v>
      </c>
    </row>
    <row r="54" ht="12.75">
      <c r="O54" s="162" t="s">
        <v>175</v>
      </c>
    </row>
    <row r="55" ht="12.75">
      <c r="O55" s="162" t="s">
        <v>176</v>
      </c>
    </row>
    <row r="56" ht="12.75">
      <c r="O56" s="162" t="s">
        <v>177</v>
      </c>
    </row>
    <row r="57" ht="12.75">
      <c r="O57" s="162" t="s">
        <v>178</v>
      </c>
    </row>
    <row r="58" ht="12.75">
      <c r="O58" s="162" t="s">
        <v>179</v>
      </c>
    </row>
    <row r="59" ht="12.75">
      <c r="O59" s="162" t="s">
        <v>180</v>
      </c>
    </row>
    <row r="60" ht="12.75">
      <c r="O60" s="162" t="s">
        <v>181</v>
      </c>
    </row>
    <row r="61" ht="12.75">
      <c r="O61" s="162" t="s">
        <v>182</v>
      </c>
    </row>
    <row r="62" ht="12.75">
      <c r="O62" s="162" t="s">
        <v>183</v>
      </c>
    </row>
    <row r="63" ht="12.75">
      <c r="O63" s="162" t="s">
        <v>184</v>
      </c>
    </row>
    <row r="64" ht="12.75">
      <c r="O64" s="162" t="s">
        <v>185</v>
      </c>
    </row>
    <row r="65" ht="12.75">
      <c r="O65" s="162" t="s">
        <v>186</v>
      </c>
    </row>
    <row r="66" ht="12.75">
      <c r="O66" s="162" t="s">
        <v>187</v>
      </c>
    </row>
    <row r="67" ht="12.75">
      <c r="O67" s="162" t="s">
        <v>188</v>
      </c>
    </row>
    <row r="68" ht="12.75">
      <c r="O68" s="162" t="s">
        <v>189</v>
      </c>
    </row>
    <row r="69" ht="12.75">
      <c r="O69" s="162" t="s">
        <v>190</v>
      </c>
    </row>
    <row r="70" ht="12.75">
      <c r="O70" s="162" t="s">
        <v>191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