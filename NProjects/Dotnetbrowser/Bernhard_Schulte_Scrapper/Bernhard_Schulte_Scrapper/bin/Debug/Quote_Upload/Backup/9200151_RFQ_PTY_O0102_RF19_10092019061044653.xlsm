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Quote!$A$1:$R$64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Quote!$A$45</definedName>
    <definedName name="Enquiry_To_Vendor_ID" comment="Enquiry to Vendor ID">Quote!$C$45</definedName>
    <definedName name="GrandTotal">Quote!$N$44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Quote!$A$37</definedName>
    <definedName name="ItemListStartupRow" comment="Item List Start Up Row">Quote!$A$19</definedName>
    <definedName name="ItemSubTotal">Quote!$N$43</definedName>
    <definedName name="ItemSubTotalTitle">Quote!$J$43</definedName>
    <definedName name="LeadDay">Quote!$M$11</definedName>
    <definedName name="Lock">Quote!$M$45</definedName>
    <definedName name="LoggedInEmailID">Quote!$N$45</definedName>
    <definedName name="LoggedInPwd">Quote!$O$45</definedName>
    <definedName name="OtherCharges">Quote!$C$39</definedName>
    <definedName name="OtherChargesLastRow">Quote!$A$43</definedName>
    <definedName name="OtherChargesStartRow">Quote!$A$38</definedName>
    <definedName name="Port">Quote!$P$45</definedName>
    <definedName name="PortOfDelivery" comment="Port of Delivery">Quote!$M$9</definedName>
    <definedName name="PurchaserName">Quote!$J$45</definedName>
    <definedName name="QuoteBefore">Quote!$M$8</definedName>
    <definedName name="QuoteID">MasterData!$N$7</definedName>
    <definedName name="QuoteSubject">Quote!$E$45</definedName>
    <definedName name="Remarks">Quote!$E$47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Quote!$K$45</definedName>
    <definedName name="SentIndex">Quote!$L$45</definedName>
    <definedName name="Server">Quote!$Q$45</definedName>
    <definedName name="Terms">Quote!$A$51:$T$72</definedName>
    <definedName name="ToEmailID">Quote!$I$45</definedName>
    <definedName name="ToEmailPwd">Quote!$H$45</definedName>
    <definedName name="VAL">Quote!$F$45</definedName>
    <definedName name="VAT_All">Quote!$M$16</definedName>
    <definedName name="Vendor_ID" comment="Vendor ID">Quote!$B$45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Quote!$D$45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Quote!$E$48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</definedName>
  </definedNames>
  <calcPr fullCalcOnLoad="1"/>
</workbook>
</file>

<file path=xl/sharedStrings.xml><?xml version="1.0" encoding="utf-8"?>
<sst xmlns="http://schemas.openxmlformats.org/spreadsheetml/2006/main" count="238" uniqueCount="174">
  <si>
    <t>RFQ</t>
  </si>
  <si>
    <t>Request for Quote</t>
  </si>
  <si>
    <t>Invoice To</t>
  </si>
  <si>
    <t>Bernhard Schulte Shipmanagement (Hong Kong) Limited Partnership
MASTER &amp; OWNER OF INTERLINK PRIORITY
		REGD. OWNER : OCY INNUKSUAC 4 LIMITED
		BERNHARD SCHULTE SHIPMANGEMENT (HONG KONG) LTD. PARTNERSHIP
                                          (AS AGENTS ONLY)
		2602, K WAH CENTRE, 191 JAVA ROAD, 
		NORTH POINT, HONG KONG
		TEL:  +852 2561 8838
		FAX:  +852 2561 8803
                Email: hk-smc-invoices@bs-shipmanagement.com</t>
  </si>
  <si>
    <t>Vessel</t>
  </si>
  <si>
    <t>Interlink Priority</t>
  </si>
  <si>
    <t>RFQ No.</t>
  </si>
  <si>
    <t>PTY/O0102/RF19</t>
  </si>
  <si>
    <t>RFQ Date</t>
  </si>
  <si>
    <t>Submit Quote Before:</t>
  </si>
  <si>
    <t>Port of Delivery</t>
  </si>
  <si>
    <t>Changzhou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</si>
  <si>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</si>
  <si>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</si>
  <si>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</si>
  <si>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</si>
  <si>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</si>
  <si>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</si>
  <si>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</si>
  <si>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</si>
  <si>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</si>
  <si>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</si>
  <si>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</si>
  <si>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</si>
  <si>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</si>
  <si>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</si>
  <si>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</si>
  <si>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</si>
  <si>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</si>
  <si>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</si>
  <si>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</si>
  <si>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</si>
  <si>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</si>
  <si>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</si>
  <si>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</si>
  <si>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</si>
  <si>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</si>
  <si>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</si>
  <si>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</si>
  <si>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</si>
  <si>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REFRIGERANT LEAK DETECTION KIT, UV, UNIVERSAL TRACER FLUID FOR ALL OIL TYPES-TOOLS</t>
  </si>
  <si>
    <t>PCS</t>
  </si>
  <si>
    <t>Magnet &amp; Volt Sticks Pack, Simple and quick tool to test solenoid valve activation and if there is power supplied to the system components.</t>
  </si>
  <si>
    <t>UNITOR 743476</t>
  </si>
  <si>
    <t>UNITOR 320320</t>
  </si>
  <si>
    <t>UWI-320TP WELDING INVERTER, 320Amps welding capacity, capable to perform Stick/TIG welding, electrode size upto 5 mm.</t>
  </si>
  <si>
    <t>GASES</t>
  </si>
  <si>
    <t>UNICOOL R-407C 52 KG REFRIGERANT-R-407C</t>
  </si>
  <si>
    <t>UNICOOL R-407-C 11 KG REFRIGERANT-R-407C</t>
  </si>
  <si>
    <t>UCT-500 COMBINATION TORCH MASTERKIT FOR GAS WELDING/CUTTING-WELDING BRAZING AND CUTTING TORCH</t>
  </si>
  <si>
    <t>SHADE 12 GLASS. 5 SET 60 X 110MM FOR ARC WELDING-WELDERS PROTECTION</t>
  </si>
  <si>
    <t>FLASHBACK ARRESTOR W-66S OXYGEN-GAS CYLINDERS, REGULATORS AND FLASHBACK ARRESTOR</t>
  </si>
  <si>
    <t>FLASHBACK ARRESTOR W-66S ACETYLENE-GAS CYLINDERS, REGULATORS AND FLASHBACK ARRESTOR</t>
  </si>
  <si>
    <t>GAS IGNITOR TRIPLEX 2 PCS FOR GAS WELDING-GAS WELDER ACCESSORIES</t>
  </si>
  <si>
    <t>FLIPVISION WELDING FACE SHIELD WITH HEADBAND AND SHADE 11 GLASS-WELDERS PROTECTION</t>
  </si>
  <si>
    <t>23/14-322N 3.2X350MM 50 ELECTRODES 2.0 KG-COATED STICK ELECTODES</t>
  </si>
  <si>
    <t>23/14-322N 2.5X300MM 84 ELECTRODES 1.7 KG-COATED STICK ELECTODES</t>
  </si>
  <si>
    <t>LH-314N BOX 3.2X450MM 96 ELECTRODES 5KG-COATED STICK ELECTODES</t>
  </si>
  <si>
    <t>LH-314N BOX 2.5X350MM 161 ELECTRODES 4.0KG-COATED STICK ELECTODES</t>
  </si>
  <si>
    <t>GAS HOSE TWIN HOSE 2 X 9.0MM (3/8") RED/BLUE-GAS HOSES AND COUPLINGS</t>
  </si>
  <si>
    <t>LENGTH;25M</t>
  </si>
  <si>
    <t>SAFETY GRINDING GOGGLES WITH ANTI MIST ACETATE LENS-GAS WELDER ACCESSORIES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</si>
  <si>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</si>
  <si>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</si>
  <si>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</si>
  <si>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</si>
  <si>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</si>
  <si>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</si>
  <si>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</si>
  <si>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</si>
  <si>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</si>
  <si>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</si>
  <si>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</si>
  <si>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</si>
  <si>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</si>
  <si>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</si>
  <si>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</si>
  <si>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</si>
  <si>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</si>
  <si>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</si>
  <si>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</si>
  <si>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</si>
  <si>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</si>
  <si>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</si>
  <si>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</si>
  <si>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</si>
  <si>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</si>
  <si>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</si>
  <si>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</si>
  <si>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GASES, WELDING-CUTTING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</si>
  <si>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</si>
  <si>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</si>
  <si>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</si>
  <si>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</si>
  <si>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</si>
  <si>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</si>
  <si>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</si>
  <si>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</si>
  <si>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</si>
  <si>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</si>
  <si>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</si>
  <si>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</si>
  <si>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</si>
  <si>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</si>
  <si>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</si>
  <si>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</si>
  <si>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</si>
  <si>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</si>
  <si>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</si>
  <si>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</si>
  <si>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</si>
  <si>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</si>
  <si>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</si>
  <si>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</si>
  <si>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</si>
  <si>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</si>
  <si>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</si>
  <si>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</si>
  <si>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</si>
  <si>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</si>
  <si>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</si>
  <si>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</si>
  <si>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</si>
  <si>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</si>
  <si>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</si>
  <si>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</si>
  <si>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</si>
  <si>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</si>
  <si>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</si>
  <si>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</si>
  <si>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</si>
  <si>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</si>
  <si>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</si>
  <si>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</si>
  <si>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</si>
  <si>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</si>
  <si>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</si>
  <si>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</si>
  <si>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</si>
  <si>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</si>
  <si>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</si>
  <si>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</si>
  <si>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</si>
  <si>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</si>
  <si>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</si>
  <si>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</si>
  <si>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</si>
  <si>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</si>
  <si>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</si>
  <si>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</si>
  <si>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</si>
  <si>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</si>
  <si>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</si>
  <si>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</si>
  <si>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</si>
  <si>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</si>
  <si>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</si>
  <si>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</si>
  <si>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</si>
  <si>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</si>
  <si>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</si>
  <si>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</si>
  <si>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</si>
  <si>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</si>
  <si>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BJD1909101825575LET</t>
  </si>
  <si>
    <t>PLS CHECK ATTACHMENT</t>
  </si>
  <si>
    <t>UNITOR</t>
  </si>
  <si>
    <t>UNITOR3 20320UWI-320TP WELDING INVERTER,UNIT PRICE 6751.67USD/SET</t>
  </si>
  <si>
    <t>TOTAL PRICE FOR 50KG=10KG/BTL*5BTL,DISPOSABLE</t>
  </si>
  <si>
    <t>10KG/BTL,DISPOSABLE</t>
  </si>
  <si>
    <t>EQUIVALENT</t>
  </si>
  <si>
    <t>UNITOR,UNIT PRICE 362.15USD/PC</t>
  </si>
  <si>
    <t>SAME AS ABV</t>
  </si>
  <si>
    <t xml:space="preserve">
Date promised : 2019-09-15
Quote validity : 2019-10-12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</si>
</sst>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4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38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157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99990009861327</v>
      </c>
      <c r="C20" s="227">
        <v>606268</v>
      </c>
      <c r="D20" s="228" t="s">
        <v>40</v>
      </c>
      <c r="E20" s="229"/>
      <c r="F20" s="229">
        <v>606268</v>
      </c>
      <c r="G20" s="229" t="s">
        <v>41</v>
      </c>
      <c r="H20" s="230">
        <v>0</v>
      </c>
      <c r="I20" s="231">
        <v>1</v>
      </c>
      <c r="J20" s="232">
        <v>326.96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165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99990011913839</v>
      </c>
      <c r="C21" s="227">
        <v>2637324</v>
      </c>
      <c r="D21" s="228" t="s">
        <v>42</v>
      </c>
      <c r="E21" s="229"/>
      <c r="F21" s="229" t="s">
        <v>43</v>
      </c>
      <c r="G21" s="229" t="s">
        <v>41</v>
      </c>
      <c r="H21" s="230">
        <v>0</v>
      </c>
      <c r="I21" s="231">
        <v>1</v>
      </c>
      <c r="J21" s="232">
        <v>129.13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166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99990012805540</v>
      </c>
      <c r="C22" s="227" t="s">
        <v>44</v>
      </c>
      <c r="D22" s="228" t="s">
        <v>45</v>
      </c>
      <c r="E22" s="229"/>
      <c r="F22" s="229" t="s">
        <v>44</v>
      </c>
      <c r="G22" s="229" t="s">
        <v>41</v>
      </c>
      <c r="H22" s="230">
        <v>0</v>
      </c>
      <c r="I22" s="231">
        <v>1</v>
      </c>
      <c r="J22" s="232">
        <v>0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167</v>
      </c>
      <c r="Q22" s="236"/>
      <c r="R22" s="237"/>
      <c r="S22" s="238"/>
      <c r="T22" s="239"/>
    </row>
    <row r="23" spans="1:20" ht="24" customHeight="1">
      <c r="A23" s="226">
        <v>4</v>
      </c>
      <c r="B23" s="226">
        <v>99990009860945</v>
      </c>
      <c r="C23" s="227" t="s">
        <v>46</v>
      </c>
      <c r="D23" s="228" t="s">
        <v>47</v>
      </c>
      <c r="E23" s="229"/>
      <c r="F23" s="229">
        <v>905607</v>
      </c>
      <c r="G23" s="229" t="s">
        <v>41</v>
      </c>
      <c r="H23" s="230">
        <v>0</v>
      </c>
      <c r="I23" s="231">
        <v>1</v>
      </c>
      <c r="J23" s="232">
        <v>427.1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168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99990009860946</v>
      </c>
      <c r="C24" s="227" t="s">
        <v>46</v>
      </c>
      <c r="D24" s="228" t="s">
        <v>48</v>
      </c>
      <c r="E24" s="229"/>
      <c r="F24" s="229">
        <v>905624</v>
      </c>
      <c r="G24" s="229" t="s">
        <v>41</v>
      </c>
      <c r="H24" s="230">
        <v>0</v>
      </c>
      <c r="I24" s="231">
        <v>2</v>
      </c>
      <c r="J24" s="232">
        <v>85.42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 t="s">
        <v>169</v>
      </c>
      <c r="Q24" s="236"/>
      <c r="R24" s="237"/>
      <c r="S24" s="238"/>
      <c r="T24" s="239"/>
    </row>
    <row r="25" spans="1:20" ht="24" customHeight="1">
      <c r="A25" s="226">
        <v>6</v>
      </c>
      <c r="B25" s="226">
        <v>99990009861395</v>
      </c>
      <c r="C25" s="227">
        <v>500000</v>
      </c>
      <c r="D25" s="228" t="s">
        <v>49</v>
      </c>
      <c r="E25" s="229"/>
      <c r="F25" s="229">
        <v>500000</v>
      </c>
      <c r="G25" s="229" t="s">
        <v>41</v>
      </c>
      <c r="H25" s="230">
        <v>0</v>
      </c>
      <c r="I25" s="231">
        <v>1</v>
      </c>
      <c r="J25" s="232">
        <v>28.42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170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99990009861649</v>
      </c>
      <c r="C26" s="227">
        <v>633271</v>
      </c>
      <c r="D26" s="228" t="s">
        <v>50</v>
      </c>
      <c r="E26" s="229"/>
      <c r="F26" s="229">
        <v>633271</v>
      </c>
      <c r="G26" s="229" t="s">
        <v>41</v>
      </c>
      <c r="H26" s="230">
        <v>0</v>
      </c>
      <c r="I26" s="231">
        <v>1</v>
      </c>
      <c r="J26" s="232">
        <v>0.16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170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99990009861495</v>
      </c>
      <c r="C27" s="227">
        <v>302976</v>
      </c>
      <c r="D27" s="228" t="s">
        <v>51</v>
      </c>
      <c r="E27" s="229"/>
      <c r="F27" s="229">
        <v>302976</v>
      </c>
      <c r="G27" s="229" t="s">
        <v>41</v>
      </c>
      <c r="H27" s="230">
        <v>0</v>
      </c>
      <c r="I27" s="231">
        <v>1</v>
      </c>
      <c r="J27" s="232">
        <v>0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171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99990009861496</v>
      </c>
      <c r="C28" s="227">
        <v>183970</v>
      </c>
      <c r="D28" s="228" t="s">
        <v>52</v>
      </c>
      <c r="E28" s="229"/>
      <c r="F28" s="229">
        <v>183970</v>
      </c>
      <c r="G28" s="229" t="s">
        <v>41</v>
      </c>
      <c r="H28" s="230">
        <v>0</v>
      </c>
      <c r="I28" s="231">
        <v>1</v>
      </c>
      <c r="J28" s="232">
        <v>0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171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99990009861475</v>
      </c>
      <c r="C29" s="227">
        <v>633198</v>
      </c>
      <c r="D29" s="228" t="s">
        <v>53</v>
      </c>
      <c r="E29" s="229"/>
      <c r="F29" s="229">
        <v>633198</v>
      </c>
      <c r="G29" s="229" t="s">
        <v>41</v>
      </c>
      <c r="H29" s="230">
        <v>0</v>
      </c>
      <c r="I29" s="231">
        <v>1</v>
      </c>
      <c r="J29" s="232">
        <v>25.83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166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99990009861658</v>
      </c>
      <c r="C30" s="227">
        <v>709485</v>
      </c>
      <c r="D30" s="228" t="s">
        <v>54</v>
      </c>
      <c r="E30" s="229"/>
      <c r="F30" s="229">
        <v>709485</v>
      </c>
      <c r="G30" s="229" t="s">
        <v>41</v>
      </c>
      <c r="H30" s="230">
        <v>0</v>
      </c>
      <c r="I30" s="231">
        <v>1</v>
      </c>
      <c r="J30" s="232">
        <v>53.77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 t="s">
        <v>170</v>
      </c>
      <c r="Q30" s="236"/>
      <c r="R30" s="237"/>
      <c r="S30" s="238"/>
      <c r="T30" s="239"/>
    </row>
    <row r="31" spans="1:20" ht="24" customHeight="1">
      <c r="A31" s="226">
        <v>12</v>
      </c>
      <c r="B31" s="226">
        <v>99990009861577</v>
      </c>
      <c r="C31" s="227">
        <v>699439</v>
      </c>
      <c r="D31" s="228" t="s">
        <v>55</v>
      </c>
      <c r="E31" s="229"/>
      <c r="F31" s="229">
        <v>699439</v>
      </c>
      <c r="G31" s="229" t="s">
        <v>41</v>
      </c>
      <c r="H31" s="230">
        <v>0</v>
      </c>
      <c r="I31" s="231">
        <v>1</v>
      </c>
      <c r="J31" s="232">
        <v>191.54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 t="s">
        <v>166</v>
      </c>
      <c r="Q31" s="236"/>
      <c r="R31" s="237"/>
      <c r="S31" s="238"/>
      <c r="T31" s="239"/>
    </row>
    <row r="32" spans="1:20" ht="24" customHeight="1">
      <c r="A32" s="226">
        <v>13</v>
      </c>
      <c r="B32" s="226">
        <v>99990009861578</v>
      </c>
      <c r="C32" s="227">
        <v>699421</v>
      </c>
      <c r="D32" s="228" t="s">
        <v>56</v>
      </c>
      <c r="E32" s="229"/>
      <c r="F32" s="229">
        <v>699421</v>
      </c>
      <c r="G32" s="229" t="s">
        <v>41</v>
      </c>
      <c r="H32" s="230">
        <v>0</v>
      </c>
      <c r="I32" s="231">
        <v>1</v>
      </c>
      <c r="J32" s="232">
        <v>8.55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170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99990009861557</v>
      </c>
      <c r="C33" s="227">
        <v>699272</v>
      </c>
      <c r="D33" s="228" t="s">
        <v>57</v>
      </c>
      <c r="E33" s="229"/>
      <c r="F33" s="229">
        <v>699272</v>
      </c>
      <c r="G33" s="229" t="s">
        <v>41</v>
      </c>
      <c r="H33" s="230">
        <v>0</v>
      </c>
      <c r="I33" s="231">
        <v>2</v>
      </c>
      <c r="J33" s="232">
        <v>0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172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99990009861558</v>
      </c>
      <c r="C34" s="227">
        <v>699264</v>
      </c>
      <c r="D34" s="228" t="s">
        <v>58</v>
      </c>
      <c r="E34" s="229"/>
      <c r="F34" s="229">
        <v>699264</v>
      </c>
      <c r="G34" s="229" t="s">
        <v>41</v>
      </c>
      <c r="H34" s="230">
        <v>0</v>
      </c>
      <c r="I34" s="231">
        <v>2</v>
      </c>
      <c r="J34" s="232">
        <v>9.03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 t="s">
        <v>170</v>
      </c>
      <c r="Q34" s="236"/>
      <c r="R34" s="237"/>
      <c r="S34" s="238"/>
      <c r="T34" s="239"/>
    </row>
    <row r="35" spans="1:20" ht="24" customHeight="1">
      <c r="A35" s="226">
        <v>16</v>
      </c>
      <c r="B35" s="226">
        <v>99990009861486</v>
      </c>
      <c r="C35" s="227">
        <v>624312</v>
      </c>
      <c r="D35" s="228" t="s">
        <v>59</v>
      </c>
      <c r="E35" s="229"/>
      <c r="F35" s="229">
        <v>624312</v>
      </c>
      <c r="G35" s="229" t="s">
        <v>41</v>
      </c>
      <c r="H35" s="230">
        <v>0</v>
      </c>
      <c r="I35" s="231">
        <v>1</v>
      </c>
      <c r="J35" s="232">
        <v>1.33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170</v>
      </c>
      <c r="Q35" s="236"/>
      <c r="R35" s="237" t="s">
        <v>60</v>
      </c>
      <c r="S35" s="238"/>
      <c r="T35" s="239"/>
    </row>
    <row r="36" spans="1:20" ht="24" customHeight="1">
      <c r="A36" s="226">
        <v>17</v>
      </c>
      <c r="B36" s="226">
        <v>99990009861471</v>
      </c>
      <c r="C36" s="227">
        <v>653410</v>
      </c>
      <c r="D36" s="228" t="s">
        <v>61</v>
      </c>
      <c r="E36" s="229"/>
      <c r="F36" s="229">
        <v>653410</v>
      </c>
      <c r="G36" s="229" t="s">
        <v>41</v>
      </c>
      <c r="H36" s="230">
        <v>0</v>
      </c>
      <c r="I36" s="231">
        <v>5</v>
      </c>
      <c r="J36" s="232">
        <v>0.77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170</v>
      </c>
      <c r="Q36" s="236"/>
      <c r="R36" s="237"/>
      <c r="S36" s="238"/>
      <c r="T36" s="239"/>
    </row>
    <row r="37" spans="1:20" ht="15" customHeight="1">
      <c r="A37" s="32"/>
      <c r="B37" s="295"/>
      <c r="C37" s="296"/>
      <c r="D37" s="296"/>
      <c r="E37" s="296"/>
      <c r="F37" s="296"/>
      <c r="G37" s="296"/>
      <c r="H37" s="297"/>
      <c r="I37" s="297"/>
      <c r="J37" s="297"/>
      <c r="K37" s="297"/>
      <c r="L37" s="297"/>
      <c r="M37" s="297"/>
      <c r="N37" s="297"/>
      <c r="O37" s="297"/>
      <c r="P37" s="297"/>
      <c r="Q37" s="297"/>
      <c r="R37" s="297"/>
      <c r="S37" s="297"/>
      <c r="T37" s="298"/>
    </row>
    <row r="38" spans="1:20" ht="12.75" customHeight="1">
      <c r="A38" s="289" t="s">
        <v>28</v>
      </c>
      <c r="B38" s="289"/>
      <c r="C38" s="290" t="s">
        <v>62</v>
      </c>
      <c r="D38" s="291"/>
      <c r="E38" s="291"/>
      <c r="F38" s="291"/>
      <c r="G38" s="291"/>
      <c r="H38" s="291"/>
      <c r="I38" s="292"/>
      <c r="J38" s="292" t="s">
        <v>63</v>
      </c>
      <c r="K38" s="292"/>
      <c r="L38" s="292" t="s">
        <v>35</v>
      </c>
      <c r="M38" s="292" t="s">
        <v>36</v>
      </c>
      <c r="N38" s="293" t="s">
        <v>64</v>
      </c>
      <c r="O38" s="294" t="s">
        <v>38</v>
      </c>
      <c r="P38" s="294"/>
      <c r="Q38" s="294"/>
      <c r="R38" s="294"/>
      <c r="S38" s="294"/>
      <c r="T38" s="225"/>
    </row>
    <row r="39" spans="1:20" ht="15" customHeight="1">
      <c r="A39" s="269">
        <v>1</v>
      </c>
      <c r="B39" s="270"/>
      <c r="C39" s="271" t="s">
        <v>65</v>
      </c>
      <c r="D39" s="272" t="s">
        <v>65</v>
      </c>
      <c r="E39" s="272" t="s">
        <v>65</v>
      </c>
      <c r="F39" s="272" t="s">
        <v>65</v>
      </c>
      <c r="G39" s="272" t="s">
        <v>65</v>
      </c>
      <c r="H39" s="273" t="s">
        <v>65</v>
      </c>
      <c r="I39" s="274"/>
      <c r="J39" s="275">
        <v>0</v>
      </c>
      <c r="K39" s="276"/>
      <c r="L39" s="277">
        <v>0</v>
      </c>
      <c r="M39" s="277">
        <v>0</v>
      </c>
      <c r="N39" s="285">
        <f>(J39-(J39*L39/100)+((J39-(J39*L39/100))*M39/100))</f>
      </c>
      <c r="O39" s="286"/>
      <c r="P39" s="287"/>
      <c r="Q39" s="287"/>
      <c r="R39" s="287"/>
      <c r="S39" s="288"/>
      <c r="T39" s="283"/>
    </row>
    <row r="40" spans="1:20" ht="15" customHeight="1">
      <c r="A40" s="269">
        <v>2</v>
      </c>
      <c r="B40" s="270"/>
      <c r="C40" s="271" t="s">
        <v>66</v>
      </c>
      <c r="D40" s="272" t="s">
        <v>66</v>
      </c>
      <c r="E40" s="272" t="s">
        <v>66</v>
      </c>
      <c r="F40" s="272" t="s">
        <v>66</v>
      </c>
      <c r="G40" s="272" t="s">
        <v>66</v>
      </c>
      <c r="H40" s="273" t="s">
        <v>66</v>
      </c>
      <c r="I40" s="284"/>
      <c r="J40" s="275">
        <v>0</v>
      </c>
      <c r="K40" s="276"/>
      <c r="L40" s="277">
        <v>0</v>
      </c>
      <c r="M40" s="277">
        <v>0</v>
      </c>
      <c r="N40" s="279">
        <f>(J40-(J40*L40/100)+((J40-(J40*L40/100))*M40/100))</f>
      </c>
      <c r="O40" s="280"/>
      <c r="P40" s="281"/>
      <c r="Q40" s="281"/>
      <c r="R40" s="281"/>
      <c r="S40" s="282"/>
      <c r="T40" s="283"/>
    </row>
    <row r="41" spans="1:20" ht="15" customHeight="1">
      <c r="A41" s="269">
        <v>3</v>
      </c>
      <c r="B41" s="270"/>
      <c r="C41" s="271"/>
      <c r="D41" s="272"/>
      <c r="E41" s="272"/>
      <c r="F41" s="272"/>
      <c r="G41" s="272"/>
      <c r="H41" s="273"/>
      <c r="I41" s="274"/>
      <c r="J41" s="275">
        <v>0</v>
      </c>
      <c r="K41" s="276"/>
      <c r="L41" s="277">
        <v>0</v>
      </c>
      <c r="M41" s="277">
        <v>0</v>
      </c>
      <c r="N41" s="279">
        <f>(J41-(J41*L41/100)+((J41-(J41*L41/100))*M41/100))</f>
      </c>
      <c r="O41" s="280"/>
      <c r="P41" s="281"/>
      <c r="Q41" s="281"/>
      <c r="R41" s="281"/>
      <c r="S41" s="282"/>
      <c r="T41" s="283"/>
    </row>
    <row r="42" spans="1:20" ht="15.75" customHeight="1">
      <c r="A42" s="269">
        <v>4</v>
      </c>
      <c r="B42" s="270"/>
      <c r="C42" s="271"/>
      <c r="D42" s="272"/>
      <c r="E42" s="272"/>
      <c r="F42" s="272"/>
      <c r="G42" s="272"/>
      <c r="H42" s="273"/>
      <c r="I42" s="274"/>
      <c r="J42" s="275">
        <v>0</v>
      </c>
      <c r="K42" s="276"/>
      <c r="L42" s="277">
        <v>0</v>
      </c>
      <c r="M42" s="278">
        <v>0</v>
      </c>
      <c r="N42" s="279">
        <f>(J42-(J42*L42/100)+((J42-(J42*L42/100))*M42/100))</f>
      </c>
      <c r="O42" s="280"/>
      <c r="P42" s="281"/>
      <c r="Q42" s="281"/>
      <c r="R42" s="281"/>
      <c r="S42" s="282"/>
      <c r="T42" s="283"/>
    </row>
    <row r="43" spans="1:16" ht="15.95" customHeight="1">
      <c r="A43" s="247"/>
      <c r="B43" s="247"/>
      <c r="C43" s="248"/>
      <c r="D43" s="248"/>
      <c r="I43" s="163"/>
      <c r="J43" s="58" t="s">
        <v>67</v>
      </c>
      <c r="K43" s="59"/>
      <c r="L43" s="58"/>
      <c r="M43" s="59"/>
      <c r="N43" s="264">
        <f>SUM(ItmPrice)</f>
      </c>
      <c r="O43" s="267"/>
      <c r="P43" s="268"/>
    </row>
    <row r="44" spans="1:16" ht="15" customHeight="1">
      <c r="A44" s="247"/>
      <c r="B44" s="247"/>
      <c r="C44" s="248"/>
      <c r="D44" s="248"/>
      <c r="I44" s="163"/>
      <c r="J44" s="123" t="s">
        <v>68</v>
      </c>
      <c r="K44" s="124"/>
      <c r="L44" s="124"/>
      <c r="M44" s="125"/>
      <c r="N44" s="264">
        <f>SUM(N39:N43)</f>
      </c>
      <c r="O44" s="265"/>
      <c r="P44" s="266"/>
    </row>
    <row r="45" spans="1:19" ht="2.25" customHeight="1" hidden="1">
      <c r="A45" s="258">
        <v>0</v>
      </c>
      <c r="B45" s="258">
        <v>0</v>
      </c>
      <c r="C45" s="259">
        <v>0</v>
      </c>
      <c r="D45" s="248"/>
      <c r="E45" s="248"/>
      <c r="F45" s="260">
        <v>1</v>
      </c>
      <c r="G45" s="248"/>
      <c r="H45" s="248"/>
      <c r="I45" s="248"/>
      <c r="J45" s="248"/>
      <c r="K45" s="261"/>
      <c r="L45" s="262">
        <v>0</v>
      </c>
      <c r="M45" s="263">
        <v>0</v>
      </c>
      <c r="N45" s="162" t="s">
        <v>69</v>
      </c>
      <c r="O45" s="257"/>
      <c r="P45" s="263">
        <v>995</v>
      </c>
      <c r="Q45" s="248" t="s">
        <v>70</v>
      </c>
      <c r="R45" s="248"/>
      <c r="S45" s="248"/>
    </row>
    <row r="46" spans="1:19" ht="18.75" customHeight="1">
      <c r="A46" s="247"/>
      <c r="B46" s="247"/>
      <c r="C46" s="247"/>
      <c r="H46" s="257"/>
      <c r="I46" s="163"/>
      <c r="J46" s="248"/>
      <c r="K46" s="248"/>
      <c r="L46" s="248"/>
      <c r="M46" s="248"/>
      <c r="N46" s="248"/>
      <c r="O46" s="248"/>
      <c r="P46" s="248"/>
      <c r="R46" s="248"/>
      <c r="S46" s="248"/>
    </row>
    <row r="47" spans="1:20" ht="127.5" customHeight="1">
      <c r="A47" s="249" t="s">
        <v>71</v>
      </c>
      <c r="B47" s="249"/>
      <c r="C47" s="249"/>
      <c r="D47" s="250"/>
      <c r="E47" s="254"/>
      <c r="F47" s="255"/>
      <c r="G47" s="255"/>
      <c r="H47" s="255"/>
      <c r="I47" s="255"/>
      <c r="J47" s="255"/>
      <c r="K47" s="255"/>
      <c r="L47" s="255"/>
      <c r="M47" s="255"/>
      <c r="N47" s="255"/>
      <c r="O47" s="255"/>
      <c r="P47" s="255"/>
      <c r="Q47" s="255"/>
      <c r="R47" s="255"/>
      <c r="S47" s="255"/>
      <c r="T47" s="256"/>
    </row>
    <row r="48" spans="1:20" ht="129.75" customHeight="1">
      <c r="A48" s="249" t="s">
        <v>38</v>
      </c>
      <c r="B48" s="249"/>
      <c r="C48" s="249"/>
      <c r="D48" s="250"/>
      <c r="E48" s="251" t="s">
        <v>173</v>
      </c>
      <c r="F48" s="252"/>
      <c r="G48" s="252"/>
      <c r="H48" s="252"/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3"/>
    </row>
    <row r="49" spans="1:19" ht="15.95" customHeight="1">
      <c r="A49" s="247"/>
      <c r="B49" s="247"/>
      <c r="C49" s="247"/>
      <c r="H49" s="248"/>
      <c r="I49" s="248"/>
      <c r="J49" s="248"/>
      <c r="K49" s="248"/>
      <c r="L49" s="248"/>
      <c r="M49" s="248"/>
      <c r="N49" s="248"/>
      <c r="O49" s="248"/>
      <c r="P49" s="248"/>
      <c r="Q49" s="248"/>
      <c r="R49" s="248"/>
      <c r="S49" s="248"/>
    </row>
    <row r="50" spans="1:20" ht="15.95" customHeight="1">
      <c r="A50" s="245" t="s">
        <v>72</v>
      </c>
      <c r="B50" s="245"/>
      <c r="C50" s="245"/>
      <c r="D50" s="245"/>
      <c r="E50" s="245"/>
      <c r="F50" s="245"/>
      <c r="G50" s="245"/>
      <c r="H50" s="245"/>
      <c r="I50" s="245"/>
      <c r="J50" s="245"/>
      <c r="K50" s="245"/>
      <c r="L50" s="245"/>
      <c r="M50" s="245"/>
      <c r="N50" s="245"/>
      <c r="O50" s="245"/>
      <c r="P50" s="245"/>
      <c r="Q50" s="245"/>
      <c r="R50" s="245"/>
      <c r="S50" s="245"/>
      <c r="T50" s="246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7.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7.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7.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1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41"/>
      <c r="M73" s="241"/>
      <c r="N73" s="241"/>
      <c r="O73" s="241"/>
      <c r="P73" s="241"/>
      <c r="Q73" s="241"/>
      <c r="R73" s="241"/>
      <c r="S73" s="241"/>
      <c r="T73" s="242"/>
    </row>
    <row r="74" spans="1:9" ht="12.75">
      <c r="A74" s="240" t="s">
        <v>73</v>
      </c>
      <c r="B74" s="240"/>
      <c r="C74" s="240"/>
      <c r="D74" s="240"/>
      <c r="E74" s="240"/>
      <c r="F74" s="240"/>
      <c r="G74" s="240"/>
      <c r="I74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99">
    <mergeCell ref="E47:S47"/>
    <mergeCell ref="E48:S48"/>
    <mergeCell ref="E50:S50"/>
    <mergeCell ref="A51:S72"/>
    <mergeCell ref="A73:S73"/>
    <mergeCell ref="A47:D47"/>
    <mergeCell ref="A48:D48"/>
    <mergeCell ref="K1:R1"/>
    <mergeCell ref="R19:S19"/>
    <mergeCell ref="R20:S20"/>
    <mergeCell ref="O39:S39"/>
    <mergeCell ref="O40:S40"/>
    <mergeCell ref="O38:S38"/>
    <mergeCell ref="J38:K38"/>
    <mergeCell ref="K4:L4"/>
    <mergeCell ref="M4:P4"/>
    <mergeCell ref="K5:L5"/>
    <mergeCell ref="M5:P5"/>
    <mergeCell ref="M7:Q7"/>
    <mergeCell ref="P20:Q20"/>
    <mergeCell ref="M12:O12"/>
    <mergeCell ref="K12:L12"/>
    <mergeCell ref="O43:P43"/>
    <mergeCell ref="O44:P44"/>
    <mergeCell ref="J44:M44"/>
    <mergeCell ref="O41:S41"/>
    <mergeCell ref="O42:S42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8:H38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C39:H39"/>
    <mergeCell ref="J39:K39"/>
    <mergeCell ref="C40:H40"/>
    <mergeCell ref="J40:K40"/>
    <mergeCell ref="C41:H41"/>
    <mergeCell ref="J41:K41"/>
    <mergeCell ref="C42:H42"/>
    <mergeCell ref="J42:K42"/>
  </mergeCells>
  <dataValidations count="7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list" allowBlank="1" showInputMessage="1" showErrorMessage="1" sqref="C39:H39">
      <formula1>'MasterData'!$H$1:$H$14</formula1>
    </dataValidation>
    <dataValidation type="list" allowBlank="1" showInputMessage="1" showErrorMessage="1" sqref="C40:H40">
      <formula1>'MasterData'!$H$1:$H$14</formula1>
    </dataValidation>
    <dataValidation type="list" allowBlank="1" showInputMessage="1" showErrorMessage="1" sqref="C41:H41">
      <formula1>'MasterData'!$H$1:$H$14</formula1>
    </dataValidation>
    <dataValidation type="list" allowBlank="1" showInputMessage="1" showErrorMessage="1" sqref="C42:H42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65</v>
      </c>
      <c r="M1" s="300" t="s">
        <v>74</v>
      </c>
      <c r="N1" s="301" t="s">
        <v>0</v>
      </c>
      <c r="O1" s="162" t="s">
        <v>75</v>
      </c>
    </row>
    <row r="2" spans="7:15" ht="12.75">
      <c r="G2" s="162">
        <v>1001310</v>
      </c>
      <c r="H2" s="162" t="s">
        <v>66</v>
      </c>
      <c r="M2" s="300" t="s">
        <v>76</v>
      </c>
      <c r="N2" s="301">
        <v>1020682099</v>
      </c>
      <c r="O2" s="162" t="s">
        <v>77</v>
      </c>
    </row>
    <row r="3" spans="7:15" ht="12.75">
      <c r="G3" s="162">
        <v>1012729</v>
      </c>
      <c r="H3" s="162" t="s">
        <v>78</v>
      </c>
      <c r="M3" s="300" t="s">
        <v>79</v>
      </c>
      <c r="N3" s="301">
        <v>99990000413709</v>
      </c>
      <c r="O3" s="162" t="s">
        <v>80</v>
      </c>
    </row>
    <row r="4" spans="7:15" ht="12.75">
      <c r="G4" s="162">
        <v>1012730</v>
      </c>
      <c r="H4" s="162" t="s">
        <v>81</v>
      </c>
      <c r="M4" s="300" t="s">
        <v>82</v>
      </c>
      <c r="N4" s="301">
        <v>1021728186</v>
      </c>
      <c r="O4" s="162" t="s">
        <v>83</v>
      </c>
    </row>
    <row r="5" spans="7:15" ht="12.75">
      <c r="G5" s="162">
        <v>1012731</v>
      </c>
      <c r="H5" s="162" t="s">
        <v>84</v>
      </c>
      <c r="M5" s="300" t="s">
        <v>85</v>
      </c>
      <c r="N5" s="301"/>
      <c r="O5" s="162" t="s">
        <v>86</v>
      </c>
    </row>
    <row r="6" spans="7:15" ht="12.75">
      <c r="G6" s="162">
        <v>1012732</v>
      </c>
      <c r="H6" s="162" t="s">
        <v>87</v>
      </c>
      <c r="M6" s="300" t="s">
        <v>88</v>
      </c>
      <c r="N6" s="301" t="s">
        <v>89</v>
      </c>
      <c r="O6" s="162" t="s">
        <v>90</v>
      </c>
    </row>
    <row r="7" spans="7:15" ht="12.75">
      <c r="G7" s="162">
        <v>1012733</v>
      </c>
      <c r="H7" s="162" t="s">
        <v>91</v>
      </c>
      <c r="M7" s="300" t="s">
        <v>92</v>
      </c>
      <c r="N7" s="301">
        <v>0</v>
      </c>
      <c r="O7" s="162" t="s">
        <v>93</v>
      </c>
    </row>
    <row r="8" spans="7:15" ht="12.75">
      <c r="G8" s="162">
        <v>1012735</v>
      </c>
      <c r="H8" s="162" t="s">
        <v>94</v>
      </c>
      <c r="O8" s="162" t="s">
        <v>95</v>
      </c>
    </row>
    <row r="9" spans="7:15" ht="12.75">
      <c r="G9" s="162">
        <v>1012736</v>
      </c>
      <c r="H9" s="162" t="s">
        <v>96</v>
      </c>
      <c r="O9" s="162" t="s">
        <v>97</v>
      </c>
    </row>
    <row r="10" spans="7:15" ht="12.75">
      <c r="G10" s="162">
        <v>1012737</v>
      </c>
      <c r="H10" s="162" t="s">
        <v>98</v>
      </c>
      <c r="O10" s="162" t="s">
        <v>99</v>
      </c>
    </row>
    <row r="11" spans="7:15" ht="12.75">
      <c r="G11" s="162">
        <v>1012741</v>
      </c>
      <c r="H11" s="162" t="s">
        <v>100</v>
      </c>
      <c r="O11" s="162" t="s">
        <v>101</v>
      </c>
    </row>
    <row r="12" spans="7:15" ht="12.75">
      <c r="G12" s="162">
        <v>1012742</v>
      </c>
      <c r="H12" s="162" t="s">
        <v>102</v>
      </c>
      <c r="O12" s="162" t="s">
        <v>103</v>
      </c>
    </row>
    <row r="13" spans="7:15" ht="12.75">
      <c r="G13" s="162">
        <v>1012743</v>
      </c>
      <c r="H13" s="162" t="s">
        <v>104</v>
      </c>
      <c r="O13" s="162" t="s">
        <v>105</v>
      </c>
    </row>
    <row r="14" spans="7:15" ht="12.75">
      <c r="G14" s="162">
        <v>1012744</v>
      </c>
      <c r="H14" s="162" t="s">
        <v>106</v>
      </c>
      <c r="O14" s="162" t="s">
        <v>107</v>
      </c>
    </row>
    <row r="15" ht="12.75">
      <c r="O15" s="162" t="s">
        <v>108</v>
      </c>
    </row>
    <row r="16" ht="12.75">
      <c r="O16" s="162" t="s">
        <v>109</v>
      </c>
    </row>
    <row r="17" ht="12.75">
      <c r="O17" s="162" t="s">
        <v>110</v>
      </c>
    </row>
    <row r="18" ht="12.75">
      <c r="O18" s="162" t="s">
        <v>111</v>
      </c>
    </row>
    <row r="19" ht="12.75">
      <c r="O19" s="162" t="s">
        <v>112</v>
      </c>
    </row>
    <row r="20" ht="12.75">
      <c r="O20" s="162" t="s">
        <v>113</v>
      </c>
    </row>
    <row r="21" ht="12.75">
      <c r="O21" s="162" t="s">
        <v>114</v>
      </c>
    </row>
    <row r="22" ht="12.75">
      <c r="O22" s="162" t="s">
        <v>115</v>
      </c>
    </row>
    <row r="23" ht="12.75">
      <c r="O23" s="162" t="s">
        <v>116</v>
      </c>
    </row>
    <row r="24" ht="12.75">
      <c r="O24" s="162" t="s">
        <v>117</v>
      </c>
    </row>
    <row r="25" ht="12.75">
      <c r="O25" s="162" t="s">
        <v>118</v>
      </c>
    </row>
    <row r="26" ht="12.75">
      <c r="O26" s="162" t="s">
        <v>119</v>
      </c>
    </row>
    <row r="27" ht="12.75">
      <c r="O27" s="162" t="s">
        <v>120</v>
      </c>
    </row>
    <row r="28" ht="12.75">
      <c r="O28" s="162" t="s">
        <v>121</v>
      </c>
    </row>
    <row r="29" ht="12.75">
      <c r="O29" s="162" t="s">
        <v>122</v>
      </c>
    </row>
    <row r="30" ht="12.75">
      <c r="O30" s="162" t="s">
        <v>123</v>
      </c>
    </row>
    <row r="31" ht="12.75">
      <c r="O31" s="162" t="s">
        <v>124</v>
      </c>
    </row>
    <row r="32" ht="12.75">
      <c r="O32" s="162" t="s">
        <v>125</v>
      </c>
    </row>
    <row r="33" ht="12.75">
      <c r="O33" s="162" t="s">
        <v>126</v>
      </c>
    </row>
    <row r="34" ht="12.75">
      <c r="O34" s="162" t="s">
        <v>127</v>
      </c>
    </row>
    <row r="35" ht="12.75">
      <c r="O35" s="162" t="s">
        <v>128</v>
      </c>
    </row>
    <row r="36" ht="12.75">
      <c r="O36" s="162" t="s">
        <v>129</v>
      </c>
    </row>
    <row r="37" ht="12.75">
      <c r="O37" s="162" t="s">
        <v>130</v>
      </c>
    </row>
    <row r="38" ht="12.75">
      <c r="O38" s="162" t="s">
        <v>131</v>
      </c>
    </row>
    <row r="39" ht="12.75">
      <c r="O39" s="162" t="s">
        <v>132</v>
      </c>
    </row>
    <row r="40" ht="12.75">
      <c r="O40" s="162" t="s">
        <v>133</v>
      </c>
    </row>
    <row r="41" ht="12.75">
      <c r="O41" s="162" t="s">
        <v>134</v>
      </c>
    </row>
    <row r="42" ht="12.75">
      <c r="O42" s="162" t="s">
        <v>135</v>
      </c>
    </row>
    <row r="43" ht="12.75">
      <c r="O43" s="162" t="s">
        <v>136</v>
      </c>
    </row>
    <row r="44" ht="12.75">
      <c r="O44" s="162" t="s">
        <v>137</v>
      </c>
    </row>
    <row r="45" ht="12.75">
      <c r="O45" s="162" t="s">
        <v>138</v>
      </c>
    </row>
    <row r="46" ht="12.75">
      <c r="O46" s="162" t="s">
        <v>139</v>
      </c>
    </row>
    <row r="47" ht="12.75">
      <c r="O47" s="162" t="s">
        <v>140</v>
      </c>
    </row>
    <row r="48" ht="12.75">
      <c r="O48" s="162" t="s">
        <v>141</v>
      </c>
    </row>
    <row r="49" ht="12.75">
      <c r="O49" s="162" t="s">
        <v>142</v>
      </c>
    </row>
    <row r="50" ht="12.75">
      <c r="O50" s="162" t="s">
        <v>143</v>
      </c>
    </row>
    <row r="51" ht="12.75">
      <c r="O51" s="162" t="s">
        <v>144</v>
      </c>
    </row>
    <row r="52" ht="12.75">
      <c r="O52" s="162" t="s">
        <v>145</v>
      </c>
    </row>
    <row r="53" ht="12.75">
      <c r="O53" s="162" t="s">
        <v>146</v>
      </c>
    </row>
    <row r="54" ht="12.75">
      <c r="O54" s="162" t="s">
        <v>147</v>
      </c>
    </row>
    <row r="55" ht="12.75">
      <c r="O55" s="162" t="s">
        <v>148</v>
      </c>
    </row>
    <row r="56" ht="12.75">
      <c r="O56" s="162" t="s">
        <v>149</v>
      </c>
    </row>
    <row r="57" ht="12.75">
      <c r="O57" s="162" t="s">
        <v>150</v>
      </c>
    </row>
    <row r="58" ht="12.75">
      <c r="O58" s="162" t="s">
        <v>151</v>
      </c>
    </row>
    <row r="59" ht="12.75">
      <c r="O59" s="162" t="s">
        <v>152</v>
      </c>
    </row>
    <row r="60" ht="12.75">
      <c r="O60" s="162" t="s">
        <v>153</v>
      </c>
    </row>
    <row r="61" ht="12.75">
      <c r="O61" s="162" t="s">
        <v>154</v>
      </c>
    </row>
    <row r="62" ht="12.75">
      <c r="O62" s="162" t="s">
        <v>155</v>
      </c>
    </row>
    <row r="63" ht="12.75">
      <c r="O63" s="162" t="s">
        <v>156</v>
      </c>
    </row>
    <row r="64" ht="12.75">
      <c r="O64" s="162" t="s">
        <v>157</v>
      </c>
    </row>
    <row r="65" ht="12.75">
      <c r="O65" s="162" t="s">
        <v>158</v>
      </c>
    </row>
    <row r="66" ht="12.75">
      <c r="O66" s="162" t="s">
        <v>159</v>
      </c>
    </row>
    <row r="67" ht="12.75">
      <c r="O67" s="162" t="s">
        <v>160</v>
      </c>
    </row>
    <row r="68" ht="12.75">
      <c r="O68" s="162" t="s">
        <v>161</v>
      </c>
    </row>
    <row r="69" ht="12.75">
      <c r="O69" s="162" t="s">
        <v>162</v>
      </c>
    </row>
    <row r="70" ht="12.75">
      <c r="O70" s="162" t="s">
        <v>163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