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Quote!$A$1:$R$80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Quote!$A$61</definedName>
    <definedName name="Enquiry_To_Vendor_ID" comment="Enquiry to Vendor ID">Quote!$C$61</definedName>
    <definedName name="GrandTotal">Quote!$N$60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Quote!$A$53</definedName>
    <definedName name="ItemListStartupRow" comment="Item List Start Up Row">Quote!$A$19</definedName>
    <definedName name="ItemSubTotal">Quote!$N$59</definedName>
    <definedName name="ItemSubTotalTitle">Quote!$J$59</definedName>
    <definedName name="LeadDay">Quote!$M$11</definedName>
    <definedName name="Lock">Quote!$M$61</definedName>
    <definedName name="LoggedInEmailID">Quote!$N$61</definedName>
    <definedName name="LoggedInPwd">Quote!$O$61</definedName>
    <definedName name="OtherCharges">Quote!$C$55</definedName>
    <definedName name="OtherChargesLastRow">Quote!$A$59</definedName>
    <definedName name="OtherChargesStartRow">Quote!$A$54</definedName>
    <definedName name="Port">Quote!$P$61</definedName>
    <definedName name="PortOfDelivery" comment="Port of Delivery">Quote!$M$9</definedName>
    <definedName name="PurchaserName">Quote!$J$61</definedName>
    <definedName name="QuoteBefore">Quote!$M$8</definedName>
    <definedName name="QuoteID">MasterData!$N$7</definedName>
    <definedName name="QuoteSubject">Quote!$E$61</definedName>
    <definedName name="Remarks">Quote!$E$63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Quote!$K$61</definedName>
    <definedName name="SentIndex">Quote!$L$61</definedName>
    <definedName name="Server">Quote!$Q$61</definedName>
    <definedName name="Terms">Quote!$A$67:$T$88</definedName>
    <definedName name="ToEmailID">Quote!$I$61</definedName>
    <definedName name="ToEmailPwd">Quote!$H$61</definedName>
    <definedName name="VAL">Quote!$F$61</definedName>
    <definedName name="VAT_All">Quote!$M$16</definedName>
    <definedName name="Vendor_ID" comment="Vendor ID">Quote!$B$61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Quote!$D$61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Quote!$E$64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</definedName>
  </definedNames>
  <calcPr fullCalcOnLoad="1"/>
</workbook>
</file>

<file path=xl/sharedStrings.xml><?xml version="1.0" encoding="utf-8"?>
<sst xmlns="http://schemas.openxmlformats.org/spreadsheetml/2006/main" count="257" uniqueCount="198">
  <si>
    <t>RFQ</t>
  </si>
  <si>
    <t>Request for Quote</t>
  </si>
  <si>
    <t>Invoice To</t>
  </si>
  <si>
    <t>Bernhard Schulte Shipmanagement (UK) Limited
Master / Owners of Flex Rainbow
C/O Bernhard Schulte Shipmanagement (Isle of Man) Limited (As Agents Only)
Dorchester House
Belmont Hill
Douglas
Isle of Man
IM1 4RE
Invoices to: IM-SMC-Invoices@bs-shipmanagement.com</t>
  </si>
  <si>
    <t>Vessel</t>
  </si>
  <si>
    <t>Flex Rainbow</t>
  </si>
  <si>
    <t>RFQ No.</t>
  </si>
  <si>
    <t>RAIN/O0125/RF19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</si>
  <si>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</si>
  <si>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</si>
  <si>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</si>
  <si>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</si>
  <si>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</si>
  <si>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</si>
  <si>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</si>
  <si>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</si>
  <si>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</si>
  <si>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</si>
  <si>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</si>
  <si>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</si>
  <si>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</si>
  <si>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</si>
  <si>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</si>
  <si>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</si>
  <si>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</si>
  <si>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</si>
  <si>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</si>
  <si>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</si>
  <si>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</si>
  <si>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</si>
  <si>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</si>
  <si>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</si>
  <si>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</si>
  <si>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</si>
  <si>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</si>
  <si>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</si>
  <si>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</si>
  <si>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</si>
  <si>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</si>
  <si>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</si>
  <si>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SURVITEC 777802</t>
  </si>
  <si>
    <t>Daniamant LIFEBUOY LIGHT L163 ATEX/IECEX/US  Approved USCG, MED &amp; SOLAS, ATEX, IECEx  &amp; ETL listing.  Intrinsically Safe (Cat.1) suitable for hazardous zones 0, 1 and 2.</t>
  </si>
  <si>
    <t>PCS</t>
  </si>
  <si>
    <t>LALIZAS LIFEJACKET LED FLASHLIGHT "Safelite II"</t>
  </si>
  <si>
    <t>MISC 89</t>
  </si>
  <si>
    <t>Halkey Roberts Alpha Auto Head for Inflatable Lifejacket. Firing Capsule</t>
  </si>
  <si>
    <t>INFLATABLE LIFE JACKET CO2 CARTRIDGE WITH FURTHER DETAILS</t>
  </si>
  <si>
    <t>CPS 0290</t>
  </si>
  <si>
    <t>60G CO2 CARTRIDGE MIN.GR.WT. 235.0G (VIKING 275N LIFEJACKET)</t>
  </si>
  <si>
    <t>LIFEBUOY LIGHT L90 W/BATTERY, 63-B300 DANIAMANT</t>
  </si>
  <si>
    <t>MISC 88</t>
  </si>
  <si>
    <t>Halkey Roberts 'Alpha' Rearming Kit 33g. For Inflatable Lifejacket. Cartridge for Inflatable Lifejacket</t>
  </si>
  <si>
    <t>VIKING 1045664</t>
  </si>
  <si>
    <t>TEST GAUGE; SCALE 0-350 BAR FOR AIR The cylinder pressure test gauge is designed for checking the contents of a cylinder whilst it is not connected to a BA set.</t>
  </si>
  <si>
    <t>SAFETY SIGN EMERGENCY STOP, 100X300MM</t>
  </si>
  <si>
    <t>SIGN ISPS CODE RESTRICTED AREA, #8690GM 100X300MM</t>
  </si>
  <si>
    <t>SIGN EXIT 150X150MM</t>
  </si>
  <si>
    <t>POSTER SELF CONTAINED BREATH, APPARATUS #1047W 480X330MM</t>
  </si>
  <si>
    <t>POSTER CRANEAGE SAFETY, #1030W 480X330MM</t>
  </si>
  <si>
    <t>POSTER BUNKERING, #1022W 480X330MM</t>
  </si>
  <si>
    <t>POSTER ENCLOSED SPACE &amp; TANK, RESCUE #1017W 480X330MM</t>
  </si>
  <si>
    <t>SIGN WHITE VINYL SELF ADHESIVE, 5716 200X150MM WEAR FACESHIELD</t>
  </si>
  <si>
    <t>SIGN DECK &amp; ENGINE ROOM, OXYGEN #7700 100X300MM</t>
  </si>
  <si>
    <t>SIGN DECK &amp; ENGINE ROOM, ACETYLENE #7701 100X300MM</t>
  </si>
  <si>
    <t>HOSE FIRE MED APPROVED 15BAR, WHITE 52MMX25MTR SF12105225</t>
  </si>
  <si>
    <t>C/L</t>
  </si>
  <si>
    <t>FIRE CONTROL SYMBOL ISO 17631, MANUALLY OPERATED CALL POINT</t>
  </si>
  <si>
    <t>FIRE CONTROL SYMBOL ISO 17631, SPACE PROTECTD BY FOAM EXTING</t>
  </si>
  <si>
    <t>IMO symbol poster for Fire Plan as per MSC Circular 451 - The enclosure should be red and the contents of the enclosure should be indicated by a red ship silhouette on white background. Dimensions Mimimum 297 x 400 MM.</t>
  </si>
  <si>
    <t>MISC 83</t>
  </si>
  <si>
    <t>"STEARNS" Life Jacket Re-arming Kit Automatic 33 g. 1/2" Bayonet (For Inflatable life jacket)</t>
  </si>
  <si>
    <t>SAFETY SIGN W/O TEXT, ALDIS LAMP 150X150MM</t>
  </si>
  <si>
    <t>MISC 25</t>
  </si>
  <si>
    <t>NECK STRAP FOR SCBA FACE MASK WITH FURTHER DETAILS</t>
  </si>
  <si>
    <t>SCBA Model: Scott Sigma 2 Type 2</t>
  </si>
  <si>
    <t xml:space="preserve">SURVITEC 690610 </t>
  </si>
  <si>
    <t>Dust Plug 300 bar for Cylinder</t>
  </si>
  <si>
    <t>POSTER ABANDON SHIP, #1016W 480X330MM</t>
  </si>
  <si>
    <t>POSTER ACCOMMODATION LADDERS, #1013W 480X330MM</t>
  </si>
  <si>
    <t>POSTER DON'T THROW GARBAGE, OVERBOARD 297X210MM</t>
  </si>
  <si>
    <t>POSTER WELDING &amp; FLAME CUTTING, #1033W 480X330MM</t>
  </si>
  <si>
    <t>POSTER GAS BOTTLE SAFETY, #1032W 480X330MM</t>
  </si>
  <si>
    <t>POSTER GARBAGE DISPOSAL PLAN, #1029 297X420MM</t>
  </si>
  <si>
    <t>SIGN GALLEY DEEP FAT FRYER, WEAR GLOVES #5762LK 250X200MM</t>
  </si>
  <si>
    <t>SIGN WHITE VINYL SELF ADHESIVE, #5721 200X150MM EAR PROTECTION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</si>
  <si>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</si>
  <si>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</si>
  <si>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</si>
  <si>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</si>
  <si>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</si>
  <si>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</si>
  <si>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</si>
  <si>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</si>
  <si>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</si>
  <si>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</si>
  <si>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To be supplied at Singapore on 6th November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</si>
  <si>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</si>
  <si>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</si>
  <si>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</si>
  <si>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</si>
  <si>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</si>
  <si>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</si>
  <si>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</si>
  <si>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</si>
  <si>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</si>
  <si>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</si>
  <si>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</si>
  <si>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</si>
  <si>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</si>
  <si>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</si>
  <si>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</si>
  <si>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</si>
  <si>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</si>
  <si>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</si>
  <si>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</si>
  <si>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</si>
  <si>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</si>
  <si>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</si>
  <si>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</si>
  <si>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</si>
  <si>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</si>
  <si>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</si>
  <si>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</si>
  <si>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</si>
  <si>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</si>
  <si>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</si>
  <si>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</si>
  <si>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</si>
  <si>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</si>
  <si>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</si>
  <si>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</si>
  <si>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</si>
  <si>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</si>
  <si>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</si>
  <si>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</si>
  <si>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</si>
  <si>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</si>
  <si>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</si>
  <si>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</si>
  <si>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</si>
  <si>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</si>
  <si>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</si>
  <si>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</si>
  <si>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</si>
  <si>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</si>
  <si>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</si>
  <si>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</si>
  <si>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</si>
  <si>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</si>
  <si>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</si>
  <si>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</si>
  <si>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</si>
  <si>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</si>
  <si>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</si>
  <si>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</si>
  <si>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</si>
  <si>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</si>
  <si>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</si>
  <si>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</si>
  <si>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</si>
  <si>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</si>
  <si>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</si>
  <si>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</si>
  <si>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</si>
  <si>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</si>
  <si>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</si>
  <si>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</si>
  <si>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</si>
  <si>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</si>
  <si>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</si>
  <si>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</si>
  <si>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</si>
  <si>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</si>
  <si>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</si>
  <si>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</si>
  <si>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</si>
  <si>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</si>
  <si>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</si>
  <si>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</si>
  <si>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</si>
  <si>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</si>
  <si>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</si>
  <si>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</si>
  <si>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</si>
  <si>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</si>
  <si>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</si>
  <si>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</si>
  <si>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</si>
  <si>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T-SQ-191100850</t>
  </si>
  <si>
    <t>OFFER LIFE JACKET LIGHTS WITH WHEEL MARK LOGO</t>
  </si>
  <si>
    <t>PLS PROVIDE PHOTO</t>
  </si>
  <si>
    <t>OFFER 60GRAMS CO2 CARTRIDGE ONLY</t>
  </si>
  <si>
    <t>OFFER : "DANIAMANT" MAKE, MDL : L90 L/BUOY LIGHT W/SS BRACKET (WITH BATTERIES)</t>
  </si>
  <si>
    <t>PLS ADVISE PHOTO</t>
  </si>
  <si>
    <t>OFFER HUAYAN CHINA CYLINDER PRESSURE TESTER</t>
  </si>
  <si>
    <t>OFFER WHITE CANVAS HOSE 52MM X 30MTR C/W COPY OF MED CERTIFICATE</t>
  </si>
  <si>
    <t>N/A</t>
  </si>
  <si>
    <t xml:space="preserve">TO BE SUPPLIED AT SINGAPORE ON 6TH NOVEMBER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</si>
</sst>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9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43775.50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188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172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99990013601189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2</v>
      </c>
      <c r="J20" s="232">
        <v>265.5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99990011110386</v>
      </c>
      <c r="C21" s="227">
        <v>2429385</v>
      </c>
      <c r="D21" s="228" t="s">
        <v>43</v>
      </c>
      <c r="E21" s="229"/>
      <c r="F21" s="229">
        <v>712091</v>
      </c>
      <c r="G21" s="229" t="s">
        <v>42</v>
      </c>
      <c r="H21" s="230">
        <v>0</v>
      </c>
      <c r="I21" s="231">
        <v>18</v>
      </c>
      <c r="J21" s="232">
        <v>8.45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189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99990013598583</v>
      </c>
      <c r="C22" s="227" t="s">
        <v>44</v>
      </c>
      <c r="D22" s="228" t="s">
        <v>45</v>
      </c>
      <c r="E22" s="229"/>
      <c r="F22" s="229" t="s">
        <v>44</v>
      </c>
      <c r="G22" s="229" t="s">
        <v>42</v>
      </c>
      <c r="H22" s="230">
        <v>0</v>
      </c>
      <c r="I22" s="231">
        <v>6</v>
      </c>
      <c r="J22" s="232">
        <v>0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190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99990010955295</v>
      </c>
      <c r="C23" s="227">
        <v>2407420</v>
      </c>
      <c r="D23" s="228" t="s">
        <v>46</v>
      </c>
      <c r="E23" s="229"/>
      <c r="F23" s="229" t="s">
        <v>47</v>
      </c>
      <c r="G23" s="229" t="s">
        <v>42</v>
      </c>
      <c r="H23" s="230">
        <v>0</v>
      </c>
      <c r="I23" s="231">
        <v>10</v>
      </c>
      <c r="J23" s="232">
        <v>32.9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191</v>
      </c>
      <c r="Q23" s="236"/>
      <c r="R23" s="237" t="s">
        <v>48</v>
      </c>
      <c r="S23" s="238"/>
      <c r="T23" s="239"/>
    </row>
    <row r="24" spans="1:20" ht="24" customHeight="1">
      <c r="A24" s="226">
        <v>5</v>
      </c>
      <c r="B24" s="226">
        <v>99990009868556</v>
      </c>
      <c r="C24" s="227">
        <v>331378</v>
      </c>
      <c r="D24" s="228" t="s">
        <v>49</v>
      </c>
      <c r="E24" s="229"/>
      <c r="F24" s="229">
        <v>331378</v>
      </c>
      <c r="G24" s="229" t="s">
        <v>42</v>
      </c>
      <c r="H24" s="230">
        <v>0</v>
      </c>
      <c r="I24" s="231">
        <v>2</v>
      </c>
      <c r="J24" s="232">
        <v>34.15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192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99990013598582</v>
      </c>
      <c r="C25" s="227" t="s">
        <v>50</v>
      </c>
      <c r="D25" s="228" t="s">
        <v>51</v>
      </c>
      <c r="E25" s="229"/>
      <c r="F25" s="229" t="s">
        <v>50</v>
      </c>
      <c r="G25" s="229" t="s">
        <v>42</v>
      </c>
      <c r="H25" s="230">
        <v>0</v>
      </c>
      <c r="I25" s="231">
        <v>8</v>
      </c>
      <c r="J25" s="232">
        <v>0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193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99990013445496</v>
      </c>
      <c r="C26" s="227" t="s">
        <v>52</v>
      </c>
      <c r="D26" s="228" t="s">
        <v>53</v>
      </c>
      <c r="E26" s="229"/>
      <c r="F26" s="229" t="s">
        <v>52</v>
      </c>
      <c r="G26" s="229" t="s">
        <v>42</v>
      </c>
      <c r="H26" s="230">
        <v>0</v>
      </c>
      <c r="I26" s="231">
        <v>1</v>
      </c>
      <c r="J26" s="232">
        <v>227.6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194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99990009872567</v>
      </c>
      <c r="C27" s="227">
        <v>334179</v>
      </c>
      <c r="D27" s="228" t="s">
        <v>54</v>
      </c>
      <c r="E27" s="229"/>
      <c r="F27" s="229">
        <v>334179</v>
      </c>
      <c r="G27" s="229" t="s">
        <v>42</v>
      </c>
      <c r="H27" s="230">
        <v>0</v>
      </c>
      <c r="I27" s="231">
        <v>10</v>
      </c>
      <c r="J27" s="232">
        <v>1.65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99990009871640</v>
      </c>
      <c r="C28" s="227">
        <v>338690</v>
      </c>
      <c r="D28" s="228" t="s">
        <v>55</v>
      </c>
      <c r="E28" s="229"/>
      <c r="F28" s="229">
        <v>338690</v>
      </c>
      <c r="G28" s="229" t="s">
        <v>42</v>
      </c>
      <c r="H28" s="230">
        <v>0</v>
      </c>
      <c r="I28" s="231">
        <v>20</v>
      </c>
      <c r="J28" s="232">
        <v>1.4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99990009872494</v>
      </c>
      <c r="C29" s="227">
        <v>334425</v>
      </c>
      <c r="D29" s="228" t="s">
        <v>56</v>
      </c>
      <c r="E29" s="229"/>
      <c r="F29" s="229">
        <v>334425</v>
      </c>
      <c r="G29" s="229" t="s">
        <v>42</v>
      </c>
      <c r="H29" s="230">
        <v>0</v>
      </c>
      <c r="I29" s="231">
        <v>15</v>
      </c>
      <c r="J29" s="232">
        <v>1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99990009871278</v>
      </c>
      <c r="C30" s="227">
        <v>331547</v>
      </c>
      <c r="D30" s="228" t="s">
        <v>57</v>
      </c>
      <c r="E30" s="229"/>
      <c r="F30" s="229">
        <v>331547</v>
      </c>
      <c r="G30" s="229" t="s">
        <v>42</v>
      </c>
      <c r="H30" s="230">
        <v>0</v>
      </c>
      <c r="I30" s="231">
        <v>2</v>
      </c>
      <c r="J30" s="232">
        <v>6.1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99990009871295</v>
      </c>
      <c r="C31" s="227">
        <v>331530</v>
      </c>
      <c r="D31" s="228" t="s">
        <v>58</v>
      </c>
      <c r="E31" s="229"/>
      <c r="F31" s="229">
        <v>331530</v>
      </c>
      <c r="G31" s="229" t="s">
        <v>42</v>
      </c>
      <c r="H31" s="230">
        <v>0</v>
      </c>
      <c r="I31" s="231">
        <v>4</v>
      </c>
      <c r="J31" s="232">
        <v>6.1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99990009871303</v>
      </c>
      <c r="C32" s="227">
        <v>331522</v>
      </c>
      <c r="D32" s="228" t="s">
        <v>59</v>
      </c>
      <c r="E32" s="229"/>
      <c r="F32" s="229">
        <v>331522</v>
      </c>
      <c r="G32" s="229" t="s">
        <v>42</v>
      </c>
      <c r="H32" s="230">
        <v>0</v>
      </c>
      <c r="I32" s="231">
        <v>2</v>
      </c>
      <c r="J32" s="232">
        <v>6.1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99990009871306</v>
      </c>
      <c r="C33" s="227">
        <v>331517</v>
      </c>
      <c r="D33" s="228" t="s">
        <v>60</v>
      </c>
      <c r="E33" s="229"/>
      <c r="F33" s="229">
        <v>331517</v>
      </c>
      <c r="G33" s="229" t="s">
        <v>42</v>
      </c>
      <c r="H33" s="230">
        <v>0</v>
      </c>
      <c r="I33" s="231">
        <v>10</v>
      </c>
      <c r="J33" s="232">
        <v>6.1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99990009871826</v>
      </c>
      <c r="C34" s="227">
        <v>335716</v>
      </c>
      <c r="D34" s="228" t="s">
        <v>61</v>
      </c>
      <c r="E34" s="229"/>
      <c r="F34" s="229">
        <v>335716</v>
      </c>
      <c r="G34" s="229" t="s">
        <v>42</v>
      </c>
      <c r="H34" s="230">
        <v>0</v>
      </c>
      <c r="I34" s="231">
        <v>10</v>
      </c>
      <c r="J34" s="232">
        <v>1.3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99990009871675</v>
      </c>
      <c r="C35" s="227">
        <v>337700</v>
      </c>
      <c r="D35" s="228" t="s">
        <v>62</v>
      </c>
      <c r="E35" s="229"/>
      <c r="F35" s="229">
        <v>337700</v>
      </c>
      <c r="G35" s="229" t="s">
        <v>42</v>
      </c>
      <c r="H35" s="230">
        <v>0</v>
      </c>
      <c r="I35" s="231">
        <v>3</v>
      </c>
      <c r="J35" s="232">
        <v>1.55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99990009871674</v>
      </c>
      <c r="C36" s="227">
        <v>337701</v>
      </c>
      <c r="D36" s="228" t="s">
        <v>63</v>
      </c>
      <c r="E36" s="229"/>
      <c r="F36" s="229">
        <v>337701</v>
      </c>
      <c r="G36" s="229" t="s">
        <v>42</v>
      </c>
      <c r="H36" s="230">
        <v>0</v>
      </c>
      <c r="I36" s="231">
        <v>3</v>
      </c>
      <c r="J36" s="232">
        <v>1.55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99990009868263</v>
      </c>
      <c r="C37" s="227">
        <v>333720</v>
      </c>
      <c r="D37" s="228" t="s">
        <v>64</v>
      </c>
      <c r="E37" s="229"/>
      <c r="F37" s="229">
        <v>333720</v>
      </c>
      <c r="G37" s="229" t="s">
        <v>65</v>
      </c>
      <c r="H37" s="230">
        <v>0</v>
      </c>
      <c r="I37" s="231">
        <v>10</v>
      </c>
      <c r="J37" s="232">
        <v>39.2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195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99990009871941</v>
      </c>
      <c r="C38" s="227">
        <v>336872</v>
      </c>
      <c r="D38" s="228" t="s">
        <v>66</v>
      </c>
      <c r="E38" s="229"/>
      <c r="F38" s="229">
        <v>336872</v>
      </c>
      <c r="G38" s="229" t="s">
        <v>42</v>
      </c>
      <c r="H38" s="230">
        <v>0</v>
      </c>
      <c r="I38" s="231">
        <v>20</v>
      </c>
      <c r="J38" s="232">
        <v>1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99990009871948</v>
      </c>
      <c r="C39" s="227">
        <v>336861</v>
      </c>
      <c r="D39" s="228" t="s">
        <v>67</v>
      </c>
      <c r="E39" s="229"/>
      <c r="F39" s="229">
        <v>336861</v>
      </c>
      <c r="G39" s="229" t="s">
        <v>42</v>
      </c>
      <c r="H39" s="230">
        <v>0</v>
      </c>
      <c r="I39" s="231">
        <v>10</v>
      </c>
      <c r="J39" s="232">
        <v>1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99990011599674</v>
      </c>
      <c r="C40" s="227">
        <v>2583460</v>
      </c>
      <c r="D40" s="228" t="s">
        <v>68</v>
      </c>
      <c r="E40" s="229"/>
      <c r="F40" s="229">
        <v>2583460</v>
      </c>
      <c r="G40" s="229" t="s">
        <v>42</v>
      </c>
      <c r="H40" s="230">
        <v>0</v>
      </c>
      <c r="I40" s="231">
        <v>4</v>
      </c>
      <c r="J40" s="232">
        <v>7.6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99990013491886</v>
      </c>
      <c r="C41" s="227" t="s">
        <v>69</v>
      </c>
      <c r="D41" s="228" t="s">
        <v>70</v>
      </c>
      <c r="E41" s="229"/>
      <c r="F41" s="229" t="s">
        <v>69</v>
      </c>
      <c r="G41" s="229" t="s">
        <v>42</v>
      </c>
      <c r="H41" s="230">
        <v>0</v>
      </c>
      <c r="I41" s="231">
        <v>8</v>
      </c>
      <c r="J41" s="232">
        <v>0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196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99990009872623</v>
      </c>
      <c r="C42" s="227">
        <v>334081</v>
      </c>
      <c r="D42" s="228" t="s">
        <v>71</v>
      </c>
      <c r="E42" s="229"/>
      <c r="F42" s="229">
        <v>334081</v>
      </c>
      <c r="G42" s="229" t="s">
        <v>42</v>
      </c>
      <c r="H42" s="230">
        <v>0</v>
      </c>
      <c r="I42" s="231">
        <v>2</v>
      </c>
      <c r="J42" s="232">
        <v>1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99990012506484</v>
      </c>
      <c r="C43" s="227" t="s">
        <v>72</v>
      </c>
      <c r="D43" s="228" t="s">
        <v>73</v>
      </c>
      <c r="E43" s="229"/>
      <c r="F43" s="229" t="s">
        <v>72</v>
      </c>
      <c r="G43" s="229" t="s">
        <v>42</v>
      </c>
      <c r="H43" s="230">
        <v>0</v>
      </c>
      <c r="I43" s="231">
        <v>4</v>
      </c>
      <c r="J43" s="232">
        <v>48.05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 t="s">
        <v>74</v>
      </c>
      <c r="S43" s="238"/>
      <c r="T43" s="239"/>
    </row>
    <row r="44" spans="1:20" ht="24" customHeight="1">
      <c r="A44" s="226">
        <v>25</v>
      </c>
      <c r="B44" s="226">
        <v>99990012164690</v>
      </c>
      <c r="C44" s="227" t="s">
        <v>75</v>
      </c>
      <c r="D44" s="228" t="s">
        <v>76</v>
      </c>
      <c r="E44" s="229"/>
      <c r="F44" s="229" t="s">
        <v>75</v>
      </c>
      <c r="G44" s="229" t="s">
        <v>42</v>
      </c>
      <c r="H44" s="230">
        <v>0</v>
      </c>
      <c r="I44" s="231">
        <v>50</v>
      </c>
      <c r="J44" s="232">
        <v>0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196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99990009871307</v>
      </c>
      <c r="C45" s="227">
        <v>331516</v>
      </c>
      <c r="D45" s="228" t="s">
        <v>77</v>
      </c>
      <c r="E45" s="229"/>
      <c r="F45" s="229">
        <v>331516</v>
      </c>
      <c r="G45" s="229" t="s">
        <v>42</v>
      </c>
      <c r="H45" s="230">
        <v>0</v>
      </c>
      <c r="I45" s="231">
        <v>3</v>
      </c>
      <c r="J45" s="232">
        <v>6.1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99990009871310</v>
      </c>
      <c r="C46" s="227">
        <v>331513</v>
      </c>
      <c r="D46" s="228" t="s">
        <v>78</v>
      </c>
      <c r="E46" s="229"/>
      <c r="F46" s="229">
        <v>331513</v>
      </c>
      <c r="G46" s="229" t="s">
        <v>42</v>
      </c>
      <c r="H46" s="230">
        <v>0</v>
      </c>
      <c r="I46" s="231">
        <v>2</v>
      </c>
      <c r="J46" s="232">
        <v>6.1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99990009871283</v>
      </c>
      <c r="C47" s="227">
        <v>331542</v>
      </c>
      <c r="D47" s="228" t="s">
        <v>79</v>
      </c>
      <c r="E47" s="229"/>
      <c r="F47" s="229">
        <v>331542</v>
      </c>
      <c r="G47" s="229" t="s">
        <v>42</v>
      </c>
      <c r="H47" s="230">
        <v>0</v>
      </c>
      <c r="I47" s="231">
        <v>5</v>
      </c>
      <c r="J47" s="232">
        <v>6.1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99990009871292</v>
      </c>
      <c r="C48" s="227">
        <v>331533</v>
      </c>
      <c r="D48" s="228" t="s">
        <v>80</v>
      </c>
      <c r="E48" s="229"/>
      <c r="F48" s="229">
        <v>331533</v>
      </c>
      <c r="G48" s="229" t="s">
        <v>42</v>
      </c>
      <c r="H48" s="230">
        <v>0</v>
      </c>
      <c r="I48" s="231">
        <v>2</v>
      </c>
      <c r="J48" s="232">
        <v>6.1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99990009871293</v>
      </c>
      <c r="C49" s="227">
        <v>331532</v>
      </c>
      <c r="D49" s="228" t="s">
        <v>81</v>
      </c>
      <c r="E49" s="229"/>
      <c r="F49" s="229">
        <v>331532</v>
      </c>
      <c r="G49" s="229" t="s">
        <v>42</v>
      </c>
      <c r="H49" s="230">
        <v>0</v>
      </c>
      <c r="I49" s="231">
        <v>4</v>
      </c>
      <c r="J49" s="232">
        <v>6.1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99990009871296</v>
      </c>
      <c r="C50" s="227">
        <v>331529</v>
      </c>
      <c r="D50" s="228" t="s">
        <v>82</v>
      </c>
      <c r="E50" s="229"/>
      <c r="F50" s="229">
        <v>331529</v>
      </c>
      <c r="G50" s="229" t="s">
        <v>42</v>
      </c>
      <c r="H50" s="230">
        <v>0</v>
      </c>
      <c r="I50" s="231">
        <v>4</v>
      </c>
      <c r="J50" s="232">
        <v>6.1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99990009871537</v>
      </c>
      <c r="C51" s="227">
        <v>335762</v>
      </c>
      <c r="D51" s="228" t="s">
        <v>83</v>
      </c>
      <c r="E51" s="229"/>
      <c r="F51" s="229">
        <v>335762</v>
      </c>
      <c r="G51" s="229" t="s">
        <v>42</v>
      </c>
      <c r="H51" s="230">
        <v>0</v>
      </c>
      <c r="I51" s="231">
        <v>2</v>
      </c>
      <c r="J51" s="232">
        <v>3.8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99990009871821</v>
      </c>
      <c r="C52" s="227">
        <v>335721</v>
      </c>
      <c r="D52" s="228" t="s">
        <v>84</v>
      </c>
      <c r="E52" s="229"/>
      <c r="F52" s="229">
        <v>335721</v>
      </c>
      <c r="G52" s="229" t="s">
        <v>42</v>
      </c>
      <c r="H52" s="230">
        <v>0</v>
      </c>
      <c r="I52" s="231">
        <v>5</v>
      </c>
      <c r="J52" s="232">
        <v>1.3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15" customHeight="1">
      <c r="A53" s="32"/>
      <c r="B53" s="295"/>
      <c r="C53" s="296"/>
      <c r="D53" s="296"/>
      <c r="E53" s="296"/>
      <c r="F53" s="296"/>
      <c r="G53" s="296"/>
      <c r="H53" s="297"/>
      <c r="I53" s="297"/>
      <c r="J53" s="297"/>
      <c r="K53" s="297"/>
      <c r="L53" s="297"/>
      <c r="M53" s="297"/>
      <c r="N53" s="297"/>
      <c r="O53" s="297"/>
      <c r="P53" s="297"/>
      <c r="Q53" s="297"/>
      <c r="R53" s="297"/>
      <c r="S53" s="297"/>
      <c r="T53" s="298"/>
    </row>
    <row r="54" spans="1:20" ht="12.75" customHeight="1">
      <c r="A54" s="289" t="s">
        <v>28</v>
      </c>
      <c r="B54" s="289"/>
      <c r="C54" s="290" t="s">
        <v>85</v>
      </c>
      <c r="D54" s="291"/>
      <c r="E54" s="291"/>
      <c r="F54" s="291"/>
      <c r="G54" s="291"/>
      <c r="H54" s="291"/>
      <c r="I54" s="292"/>
      <c r="J54" s="292" t="s">
        <v>86</v>
      </c>
      <c r="K54" s="292"/>
      <c r="L54" s="292" t="s">
        <v>35</v>
      </c>
      <c r="M54" s="292" t="s">
        <v>36</v>
      </c>
      <c r="N54" s="293" t="s">
        <v>87</v>
      </c>
      <c r="O54" s="294" t="s">
        <v>38</v>
      </c>
      <c r="P54" s="294"/>
      <c r="Q54" s="294"/>
      <c r="R54" s="294"/>
      <c r="S54" s="294"/>
      <c r="T54" s="225"/>
    </row>
    <row r="55" spans="1:20" ht="15" customHeight="1">
      <c r="A55" s="269">
        <v>1</v>
      </c>
      <c r="B55" s="270"/>
      <c r="C55" s="271" t="s">
        <v>88</v>
      </c>
      <c r="D55" s="272" t="s">
        <v>88</v>
      </c>
      <c r="E55" s="272" t="s">
        <v>88</v>
      </c>
      <c r="F55" s="272" t="s">
        <v>88</v>
      </c>
      <c r="G55" s="272" t="s">
        <v>88</v>
      </c>
      <c r="H55" s="273" t="s">
        <v>88</v>
      </c>
      <c r="I55" s="274"/>
      <c r="J55" s="275">
        <v>0</v>
      </c>
      <c r="K55" s="276"/>
      <c r="L55" s="277">
        <v>0</v>
      </c>
      <c r="M55" s="277">
        <v>0</v>
      </c>
      <c r="N55" s="285">
        <f>(J55-(J55*L55/100)+((J55-(J55*L55/100))*M55/100))</f>
      </c>
      <c r="O55" s="286"/>
      <c r="P55" s="287"/>
      <c r="Q55" s="287"/>
      <c r="R55" s="287"/>
      <c r="S55" s="288"/>
      <c r="T55" s="283"/>
    </row>
    <row r="56" spans="1:20" ht="15" customHeight="1">
      <c r="A56" s="269">
        <v>2</v>
      </c>
      <c r="B56" s="270"/>
      <c r="C56" s="271" t="s">
        <v>89</v>
      </c>
      <c r="D56" s="272" t="s">
        <v>89</v>
      </c>
      <c r="E56" s="272" t="s">
        <v>89</v>
      </c>
      <c r="F56" s="272" t="s">
        <v>89</v>
      </c>
      <c r="G56" s="272" t="s">
        <v>89</v>
      </c>
      <c r="H56" s="273" t="s">
        <v>89</v>
      </c>
      <c r="I56" s="284"/>
      <c r="J56" s="275">
        <v>0</v>
      </c>
      <c r="K56" s="276"/>
      <c r="L56" s="277">
        <v>0</v>
      </c>
      <c r="M56" s="277">
        <v>0</v>
      </c>
      <c r="N56" s="279">
        <f>(J56-(J56*L56/100)+((J56-(J56*L56/100))*M56/100))</f>
      </c>
      <c r="O56" s="280"/>
      <c r="P56" s="281"/>
      <c r="Q56" s="281"/>
      <c r="R56" s="281"/>
      <c r="S56" s="282"/>
      <c r="T56" s="283"/>
    </row>
    <row r="57" spans="1:20" ht="15" customHeight="1">
      <c r="A57" s="269">
        <v>3</v>
      </c>
      <c r="B57" s="270"/>
      <c r="C57" s="271"/>
      <c r="D57" s="272"/>
      <c r="E57" s="272"/>
      <c r="F57" s="272"/>
      <c r="G57" s="272"/>
      <c r="H57" s="273"/>
      <c r="I57" s="274"/>
      <c r="J57" s="275">
        <v>0</v>
      </c>
      <c r="K57" s="276"/>
      <c r="L57" s="277">
        <v>0</v>
      </c>
      <c r="M57" s="277">
        <v>0</v>
      </c>
      <c r="N57" s="279">
        <f>(J57-(J57*L57/100)+((J57-(J57*L57/100))*M57/100))</f>
      </c>
      <c r="O57" s="280"/>
      <c r="P57" s="281"/>
      <c r="Q57" s="281"/>
      <c r="R57" s="281"/>
      <c r="S57" s="282"/>
      <c r="T57" s="283"/>
    </row>
    <row r="58" spans="1:20" ht="15.75" customHeight="1">
      <c r="A58" s="269">
        <v>4</v>
      </c>
      <c r="B58" s="270"/>
      <c r="C58" s="271"/>
      <c r="D58" s="272"/>
      <c r="E58" s="272"/>
      <c r="F58" s="272"/>
      <c r="G58" s="272"/>
      <c r="H58" s="273"/>
      <c r="I58" s="274"/>
      <c r="J58" s="275">
        <v>0</v>
      </c>
      <c r="K58" s="276"/>
      <c r="L58" s="277">
        <v>0</v>
      </c>
      <c r="M58" s="278">
        <v>0</v>
      </c>
      <c r="N58" s="279">
        <f>(J58-(J58*L58/100)+((J58-(J58*L58/100))*M58/100))</f>
      </c>
      <c r="O58" s="280"/>
      <c r="P58" s="281"/>
      <c r="Q58" s="281"/>
      <c r="R58" s="281"/>
      <c r="S58" s="282"/>
      <c r="T58" s="283"/>
    </row>
    <row r="59" spans="1:16" ht="15.95" customHeight="1">
      <c r="A59" s="247"/>
      <c r="B59" s="247"/>
      <c r="C59" s="248"/>
      <c r="D59" s="248"/>
      <c r="I59" s="163"/>
      <c r="J59" s="58" t="s">
        <v>90</v>
      </c>
      <c r="K59" s="59"/>
      <c r="L59" s="58"/>
      <c r="M59" s="59"/>
      <c r="N59" s="264">
        <f>SUM(ItmPrice)</f>
      </c>
      <c r="O59" s="267"/>
      <c r="P59" s="268"/>
    </row>
    <row r="60" spans="1:16" ht="15" customHeight="1">
      <c r="A60" s="247"/>
      <c r="B60" s="247"/>
      <c r="C60" s="248"/>
      <c r="D60" s="248"/>
      <c r="I60" s="163"/>
      <c r="J60" s="123" t="s">
        <v>91</v>
      </c>
      <c r="K60" s="124"/>
      <c r="L60" s="124"/>
      <c r="M60" s="125"/>
      <c r="N60" s="264">
        <f>SUM(N55:N59)</f>
      </c>
      <c r="O60" s="265"/>
      <c r="P60" s="266"/>
    </row>
    <row r="61" spans="1:19" ht="2.25" customHeight="1" hidden="1">
      <c r="A61" s="258">
        <v>0</v>
      </c>
      <c r="B61" s="258">
        <v>0</v>
      </c>
      <c r="C61" s="259">
        <v>0</v>
      </c>
      <c r="D61" s="248"/>
      <c r="E61" s="248"/>
      <c r="F61" s="260">
        <v>1</v>
      </c>
      <c r="G61" s="248"/>
      <c r="H61" s="248"/>
      <c r="I61" s="248"/>
      <c r="J61" s="248"/>
      <c r="K61" s="261"/>
      <c r="L61" s="262">
        <v>0</v>
      </c>
      <c r="M61" s="263">
        <v>0</v>
      </c>
      <c r="N61" s="162" t="s">
        <v>92</v>
      </c>
      <c r="O61" s="257"/>
      <c r="P61" s="263">
        <v>995</v>
      </c>
      <c r="Q61" s="248" t="s">
        <v>93</v>
      </c>
      <c r="R61" s="248"/>
      <c r="S61" s="248"/>
    </row>
    <row r="62" spans="1:19" ht="18.75" customHeight="1">
      <c r="A62" s="247"/>
      <c r="B62" s="247"/>
      <c r="C62" s="247"/>
      <c r="H62" s="257"/>
      <c r="I62" s="163"/>
      <c r="J62" s="248"/>
      <c r="K62" s="248"/>
      <c r="L62" s="248"/>
      <c r="M62" s="248"/>
      <c r="N62" s="248"/>
      <c r="O62" s="248"/>
      <c r="P62" s="248"/>
      <c r="R62" s="248"/>
      <c r="S62" s="248"/>
    </row>
    <row r="63" spans="1:20" ht="127.5" customHeight="1">
      <c r="A63" s="249" t="s">
        <v>94</v>
      </c>
      <c r="B63" s="249"/>
      <c r="C63" s="249"/>
      <c r="D63" s="250"/>
      <c r="E63" s="254" t="s">
        <v>95</v>
      </c>
      <c r="F63" s="255"/>
      <c r="G63" s="255"/>
      <c r="H63" s="255"/>
      <c r="I63" s="255"/>
      <c r="J63" s="255"/>
      <c r="K63" s="255"/>
      <c r="L63" s="255"/>
      <c r="M63" s="255"/>
      <c r="N63" s="255"/>
      <c r="O63" s="255"/>
      <c r="P63" s="255"/>
      <c r="Q63" s="255"/>
      <c r="R63" s="255"/>
      <c r="S63" s="255"/>
      <c r="T63" s="256"/>
    </row>
    <row r="64" spans="1:20" ht="129.75" customHeight="1">
      <c r="A64" s="249" t="s">
        <v>38</v>
      </c>
      <c r="B64" s="249"/>
      <c r="C64" s="249"/>
      <c r="D64" s="250"/>
      <c r="E64" s="251" t="s">
        <v>197</v>
      </c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3"/>
    </row>
    <row r="65" spans="1:19" ht="15.95" customHeight="1">
      <c r="A65" s="247"/>
      <c r="B65" s="247"/>
      <c r="C65" s="247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</row>
    <row r="66" spans="1:20" ht="15.95" customHeight="1">
      <c r="A66" s="245" t="s">
        <v>96</v>
      </c>
      <c r="B66" s="245"/>
      <c r="C66" s="245"/>
      <c r="D66" s="245"/>
      <c r="E66" s="245"/>
      <c r="F66" s="245"/>
      <c r="G66" s="245"/>
      <c r="H66" s="245"/>
      <c r="I66" s="245"/>
      <c r="J66" s="245"/>
      <c r="K66" s="245"/>
      <c r="L66" s="245"/>
      <c r="M66" s="245"/>
      <c r="N66" s="245"/>
      <c r="O66" s="245"/>
      <c r="P66" s="245"/>
      <c r="Q66" s="245"/>
      <c r="R66" s="245"/>
      <c r="S66" s="245"/>
      <c r="T66" s="246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7.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7.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7.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7.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12.7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12.75" customHeight="1">
      <c r="A89" s="24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42"/>
    </row>
    <row r="90" spans="1:9" ht="12.75">
      <c r="A90" s="240" t="s">
        <v>97</v>
      </c>
      <c r="B90" s="240"/>
      <c r="C90" s="240"/>
      <c r="D90" s="240"/>
      <c r="E90" s="240"/>
      <c r="F90" s="240"/>
      <c r="G90" s="240"/>
      <c r="I9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31">
    <mergeCell ref="E63:S63"/>
    <mergeCell ref="E64:S64"/>
    <mergeCell ref="E66:S66"/>
    <mergeCell ref="A67:S88"/>
    <mergeCell ref="A89:S89"/>
    <mergeCell ref="A63:D63"/>
    <mergeCell ref="A64:D64"/>
    <mergeCell ref="K1:R1"/>
    <mergeCell ref="R19:S19"/>
    <mergeCell ref="R20:S20"/>
    <mergeCell ref="O55:S55"/>
    <mergeCell ref="O56:S56"/>
    <mergeCell ref="O54:S54"/>
    <mergeCell ref="J54:K54"/>
    <mergeCell ref="K4:L4"/>
    <mergeCell ref="M4:P4"/>
    <mergeCell ref="K5:L5"/>
    <mergeCell ref="M5:P5"/>
    <mergeCell ref="M7:Q7"/>
    <mergeCell ref="P20:Q20"/>
    <mergeCell ref="M12:O12"/>
    <mergeCell ref="K12:L12"/>
    <mergeCell ref="O59:P59"/>
    <mergeCell ref="O60:P60"/>
    <mergeCell ref="J60:M60"/>
    <mergeCell ref="O57:S57"/>
    <mergeCell ref="O58:S5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54:H5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C55:H55"/>
    <mergeCell ref="J55:K55"/>
    <mergeCell ref="C56:H56"/>
    <mergeCell ref="J56:K56"/>
    <mergeCell ref="C57:H57"/>
    <mergeCell ref="J57:K57"/>
    <mergeCell ref="C58:H58"/>
    <mergeCell ref="J58:K58"/>
  </mergeCells>
  <dataValidations count="14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list" allowBlank="1" showInputMessage="1" showErrorMessage="1" sqref="C55:H55">
      <formula1>'MasterData'!$H$1:$H$14</formula1>
    </dataValidation>
    <dataValidation type="list" allowBlank="1" showInputMessage="1" showErrorMessage="1" sqref="C56:H56">
      <formula1>'MasterData'!$H$1:$H$14</formula1>
    </dataValidation>
    <dataValidation type="list" allowBlank="1" showInputMessage="1" showErrorMessage="1" sqref="C57:H57">
      <formula1>'MasterData'!$H$1:$H$14</formula1>
    </dataValidation>
    <dataValidation type="list" allowBlank="1" showInputMessage="1" showErrorMessage="1" sqref="C58:H58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88</v>
      </c>
      <c r="M1" s="300" t="s">
        <v>98</v>
      </c>
      <c r="N1" s="301" t="s">
        <v>0</v>
      </c>
      <c r="O1" s="162" t="s">
        <v>99</v>
      </c>
    </row>
    <row r="2" spans="7:15" ht="12.75">
      <c r="G2" s="162">
        <v>1001310</v>
      </c>
      <c r="H2" s="162" t="s">
        <v>89</v>
      </c>
      <c r="M2" s="300" t="s">
        <v>100</v>
      </c>
      <c r="N2" s="301">
        <v>1020735559</v>
      </c>
      <c r="O2" s="162" t="s">
        <v>101</v>
      </c>
    </row>
    <row r="3" spans="7:15" ht="12.75">
      <c r="G3" s="162">
        <v>1012729</v>
      </c>
      <c r="H3" s="162" t="s">
        <v>102</v>
      </c>
      <c r="M3" s="300" t="s">
        <v>103</v>
      </c>
      <c r="N3" s="301">
        <v>99990000435770</v>
      </c>
      <c r="O3" s="162" t="s">
        <v>104</v>
      </c>
    </row>
    <row r="4" spans="7:15" ht="12.75">
      <c r="G4" s="162">
        <v>1012730</v>
      </c>
      <c r="H4" s="162" t="s">
        <v>105</v>
      </c>
      <c r="M4" s="300" t="s">
        <v>106</v>
      </c>
      <c r="N4" s="301">
        <v>1021851660</v>
      </c>
      <c r="O4" s="162" t="s">
        <v>107</v>
      </c>
    </row>
    <row r="5" spans="7:15" ht="12.75">
      <c r="G5" s="162">
        <v>1012731</v>
      </c>
      <c r="H5" s="162" t="s">
        <v>108</v>
      </c>
      <c r="M5" s="300" t="s">
        <v>109</v>
      </c>
      <c r="N5" s="301"/>
      <c r="O5" s="162" t="s">
        <v>110</v>
      </c>
    </row>
    <row r="6" spans="7:15" ht="12.75">
      <c r="G6" s="162">
        <v>1012732</v>
      </c>
      <c r="H6" s="162" t="s">
        <v>111</v>
      </c>
      <c r="M6" s="300" t="s">
        <v>112</v>
      </c>
      <c r="N6" s="301" t="s">
        <v>113</v>
      </c>
      <c r="O6" s="162" t="s">
        <v>114</v>
      </c>
    </row>
    <row r="7" spans="7:15" ht="12.75">
      <c r="G7" s="162">
        <v>1012733</v>
      </c>
      <c r="H7" s="162" t="s">
        <v>115</v>
      </c>
      <c r="M7" s="300" t="s">
        <v>116</v>
      </c>
      <c r="N7" s="301">
        <v>0</v>
      </c>
      <c r="O7" s="162" t="s">
        <v>117</v>
      </c>
    </row>
    <row r="8" spans="7:15" ht="12.75">
      <c r="G8" s="162">
        <v>1012735</v>
      </c>
      <c r="H8" s="162" t="s">
        <v>118</v>
      </c>
      <c r="O8" s="162" t="s">
        <v>119</v>
      </c>
    </row>
    <row r="9" spans="7:15" ht="12.75">
      <c r="G9" s="162">
        <v>1012736</v>
      </c>
      <c r="H9" s="162" t="s">
        <v>120</v>
      </c>
      <c r="O9" s="162" t="s">
        <v>121</v>
      </c>
    </row>
    <row r="10" spans="7:15" ht="12.75">
      <c r="G10" s="162">
        <v>1012737</v>
      </c>
      <c r="H10" s="162" t="s">
        <v>122</v>
      </c>
      <c r="O10" s="162" t="s">
        <v>123</v>
      </c>
    </row>
    <row r="11" spans="7:15" ht="12.75">
      <c r="G11" s="162">
        <v>1012741</v>
      </c>
      <c r="H11" s="162" t="s">
        <v>124</v>
      </c>
      <c r="O11" s="162" t="s">
        <v>125</v>
      </c>
    </row>
    <row r="12" spans="7:15" ht="12.75">
      <c r="G12" s="162">
        <v>1012742</v>
      </c>
      <c r="H12" s="162" t="s">
        <v>126</v>
      </c>
      <c r="O12" s="162" t="s">
        <v>127</v>
      </c>
    </row>
    <row r="13" spans="7:15" ht="12.75">
      <c r="G13" s="162">
        <v>1012743</v>
      </c>
      <c r="H13" s="162" t="s">
        <v>128</v>
      </c>
      <c r="O13" s="162" t="s">
        <v>129</v>
      </c>
    </row>
    <row r="14" spans="7:15" ht="12.75">
      <c r="G14" s="162">
        <v>1012744</v>
      </c>
      <c r="H14" s="162" t="s">
        <v>130</v>
      </c>
      <c r="O14" s="162" t="s">
        <v>131</v>
      </c>
    </row>
    <row r="15" ht="12.75">
      <c r="O15" s="162" t="s">
        <v>132</v>
      </c>
    </row>
    <row r="16" ht="12.75">
      <c r="O16" s="162" t="s">
        <v>133</v>
      </c>
    </row>
    <row r="17" ht="12.75">
      <c r="O17" s="162" t="s">
        <v>134</v>
      </c>
    </row>
    <row r="18" ht="12.75">
      <c r="O18" s="162" t="s">
        <v>135</v>
      </c>
    </row>
    <row r="19" ht="12.75">
      <c r="O19" s="162" t="s">
        <v>136</v>
      </c>
    </row>
    <row r="20" ht="12.75">
      <c r="O20" s="162" t="s">
        <v>137</v>
      </c>
    </row>
    <row r="21" ht="12.75">
      <c r="O21" s="162" t="s">
        <v>138</v>
      </c>
    </row>
    <row r="22" ht="12.75">
      <c r="O22" s="162" t="s">
        <v>139</v>
      </c>
    </row>
    <row r="23" ht="12.75">
      <c r="O23" s="162" t="s">
        <v>140</v>
      </c>
    </row>
    <row r="24" ht="12.75">
      <c r="O24" s="162" t="s">
        <v>141</v>
      </c>
    </row>
    <row r="25" ht="12.75">
      <c r="O25" s="162" t="s">
        <v>142</v>
      </c>
    </row>
    <row r="26" ht="12.75">
      <c r="O26" s="162" t="s">
        <v>143</v>
      </c>
    </row>
    <row r="27" ht="12.75">
      <c r="O27" s="162" t="s">
        <v>144</v>
      </c>
    </row>
    <row r="28" ht="12.75">
      <c r="O28" s="162" t="s">
        <v>145</v>
      </c>
    </row>
    <row r="29" ht="12.75">
      <c r="O29" s="162" t="s">
        <v>146</v>
      </c>
    </row>
    <row r="30" ht="12.75">
      <c r="O30" s="162" t="s">
        <v>147</v>
      </c>
    </row>
    <row r="31" ht="12.75">
      <c r="O31" s="162" t="s">
        <v>148</v>
      </c>
    </row>
    <row r="32" ht="12.75">
      <c r="O32" s="162" t="s">
        <v>149</v>
      </c>
    </row>
    <row r="33" ht="12.75">
      <c r="O33" s="162" t="s">
        <v>150</v>
      </c>
    </row>
    <row r="34" ht="12.75">
      <c r="O34" s="162" t="s">
        <v>151</v>
      </c>
    </row>
    <row r="35" ht="12.75">
      <c r="O35" s="162" t="s">
        <v>152</v>
      </c>
    </row>
    <row r="36" ht="12.75">
      <c r="O36" s="162" t="s">
        <v>153</v>
      </c>
    </row>
    <row r="37" ht="12.75">
      <c r="O37" s="162" t="s">
        <v>154</v>
      </c>
    </row>
    <row r="38" ht="12.75">
      <c r="O38" s="162" t="s">
        <v>155</v>
      </c>
    </row>
    <row r="39" ht="12.75">
      <c r="O39" s="162" t="s">
        <v>156</v>
      </c>
    </row>
    <row r="40" ht="12.75">
      <c r="O40" s="162" t="s">
        <v>157</v>
      </c>
    </row>
    <row r="41" ht="12.75">
      <c r="O41" s="162" t="s">
        <v>158</v>
      </c>
    </row>
    <row r="42" ht="12.75">
      <c r="O42" s="162" t="s">
        <v>159</v>
      </c>
    </row>
    <row r="43" ht="12.75">
      <c r="O43" s="162" t="s">
        <v>160</v>
      </c>
    </row>
    <row r="44" ht="12.75">
      <c r="O44" s="162" t="s">
        <v>161</v>
      </c>
    </row>
    <row r="45" ht="12.75">
      <c r="O45" s="162" t="s">
        <v>162</v>
      </c>
    </row>
    <row r="46" ht="12.75">
      <c r="O46" s="162" t="s">
        <v>163</v>
      </c>
    </row>
    <row r="47" ht="12.75">
      <c r="O47" s="162" t="s">
        <v>164</v>
      </c>
    </row>
    <row r="48" ht="12.75">
      <c r="O48" s="162" t="s">
        <v>165</v>
      </c>
    </row>
    <row r="49" ht="12.75">
      <c r="O49" s="162" t="s">
        <v>166</v>
      </c>
    </row>
    <row r="50" ht="12.75">
      <c r="O50" s="162" t="s">
        <v>167</v>
      </c>
    </row>
    <row r="51" ht="12.75">
      <c r="O51" s="162" t="s">
        <v>168</v>
      </c>
    </row>
    <row r="52" ht="12.75">
      <c r="O52" s="162" t="s">
        <v>169</v>
      </c>
    </row>
    <row r="53" ht="12.75">
      <c r="O53" s="162" t="s">
        <v>170</v>
      </c>
    </row>
    <row r="54" ht="12.75">
      <c r="O54" s="162" t="s">
        <v>171</v>
      </c>
    </row>
    <row r="55" ht="12.75">
      <c r="O55" s="162" t="s">
        <v>172</v>
      </c>
    </row>
    <row r="56" ht="12.75">
      <c r="O56" s="162" t="s">
        <v>173</v>
      </c>
    </row>
    <row r="57" ht="12.75">
      <c r="O57" s="162" t="s">
        <v>174</v>
      </c>
    </row>
    <row r="58" ht="12.75">
      <c r="O58" s="162" t="s">
        <v>175</v>
      </c>
    </row>
    <row r="59" ht="12.75">
      <c r="O59" s="162" t="s">
        <v>176</v>
      </c>
    </row>
    <row r="60" ht="12.75">
      <c r="O60" s="162" t="s">
        <v>177</v>
      </c>
    </row>
    <row r="61" ht="12.75">
      <c r="O61" s="162" t="s">
        <v>178</v>
      </c>
    </row>
    <row r="62" ht="12.75">
      <c r="O62" s="162" t="s">
        <v>179</v>
      </c>
    </row>
    <row r="63" ht="12.75">
      <c r="O63" s="162" t="s">
        <v>180</v>
      </c>
    </row>
    <row r="64" ht="12.75">
      <c r="O64" s="162" t="s">
        <v>181</v>
      </c>
    </row>
    <row r="65" ht="12.75">
      <c r="O65" s="162" t="s">
        <v>182</v>
      </c>
    </row>
    <row r="66" ht="12.75">
      <c r="O66" s="162" t="s">
        <v>183</v>
      </c>
    </row>
    <row r="67" ht="12.75">
      <c r="O67" s="162" t="s">
        <v>184</v>
      </c>
    </row>
    <row r="68" ht="12.75">
      <c r="O68" s="162" t="s">
        <v>185</v>
      </c>
    </row>
    <row r="69" ht="12.75">
      <c r="O69" s="162" t="s">
        <v>186</v>
      </c>
    </row>
    <row r="70" ht="12.75">
      <c r="O70" s="162" t="s">
        <v>187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