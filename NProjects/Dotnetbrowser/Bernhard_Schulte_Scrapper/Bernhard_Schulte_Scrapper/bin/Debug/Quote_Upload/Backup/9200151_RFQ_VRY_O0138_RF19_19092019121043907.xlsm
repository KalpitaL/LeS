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Quote!$A$1:$R$49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Quote!$A$30</definedName>
    <definedName name="Enquiry_To_Vendor_ID" comment="Enquiry to Vendor ID">Quote!$C$30</definedName>
    <definedName name="GrandTotal">Quote!$N$29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Quote!$A$22</definedName>
    <definedName name="ItemListStartupRow" comment="Item List Start Up Row">Quote!$A$19</definedName>
    <definedName name="ItemSubTotal">Quote!$N$28</definedName>
    <definedName name="ItemSubTotalTitle">Quote!$J$28</definedName>
    <definedName name="LeadDay">Quote!$M$11</definedName>
    <definedName name="Lock">Quote!$M$30</definedName>
    <definedName name="LoggedInEmailID">Quote!$N$30</definedName>
    <definedName name="LoggedInPwd">Quote!$O$30</definedName>
    <definedName name="OtherCharges">Quote!$C$24</definedName>
    <definedName name="OtherChargesLastRow">Quote!$A$28</definedName>
    <definedName name="OtherChargesStartRow">Quote!$A$23</definedName>
    <definedName name="Port">Quote!$P$30</definedName>
    <definedName name="PortOfDelivery" comment="Port of Delivery">Quote!$M$9</definedName>
    <definedName name="PurchaserName">Quote!$J$30</definedName>
    <definedName name="QuoteBefore">Quote!$M$8</definedName>
    <definedName name="QuoteID">MasterData!$N$7</definedName>
    <definedName name="QuoteSubject">Quote!$E$30</definedName>
    <definedName name="Remarks">Quote!$E$32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Quote!$K$30</definedName>
    <definedName name="SentIndex">Quote!$L$30</definedName>
    <definedName name="Server">Quote!$Q$30</definedName>
    <definedName name="Terms">Quote!$A$36:$T$57</definedName>
    <definedName name="ToEmailID">Quote!$I$30</definedName>
    <definedName name="ToEmailPwd">Quote!$H$30</definedName>
    <definedName name="VAL">Quote!$F$30</definedName>
    <definedName name="VAT_All">Quote!$M$16</definedName>
    <definedName name="Vendor_ID" comment="Vendor ID">Quote!$B$30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Quote!$D$30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Quote!$E$33</definedName>
    <definedName name="VesselETA" comment="Vessel ETA">Quote!$M$10</definedName>
    <definedName name="VesselName" comment="Vessel Name">Quote!$M$4</definedName>
    <definedName name="ItmPrice">Quote!$N$20:$N$20,Quote!$N$21:$N$21</definedName>
  </definedNames>
  <calcPr fullCalcOnLoad="1"/>
</workbook>
</file>

<file path=xl/sharedStrings.xml><?xml version="1.0" encoding="utf-8"?>
<sst xmlns="http://schemas.openxmlformats.org/spreadsheetml/2006/main" count="171" uniqueCount="148">
  <si>
    <t>RFQ</t>
  </si>
  <si>
    <t>Request for Quote</t>
  </si>
  <si>
    <t>Invoice To</t>
  </si>
  <si>
    <t>Bernhard Schulte Shipmanagement (Hong Kong) Limited Partnership
MASTER &amp; OWNER OF INTERLINK VERACITY
		REGD. OWNER : SOAR GREAT LIMITED
		BERNHARD SCHULTE SHIPMANGEMENT (HONG KONG) LTD. PARTNERSHIP
                                          (AS AGENTS ONLY)
		2602, K WAH CENTRE, 191 JAVA ROAD, 
		NORTH POINT, HONG KONG
		TEL:  +852 2561 8838
		FAX:  +852 2561 8803
                EMAIL: hk-smc-invoices@bs-shipmanagement.com</t>
  </si>
  <si>
    <t>Vessel</t>
  </si>
  <si>
    <t>Interlink Veracity</t>
  </si>
  <si>
    <t>RFQ No.</t>
  </si>
  <si>
    <t>VRY/O0138/RF19</t>
  </si>
  <si>
    <t>RFQ Date</t>
  </si>
  <si>
    <t>Submit Quote Before:</t>
  </si>
  <si>
    <t>Port of Delivery</t>
  </si>
  <si>
    <t>Bayuquan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</si>
  <si>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</si>
  <si>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</si>
  <si>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</si>
  <si>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</si>
  <si>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</si>
  <si>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</si>
  <si>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</si>
  <si>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</si>
  <si>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</si>
  <si>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</si>
  <si>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</si>
  <si>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</si>
  <si>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</si>
  <si>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</si>
  <si>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</si>
  <si>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mt@rmsmarineservice.com,mt@rmsmarineservice.com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</si>
  <si>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</si>
  <si>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</si>
  <si>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</si>
  <si>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</si>
  <si>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</si>
  <si>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</si>
  <si>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</si>
  <si>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</si>
  <si>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</si>
  <si>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</si>
  <si>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</si>
  <si>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</si>
  <si>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arm-chair whirling PADDED WASHING TEXTILE</t>
  </si>
  <si>
    <t>PCS</t>
  </si>
  <si>
    <t>WOODEN CHAIR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</si>
  <si>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</si>
  <si>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</si>
  <si>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</si>
  <si>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</si>
  <si>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</si>
  <si>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</si>
  <si>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</si>
  <si>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</si>
  <si>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</si>
  <si>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</si>
  <si>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1.4pcs Arm-Chair whirling will repalce the damaged  swivel chairs in senior officer cabin .And add 6 pcs in bridge ,  deck office and E/R.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</si>
  <si>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</si>
  <si>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</si>
  <si>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</si>
  <si>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</si>
  <si>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</si>
  <si>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</si>
  <si>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</si>
  <si>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</si>
  <si>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</si>
  <si>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</si>
  <si>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</si>
  <si>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</si>
  <si>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</si>
  <si>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</si>
  <si>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</si>
  <si>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</si>
  <si>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</si>
  <si>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 - STORES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</si>
  <si>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</si>
  <si>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</si>
  <si>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</si>
  <si>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</si>
  <si>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</si>
  <si>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</si>
  <si>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</si>
  <si>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</si>
  <si>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</si>
  <si>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</si>
  <si>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</si>
  <si>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</si>
  <si>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</si>
  <si>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</si>
  <si>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</si>
  <si>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</si>
  <si>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</si>
  <si>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</si>
  <si>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</si>
  <si>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</si>
  <si>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</si>
  <si>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</si>
  <si>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</si>
  <si>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</si>
  <si>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</si>
  <si>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</si>
  <si>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</si>
  <si>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</si>
  <si>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</si>
  <si>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</si>
  <si>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</si>
  <si>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</si>
  <si>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</si>
  <si>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</si>
  <si>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</si>
  <si>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</si>
  <si>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</si>
  <si>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</si>
  <si>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</si>
  <si>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</si>
  <si>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</si>
  <si>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</si>
  <si>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</si>
  <si>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</si>
  <si>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</si>
  <si>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</si>
  <si>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</si>
  <si>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</si>
  <si>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</si>
  <si>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</si>
  <si>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</si>
  <si>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</si>
  <si>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</si>
  <si>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</si>
  <si>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</si>
  <si>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</si>
  <si>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</si>
  <si>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</si>
  <si>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</si>
  <si>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</si>
  <si>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</si>
  <si>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</si>
  <si>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</si>
  <si>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</si>
  <si>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</si>
  <si>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</si>
  <si>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</si>
  <si>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</si>
  <si>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</si>
  <si>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</si>
  <si>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</si>
  <si>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</si>
  <si>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</si>
  <si>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</si>
  <si>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BJD1909191225882LET</t>
  </si>
  <si>
    <t xml:space="preserve">
Date promised : 2019-09-24
Quote validity : 2019-10-21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</si>
</sst>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9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43725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43725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21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146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139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99990011013455</v>
      </c>
      <c r="C20" s="227">
        <v>2413477</v>
      </c>
      <c r="D20" s="228" t="s">
        <v>40</v>
      </c>
      <c r="E20" s="229"/>
      <c r="F20" s="229">
        <v>2413477</v>
      </c>
      <c r="G20" s="229" t="s">
        <v>41</v>
      </c>
      <c r="H20" s="230">
        <v>0</v>
      </c>
      <c r="I20" s="231">
        <v>10</v>
      </c>
      <c r="J20" s="232">
        <v>49.57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/>
      <c r="Q20" s="236"/>
      <c r="R20" s="237"/>
      <c r="S20" s="238"/>
      <c r="T20" s="239"/>
    </row>
    <row r="21" spans="1:20" ht="24" customHeight="1">
      <c r="A21" s="226">
        <v>2</v>
      </c>
      <c r="B21" s="226">
        <v>99990013643038</v>
      </c>
      <c r="C21" s="227">
        <v>2826050</v>
      </c>
      <c r="D21" s="228" t="s">
        <v>42</v>
      </c>
      <c r="E21" s="229"/>
      <c r="F21" s="229">
        <v>2826050</v>
      </c>
      <c r="G21" s="229" t="s">
        <v>41</v>
      </c>
      <c r="H21" s="230">
        <v>0</v>
      </c>
      <c r="I21" s="231">
        <v>10</v>
      </c>
      <c r="J21" s="232">
        <v>86.54</v>
      </c>
      <c r="K21" s="233"/>
      <c r="L21" s="231" t="s">
        <v>23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/>
      <c r="Q21" s="236"/>
      <c r="R21" s="237"/>
      <c r="S21" s="238"/>
      <c r="T21" s="239"/>
    </row>
    <row r="22" spans="1:20" ht="15" customHeight="1">
      <c r="A22" s="32"/>
      <c r="B22" s="295"/>
      <c r="C22" s="296"/>
      <c r="D22" s="296"/>
      <c r="E22" s="296"/>
      <c r="F22" s="296"/>
      <c r="G22" s="296"/>
      <c r="H22" s="297"/>
      <c r="I22" s="297"/>
      <c r="J22" s="297"/>
      <c r="K22" s="297"/>
      <c r="L22" s="297"/>
      <c r="M22" s="297"/>
      <c r="N22" s="297"/>
      <c r="O22" s="297"/>
      <c r="P22" s="297"/>
      <c r="Q22" s="297"/>
      <c r="R22" s="297"/>
      <c r="S22" s="297"/>
      <c r="T22" s="298"/>
    </row>
    <row r="23" spans="1:20" ht="12.75" customHeight="1">
      <c r="A23" s="289" t="s">
        <v>28</v>
      </c>
      <c r="B23" s="289"/>
      <c r="C23" s="290" t="s">
        <v>43</v>
      </c>
      <c r="D23" s="291"/>
      <c r="E23" s="291"/>
      <c r="F23" s="291"/>
      <c r="G23" s="291"/>
      <c r="H23" s="291"/>
      <c r="I23" s="292"/>
      <c r="J23" s="292" t="s">
        <v>44</v>
      </c>
      <c r="K23" s="292"/>
      <c r="L23" s="292" t="s">
        <v>35</v>
      </c>
      <c r="M23" s="292" t="s">
        <v>36</v>
      </c>
      <c r="N23" s="293" t="s">
        <v>45</v>
      </c>
      <c r="O23" s="294" t="s">
        <v>38</v>
      </c>
      <c r="P23" s="294"/>
      <c r="Q23" s="294"/>
      <c r="R23" s="294"/>
      <c r="S23" s="294"/>
      <c r="T23" s="225"/>
    </row>
    <row r="24" spans="1:20" ht="15" customHeight="1">
      <c r="A24" s="269">
        <v>1</v>
      </c>
      <c r="B24" s="270"/>
      <c r="C24" s="271" t="s">
        <v>46</v>
      </c>
      <c r="D24" s="272" t="s">
        <v>46</v>
      </c>
      <c r="E24" s="272" t="s">
        <v>46</v>
      </c>
      <c r="F24" s="272" t="s">
        <v>46</v>
      </c>
      <c r="G24" s="272" t="s">
        <v>46</v>
      </c>
      <c r="H24" s="273" t="s">
        <v>46</v>
      </c>
      <c r="I24" s="274"/>
      <c r="J24" s="275">
        <v>0</v>
      </c>
      <c r="K24" s="276"/>
      <c r="L24" s="277">
        <v>0</v>
      </c>
      <c r="M24" s="277">
        <v>0</v>
      </c>
      <c r="N24" s="285">
        <f>(J24-(J24*L24/100)+((J24-(J24*L24/100))*M24/100))</f>
      </c>
      <c r="O24" s="286"/>
      <c r="P24" s="287"/>
      <c r="Q24" s="287"/>
      <c r="R24" s="287"/>
      <c r="S24" s="288"/>
      <c r="T24" s="283"/>
    </row>
    <row r="25" spans="1:20" ht="15" customHeight="1">
      <c r="A25" s="269">
        <v>2</v>
      </c>
      <c r="B25" s="270"/>
      <c r="C25" s="271" t="s">
        <v>47</v>
      </c>
      <c r="D25" s="272" t="s">
        <v>47</v>
      </c>
      <c r="E25" s="272" t="s">
        <v>47</v>
      </c>
      <c r="F25" s="272" t="s">
        <v>47</v>
      </c>
      <c r="G25" s="272" t="s">
        <v>47</v>
      </c>
      <c r="H25" s="273" t="s">
        <v>47</v>
      </c>
      <c r="I25" s="284"/>
      <c r="J25" s="275">
        <v>0</v>
      </c>
      <c r="K25" s="276"/>
      <c r="L25" s="277">
        <v>0</v>
      </c>
      <c r="M25" s="277">
        <v>0</v>
      </c>
      <c r="N25" s="279">
        <f>(J25-(J25*L25/100)+((J25-(J25*L25/100))*M25/100))</f>
      </c>
      <c r="O25" s="280"/>
      <c r="P25" s="281"/>
      <c r="Q25" s="281"/>
      <c r="R25" s="281"/>
      <c r="S25" s="282"/>
      <c r="T25" s="283"/>
    </row>
    <row r="26" spans="1:20" ht="15" customHeight="1">
      <c r="A26" s="269">
        <v>3</v>
      </c>
      <c r="B26" s="270"/>
      <c r="C26" s="271"/>
      <c r="D26" s="272"/>
      <c r="E26" s="272"/>
      <c r="F26" s="272"/>
      <c r="G26" s="272"/>
      <c r="H26" s="273"/>
      <c r="I26" s="274"/>
      <c r="J26" s="275">
        <v>0</v>
      </c>
      <c r="K26" s="276"/>
      <c r="L26" s="277">
        <v>0</v>
      </c>
      <c r="M26" s="277">
        <v>0</v>
      </c>
      <c r="N26" s="279">
        <f>(J26-(J26*L26/100)+((J26-(J26*L26/100))*M26/100))</f>
      </c>
      <c r="O26" s="280"/>
      <c r="P26" s="281"/>
      <c r="Q26" s="281"/>
      <c r="R26" s="281"/>
      <c r="S26" s="282"/>
      <c r="T26" s="283"/>
    </row>
    <row r="27" spans="1:20" ht="15.75" customHeight="1">
      <c r="A27" s="269">
        <v>4</v>
      </c>
      <c r="B27" s="270"/>
      <c r="C27" s="271"/>
      <c r="D27" s="272"/>
      <c r="E27" s="272"/>
      <c r="F27" s="272"/>
      <c r="G27" s="272"/>
      <c r="H27" s="273"/>
      <c r="I27" s="274"/>
      <c r="J27" s="275">
        <v>0</v>
      </c>
      <c r="K27" s="276"/>
      <c r="L27" s="277">
        <v>0</v>
      </c>
      <c r="M27" s="278">
        <v>0</v>
      </c>
      <c r="N27" s="279">
        <f>(J27-(J27*L27/100)+((J27-(J27*L27/100))*M27/100))</f>
      </c>
      <c r="O27" s="280"/>
      <c r="P27" s="281"/>
      <c r="Q27" s="281"/>
      <c r="R27" s="281"/>
      <c r="S27" s="282"/>
      <c r="T27" s="283"/>
    </row>
    <row r="28" spans="1:16" ht="15.95" customHeight="1">
      <c r="A28" s="247"/>
      <c r="B28" s="247"/>
      <c r="C28" s="248"/>
      <c r="D28" s="248"/>
      <c r="I28" s="163"/>
      <c r="J28" s="58" t="s">
        <v>48</v>
      </c>
      <c r="K28" s="59"/>
      <c r="L28" s="58"/>
      <c r="M28" s="59"/>
      <c r="N28" s="264">
        <f>SUM(ItmPrice)</f>
      </c>
      <c r="O28" s="267"/>
      <c r="P28" s="268"/>
    </row>
    <row r="29" spans="1:16" ht="15" customHeight="1">
      <c r="A29" s="247"/>
      <c r="B29" s="247"/>
      <c r="C29" s="248"/>
      <c r="D29" s="248"/>
      <c r="I29" s="163"/>
      <c r="J29" s="123" t="s">
        <v>49</v>
      </c>
      <c r="K29" s="124"/>
      <c r="L29" s="124"/>
      <c r="M29" s="125"/>
      <c r="N29" s="264">
        <f>SUM(N24:N28)</f>
      </c>
      <c r="O29" s="265"/>
      <c r="P29" s="266"/>
    </row>
    <row r="30" spans="1:19" ht="2.25" customHeight="1" hidden="1">
      <c r="A30" s="258">
        <v>0</v>
      </c>
      <c r="B30" s="258">
        <v>0</v>
      </c>
      <c r="C30" s="259">
        <v>0</v>
      </c>
      <c r="D30" s="248"/>
      <c r="E30" s="248"/>
      <c r="F30" s="260">
        <v>1</v>
      </c>
      <c r="G30" s="248"/>
      <c r="H30" s="248"/>
      <c r="I30" s="248"/>
      <c r="J30" s="248"/>
      <c r="K30" s="261"/>
      <c r="L30" s="262">
        <v>0</v>
      </c>
      <c r="M30" s="263">
        <v>0</v>
      </c>
      <c r="N30" s="162" t="s">
        <v>50</v>
      </c>
      <c r="O30" s="257"/>
      <c r="P30" s="263">
        <v>995</v>
      </c>
      <c r="Q30" s="248" t="s">
        <v>51</v>
      </c>
      <c r="R30" s="248"/>
      <c r="S30" s="248"/>
    </row>
    <row r="31" spans="1:19" ht="18.75" customHeight="1">
      <c r="A31" s="247"/>
      <c r="B31" s="247"/>
      <c r="C31" s="247"/>
      <c r="H31" s="257"/>
      <c r="I31" s="163"/>
      <c r="J31" s="248"/>
      <c r="K31" s="248"/>
      <c r="L31" s="248"/>
      <c r="M31" s="248"/>
      <c r="N31" s="248"/>
      <c r="O31" s="248"/>
      <c r="P31" s="248"/>
      <c r="R31" s="248"/>
      <c r="S31" s="248"/>
    </row>
    <row r="32" spans="1:20" ht="127.5" customHeight="1">
      <c r="A32" s="249" t="s">
        <v>52</v>
      </c>
      <c r="B32" s="249"/>
      <c r="C32" s="249"/>
      <c r="D32" s="250"/>
      <c r="E32" s="254" t="s">
        <v>53</v>
      </c>
      <c r="F32" s="255"/>
      <c r="G32" s="255"/>
      <c r="H32" s="255"/>
      <c r="I32" s="255"/>
      <c r="J32" s="255"/>
      <c r="K32" s="255"/>
      <c r="L32" s="255"/>
      <c r="M32" s="255"/>
      <c r="N32" s="255"/>
      <c r="O32" s="255"/>
      <c r="P32" s="255"/>
      <c r="Q32" s="255"/>
      <c r="R32" s="255"/>
      <c r="S32" s="255"/>
      <c r="T32" s="256"/>
    </row>
    <row r="33" spans="1:20" ht="129.75" customHeight="1">
      <c r="A33" s="249" t="s">
        <v>38</v>
      </c>
      <c r="B33" s="249"/>
      <c r="C33" s="249"/>
      <c r="D33" s="250"/>
      <c r="E33" s="251" t="s">
        <v>147</v>
      </c>
      <c r="F33" s="252"/>
      <c r="G33" s="252"/>
      <c r="H33" s="252"/>
      <c r="I33" s="252"/>
      <c r="J33" s="252"/>
      <c r="K33" s="252"/>
      <c r="L33" s="252"/>
      <c r="M33" s="252"/>
      <c r="N33" s="252"/>
      <c r="O33" s="252"/>
      <c r="P33" s="252"/>
      <c r="Q33" s="252"/>
      <c r="R33" s="252"/>
      <c r="S33" s="252"/>
      <c r="T33" s="253"/>
    </row>
    <row r="34" spans="1:19" ht="15.95" customHeight="1">
      <c r="A34" s="247"/>
      <c r="B34" s="247"/>
      <c r="C34" s="247"/>
      <c r="H34" s="248"/>
      <c r="I34" s="248"/>
      <c r="J34" s="248"/>
      <c r="K34" s="248"/>
      <c r="L34" s="248"/>
      <c r="M34" s="248"/>
      <c r="N34" s="248"/>
      <c r="O34" s="248"/>
      <c r="P34" s="248"/>
      <c r="Q34" s="248"/>
      <c r="R34" s="248"/>
      <c r="S34" s="248"/>
    </row>
    <row r="35" spans="1:20" ht="15.95" customHeight="1">
      <c r="A35" s="245" t="s">
        <v>54</v>
      </c>
      <c r="B35" s="245"/>
      <c r="C35" s="245"/>
      <c r="D35" s="245"/>
      <c r="E35" s="245"/>
      <c r="F35" s="245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6"/>
    </row>
    <row r="36" spans="1:20" ht="12.75" customHeight="1">
      <c r="A36" s="243"/>
      <c r="B36" s="243"/>
      <c r="C36" s="243"/>
      <c r="D36" s="243"/>
      <c r="E36" s="243"/>
      <c r="F36" s="243"/>
      <c r="G36" s="243"/>
      <c r="H36" s="243"/>
      <c r="I36" s="243"/>
      <c r="J36" s="243"/>
      <c r="K36" s="243"/>
      <c r="L36" s="243"/>
      <c r="M36" s="243"/>
      <c r="N36" s="243"/>
      <c r="O36" s="243"/>
      <c r="P36" s="243"/>
      <c r="Q36" s="243"/>
      <c r="R36" s="243"/>
      <c r="S36" s="243"/>
      <c r="T36" s="244"/>
    </row>
    <row r="37" spans="1:20" ht="12.75" customHeight="1">
      <c r="A37" s="243"/>
      <c r="B37" s="243"/>
      <c r="C37" s="243"/>
      <c r="D37" s="243"/>
      <c r="E37" s="243"/>
      <c r="F37" s="243"/>
      <c r="G37" s="243"/>
      <c r="H37" s="243"/>
      <c r="I37" s="243"/>
      <c r="J37" s="243"/>
      <c r="K37" s="243"/>
      <c r="L37" s="243"/>
      <c r="M37" s="243"/>
      <c r="N37" s="243"/>
      <c r="O37" s="243"/>
      <c r="P37" s="243"/>
      <c r="Q37" s="243"/>
      <c r="R37" s="243"/>
      <c r="S37" s="243"/>
      <c r="T37" s="244"/>
    </row>
    <row r="38" spans="1:20" ht="7.5" customHeight="1">
      <c r="A38" s="243"/>
      <c r="B38" s="243"/>
      <c r="C38" s="243"/>
      <c r="D38" s="243"/>
      <c r="E38" s="243"/>
      <c r="F38" s="243"/>
      <c r="G38" s="243"/>
      <c r="H38" s="243"/>
      <c r="I38" s="243"/>
      <c r="J38" s="243"/>
      <c r="K38" s="243"/>
      <c r="L38" s="243"/>
      <c r="M38" s="243"/>
      <c r="N38" s="243"/>
      <c r="O38" s="243"/>
      <c r="P38" s="243"/>
      <c r="Q38" s="243"/>
      <c r="R38" s="243"/>
      <c r="S38" s="243"/>
      <c r="T38" s="244"/>
    </row>
    <row r="39" spans="1:20" ht="12.75" customHeight="1">
      <c r="A39" s="243"/>
      <c r="B39" s="243"/>
      <c r="C39" s="243"/>
      <c r="D39" s="243"/>
      <c r="E39" s="243"/>
      <c r="F39" s="243"/>
      <c r="G39" s="243"/>
      <c r="H39" s="243"/>
      <c r="I39" s="243"/>
      <c r="J39" s="243"/>
      <c r="K39" s="243"/>
      <c r="L39" s="243"/>
      <c r="M39" s="243"/>
      <c r="N39" s="243"/>
      <c r="O39" s="243"/>
      <c r="P39" s="243"/>
      <c r="Q39" s="243"/>
      <c r="R39" s="243"/>
      <c r="S39" s="243"/>
      <c r="T39" s="244"/>
    </row>
    <row r="40" spans="1:20" ht="12.75" customHeight="1">
      <c r="A40" s="243"/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3"/>
      <c r="P40" s="243"/>
      <c r="Q40" s="243"/>
      <c r="R40" s="243"/>
      <c r="S40" s="243"/>
      <c r="T40" s="244"/>
    </row>
    <row r="41" spans="1:20" ht="12.75" customHeight="1">
      <c r="A41" s="243"/>
      <c r="B41" s="243"/>
      <c r="C41" s="243"/>
      <c r="D41" s="243"/>
      <c r="E41" s="243"/>
      <c r="F41" s="243"/>
      <c r="G41" s="243"/>
      <c r="H41" s="243"/>
      <c r="I41" s="243"/>
      <c r="J41" s="243"/>
      <c r="K41" s="243"/>
      <c r="L41" s="243"/>
      <c r="M41" s="243"/>
      <c r="N41" s="243"/>
      <c r="O41" s="243"/>
      <c r="P41" s="243"/>
      <c r="Q41" s="243"/>
      <c r="R41" s="243"/>
      <c r="S41" s="243"/>
      <c r="T41" s="244"/>
    </row>
    <row r="42" spans="1:20" ht="7.5" customHeight="1">
      <c r="A42" s="243"/>
      <c r="B42" s="243"/>
      <c r="C42" s="243"/>
      <c r="D42" s="243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4"/>
    </row>
    <row r="43" spans="1:20" ht="12.75" customHeight="1">
      <c r="A43" s="243"/>
      <c r="B43" s="243"/>
      <c r="C43" s="243"/>
      <c r="D43" s="243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4"/>
    </row>
    <row r="44" spans="1:20" ht="12.75" customHeight="1">
      <c r="A44" s="243"/>
      <c r="B44" s="243"/>
      <c r="C44" s="243"/>
      <c r="D44" s="243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4"/>
    </row>
    <row r="45" spans="1:20" ht="12.75" customHeight="1">
      <c r="A45" s="243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4"/>
    </row>
    <row r="46" spans="1:20" ht="12.75" customHeight="1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4"/>
    </row>
    <row r="47" spans="1:20" ht="12.75" customHeight="1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4"/>
    </row>
    <row r="48" spans="1:20" ht="12.7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7.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12.7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12.7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12.7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12.7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7.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12.7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12.7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12.75" customHeight="1">
      <c r="A58" s="241"/>
      <c r="B58" s="241"/>
      <c r="C58" s="241"/>
      <c r="D58" s="241"/>
      <c r="E58" s="241"/>
      <c r="F58" s="241"/>
      <c r="G58" s="241"/>
      <c r="H58" s="241"/>
      <c r="I58" s="241"/>
      <c r="J58" s="241"/>
      <c r="K58" s="241"/>
      <c r="L58" s="241"/>
      <c r="M58" s="241"/>
      <c r="N58" s="241"/>
      <c r="O58" s="241"/>
      <c r="P58" s="241"/>
      <c r="Q58" s="241"/>
      <c r="R58" s="241"/>
      <c r="S58" s="241"/>
      <c r="T58" s="242"/>
    </row>
    <row r="59" spans="1:9" ht="12.75">
      <c r="A59" s="240" t="s">
        <v>55</v>
      </c>
      <c r="B59" s="240"/>
      <c r="C59" s="240"/>
      <c r="D59" s="240"/>
      <c r="E59" s="240"/>
      <c r="F59" s="240"/>
      <c r="G59" s="240"/>
      <c r="I59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9">
    <mergeCell ref="E32:S32"/>
    <mergeCell ref="E33:S33"/>
    <mergeCell ref="E35:S35"/>
    <mergeCell ref="A36:S57"/>
    <mergeCell ref="A58:S58"/>
    <mergeCell ref="A32:D32"/>
    <mergeCell ref="A33:D33"/>
    <mergeCell ref="K1:R1"/>
    <mergeCell ref="R19:S19"/>
    <mergeCell ref="R20:S20"/>
    <mergeCell ref="O24:S24"/>
    <mergeCell ref="O25:S25"/>
    <mergeCell ref="O23:S23"/>
    <mergeCell ref="J23:K23"/>
    <mergeCell ref="K4:L4"/>
    <mergeCell ref="M4:P4"/>
    <mergeCell ref="K5:L5"/>
    <mergeCell ref="M5:P5"/>
    <mergeCell ref="M7:Q7"/>
    <mergeCell ref="P20:Q20"/>
    <mergeCell ref="M12:O12"/>
    <mergeCell ref="K12:L12"/>
    <mergeCell ref="O28:P28"/>
    <mergeCell ref="O29:P29"/>
    <mergeCell ref="J29:M29"/>
    <mergeCell ref="O26:S26"/>
    <mergeCell ref="O27:S27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3:H23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C24:H24"/>
    <mergeCell ref="J24:K24"/>
    <mergeCell ref="C25:H25"/>
    <mergeCell ref="J25:K25"/>
    <mergeCell ref="C26:H26"/>
    <mergeCell ref="J26:K26"/>
    <mergeCell ref="C27:H27"/>
    <mergeCell ref="J27:K27"/>
  </mergeCells>
  <dataValidations count="19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list" allowBlank="1" showInputMessage="1" showErrorMessage="1" sqref="C24:H24">
      <formula1>'MasterData'!$H$1:$H$14</formula1>
    </dataValidation>
    <dataValidation type="list" allowBlank="1" showInputMessage="1" showErrorMessage="1" sqref="C25:H25">
      <formula1>'MasterData'!$H$1:$H$14</formula1>
    </dataValidation>
    <dataValidation type="list" allowBlank="1" showInputMessage="1" showErrorMessage="1" sqref="C26:H26">
      <formula1>'MasterData'!$H$1:$H$14</formula1>
    </dataValidation>
    <dataValidation type="list" allowBlank="1" showInputMessage="1" showErrorMessage="1" sqref="C27:H27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46</v>
      </c>
      <c r="M1" s="300" t="s">
        <v>56</v>
      </c>
      <c r="N1" s="301" t="s">
        <v>0</v>
      </c>
      <c r="O1" s="162" t="s">
        <v>57</v>
      </c>
    </row>
    <row r="2" spans="7:15" ht="12.75">
      <c r="G2" s="162">
        <v>1001310</v>
      </c>
      <c r="H2" s="162" t="s">
        <v>47</v>
      </c>
      <c r="M2" s="300" t="s">
        <v>58</v>
      </c>
      <c r="N2" s="301">
        <v>1020687294</v>
      </c>
      <c r="O2" s="162" t="s">
        <v>59</v>
      </c>
    </row>
    <row r="3" spans="7:15" ht="12.75">
      <c r="G3" s="162">
        <v>1012729</v>
      </c>
      <c r="H3" s="162" t="s">
        <v>60</v>
      </c>
      <c r="M3" s="300" t="s">
        <v>61</v>
      </c>
      <c r="N3" s="301">
        <v>99990000425338</v>
      </c>
      <c r="O3" s="162" t="s">
        <v>62</v>
      </c>
    </row>
    <row r="4" spans="7:15" ht="12.75">
      <c r="G4" s="162">
        <v>1012730</v>
      </c>
      <c r="H4" s="162" t="s">
        <v>63</v>
      </c>
      <c r="M4" s="300" t="s">
        <v>64</v>
      </c>
      <c r="N4" s="301">
        <v>1021741207</v>
      </c>
      <c r="O4" s="162" t="s">
        <v>65</v>
      </c>
    </row>
    <row r="5" spans="7:15" ht="12.75">
      <c r="G5" s="162">
        <v>1012731</v>
      </c>
      <c r="H5" s="162" t="s">
        <v>66</v>
      </c>
      <c r="M5" s="300" t="s">
        <v>67</v>
      </c>
      <c r="N5" s="301"/>
      <c r="O5" s="162" t="s">
        <v>68</v>
      </c>
    </row>
    <row r="6" spans="7:15" ht="12.75">
      <c r="G6" s="162">
        <v>1012732</v>
      </c>
      <c r="H6" s="162" t="s">
        <v>69</v>
      </c>
      <c r="M6" s="300" t="s">
        <v>70</v>
      </c>
      <c r="N6" s="301" t="s">
        <v>71</v>
      </c>
      <c r="O6" s="162" t="s">
        <v>72</v>
      </c>
    </row>
    <row r="7" spans="7:15" ht="12.75">
      <c r="G7" s="162">
        <v>1012733</v>
      </c>
      <c r="H7" s="162" t="s">
        <v>73</v>
      </c>
      <c r="M7" s="300" t="s">
        <v>74</v>
      </c>
      <c r="N7" s="301">
        <v>0</v>
      </c>
      <c r="O7" s="162" t="s">
        <v>75</v>
      </c>
    </row>
    <row r="8" spans="7:15" ht="12.75">
      <c r="G8" s="162">
        <v>1012735</v>
      </c>
      <c r="H8" s="162" t="s">
        <v>76</v>
      </c>
      <c r="O8" s="162" t="s">
        <v>77</v>
      </c>
    </row>
    <row r="9" spans="7:15" ht="12.75">
      <c r="G9" s="162">
        <v>1012736</v>
      </c>
      <c r="H9" s="162" t="s">
        <v>78</v>
      </c>
      <c r="O9" s="162" t="s">
        <v>79</v>
      </c>
    </row>
    <row r="10" spans="7:15" ht="12.75">
      <c r="G10" s="162">
        <v>1012737</v>
      </c>
      <c r="H10" s="162" t="s">
        <v>80</v>
      </c>
      <c r="O10" s="162" t="s">
        <v>81</v>
      </c>
    </row>
    <row r="11" spans="7:15" ht="12.75">
      <c r="G11" s="162">
        <v>1012741</v>
      </c>
      <c r="H11" s="162" t="s">
        <v>82</v>
      </c>
      <c r="O11" s="162" t="s">
        <v>83</v>
      </c>
    </row>
    <row r="12" spans="7:15" ht="12.75">
      <c r="G12" s="162">
        <v>1012742</v>
      </c>
      <c r="H12" s="162" t="s">
        <v>84</v>
      </c>
      <c r="O12" s="162" t="s">
        <v>85</v>
      </c>
    </row>
    <row r="13" spans="7:15" ht="12.75">
      <c r="G13" s="162">
        <v>1012743</v>
      </c>
      <c r="H13" s="162" t="s">
        <v>86</v>
      </c>
      <c r="O13" s="162" t="s">
        <v>87</v>
      </c>
    </row>
    <row r="14" spans="7:15" ht="12.75">
      <c r="G14" s="162">
        <v>1012744</v>
      </c>
      <c r="H14" s="162" t="s">
        <v>88</v>
      </c>
      <c r="O14" s="162" t="s">
        <v>89</v>
      </c>
    </row>
    <row r="15" ht="12.75">
      <c r="O15" s="162" t="s">
        <v>90</v>
      </c>
    </row>
    <row r="16" ht="12.75">
      <c r="O16" s="162" t="s">
        <v>91</v>
      </c>
    </row>
    <row r="17" ht="12.75">
      <c r="O17" s="162" t="s">
        <v>92</v>
      </c>
    </row>
    <row r="18" ht="12.75">
      <c r="O18" s="162" t="s">
        <v>93</v>
      </c>
    </row>
    <row r="19" ht="12.75">
      <c r="O19" s="162" t="s">
        <v>94</v>
      </c>
    </row>
    <row r="20" ht="12.75">
      <c r="O20" s="162" t="s">
        <v>95</v>
      </c>
    </row>
    <row r="21" ht="12.75">
      <c r="O21" s="162" t="s">
        <v>96</v>
      </c>
    </row>
    <row r="22" ht="12.75">
      <c r="O22" s="162" t="s">
        <v>97</v>
      </c>
    </row>
    <row r="23" ht="12.75">
      <c r="O23" s="162" t="s">
        <v>98</v>
      </c>
    </row>
    <row r="24" ht="12.75">
      <c r="O24" s="162" t="s">
        <v>99</v>
      </c>
    </row>
    <row r="25" ht="12.75">
      <c r="O25" s="162" t="s">
        <v>100</v>
      </c>
    </row>
    <row r="26" ht="12.75">
      <c r="O26" s="162" t="s">
        <v>101</v>
      </c>
    </row>
    <row r="27" ht="12.75">
      <c r="O27" s="162" t="s">
        <v>102</v>
      </c>
    </row>
    <row r="28" ht="12.75">
      <c r="O28" s="162" t="s">
        <v>103</v>
      </c>
    </row>
    <row r="29" ht="12.75">
      <c r="O29" s="162" t="s">
        <v>104</v>
      </c>
    </row>
    <row r="30" ht="12.75">
      <c r="O30" s="162" t="s">
        <v>105</v>
      </c>
    </row>
    <row r="31" ht="12.75">
      <c r="O31" s="162" t="s">
        <v>106</v>
      </c>
    </row>
    <row r="32" ht="12.75">
      <c r="O32" s="162" t="s">
        <v>107</v>
      </c>
    </row>
    <row r="33" ht="12.75">
      <c r="O33" s="162" t="s">
        <v>108</v>
      </c>
    </row>
    <row r="34" ht="12.75">
      <c r="O34" s="162" t="s">
        <v>109</v>
      </c>
    </row>
    <row r="35" ht="12.75">
      <c r="O35" s="162" t="s">
        <v>110</v>
      </c>
    </row>
    <row r="36" ht="12.75">
      <c r="O36" s="162" t="s">
        <v>111</v>
      </c>
    </row>
    <row r="37" ht="12.75">
      <c r="O37" s="162" t="s">
        <v>112</v>
      </c>
    </row>
    <row r="38" ht="12.75">
      <c r="O38" s="162" t="s">
        <v>113</v>
      </c>
    </row>
    <row r="39" ht="12.75">
      <c r="O39" s="162" t="s">
        <v>114</v>
      </c>
    </row>
    <row r="40" ht="12.75">
      <c r="O40" s="162" t="s">
        <v>115</v>
      </c>
    </row>
    <row r="41" ht="12.75">
      <c r="O41" s="162" t="s">
        <v>116</v>
      </c>
    </row>
    <row r="42" ht="12.75">
      <c r="O42" s="162" t="s">
        <v>117</v>
      </c>
    </row>
    <row r="43" ht="12.75">
      <c r="O43" s="162" t="s">
        <v>118</v>
      </c>
    </row>
    <row r="44" ht="12.75">
      <c r="O44" s="162" t="s">
        <v>119</v>
      </c>
    </row>
    <row r="45" ht="12.75">
      <c r="O45" s="162" t="s">
        <v>120</v>
      </c>
    </row>
    <row r="46" ht="12.75">
      <c r="O46" s="162" t="s">
        <v>121</v>
      </c>
    </row>
    <row r="47" ht="12.75">
      <c r="O47" s="162" t="s">
        <v>122</v>
      </c>
    </row>
    <row r="48" ht="12.75">
      <c r="O48" s="162" t="s">
        <v>123</v>
      </c>
    </row>
    <row r="49" ht="12.75">
      <c r="O49" s="162" t="s">
        <v>124</v>
      </c>
    </row>
    <row r="50" ht="12.75">
      <c r="O50" s="162" t="s">
        <v>125</v>
      </c>
    </row>
    <row r="51" ht="12.75">
      <c r="O51" s="162" t="s">
        <v>126</v>
      </c>
    </row>
    <row r="52" ht="12.75">
      <c r="O52" s="162" t="s">
        <v>127</v>
      </c>
    </row>
    <row r="53" ht="12.75">
      <c r="O53" s="162" t="s">
        <v>128</v>
      </c>
    </row>
    <row r="54" ht="12.75">
      <c r="O54" s="162" t="s">
        <v>129</v>
      </c>
    </row>
    <row r="55" ht="12.75">
      <c r="O55" s="162" t="s">
        <v>130</v>
      </c>
    </row>
    <row r="56" ht="12.75">
      <c r="O56" s="162" t="s">
        <v>131</v>
      </c>
    </row>
    <row r="57" ht="12.75">
      <c r="O57" s="162" t="s">
        <v>132</v>
      </c>
    </row>
    <row r="58" ht="12.75">
      <c r="O58" s="162" t="s">
        <v>133</v>
      </c>
    </row>
    <row r="59" ht="12.75">
      <c r="O59" s="162" t="s">
        <v>134</v>
      </c>
    </row>
    <row r="60" ht="12.75">
      <c r="O60" s="162" t="s">
        <v>135</v>
      </c>
    </row>
    <row r="61" ht="12.75">
      <c r="O61" s="162" t="s">
        <v>136</v>
      </c>
    </row>
    <row r="62" ht="12.75">
      <c r="O62" s="162" t="s">
        <v>137</v>
      </c>
    </row>
    <row r="63" ht="12.75">
      <c r="O63" s="162" t="s">
        <v>138</v>
      </c>
    </row>
    <row r="64" ht="12.75">
      <c r="O64" s="162" t="s">
        <v>139</v>
      </c>
    </row>
    <row r="65" ht="12.75">
      <c r="O65" s="162" t="s">
        <v>140</v>
      </c>
    </row>
    <row r="66" ht="12.75">
      <c r="O66" s="162" t="s">
        <v>141</v>
      </c>
    </row>
    <row r="67" ht="12.75">
      <c r="O67" s="162" t="s">
        <v>142</v>
      </c>
    </row>
    <row r="68" ht="12.75">
      <c r="O68" s="162" t="s">
        <v>143</v>
      </c>
    </row>
    <row r="69" ht="12.75">
      <c r="O69" s="162" t="s">
        <v>144</v>
      </c>
    </row>
    <row r="70" ht="12.75">
      <c r="O70" s="162" t="s">
        <v>145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