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Quote!$A$1:$R$73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Quote!$A$54</definedName>
    <definedName name="Enquiry_To_Vendor_ID" comment="Enquiry to Vendor ID">Quote!$C$54</definedName>
    <definedName name="GrandTotal">Quote!$N$53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Quote!$A$46</definedName>
    <definedName name="ItemListStartupRow" comment="Item List Start Up Row">Quote!$A$19</definedName>
    <definedName name="ItemSubTotal">Quote!$N$52</definedName>
    <definedName name="ItemSubTotalTitle">Quote!$J$52</definedName>
    <definedName name="LeadDay">Quote!$M$11</definedName>
    <definedName name="Lock">Quote!$M$54</definedName>
    <definedName name="LoggedInEmailID">Quote!$N$54</definedName>
    <definedName name="LoggedInPwd">Quote!$O$54</definedName>
    <definedName name="OtherCharges">Quote!$C$48</definedName>
    <definedName name="OtherChargesLastRow">Quote!$A$52</definedName>
    <definedName name="OtherChargesStartRow">Quote!$A$47</definedName>
    <definedName name="Port">Quote!$P$54</definedName>
    <definedName name="PortOfDelivery" comment="Port of Delivery">Quote!$M$9</definedName>
    <definedName name="PurchaserName">Quote!$J$54</definedName>
    <definedName name="QuoteBefore">Quote!$M$8</definedName>
    <definedName name="QuoteID">MasterData!$N$7</definedName>
    <definedName name="QuoteSubject">Quote!$E$54</definedName>
    <definedName name="Remarks">Quote!$E$56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Quote!$K$54</definedName>
    <definedName name="SentIndex">Quote!$L$54</definedName>
    <definedName name="Server">Quote!$Q$54</definedName>
    <definedName name="Terms">Quote!$A$60:$T$81</definedName>
    <definedName name="ToEmailID">Quote!$I$54</definedName>
    <definedName name="ToEmailPwd">Quote!$H$54</definedName>
    <definedName name="VAL">Quote!$F$54</definedName>
    <definedName name="VAT_All">Quote!$M$16</definedName>
    <definedName name="Vendor_ID" comment="Vendor ID">Quote!$B$54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Quote!$D$54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Quote!$E$57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</definedName>
  </definedNames>
  <calcPr fullCalcOnLoad="1"/>
</workbook>
</file>

<file path=xl/sharedStrings.xml><?xml version="1.0" encoding="utf-8"?>
<sst xmlns="http://schemas.openxmlformats.org/spreadsheetml/2006/main" count="260" uniqueCount="185">
  <si>
    <t>RFQ</t>
  </si>
  <si>
    <t>Request for Quote</t>
  </si>
  <si>
    <t>Invoice To</t>
  </si>
  <si>
    <t xml:space="preserve">Bernhard Schulte Shipmanagement (China) Company Ltd.
Invoice To: MASTER &amp; OWNER OF CL EDI
 REGD. OWNER: CDB Financial Leasing Co., Ltd.
 Bernhard Schulte Shipmanagement (China) Co., Ltd.
 2F, Block 7, 1690, Cai Lun Road,
 Zhang Jiang, Pu Dong, Shanghai,
 201203, People's Republic of China
 Tel: (86) 21 61061333,
 Fax: (86) 21 61061300
</t>
  </si>
  <si>
    <t>Vessel</t>
  </si>
  <si>
    <t>CL Edi</t>
  </si>
  <si>
    <t>RFQ No.</t>
  </si>
  <si>
    <t>JUO/O0142/RF19</t>
  </si>
  <si>
    <t>RFQ Date</t>
  </si>
  <si>
    <t>Submit Quote Before:</t>
  </si>
  <si>
    <t>Port of Delivery</t>
  </si>
  <si>
    <t>Tianjinxingang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</si>
  <si>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</si>
  <si>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</si>
  <si>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</si>
  <si>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</si>
  <si>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</si>
  <si>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</si>
  <si>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</si>
  <si>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</si>
  <si>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</si>
  <si>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</si>
  <si>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</si>
  <si>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</si>
  <si>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</si>
  <si>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</si>
  <si>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</si>
  <si>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</si>
  <si>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</si>
  <si>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</si>
  <si>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</si>
  <si>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</si>
  <si>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</si>
  <si>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</si>
  <si>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</si>
  <si>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</si>
  <si>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</si>
  <si>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</si>
  <si>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</si>
  <si>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</si>
  <si>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THERMOMETER SIKA 272B 200X36MM, PT1/2 0-120DEG.C 100MM-STEM</t>
  </si>
  <si>
    <t>PCS</t>
  </si>
  <si>
    <t>thread size PT(R)3/4"</t>
  </si>
  <si>
    <t>THERMOMETER SIKA 272B 200X36MM, PT1/2 0-120DEG.C 63MM-STEM</t>
  </si>
  <si>
    <t>LAMP PILOT TUBULAR CLEAR E-10, 220V 3W 10X28MM</t>
  </si>
  <si>
    <t>220V, 1W Dia:10mm Longth:28mm</t>
  </si>
  <si>
    <t>LAMP LED 7.5W (60W) 100V E-26, DAY LIGHT WHITE</t>
  </si>
  <si>
    <t>KERGER 365438</t>
  </si>
  <si>
    <t>SIDE CUTTING PLIERS 180MM
INSULATED</t>
  </si>
  <si>
    <t>KERGER 108998</t>
  </si>
  <si>
    <t>SET LAMPEXTRACTORS T1 TO T5</t>
  </si>
  <si>
    <t>KERGER 365153</t>
  </si>
  <si>
    <t>SCREWDRIVER PHILLIPS 1000V
200MM XNR.4</t>
  </si>
  <si>
    <t>KERGER 365087</t>
  </si>
  <si>
    <t>SCREWDRIVER 1000V 150X6,5 MM</t>
  </si>
  <si>
    <t>PLUG OFFSET WATERTIGHT IEC, 2P+E AC200-250V BLUE P12-2B</t>
  </si>
  <si>
    <t>KERGER 108456</t>
  </si>
  <si>
    <t>HALOGENLAMP  220V  200W R7S RC
118 X  11</t>
  </si>
  <si>
    <t>LAMP VS CLEAR E-26 220-240V 60W</t>
  </si>
  <si>
    <t>HOLDER ELECTRODE GRIP-TYPE, 300AMP</t>
  </si>
  <si>
    <t>HANDSHIELD HANDLE INSIDE TYPE</t>
  </si>
  <si>
    <t>GRINDER ANGLE ELECTRIC 125MM, AC110V 1-PHASE</t>
  </si>
  <si>
    <t>FRAME HACKSAW ADJUSTABLE PIPE, 250-300MM</t>
  </si>
  <si>
    <t>BRUSH PAINT FLAT 80MM WIDTH</t>
  </si>
  <si>
    <t>STRAIGHT EDGE STEEL STANDARD, 1000MM</t>
  </si>
  <si>
    <t>THICKNESS GAUGE #75A19, 0.03-1.0MM 75MM LENGTH</t>
  </si>
  <si>
    <t>WHEEL CUT-OFF RESINOID GRAIN36, 150X1.5X12.7MM 4300MTR/MIN</t>
  </si>
  <si>
    <t>RULE CONVEX STEEL METRIC 5MTR</t>
  </si>
  <si>
    <t>TOOL WITH CARBIDE TIP SINGLE, #33-3 RIGHT HAND 19X19X140MM</t>
  </si>
  <si>
    <t>FILE NEEDLE SET 170MM 12'S, DEAD-SMOOTH</t>
  </si>
  <si>
    <t>SET</t>
  </si>
  <si>
    <t>BLADE HACKSAW HAND TUNGSTEN, ALLOY STEEL 250MMX18TEETH</t>
  </si>
  <si>
    <t>DOZ</t>
  </si>
  <si>
    <t>SCF-S-TOO1221</t>
  </si>
  <si>
    <t>PLIER ROUND-NOSE, PLASTIC COVERED HANDLE 125MM</t>
  </si>
  <si>
    <t>PRS</t>
  </si>
  <si>
    <t>PLIER SIDE CUTTING &amp; REAMER, PLASTIC COVERED HANDLE, 175MM</t>
  </si>
  <si>
    <t>THICKNESS GAUGE #100A25, 0.03-1.0MM 100MM LENGTH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</si>
  <si>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</si>
  <si>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</si>
  <si>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</si>
  <si>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</si>
  <si>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</si>
  <si>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</si>
  <si>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</si>
  <si>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</si>
  <si>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</si>
  <si>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</si>
  <si>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</si>
  <si>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</si>
  <si>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</si>
  <si>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</si>
  <si>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</si>
  <si>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</si>
  <si>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</si>
  <si>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</si>
  <si>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</si>
  <si>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</si>
  <si>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</si>
  <si>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</si>
  <si>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</si>
  <si>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</si>
  <si>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</si>
  <si>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</si>
  <si>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</si>
  <si>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</si>
  <si>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</si>
  <si>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</si>
  <si>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</si>
  <si>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</si>
  <si>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</si>
  <si>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</si>
  <si>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</si>
  <si>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</si>
  <si>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</si>
  <si>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</si>
  <si>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</si>
  <si>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</si>
  <si>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</si>
  <si>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</si>
  <si>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</si>
  <si>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</si>
  <si>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</si>
  <si>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</si>
  <si>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</si>
  <si>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</si>
  <si>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</si>
  <si>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</si>
  <si>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</si>
  <si>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</si>
  <si>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</si>
  <si>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</si>
  <si>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</si>
  <si>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</si>
  <si>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</si>
  <si>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</si>
  <si>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</si>
  <si>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</si>
  <si>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</si>
  <si>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</si>
  <si>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</si>
  <si>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</si>
  <si>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</si>
  <si>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</si>
  <si>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</si>
  <si>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</si>
  <si>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</si>
  <si>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</si>
  <si>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</si>
  <si>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</si>
  <si>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</si>
  <si>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</si>
  <si>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</si>
  <si>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</si>
  <si>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</si>
  <si>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</si>
  <si>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</si>
  <si>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</si>
  <si>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</si>
  <si>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</si>
  <si>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</si>
  <si>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</si>
  <si>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</si>
  <si>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</si>
  <si>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</si>
  <si>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</si>
  <si>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</si>
  <si>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</si>
  <si>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</si>
  <si>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</si>
  <si>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</si>
  <si>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</si>
  <si>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</si>
  <si>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</si>
  <si>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</si>
  <si>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</si>
  <si>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</si>
  <si>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</si>
  <si>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</si>
  <si>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</si>
  <si>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BJD1909231835509LET</t>
  </si>
  <si>
    <t>EQUIVALENT</t>
  </si>
  <si>
    <t>ENDURA</t>
  </si>
  <si>
    <t>KENPO,110V 125MM 1150W 60HZ</t>
  </si>
  <si>
    <t xml:space="preserve">
Date promised : 2019-09-27
Quote validity : 2019-10-24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</si>
</sst>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83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43731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43731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180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173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99990008195337</v>
      </c>
      <c r="C20" s="227">
        <v>652032</v>
      </c>
      <c r="D20" s="228" t="s">
        <v>40</v>
      </c>
      <c r="E20" s="229"/>
      <c r="F20" s="229">
        <v>652032</v>
      </c>
      <c r="G20" s="229" t="s">
        <v>41</v>
      </c>
      <c r="H20" s="230">
        <v>0</v>
      </c>
      <c r="I20" s="231">
        <v>3</v>
      </c>
      <c r="J20" s="232">
        <v>8.94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181</v>
      </c>
      <c r="Q20" s="236"/>
      <c r="R20" s="237" t="s">
        <v>42</v>
      </c>
      <c r="S20" s="238"/>
      <c r="T20" s="239"/>
    </row>
    <row r="21" spans="1:20" ht="24" customHeight="1">
      <c r="A21" s="226">
        <v>2</v>
      </c>
      <c r="B21" s="226">
        <v>99990010270483</v>
      </c>
      <c r="C21" s="227">
        <v>652031</v>
      </c>
      <c r="D21" s="228" t="s">
        <v>43</v>
      </c>
      <c r="E21" s="229"/>
      <c r="F21" s="229">
        <v>652031</v>
      </c>
      <c r="G21" s="229" t="s">
        <v>41</v>
      </c>
      <c r="H21" s="230">
        <v>0</v>
      </c>
      <c r="I21" s="231">
        <v>3</v>
      </c>
      <c r="J21" s="232">
        <v>8.94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181</v>
      </c>
      <c r="Q21" s="236"/>
      <c r="R21" s="237" t="s">
        <v>42</v>
      </c>
      <c r="S21" s="238"/>
      <c r="T21" s="239"/>
    </row>
    <row r="22" spans="1:20" ht="24" customHeight="1">
      <c r="A22" s="226">
        <v>3</v>
      </c>
      <c r="B22" s="226">
        <v>99990009813323</v>
      </c>
      <c r="C22" s="227">
        <v>790573</v>
      </c>
      <c r="D22" s="228" t="s">
        <v>44</v>
      </c>
      <c r="E22" s="229"/>
      <c r="F22" s="229">
        <v>790573</v>
      </c>
      <c r="G22" s="229" t="s">
        <v>41</v>
      </c>
      <c r="H22" s="230">
        <v>0</v>
      </c>
      <c r="I22" s="231">
        <v>20</v>
      </c>
      <c r="J22" s="232">
        <v>0.29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 t="s">
        <v>45</v>
      </c>
      <c r="S22" s="238"/>
      <c r="T22" s="239"/>
    </row>
    <row r="23" spans="1:20" ht="24" customHeight="1">
      <c r="A23" s="226">
        <v>4</v>
      </c>
      <c r="B23" s="226">
        <v>99990009574375</v>
      </c>
      <c r="C23" s="227">
        <v>2137246</v>
      </c>
      <c r="D23" s="228" t="s">
        <v>46</v>
      </c>
      <c r="E23" s="229"/>
      <c r="F23" s="229">
        <v>790253</v>
      </c>
      <c r="G23" s="229" t="s">
        <v>41</v>
      </c>
      <c r="H23" s="230">
        <v>2.25</v>
      </c>
      <c r="I23" s="231">
        <v>100</v>
      </c>
      <c r="J23" s="232">
        <v>2.1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99990011922802</v>
      </c>
      <c r="C24" s="227" t="s">
        <v>47</v>
      </c>
      <c r="D24" s="228" t="s">
        <v>48</v>
      </c>
      <c r="E24" s="229"/>
      <c r="F24" s="229" t="s">
        <v>47</v>
      </c>
      <c r="G24" s="229" t="s">
        <v>41</v>
      </c>
      <c r="H24" s="230">
        <v>0</v>
      </c>
      <c r="I24" s="231">
        <v>2</v>
      </c>
      <c r="J24" s="232">
        <v>4.83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99990011920863</v>
      </c>
      <c r="C25" s="227" t="s">
        <v>49</v>
      </c>
      <c r="D25" s="228" t="s">
        <v>50</v>
      </c>
      <c r="E25" s="229"/>
      <c r="F25" s="229" t="s">
        <v>49</v>
      </c>
      <c r="G25" s="229" t="s">
        <v>41</v>
      </c>
      <c r="H25" s="230">
        <v>0</v>
      </c>
      <c r="I25" s="231">
        <v>2</v>
      </c>
      <c r="J25" s="232">
        <v>14.3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99990011922795</v>
      </c>
      <c r="C26" s="227" t="s">
        <v>51</v>
      </c>
      <c r="D26" s="228" t="s">
        <v>52</v>
      </c>
      <c r="E26" s="229"/>
      <c r="F26" s="229" t="s">
        <v>51</v>
      </c>
      <c r="G26" s="229" t="s">
        <v>41</v>
      </c>
      <c r="H26" s="230">
        <v>0</v>
      </c>
      <c r="I26" s="231">
        <v>2</v>
      </c>
      <c r="J26" s="232">
        <v>1.6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24" customHeight="1">
      <c r="A27" s="226">
        <v>8</v>
      </c>
      <c r="B27" s="226">
        <v>99990011922781</v>
      </c>
      <c r="C27" s="227" t="s">
        <v>53</v>
      </c>
      <c r="D27" s="228" t="s">
        <v>54</v>
      </c>
      <c r="E27" s="229"/>
      <c r="F27" s="229" t="s">
        <v>53</v>
      </c>
      <c r="G27" s="229" t="s">
        <v>41</v>
      </c>
      <c r="H27" s="230">
        <v>0</v>
      </c>
      <c r="I27" s="231">
        <v>2</v>
      </c>
      <c r="J27" s="232">
        <v>3.02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182</v>
      </c>
      <c r="Q27" s="236"/>
      <c r="R27" s="237"/>
      <c r="S27" s="238"/>
      <c r="T27" s="239"/>
    </row>
    <row r="28" spans="1:20" ht="24" customHeight="1">
      <c r="A28" s="226">
        <v>9</v>
      </c>
      <c r="B28" s="226">
        <v>99990010264588</v>
      </c>
      <c r="C28" s="227">
        <v>792752</v>
      </c>
      <c r="D28" s="228" t="s">
        <v>55</v>
      </c>
      <c r="E28" s="229"/>
      <c r="F28" s="229">
        <v>792752</v>
      </c>
      <c r="G28" s="229" t="s">
        <v>41</v>
      </c>
      <c r="H28" s="230">
        <v>0</v>
      </c>
      <c r="I28" s="231">
        <v>20</v>
      </c>
      <c r="J28" s="232">
        <v>5.72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/>
      <c r="S28" s="238"/>
      <c r="T28" s="239"/>
    </row>
    <row r="29" spans="1:20" ht="24" customHeight="1">
      <c r="A29" s="226">
        <v>10</v>
      </c>
      <c r="B29" s="226">
        <v>99990011920443</v>
      </c>
      <c r="C29" s="227" t="s">
        <v>56</v>
      </c>
      <c r="D29" s="228" t="s">
        <v>57</v>
      </c>
      <c r="E29" s="229"/>
      <c r="F29" s="229" t="s">
        <v>56</v>
      </c>
      <c r="G29" s="229" t="s">
        <v>41</v>
      </c>
      <c r="H29" s="230">
        <v>0</v>
      </c>
      <c r="I29" s="231">
        <v>20</v>
      </c>
      <c r="J29" s="232">
        <v>0.48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/>
      <c r="Q29" s="236"/>
      <c r="R29" s="237"/>
      <c r="S29" s="238"/>
      <c r="T29" s="239"/>
    </row>
    <row r="30" spans="1:20" ht="24" customHeight="1">
      <c r="A30" s="226">
        <v>11</v>
      </c>
      <c r="B30" s="226">
        <v>99990008656663</v>
      </c>
      <c r="C30" s="227">
        <v>790195</v>
      </c>
      <c r="D30" s="228" t="s">
        <v>58</v>
      </c>
      <c r="E30" s="229"/>
      <c r="F30" s="229">
        <v>790195</v>
      </c>
      <c r="G30" s="229" t="s">
        <v>41</v>
      </c>
      <c r="H30" s="230">
        <v>0.35</v>
      </c>
      <c r="I30" s="231">
        <v>100</v>
      </c>
      <c r="J30" s="232">
        <v>0.35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/>
      <c r="Q30" s="236"/>
      <c r="R30" s="237"/>
      <c r="S30" s="238"/>
      <c r="T30" s="239"/>
    </row>
    <row r="31" spans="1:20" ht="24" customHeight="1">
      <c r="A31" s="226">
        <v>12</v>
      </c>
      <c r="B31" s="226">
        <v>99990009860346</v>
      </c>
      <c r="C31" s="227">
        <v>851032</v>
      </c>
      <c r="D31" s="228" t="s">
        <v>59</v>
      </c>
      <c r="E31" s="229"/>
      <c r="F31" s="229">
        <v>851032</v>
      </c>
      <c r="G31" s="229" t="s">
        <v>41</v>
      </c>
      <c r="H31" s="230">
        <v>0</v>
      </c>
      <c r="I31" s="231">
        <v>1</v>
      </c>
      <c r="J31" s="232">
        <v>3.01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/>
      <c r="Q31" s="236"/>
      <c r="R31" s="237"/>
      <c r="S31" s="238"/>
      <c r="T31" s="239"/>
    </row>
    <row r="32" spans="1:20" ht="24" customHeight="1">
      <c r="A32" s="226">
        <v>13</v>
      </c>
      <c r="B32" s="226">
        <v>99990009860332</v>
      </c>
      <c r="C32" s="227">
        <v>851121</v>
      </c>
      <c r="D32" s="228" t="s">
        <v>60</v>
      </c>
      <c r="E32" s="229"/>
      <c r="F32" s="229">
        <v>851121</v>
      </c>
      <c r="G32" s="229" t="s">
        <v>41</v>
      </c>
      <c r="H32" s="230">
        <v>0</v>
      </c>
      <c r="I32" s="231">
        <v>1</v>
      </c>
      <c r="J32" s="232">
        <v>1.91</v>
      </c>
      <c r="K32" s="233"/>
      <c r="L32" s="231" t="s">
        <v>23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/>
      <c r="Q32" s="236"/>
      <c r="R32" s="237"/>
      <c r="S32" s="238"/>
      <c r="T32" s="239"/>
    </row>
    <row r="33" spans="1:20" ht="24" customHeight="1">
      <c r="A33" s="226">
        <v>14</v>
      </c>
      <c r="B33" s="226">
        <v>99990009696730</v>
      </c>
      <c r="C33" s="227">
        <v>591022</v>
      </c>
      <c r="D33" s="228" t="s">
        <v>61</v>
      </c>
      <c r="E33" s="229"/>
      <c r="F33" s="229">
        <v>591022</v>
      </c>
      <c r="G33" s="229" t="s">
        <v>41</v>
      </c>
      <c r="H33" s="230">
        <v>0</v>
      </c>
      <c r="I33" s="231">
        <v>1</v>
      </c>
      <c r="J33" s="232">
        <v>30.03</v>
      </c>
      <c r="K33" s="233"/>
      <c r="L33" s="231" t="s">
        <v>23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 t="s">
        <v>183</v>
      </c>
      <c r="Q33" s="236"/>
      <c r="R33" s="237"/>
      <c r="S33" s="238"/>
      <c r="T33" s="239"/>
    </row>
    <row r="34" spans="1:20" ht="24" customHeight="1">
      <c r="A34" s="226">
        <v>15</v>
      </c>
      <c r="B34" s="226">
        <v>99990008658040</v>
      </c>
      <c r="C34" s="227">
        <v>613426</v>
      </c>
      <c r="D34" s="228" t="s">
        <v>62</v>
      </c>
      <c r="E34" s="229"/>
      <c r="F34" s="229">
        <v>613426</v>
      </c>
      <c r="G34" s="229" t="s">
        <v>41</v>
      </c>
      <c r="H34" s="230">
        <v>1.80</v>
      </c>
      <c r="I34" s="231">
        <v>1</v>
      </c>
      <c r="J34" s="232">
        <v>1.8</v>
      </c>
      <c r="K34" s="233"/>
      <c r="L34" s="231" t="s">
        <v>23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/>
      <c r="Q34" s="236"/>
      <c r="R34" s="237"/>
      <c r="S34" s="238"/>
      <c r="T34" s="239"/>
    </row>
    <row r="35" spans="1:20" ht="24" customHeight="1">
      <c r="A35" s="226">
        <v>16</v>
      </c>
      <c r="B35" s="226">
        <v>99990009647026</v>
      </c>
      <c r="C35" s="227">
        <v>510105</v>
      </c>
      <c r="D35" s="228" t="s">
        <v>63</v>
      </c>
      <c r="E35" s="229"/>
      <c r="F35" s="229">
        <v>510105</v>
      </c>
      <c r="G35" s="229" t="s">
        <v>41</v>
      </c>
      <c r="H35" s="230">
        <v>0.36</v>
      </c>
      <c r="I35" s="231">
        <v>10</v>
      </c>
      <c r="J35" s="232">
        <v>0.4</v>
      </c>
      <c r="K35" s="233"/>
      <c r="L35" s="231" t="s">
        <v>23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/>
      <c r="Q35" s="236"/>
      <c r="R35" s="237"/>
      <c r="S35" s="238"/>
      <c r="T35" s="239"/>
    </row>
    <row r="36" spans="1:20" ht="24" customHeight="1">
      <c r="A36" s="226">
        <v>17</v>
      </c>
      <c r="B36" s="226">
        <v>99990011636409</v>
      </c>
      <c r="C36" s="227">
        <v>650909</v>
      </c>
      <c r="D36" s="228" t="s">
        <v>64</v>
      </c>
      <c r="E36" s="229"/>
      <c r="F36" s="229">
        <v>650909</v>
      </c>
      <c r="G36" s="229" t="s">
        <v>41</v>
      </c>
      <c r="H36" s="230">
        <v>0</v>
      </c>
      <c r="I36" s="231">
        <v>1</v>
      </c>
      <c r="J36" s="232">
        <v>120.1</v>
      </c>
      <c r="K36" s="233"/>
      <c r="L36" s="231" t="s">
        <v>23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/>
      <c r="Q36" s="236"/>
      <c r="R36" s="237"/>
      <c r="S36" s="238"/>
      <c r="T36" s="239"/>
    </row>
    <row r="37" spans="1:20" ht="24" customHeight="1">
      <c r="A37" s="226">
        <v>18</v>
      </c>
      <c r="B37" s="226">
        <v>99990009575668</v>
      </c>
      <c r="C37" s="227">
        <v>2138381</v>
      </c>
      <c r="D37" s="228" t="s">
        <v>65</v>
      </c>
      <c r="E37" s="229"/>
      <c r="F37" s="229">
        <v>650559</v>
      </c>
      <c r="G37" s="229" t="s">
        <v>41</v>
      </c>
      <c r="H37" s="230">
        <v>1.77</v>
      </c>
      <c r="I37" s="231">
        <v>2</v>
      </c>
      <c r="J37" s="232">
        <v>1.8</v>
      </c>
      <c r="K37" s="233"/>
      <c r="L37" s="231" t="s">
        <v>23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/>
      <c r="Q37" s="236"/>
      <c r="R37" s="237"/>
      <c r="S37" s="238"/>
      <c r="T37" s="239"/>
    </row>
    <row r="38" spans="1:20" ht="24" customHeight="1">
      <c r="A38" s="226">
        <v>19</v>
      </c>
      <c r="B38" s="226">
        <v>99990010179142</v>
      </c>
      <c r="C38" s="227">
        <v>614862</v>
      </c>
      <c r="D38" s="228" t="s">
        <v>66</v>
      </c>
      <c r="E38" s="229"/>
      <c r="F38" s="229">
        <v>614862</v>
      </c>
      <c r="G38" s="229" t="s">
        <v>41</v>
      </c>
      <c r="H38" s="230">
        <v>0</v>
      </c>
      <c r="I38" s="231">
        <v>40</v>
      </c>
      <c r="J38" s="232">
        <v>0.44</v>
      </c>
      <c r="K38" s="233"/>
      <c r="L38" s="231" t="s">
        <v>23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/>
      <c r="Q38" s="236"/>
      <c r="R38" s="237"/>
      <c r="S38" s="238"/>
      <c r="T38" s="239"/>
    </row>
    <row r="39" spans="1:20" ht="24" customHeight="1">
      <c r="A39" s="226">
        <v>20</v>
      </c>
      <c r="B39" s="226">
        <v>99990009574843</v>
      </c>
      <c r="C39" s="227">
        <v>2137704</v>
      </c>
      <c r="D39" s="228" t="s">
        <v>67</v>
      </c>
      <c r="E39" s="229"/>
      <c r="F39" s="229">
        <v>650823</v>
      </c>
      <c r="G39" s="229" t="s">
        <v>41</v>
      </c>
      <c r="H39" s="230">
        <v>1.20</v>
      </c>
      <c r="I39" s="231">
        <v>3</v>
      </c>
      <c r="J39" s="232">
        <v>1.2</v>
      </c>
      <c r="K39" s="233"/>
      <c r="L39" s="231" t="s">
        <v>23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/>
      <c r="Q39" s="236"/>
      <c r="R39" s="237"/>
      <c r="S39" s="238"/>
      <c r="T39" s="239"/>
    </row>
    <row r="40" spans="1:20" ht="24" customHeight="1">
      <c r="A40" s="226">
        <v>21</v>
      </c>
      <c r="B40" s="226">
        <v>99990011222850</v>
      </c>
      <c r="C40" s="227">
        <v>632716</v>
      </c>
      <c r="D40" s="228" t="s">
        <v>68</v>
      </c>
      <c r="E40" s="229"/>
      <c r="F40" s="229">
        <v>632716</v>
      </c>
      <c r="G40" s="229" t="s">
        <v>41</v>
      </c>
      <c r="H40" s="230">
        <v>0</v>
      </c>
      <c r="I40" s="231">
        <v>5</v>
      </c>
      <c r="J40" s="232">
        <v>3.05</v>
      </c>
      <c r="K40" s="233"/>
      <c r="L40" s="231" t="s">
        <v>23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/>
      <c r="Q40" s="236"/>
      <c r="R40" s="237"/>
      <c r="S40" s="238"/>
      <c r="T40" s="239"/>
    </row>
    <row r="41" spans="1:20" ht="24" customHeight="1">
      <c r="A41" s="226">
        <v>22</v>
      </c>
      <c r="B41" s="226">
        <v>99990009546367</v>
      </c>
      <c r="C41" s="227">
        <v>2121115</v>
      </c>
      <c r="D41" s="228" t="s">
        <v>69</v>
      </c>
      <c r="E41" s="229"/>
      <c r="F41" s="229">
        <v>614542</v>
      </c>
      <c r="G41" s="229" t="s">
        <v>70</v>
      </c>
      <c r="H41" s="230">
        <v>2.95</v>
      </c>
      <c r="I41" s="231">
        <v>2</v>
      </c>
      <c r="J41" s="232">
        <v>2.86</v>
      </c>
      <c r="K41" s="233"/>
      <c r="L41" s="231" t="s">
        <v>23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/>
      <c r="Q41" s="236"/>
      <c r="R41" s="237"/>
      <c r="S41" s="238"/>
      <c r="T41" s="239"/>
    </row>
    <row r="42" spans="1:20" ht="24" customHeight="1">
      <c r="A42" s="226">
        <v>23</v>
      </c>
      <c r="B42" s="226">
        <v>99990010399945</v>
      </c>
      <c r="C42" s="227">
        <v>2367301</v>
      </c>
      <c r="D42" s="228" t="s">
        <v>71</v>
      </c>
      <c r="E42" s="229"/>
      <c r="F42" s="229">
        <v>613442</v>
      </c>
      <c r="G42" s="229" t="s">
        <v>72</v>
      </c>
      <c r="H42" s="230">
        <v>0</v>
      </c>
      <c r="I42" s="231">
        <v>50</v>
      </c>
      <c r="J42" s="232">
        <v>0.15</v>
      </c>
      <c r="K42" s="233"/>
      <c r="L42" s="231" t="s">
        <v>23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/>
      <c r="Q42" s="236"/>
      <c r="R42" s="237"/>
      <c r="S42" s="238"/>
      <c r="T42" s="239"/>
    </row>
    <row r="43" spans="1:20" ht="24" customHeight="1">
      <c r="A43" s="226">
        <v>24</v>
      </c>
      <c r="B43" s="226">
        <v>99990009869786</v>
      </c>
      <c r="C43" s="227" t="s">
        <v>73</v>
      </c>
      <c r="D43" s="228" t="s">
        <v>74</v>
      </c>
      <c r="E43" s="229"/>
      <c r="F43" s="229">
        <v>611681</v>
      </c>
      <c r="G43" s="229" t="s">
        <v>75</v>
      </c>
      <c r="H43" s="230">
        <v>0</v>
      </c>
      <c r="I43" s="231">
        <v>3</v>
      </c>
      <c r="J43" s="232">
        <v>1.9</v>
      </c>
      <c r="K43" s="233"/>
      <c r="L43" s="231" t="s">
        <v>23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/>
      <c r="Q43" s="236"/>
      <c r="R43" s="237"/>
      <c r="S43" s="238"/>
      <c r="T43" s="239"/>
    </row>
    <row r="44" spans="1:20" ht="24" customHeight="1">
      <c r="A44" s="226">
        <v>25</v>
      </c>
      <c r="B44" s="226">
        <v>99990008656426</v>
      </c>
      <c r="C44" s="227">
        <v>611672</v>
      </c>
      <c r="D44" s="228" t="s">
        <v>76</v>
      </c>
      <c r="E44" s="229"/>
      <c r="F44" s="229">
        <v>611672</v>
      </c>
      <c r="G44" s="229" t="s">
        <v>75</v>
      </c>
      <c r="H44" s="230">
        <v>1.67</v>
      </c>
      <c r="I44" s="231">
        <v>3</v>
      </c>
      <c r="J44" s="232">
        <v>2.22</v>
      </c>
      <c r="K44" s="233"/>
      <c r="L44" s="231" t="s">
        <v>23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/>
      <c r="Q44" s="236"/>
      <c r="R44" s="237"/>
      <c r="S44" s="238"/>
      <c r="T44" s="239"/>
    </row>
    <row r="45" spans="1:20" ht="24" customHeight="1">
      <c r="A45" s="226">
        <v>26</v>
      </c>
      <c r="B45" s="226">
        <v>99990010149725</v>
      </c>
      <c r="C45" s="227">
        <v>650563</v>
      </c>
      <c r="D45" s="228" t="s">
        <v>77</v>
      </c>
      <c r="E45" s="229"/>
      <c r="F45" s="229">
        <v>650563</v>
      </c>
      <c r="G45" s="229" t="s">
        <v>41</v>
      </c>
      <c r="H45" s="230">
        <v>0</v>
      </c>
      <c r="I45" s="231">
        <v>2</v>
      </c>
      <c r="J45" s="232">
        <v>1.8</v>
      </c>
      <c r="K45" s="233"/>
      <c r="L45" s="231" t="s">
        <v>23</v>
      </c>
      <c r="M45" s="231">
        <v>0</v>
      </c>
      <c r="N45" s="234">
        <f>ROUND(((I45*J45)-((I45*J45)*L45/100))+(((I45*J45)-((I45*J45)*L45/100))*M45/100),2)</f>
      </c>
      <c r="O45" s="230">
        <f>M11</f>
      </c>
      <c r="P45" s="235"/>
      <c r="Q45" s="236"/>
      <c r="R45" s="237"/>
      <c r="S45" s="238"/>
      <c r="T45" s="239"/>
    </row>
    <row r="46" spans="1:20" ht="15" customHeight="1">
      <c r="A46" s="32"/>
      <c r="B46" s="295"/>
      <c r="C46" s="296"/>
      <c r="D46" s="296"/>
      <c r="E46" s="296"/>
      <c r="F46" s="296"/>
      <c r="G46" s="296"/>
      <c r="H46" s="297"/>
      <c r="I46" s="297"/>
      <c r="J46" s="297"/>
      <c r="K46" s="297"/>
      <c r="L46" s="297"/>
      <c r="M46" s="297"/>
      <c r="N46" s="297"/>
      <c r="O46" s="297"/>
      <c r="P46" s="297"/>
      <c r="Q46" s="297"/>
      <c r="R46" s="297"/>
      <c r="S46" s="297"/>
      <c r="T46" s="298"/>
    </row>
    <row r="47" spans="1:20" ht="12.75" customHeight="1">
      <c r="A47" s="289" t="s">
        <v>28</v>
      </c>
      <c r="B47" s="289"/>
      <c r="C47" s="290" t="s">
        <v>78</v>
      </c>
      <c r="D47" s="291"/>
      <c r="E47" s="291"/>
      <c r="F47" s="291"/>
      <c r="G47" s="291"/>
      <c r="H47" s="291"/>
      <c r="I47" s="292"/>
      <c r="J47" s="292" t="s">
        <v>79</v>
      </c>
      <c r="K47" s="292"/>
      <c r="L47" s="292" t="s">
        <v>35</v>
      </c>
      <c r="M47" s="292" t="s">
        <v>36</v>
      </c>
      <c r="N47" s="293" t="s">
        <v>80</v>
      </c>
      <c r="O47" s="294" t="s">
        <v>38</v>
      </c>
      <c r="P47" s="294"/>
      <c r="Q47" s="294"/>
      <c r="R47" s="294"/>
      <c r="S47" s="294"/>
      <c r="T47" s="225"/>
    </row>
    <row r="48" spans="1:20" ht="15" customHeight="1">
      <c r="A48" s="269">
        <v>1</v>
      </c>
      <c r="B48" s="270"/>
      <c r="C48" s="271" t="s">
        <v>81</v>
      </c>
      <c r="D48" s="272" t="s">
        <v>81</v>
      </c>
      <c r="E48" s="272" t="s">
        <v>81</v>
      </c>
      <c r="F48" s="272" t="s">
        <v>81</v>
      </c>
      <c r="G48" s="272" t="s">
        <v>81</v>
      </c>
      <c r="H48" s="273" t="s">
        <v>81</v>
      </c>
      <c r="I48" s="274"/>
      <c r="J48" s="275">
        <v>0</v>
      </c>
      <c r="K48" s="276"/>
      <c r="L48" s="277">
        <v>0</v>
      </c>
      <c r="M48" s="277">
        <v>0</v>
      </c>
      <c r="N48" s="285">
        <f>(J48-(J48*L48/100)+((J48-(J48*L48/100))*M48/100))</f>
      </c>
      <c r="O48" s="286"/>
      <c r="P48" s="287"/>
      <c r="Q48" s="287"/>
      <c r="R48" s="287"/>
      <c r="S48" s="288"/>
      <c r="T48" s="283"/>
    </row>
    <row r="49" spans="1:20" ht="15" customHeight="1">
      <c r="A49" s="269">
        <v>2</v>
      </c>
      <c r="B49" s="270"/>
      <c r="C49" s="271" t="s">
        <v>82</v>
      </c>
      <c r="D49" s="272" t="s">
        <v>82</v>
      </c>
      <c r="E49" s="272" t="s">
        <v>82</v>
      </c>
      <c r="F49" s="272" t="s">
        <v>82</v>
      </c>
      <c r="G49" s="272" t="s">
        <v>82</v>
      </c>
      <c r="H49" s="273" t="s">
        <v>82</v>
      </c>
      <c r="I49" s="284"/>
      <c r="J49" s="275">
        <v>0</v>
      </c>
      <c r="K49" s="276"/>
      <c r="L49" s="277">
        <v>0</v>
      </c>
      <c r="M49" s="277">
        <v>0</v>
      </c>
      <c r="N49" s="279">
        <f>(J49-(J49*L49/100)+((J49-(J49*L49/100))*M49/100))</f>
      </c>
      <c r="O49" s="280"/>
      <c r="P49" s="281"/>
      <c r="Q49" s="281"/>
      <c r="R49" s="281"/>
      <c r="S49" s="282"/>
      <c r="T49" s="283"/>
    </row>
    <row r="50" spans="1:20" ht="15" customHeight="1">
      <c r="A50" s="269">
        <v>3</v>
      </c>
      <c r="B50" s="270"/>
      <c r="C50" s="271"/>
      <c r="D50" s="272"/>
      <c r="E50" s="272"/>
      <c r="F50" s="272"/>
      <c r="G50" s="272"/>
      <c r="H50" s="273"/>
      <c r="I50" s="274"/>
      <c r="J50" s="275">
        <v>0</v>
      </c>
      <c r="K50" s="276"/>
      <c r="L50" s="277">
        <v>0</v>
      </c>
      <c r="M50" s="277">
        <v>0</v>
      </c>
      <c r="N50" s="279">
        <f>(J50-(J50*L50/100)+((J50-(J50*L50/100))*M50/100))</f>
      </c>
      <c r="O50" s="280"/>
      <c r="P50" s="281"/>
      <c r="Q50" s="281"/>
      <c r="R50" s="281"/>
      <c r="S50" s="282"/>
      <c r="T50" s="283"/>
    </row>
    <row r="51" spans="1:20" ht="15.75" customHeight="1">
      <c r="A51" s="269">
        <v>4</v>
      </c>
      <c r="B51" s="270"/>
      <c r="C51" s="271"/>
      <c r="D51" s="272"/>
      <c r="E51" s="272"/>
      <c r="F51" s="272"/>
      <c r="G51" s="272"/>
      <c r="H51" s="273"/>
      <c r="I51" s="274"/>
      <c r="J51" s="275">
        <v>0</v>
      </c>
      <c r="K51" s="276"/>
      <c r="L51" s="277">
        <v>0</v>
      </c>
      <c r="M51" s="278">
        <v>0</v>
      </c>
      <c r="N51" s="279">
        <f>(J51-(J51*L51/100)+((J51-(J51*L51/100))*M51/100))</f>
      </c>
      <c r="O51" s="280"/>
      <c r="P51" s="281"/>
      <c r="Q51" s="281"/>
      <c r="R51" s="281"/>
      <c r="S51" s="282"/>
      <c r="T51" s="283"/>
    </row>
    <row r="52" spans="1:16" ht="15.95" customHeight="1">
      <c r="A52" s="247"/>
      <c r="B52" s="247"/>
      <c r="C52" s="248"/>
      <c r="D52" s="248"/>
      <c r="I52" s="163"/>
      <c r="J52" s="58" t="s">
        <v>83</v>
      </c>
      <c r="K52" s="59"/>
      <c r="L52" s="58"/>
      <c r="M52" s="59"/>
      <c r="N52" s="264">
        <f>SUM(ItmPrice)</f>
      </c>
      <c r="O52" s="267"/>
      <c r="P52" s="268"/>
    </row>
    <row r="53" spans="1:16" ht="15" customHeight="1">
      <c r="A53" s="247"/>
      <c r="B53" s="247"/>
      <c r="C53" s="248"/>
      <c r="D53" s="248"/>
      <c r="I53" s="163"/>
      <c r="J53" s="123" t="s">
        <v>84</v>
      </c>
      <c r="K53" s="124"/>
      <c r="L53" s="124"/>
      <c r="M53" s="125"/>
      <c r="N53" s="264">
        <f>SUM(N48:N52)</f>
      </c>
      <c r="O53" s="265"/>
      <c r="P53" s="266"/>
    </row>
    <row r="54" spans="1:19" ht="2.25" customHeight="1" hidden="1">
      <c r="A54" s="258">
        <v>0</v>
      </c>
      <c r="B54" s="258">
        <v>0</v>
      </c>
      <c r="C54" s="259">
        <v>0</v>
      </c>
      <c r="D54" s="248"/>
      <c r="E54" s="248"/>
      <c r="F54" s="260">
        <v>1</v>
      </c>
      <c r="G54" s="248"/>
      <c r="H54" s="248"/>
      <c r="I54" s="248"/>
      <c r="J54" s="248"/>
      <c r="K54" s="261"/>
      <c r="L54" s="262">
        <v>0</v>
      </c>
      <c r="M54" s="263">
        <v>0</v>
      </c>
      <c r="N54" s="162" t="s">
        <v>85</v>
      </c>
      <c r="O54" s="257"/>
      <c r="P54" s="263">
        <v>995</v>
      </c>
      <c r="Q54" s="248" t="s">
        <v>86</v>
      </c>
      <c r="R54" s="248"/>
      <c r="S54" s="248"/>
    </row>
    <row r="55" spans="1:19" ht="18.75" customHeight="1">
      <c r="A55" s="247"/>
      <c r="B55" s="247"/>
      <c r="C55" s="247"/>
      <c r="H55" s="257"/>
      <c r="I55" s="163"/>
      <c r="J55" s="248"/>
      <c r="K55" s="248"/>
      <c r="L55" s="248"/>
      <c r="M55" s="248"/>
      <c r="N55" s="248"/>
      <c r="O55" s="248"/>
      <c r="P55" s="248"/>
      <c r="R55" s="248"/>
      <c r="S55" s="248"/>
    </row>
    <row r="56" spans="1:20" ht="127.5" customHeight="1">
      <c r="A56" s="249" t="s">
        <v>87</v>
      </c>
      <c r="B56" s="249"/>
      <c r="C56" s="249"/>
      <c r="D56" s="250"/>
      <c r="E56" s="254"/>
      <c r="F56" s="255"/>
      <c r="G56" s="255"/>
      <c r="H56" s="255"/>
      <c r="I56" s="255"/>
      <c r="J56" s="255"/>
      <c r="K56" s="255"/>
      <c r="L56" s="255"/>
      <c r="M56" s="255"/>
      <c r="N56" s="255"/>
      <c r="O56" s="255"/>
      <c r="P56" s="255"/>
      <c r="Q56" s="255"/>
      <c r="R56" s="255"/>
      <c r="S56" s="255"/>
      <c r="T56" s="256"/>
    </row>
    <row r="57" spans="1:20" ht="129.75" customHeight="1">
      <c r="A57" s="249" t="s">
        <v>38</v>
      </c>
      <c r="B57" s="249"/>
      <c r="C57" s="249"/>
      <c r="D57" s="250"/>
      <c r="E57" s="251" t="s">
        <v>184</v>
      </c>
      <c r="F57" s="252"/>
      <c r="G57" s="252"/>
      <c r="H57" s="252"/>
      <c r="I57" s="252"/>
      <c r="J57" s="252"/>
      <c r="K57" s="252"/>
      <c r="L57" s="252"/>
      <c r="M57" s="252"/>
      <c r="N57" s="252"/>
      <c r="O57" s="252"/>
      <c r="P57" s="252"/>
      <c r="Q57" s="252"/>
      <c r="R57" s="252"/>
      <c r="S57" s="252"/>
      <c r="T57" s="253"/>
    </row>
    <row r="58" spans="1:19" ht="15.95" customHeight="1">
      <c r="A58" s="247"/>
      <c r="B58" s="247"/>
      <c r="C58" s="247"/>
      <c r="H58" s="248"/>
      <c r="I58" s="248"/>
      <c r="J58" s="248"/>
      <c r="K58" s="248"/>
      <c r="L58" s="248"/>
      <c r="M58" s="248"/>
      <c r="N58" s="248"/>
      <c r="O58" s="248"/>
      <c r="P58" s="248"/>
      <c r="Q58" s="248"/>
      <c r="R58" s="248"/>
      <c r="S58" s="248"/>
    </row>
    <row r="59" spans="1:20" ht="15.95" customHeight="1">
      <c r="A59" s="245" t="s">
        <v>88</v>
      </c>
      <c r="B59" s="245"/>
      <c r="C59" s="245"/>
      <c r="D59" s="245"/>
      <c r="E59" s="245"/>
      <c r="F59" s="245"/>
      <c r="G59" s="245"/>
      <c r="H59" s="245"/>
      <c r="I59" s="245"/>
      <c r="J59" s="245"/>
      <c r="K59" s="245"/>
      <c r="L59" s="245"/>
      <c r="M59" s="245"/>
      <c r="N59" s="245"/>
      <c r="O59" s="245"/>
      <c r="P59" s="245"/>
      <c r="Q59" s="245"/>
      <c r="R59" s="245"/>
      <c r="S59" s="245"/>
      <c r="T59" s="246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7.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7.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12.75" customHeight="1">
      <c r="A68" s="243"/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4"/>
    </row>
    <row r="69" spans="1:20" ht="12.75" customHeight="1">
      <c r="A69" s="243"/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4"/>
    </row>
    <row r="70" spans="1:20" ht="12.75" customHeight="1">
      <c r="A70" s="243"/>
      <c r="B70" s="243"/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4"/>
    </row>
    <row r="71" spans="1:20" ht="12.75" customHeight="1">
      <c r="A71" s="243"/>
      <c r="B71" s="243"/>
      <c r="C71" s="243"/>
      <c r="D71" s="243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4"/>
    </row>
    <row r="72" spans="1:20" ht="12.75" customHeight="1">
      <c r="A72" s="243"/>
      <c r="B72" s="243"/>
      <c r="C72" s="243"/>
      <c r="D72" s="243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4"/>
    </row>
    <row r="73" spans="1:20" ht="7.5" customHeight="1">
      <c r="A73" s="243"/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4"/>
    </row>
    <row r="74" spans="1:20" ht="12.75" customHeight="1">
      <c r="A74" s="243"/>
      <c r="B74" s="243"/>
      <c r="C74" s="243"/>
      <c r="D74" s="243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S74" s="243"/>
      <c r="T74" s="244"/>
    </row>
    <row r="75" spans="1:20" ht="12.75" customHeight="1">
      <c r="A75" s="243"/>
      <c r="B75" s="243"/>
      <c r="C75" s="243"/>
      <c r="D75" s="243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4"/>
    </row>
    <row r="76" spans="1:20" ht="12.75" customHeight="1">
      <c r="A76" s="243"/>
      <c r="B76" s="243"/>
      <c r="C76" s="243"/>
      <c r="D76" s="243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4"/>
    </row>
    <row r="77" spans="1:20" ht="12.75" customHeight="1">
      <c r="A77" s="243"/>
      <c r="B77" s="243"/>
      <c r="C77" s="243"/>
      <c r="D77" s="243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4"/>
    </row>
    <row r="78" spans="1:20" ht="12.75" customHeight="1">
      <c r="A78" s="243"/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4"/>
    </row>
    <row r="79" spans="1:20" ht="7.5" customHeight="1">
      <c r="A79" s="243"/>
      <c r="B79" s="243"/>
      <c r="C79" s="243"/>
      <c r="D79" s="243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4"/>
    </row>
    <row r="80" spans="1:20" ht="12.75" customHeight="1">
      <c r="A80" s="243"/>
      <c r="B80" s="243"/>
      <c r="C80" s="243"/>
      <c r="D80" s="243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4"/>
    </row>
    <row r="81" spans="1:20" ht="12.75" customHeight="1">
      <c r="A81" s="243"/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4"/>
    </row>
    <row r="82" spans="1:20" ht="12.75" customHeight="1">
      <c r="A82" s="241"/>
      <c r="B82" s="241"/>
      <c r="C82" s="241"/>
      <c r="D82" s="241"/>
      <c r="E82" s="241"/>
      <c r="F82" s="241"/>
      <c r="G82" s="241"/>
      <c r="H82" s="241"/>
      <c r="I82" s="241"/>
      <c r="J82" s="241"/>
      <c r="K82" s="241"/>
      <c r="L82" s="241"/>
      <c r="M82" s="241"/>
      <c r="N82" s="241"/>
      <c r="O82" s="241"/>
      <c r="P82" s="241"/>
      <c r="Q82" s="241"/>
      <c r="R82" s="241"/>
      <c r="S82" s="241"/>
      <c r="T82" s="242"/>
    </row>
    <row r="83" spans="1:9" ht="12.75">
      <c r="A83" s="240" t="s">
        <v>89</v>
      </c>
      <c r="B83" s="240"/>
      <c r="C83" s="240"/>
      <c r="D83" s="240"/>
      <c r="E83" s="240"/>
      <c r="F83" s="240"/>
      <c r="G83" s="240"/>
      <c r="I83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17">
    <mergeCell ref="E56:S56"/>
    <mergeCell ref="E57:S57"/>
    <mergeCell ref="E59:S59"/>
    <mergeCell ref="A60:S81"/>
    <mergeCell ref="A82:S82"/>
    <mergeCell ref="A56:D56"/>
    <mergeCell ref="A57:D57"/>
    <mergeCell ref="K1:R1"/>
    <mergeCell ref="R19:S19"/>
    <mergeCell ref="R20:S20"/>
    <mergeCell ref="O48:S48"/>
    <mergeCell ref="O49:S49"/>
    <mergeCell ref="O47:S47"/>
    <mergeCell ref="J47:K47"/>
    <mergeCell ref="K4:L4"/>
    <mergeCell ref="M4:P4"/>
    <mergeCell ref="K5:L5"/>
    <mergeCell ref="M5:P5"/>
    <mergeCell ref="M7:Q7"/>
    <mergeCell ref="P20:Q20"/>
    <mergeCell ref="M12:O12"/>
    <mergeCell ref="K12:L12"/>
    <mergeCell ref="O52:P52"/>
    <mergeCell ref="O53:P53"/>
    <mergeCell ref="J53:M53"/>
    <mergeCell ref="O50:S50"/>
    <mergeCell ref="O51:S51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47:H47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D45:E45"/>
    <mergeCell ref="J45:K45"/>
    <mergeCell ref="C48:H48"/>
    <mergeCell ref="J48:K48"/>
    <mergeCell ref="C49:H49"/>
    <mergeCell ref="J49:K49"/>
    <mergeCell ref="C50:H50"/>
    <mergeCell ref="J50:K50"/>
    <mergeCell ref="C51:H51"/>
    <mergeCell ref="J51:K51"/>
  </mergeCells>
  <dataValidations count="114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list" allowBlank="1" showInputMessage="1" showErrorMessage="1" sqref="C48:H48">
      <formula1>'MasterData'!$H$1:$H$14</formula1>
    </dataValidation>
    <dataValidation type="list" allowBlank="1" showInputMessage="1" showErrorMessage="1" sqref="C49:H49">
      <formula1>'MasterData'!$H$1:$H$14</formula1>
    </dataValidation>
    <dataValidation type="list" allowBlank="1" showInputMessage="1" showErrorMessage="1" sqref="C50:H50">
      <formula1>'MasterData'!$H$1:$H$14</formula1>
    </dataValidation>
    <dataValidation type="list" allowBlank="1" showInputMessage="1" showErrorMessage="1" sqref="C51:H51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81</v>
      </c>
      <c r="M1" s="300" t="s">
        <v>90</v>
      </c>
      <c r="N1" s="301" t="s">
        <v>0</v>
      </c>
      <c r="O1" s="162" t="s">
        <v>91</v>
      </c>
    </row>
    <row r="2" spans="7:15" ht="12.75">
      <c r="G2" s="162">
        <v>1001310</v>
      </c>
      <c r="H2" s="162" t="s">
        <v>82</v>
      </c>
      <c r="M2" s="300" t="s">
        <v>92</v>
      </c>
      <c r="N2" s="301">
        <v>1020689156</v>
      </c>
      <c r="O2" s="162" t="s">
        <v>93</v>
      </c>
    </row>
    <row r="3" spans="7:15" ht="12.75">
      <c r="G3" s="162">
        <v>1012729</v>
      </c>
      <c r="H3" s="162" t="s">
        <v>94</v>
      </c>
      <c r="M3" s="300" t="s">
        <v>95</v>
      </c>
      <c r="N3" s="301">
        <v>99990000426555</v>
      </c>
      <c r="O3" s="162" t="s">
        <v>96</v>
      </c>
    </row>
    <row r="4" spans="7:15" ht="12.75">
      <c r="G4" s="162">
        <v>1012730</v>
      </c>
      <c r="H4" s="162" t="s">
        <v>97</v>
      </c>
      <c r="M4" s="300" t="s">
        <v>98</v>
      </c>
      <c r="N4" s="301">
        <v>1021745643</v>
      </c>
      <c r="O4" s="162" t="s">
        <v>99</v>
      </c>
    </row>
    <row r="5" spans="7:15" ht="12.75">
      <c r="G5" s="162">
        <v>1012731</v>
      </c>
      <c r="H5" s="162" t="s">
        <v>100</v>
      </c>
      <c r="M5" s="300" t="s">
        <v>101</v>
      </c>
      <c r="N5" s="301"/>
      <c r="O5" s="162" t="s">
        <v>102</v>
      </c>
    </row>
    <row r="6" spans="7:15" ht="12.75">
      <c r="G6" s="162">
        <v>1012732</v>
      </c>
      <c r="H6" s="162" t="s">
        <v>103</v>
      </c>
      <c r="M6" s="300" t="s">
        <v>104</v>
      </c>
      <c r="N6" s="301" t="s">
        <v>105</v>
      </c>
      <c r="O6" s="162" t="s">
        <v>106</v>
      </c>
    </row>
    <row r="7" spans="7:15" ht="12.75">
      <c r="G7" s="162">
        <v>1012733</v>
      </c>
      <c r="H7" s="162" t="s">
        <v>107</v>
      </c>
      <c r="M7" s="300" t="s">
        <v>108</v>
      </c>
      <c r="N7" s="301">
        <v>0</v>
      </c>
      <c r="O7" s="162" t="s">
        <v>109</v>
      </c>
    </row>
    <row r="8" spans="7:15" ht="12.75">
      <c r="G8" s="162">
        <v>1012735</v>
      </c>
      <c r="H8" s="162" t="s">
        <v>110</v>
      </c>
      <c r="O8" s="162" t="s">
        <v>111</v>
      </c>
    </row>
    <row r="9" spans="7:15" ht="12.75">
      <c r="G9" s="162">
        <v>1012736</v>
      </c>
      <c r="H9" s="162" t="s">
        <v>112</v>
      </c>
      <c r="O9" s="162" t="s">
        <v>113</v>
      </c>
    </row>
    <row r="10" spans="7:15" ht="12.75">
      <c r="G10" s="162">
        <v>1012737</v>
      </c>
      <c r="H10" s="162" t="s">
        <v>114</v>
      </c>
      <c r="O10" s="162" t="s">
        <v>115</v>
      </c>
    </row>
    <row r="11" spans="7:15" ht="12.75">
      <c r="G11" s="162">
        <v>1012741</v>
      </c>
      <c r="H11" s="162" t="s">
        <v>116</v>
      </c>
      <c r="O11" s="162" t="s">
        <v>117</v>
      </c>
    </row>
    <row r="12" spans="7:15" ht="12.75">
      <c r="G12" s="162">
        <v>1012742</v>
      </c>
      <c r="H12" s="162" t="s">
        <v>118</v>
      </c>
      <c r="O12" s="162" t="s">
        <v>119</v>
      </c>
    </row>
    <row r="13" spans="7:15" ht="12.75">
      <c r="G13" s="162">
        <v>1012743</v>
      </c>
      <c r="H13" s="162" t="s">
        <v>120</v>
      </c>
      <c r="O13" s="162" t="s">
        <v>121</v>
      </c>
    </row>
    <row r="14" spans="7:15" ht="12.75">
      <c r="G14" s="162">
        <v>1012744</v>
      </c>
      <c r="H14" s="162" t="s">
        <v>122</v>
      </c>
      <c r="O14" s="162" t="s">
        <v>123</v>
      </c>
    </row>
    <row r="15" ht="12.75">
      <c r="O15" s="162" t="s">
        <v>124</v>
      </c>
    </row>
    <row r="16" ht="12.75">
      <c r="O16" s="162" t="s">
        <v>125</v>
      </c>
    </row>
    <row r="17" ht="12.75">
      <c r="O17" s="162" t="s">
        <v>126</v>
      </c>
    </row>
    <row r="18" ht="12.75">
      <c r="O18" s="162" t="s">
        <v>127</v>
      </c>
    </row>
    <row r="19" ht="12.75">
      <c r="O19" s="162" t="s">
        <v>128</v>
      </c>
    </row>
    <row r="20" ht="12.75">
      <c r="O20" s="162" t="s">
        <v>129</v>
      </c>
    </row>
    <row r="21" ht="12.75">
      <c r="O21" s="162" t="s">
        <v>130</v>
      </c>
    </row>
    <row r="22" ht="12.75">
      <c r="O22" s="162" t="s">
        <v>131</v>
      </c>
    </row>
    <row r="23" ht="12.75">
      <c r="O23" s="162" t="s">
        <v>132</v>
      </c>
    </row>
    <row r="24" ht="12.75">
      <c r="O24" s="162" t="s">
        <v>133</v>
      </c>
    </row>
    <row r="25" ht="12.75">
      <c r="O25" s="162" t="s">
        <v>134</v>
      </c>
    </row>
    <row r="26" ht="12.75">
      <c r="O26" s="162" t="s">
        <v>135</v>
      </c>
    </row>
    <row r="27" ht="12.75">
      <c r="O27" s="162" t="s">
        <v>136</v>
      </c>
    </row>
    <row r="28" ht="12.75">
      <c r="O28" s="162" t="s">
        <v>137</v>
      </c>
    </row>
    <row r="29" ht="12.75">
      <c r="O29" s="162" t="s">
        <v>138</v>
      </c>
    </row>
    <row r="30" ht="12.75">
      <c r="O30" s="162" t="s">
        <v>139</v>
      </c>
    </row>
    <row r="31" ht="12.75">
      <c r="O31" s="162" t="s">
        <v>140</v>
      </c>
    </row>
    <row r="32" ht="12.75">
      <c r="O32" s="162" t="s">
        <v>141</v>
      </c>
    </row>
    <row r="33" ht="12.75">
      <c r="O33" s="162" t="s">
        <v>142</v>
      </c>
    </row>
    <row r="34" ht="12.75">
      <c r="O34" s="162" t="s">
        <v>143</v>
      </c>
    </row>
    <row r="35" ht="12.75">
      <c r="O35" s="162" t="s">
        <v>144</v>
      </c>
    </row>
    <row r="36" ht="12.75">
      <c r="O36" s="162" t="s">
        <v>145</v>
      </c>
    </row>
    <row r="37" ht="12.75">
      <c r="O37" s="162" t="s">
        <v>146</v>
      </c>
    </row>
    <row r="38" ht="12.75">
      <c r="O38" s="162" t="s">
        <v>147</v>
      </c>
    </row>
    <row r="39" ht="12.75">
      <c r="O39" s="162" t="s">
        <v>148</v>
      </c>
    </row>
    <row r="40" ht="12.75">
      <c r="O40" s="162" t="s">
        <v>149</v>
      </c>
    </row>
    <row r="41" ht="12.75">
      <c r="O41" s="162" t="s">
        <v>150</v>
      </c>
    </row>
    <row r="42" ht="12.75">
      <c r="O42" s="162" t="s">
        <v>151</v>
      </c>
    </row>
    <row r="43" ht="12.75">
      <c r="O43" s="162" t="s">
        <v>152</v>
      </c>
    </row>
    <row r="44" ht="12.75">
      <c r="O44" s="162" t="s">
        <v>153</v>
      </c>
    </row>
    <row r="45" ht="12.75">
      <c r="O45" s="162" t="s">
        <v>154</v>
      </c>
    </row>
    <row r="46" ht="12.75">
      <c r="O46" s="162" t="s">
        <v>155</v>
      </c>
    </row>
    <row r="47" ht="12.75">
      <c r="O47" s="162" t="s">
        <v>156</v>
      </c>
    </row>
    <row r="48" ht="12.75">
      <c r="O48" s="162" t="s">
        <v>157</v>
      </c>
    </row>
    <row r="49" ht="12.75">
      <c r="O49" s="162" t="s">
        <v>158</v>
      </c>
    </row>
    <row r="50" ht="12.75">
      <c r="O50" s="162" t="s">
        <v>159</v>
      </c>
    </row>
    <row r="51" ht="12.75">
      <c r="O51" s="162" t="s">
        <v>160</v>
      </c>
    </row>
    <row r="52" ht="12.75">
      <c r="O52" s="162" t="s">
        <v>161</v>
      </c>
    </row>
    <row r="53" ht="12.75">
      <c r="O53" s="162" t="s">
        <v>162</v>
      </c>
    </row>
    <row r="54" ht="12.75">
      <c r="O54" s="162" t="s">
        <v>163</v>
      </c>
    </row>
    <row r="55" ht="12.75">
      <c r="O55" s="162" t="s">
        <v>164</v>
      </c>
    </row>
    <row r="56" ht="12.75">
      <c r="O56" s="162" t="s">
        <v>165</v>
      </c>
    </row>
    <row r="57" ht="12.75">
      <c r="O57" s="162" t="s">
        <v>166</v>
      </c>
    </row>
    <row r="58" ht="12.75">
      <c r="O58" s="162" t="s">
        <v>167</v>
      </c>
    </row>
    <row r="59" ht="12.75">
      <c r="O59" s="162" t="s">
        <v>168</v>
      </c>
    </row>
    <row r="60" ht="12.75">
      <c r="O60" s="162" t="s">
        <v>169</v>
      </c>
    </row>
    <row r="61" ht="12.75">
      <c r="O61" s="162" t="s">
        <v>170</v>
      </c>
    </row>
    <row r="62" ht="12.75">
      <c r="O62" s="162" t="s">
        <v>171</v>
      </c>
    </row>
    <row r="63" ht="12.75">
      <c r="O63" s="162" t="s">
        <v>172</v>
      </c>
    </row>
    <row r="64" ht="12.75">
      <c r="O64" s="162" t="s">
        <v>173</v>
      </c>
    </row>
    <row r="65" ht="12.75">
      <c r="O65" s="162" t="s">
        <v>174</v>
      </c>
    </row>
    <row r="66" ht="12.75">
      <c r="O66" s="162" t="s">
        <v>175</v>
      </c>
    </row>
    <row r="67" ht="12.75">
      <c r="O67" s="162" t="s">
        <v>176</v>
      </c>
    </row>
    <row r="68" ht="12.75">
      <c r="O68" s="162" t="s">
        <v>177</v>
      </c>
    </row>
    <row r="69" ht="12.75">
      <c r="O69" s="162" t="s">
        <v>178</v>
      </c>
    </row>
    <row r="70" ht="12.75">
      <c r="O70" s="162" t="s">
        <v>179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