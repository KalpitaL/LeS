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ac="http://schemas.microsoft.com/office/spreadsheetml/2010/11/ac" xmlns:mc="http://schemas.openxmlformats.org/markup-compatibility/2006" xmlns:x15="http://schemas.microsoft.com/office/spreadsheetml/2010/11/main" xmlns:x="http://schemas.openxmlformats.org/spreadsheetml/2006/main" mc:Ignorable="x15">
  <fileVersion appName="xl" lastEdited="7" lowestEdited="5" rupBuild="18431" codeName="{B1203076-2D4D-A25B-A398-973B695A806A}"/>
  <workbookPr codeName="ThisWorkbook" defaultThemeVersion="124226"/>
  <bookViews>
    <workbookView xWindow="480" yWindow="180" windowWidth="16530" windowHeight="9435" activeTab="0"/>
  </bookViews>
  <sheets>
    <sheet name="Quote" sheetId="1" r:id="rId1"/>
    <sheet name="MasterData" sheetId="2" state="hidden" r:id="rId2"/>
  </sheets>
  <definedNames>
    <definedName name="_xlnm.Print_Area" localSheetId="0">Quote!$A$1:$S$283</definedName>
    <definedName name="BCCEmailId">Quote!$N$263</definedName>
    <definedName name="BuyerRemarks">Quote!$F$265</definedName>
    <definedName name="CompanyAddress">Quote!$A$5</definedName>
    <definedName name="CompanyName">Quote!$A$4</definedName>
    <definedName name="Currency">Quote!$O$14</definedName>
    <definedName name="Days">Quote!$Q$11</definedName>
    <definedName name="Discount_All">Quote!$O$15</definedName>
    <definedName name="Enquiry_ID">Quote!$A$263</definedName>
    <definedName name="Enquiry_To_Vendor_ID">Quote!$C$263</definedName>
    <definedName name="ErrorMessage">Quote!$Q$263</definedName>
    <definedName name="GrandTotal">Quote!$P$262</definedName>
    <definedName name="HeaderID">MasterData!$N$4</definedName>
    <definedName name="ItemID">Quote!$B$19</definedName>
    <definedName name="ItemListEndRow">Quote!$A$255</definedName>
    <definedName name="ItemListStartupRow">Quote!$A$19</definedName>
    <definedName name="ItemSubTotal">Quote!$P$261</definedName>
    <definedName name="ItemSubTotalTitle">Quote!$L$261</definedName>
    <definedName name="LoggedInEmailID">Quote!$J$263</definedName>
    <definedName name="LoggedInPwd">Quote!$K$263</definedName>
    <definedName name="OtherChargesLastRow">Quote!$A$261</definedName>
    <definedName name="OtherChargesStartRow">Quote!$A$256</definedName>
    <definedName name="PackingInstruction">Quote!$F$266</definedName>
    <definedName name="Payment_Terms">Quote!$O$11</definedName>
    <definedName name="PortOfDelivery">Quote!$O$9</definedName>
    <definedName name="QuoteBefore">Quote!$O$8</definedName>
    <definedName name="QuoteID">MasterData!$N$7</definedName>
    <definedName name="QuoteSubject">Quote!$E$263</definedName>
    <definedName name="ReqNumber">Quote!$O$7</definedName>
    <definedName name="RequestForQuoteID">MasterData!$N$3</definedName>
    <definedName name="RFQ_ID">MasterData!$N$2</definedName>
    <definedName name="RFQCategory">MasterData!$N$6</definedName>
    <definedName name="RFQDate">Quote!$O$6</definedName>
    <definedName name="RFQFileType">MasterData!$N$1</definedName>
    <definedName name="RFQNumber">Quote!$O$5</definedName>
    <definedName name="SentDate">Quote!$M$263</definedName>
    <definedName name="SentIndex">Quote!$F$263</definedName>
    <definedName name="ToEmailID">Quote!$G$263</definedName>
    <definedName name="ToEmailPwd">Quote!$H$263</definedName>
    <definedName name="VAT_All">Quote!$O$16</definedName>
    <definedName name="Vendor_ID">Quote!$B$263</definedName>
    <definedName name="VendorAddress">Quote!$D$14</definedName>
    <definedName name="VendorAddressCity">Quote!$D$15</definedName>
    <definedName name="VendorAddressEmail">Quote!$D$17</definedName>
    <definedName name="VendorAddressPhone">Quote!$D$16</definedName>
    <definedName name="VendorEmailID">Quote!$D$263</definedName>
    <definedName name="VendorID">MasterData!$N$5</definedName>
    <definedName name="VendorName">Quote!$D$13</definedName>
    <definedName name="VendorReference">Quote!$O$12</definedName>
    <definedName name="VendorRemarks">Quote!$F$267</definedName>
    <definedName name="VesselETA">Quote!$O$10</definedName>
    <definedName name="VesselName">Quote!$O$4</definedName>
    <definedName name="SubItemTotal">Quote!$P$253:$P$253</definedName>
  </definedNames>
  <calcPr fullCalcOnLoad="1"/>
</workbook>
</file>

<file path=xl/sharedStrings.xml><?xml version="1.0" encoding="utf-8"?>
<sst xmlns="http://schemas.openxmlformats.org/spreadsheetml/2006/main" count="3072" uniqueCount="492">
  <si>
    <t>Request for Quote</t>
  </si>
  <si>
    <t>Vessel \ Company Details</t>
  </si>
  <si>
    <t>BERNHARD SCHULTE SHIPMANAGEMENT (HONG KONG) LIMITED PARTNERSHIP</t>
  </si>
  <si>
    <t>Vessel</t>
  </si>
  <si>
    <t>FMG Grace</t>
  </si>
  <si>
    <t>SEACHEF - HOSPITALITY SERVICES,</t>
  </si>
  <si>
    <t>RFQ No.</t>
  </si>
  <si>
    <t>FGR/O0166/RF19</t>
  </si>
  <si>
    <t>BERNHARD SCHULTE SHIPMANAGEMENT (L) LTD.,</t>
  </si>
  <si>
    <t>RFQ Date</t>
  </si>
  <si>
    <t>C\O Bernhard Schulte Shipmanagement (India) Pvt. Limited</t>
  </si>
  <si>
    <t>401 Olympia, Hiranandani Gardens, Powai, Mumbai 400 076, India</t>
  </si>
  <si>
    <t>Submit Quote Before:</t>
  </si>
  <si>
    <t>Tel: +91-22-40017300        Fax: +91-22-40017555</t>
  </si>
  <si>
    <t>Port of Delivery</t>
  </si>
  <si>
    <t>Qingdao</t>
  </si>
  <si>
    <t>Email:</t>
  </si>
  <si>
    <t>seachef@seachef.com</t>
  </si>
  <si>
    <t>Vessel ETA</t>
  </si>
  <si>
    <t>Web:</t>
  </si>
  <si>
    <t>www.seachef.com /  www.bs-shipmanagement.com</t>
  </si>
  <si>
    <t>Payment Terms</t>
  </si>
  <si>
    <t>Credit</t>
  </si>
  <si>
    <t>Days</t>
  </si>
  <si>
    <t>Vendor Details</t>
  </si>
  <si>
    <t xml:space="preserve">Vendor Reference </t>
  </si>
  <si>
    <t>Name</t>
  </si>
  <si>
    <t>RMS MARINE SERVICE COMPANY LTD</t>
  </si>
  <si>
    <t>Address</t>
  </si>
  <si>
    <t>365, Gaodong, No 2 Road, Pudong District,SHANGHAI, CHINA</t>
  </si>
  <si>
    <r>
      <rPr>
        <b/>
        <sz val="10"/>
        <color theme="0" tint="-0.249970003962517"/>
        <rFont val="Calibri"/>
        <family val="2"/>
      </rPr>
      <t xml:space="preserve">Select Currency </t>
    </r>
    <r>
      <rPr>
        <b/>
        <sz val="12"/>
        <color rgb="FFFF0000"/>
        <rFont val="Calibri"/>
        <family val="2"/>
      </rPr>
      <t>*</t>
    </r>
  </si>
  <si>
    <t>USD</t>
  </si>
  <si>
    <t>City</t>
  </si>
  <si>
    <t>Discount (%) for all items</t>
  </si>
  <si>
    <t>0</t>
  </si>
  <si>
    <t>Phone</t>
  </si>
  <si>
    <t>VAT(%) for all items</t>
  </si>
  <si>
    <t>Email</t>
  </si>
  <si>
    <t>mt@rmsmarineservice.com,mt@rmsmarineservice.com</t>
  </si>
  <si>
    <t>No</t>
  </si>
  <si>
    <t>Product Code</t>
  </si>
  <si>
    <t>Description</t>
  </si>
  <si>
    <t>Brand</t>
  </si>
  <si>
    <t>Weight</t>
  </si>
  <si>
    <t>Unit</t>
  </si>
  <si>
    <t>Package</t>
  </si>
  <si>
    <t>Contract Price</t>
  </si>
  <si>
    <t>Quantity</t>
  </si>
  <si>
    <t>Discount %</t>
  </si>
  <si>
    <t>VAT %</t>
  </si>
  <si>
    <t>Total Price</t>
  </si>
  <si>
    <t>Vendor Remarks</t>
  </si>
  <si>
    <t>Office Remarks</t>
  </si>
  <si>
    <t>GENERAL STORES - CP</t>
  </si>
  <si>
    <t>BALL BEARING SINGLE ROW DEEP GROOVE NO.6208ZZ C3 Only "SKF" Bearing</t>
  </si>
  <si>
    <t>PCS</t>
  </si>
  <si>
    <t>BALL BEARING SINGLE ROW, DEEP GROOVE NO.6202ZZ C3 Only "SKF" Bearings</t>
  </si>
  <si>
    <t>BALL BEARING SINGLE ROW, DEEP GROOVE NO.6204-2RS SKF Bearings Only</t>
  </si>
  <si>
    <t xml:space="preserve">BALL BEARING SINGLE ROW, DEEP GROOVE NO.6206-2RS </t>
  </si>
  <si>
    <t>BALL BEARING SINGLE ROW, DEEP GROOVE NO.6206ZZ C3 SKF Bearings Only</t>
  </si>
  <si>
    <t>BALL BEARING SINGLE ROW, DEEP GROOVE NO.6306ZZ C3 Only "SKF" Bearing</t>
  </si>
  <si>
    <t>AIR DUSTERS (Nozzle L-100mm) (Alternative equivalent make)</t>
  </si>
  <si>
    <t>SCF-S-DCK265</t>
  </si>
  <si>
    <t xml:space="preserve">BRUSH CABIN UNIVERSAL, HEAD ONLY 300MM WIDTH </t>
  </si>
  <si>
    <t xml:space="preserve">BRUSH FLOOR SCRUB THREADED, PLASTIC VIKAN#3660 270MM WIDTH </t>
  </si>
  <si>
    <t xml:space="preserve">BRUSH HAND BRASS, STRAIGHT HANDLE </t>
  </si>
  <si>
    <t xml:space="preserve">BRUSH SWEEP W/HAIR MIX, PLASTIC VIKAN#3150 280MM WIDTH </t>
  </si>
  <si>
    <t xml:space="preserve">BRUSH WIRE WHEEL THREADED NUT TYPE 75MMXM10THREAD </t>
  </si>
  <si>
    <t>DIAPHRAGM PUMP AIR-OPERATED, WILDEN T-2(EX.M-4) ALUMI CASE ('ARO' or equivalent)</t>
  </si>
  <si>
    <t>SET</t>
  </si>
  <si>
    <t xml:space="preserve">HANDLE ALUMI W/SCREW THREAD, VIKAN #2947 22X1500MM </t>
  </si>
  <si>
    <t xml:space="preserve">HEAD FOR SPRING CLAMP MOP </t>
  </si>
  <si>
    <t xml:space="preserve">OIL FUNNEL GALV W/STRAINER, 125MM DIAM </t>
  </si>
  <si>
    <t xml:space="preserve">PAPER TOWEL ROLLED ; 200MMX137MTR 12'S  </t>
  </si>
  <si>
    <t xml:space="preserve">PLASTIC BAG BLACK, 500X400X1300MM 50'S </t>
  </si>
  <si>
    <t>PKT</t>
  </si>
  <si>
    <t xml:space="preserve">SPRING CLAMP MOP COMPLETE </t>
  </si>
  <si>
    <t>SQUEEGEE RUBBER HANDLED 330MM (Mainly for windows)</t>
  </si>
  <si>
    <t xml:space="preserve">SQUEEGEE RUBBER HANDLED, BLADE WIDTH 400MM </t>
  </si>
  <si>
    <t>RS 340-257</t>
  </si>
  <si>
    <t xml:space="preserve">2 positions Rotary Switch, 440 V, 10 A, Rotary Knob </t>
  </si>
  <si>
    <t>RS 288-8004</t>
  </si>
  <si>
    <t xml:space="preserve">BAHCO 5 PIECES INSULATED SLOTTED; PHILLIPS SCREWDRIVER SET </t>
  </si>
  <si>
    <t xml:space="preserve">BATTERY DRY CELL R03(UM-4) 1.5V LEAK-PROOF </t>
  </si>
  <si>
    <t xml:space="preserve">BATTERY DRY CELL R6P(UM-3) 1.5V LEAK-PROOF </t>
  </si>
  <si>
    <t xml:space="preserve">BATTERY LITHIUM CR-2032 3.0V  </t>
  </si>
  <si>
    <t xml:space="preserve">CABLE BAND PLASTIC 100MM </t>
  </si>
  <si>
    <t xml:space="preserve">CABLE BAND PLASTIC 150MM </t>
  </si>
  <si>
    <t xml:space="preserve">CABLE BAND PLASTIC 400MM X 5MM </t>
  </si>
  <si>
    <t>TMH 175544</t>
  </si>
  <si>
    <t xml:space="preserve">CRC PRODUCTS; CRC DUST FREE; HIGH PRESSURE DUST REMOVER; 200 ML </t>
  </si>
  <si>
    <t xml:space="preserve">DESOLDERING GUN VACUUM, SUCTION TYPE </t>
  </si>
  <si>
    <t xml:space="preserve">FL CEILING LIGHT WATERTIGHT, W/GLOBE AC220V KEW202 20WX2 </t>
  </si>
  <si>
    <t xml:space="preserve">FL CEILING LIGHT WATERTIGHT, W/GLOBE AC220V KEW402 40WX2 </t>
  </si>
  <si>
    <t xml:space="preserve">FLASHLIGHT INTRINSICALLY SAFE, LED BRIGHT STAR #60102 ORANGE </t>
  </si>
  <si>
    <t>KERGER 136212</t>
  </si>
  <si>
    <t xml:space="preserve">FLOODLIGHT LED 150W 230VAC IP65
10500LM 4000K CLASS II
ON RACK AND 5 MTR CABLE </t>
  </si>
  <si>
    <t xml:space="preserve">FUSE PULLER NYLON RESIN, SCISSORS TYPE </t>
  </si>
  <si>
    <t>PRS</t>
  </si>
  <si>
    <t>TMH 186132</t>
  </si>
  <si>
    <t xml:space="preserve">GENERAL MICRO SWITCHES, WITH SINGLE-POLE CHANGE-OVER CONTACTS; HINGER ROLLER SHORT LEVER TYPE; Z15-GW22 </t>
  </si>
  <si>
    <t xml:space="preserve">INSULATION TESTER DIGITAL TYPE, 600V </t>
  </si>
  <si>
    <t xml:space="preserve">INTERIOR FOR 3PIN RECEPTACLE HNA-TYPE </t>
  </si>
  <si>
    <t xml:space="preserve">LAMP FLUORESCENT DAYLIGHT FL-40S/38 38W 32.5X1198MM </t>
  </si>
  <si>
    <t xml:space="preserve">LAMP FLUORESCENT DAYLIGHT, FL-20SSCW/18-24 40W 27X588.7MM </t>
  </si>
  <si>
    <t xml:space="preserve">LAMP HOLDER FOR FLUOREsCENT W/O STARTER HOLDER TYPE 1853B/1863B </t>
  </si>
  <si>
    <t>Please find attached photograph</t>
  </si>
  <si>
    <t xml:space="preserve">LAMP HOLDER FOR FLUORESCENT WITH STARTER HOLDER TYPE 1853A/1863A </t>
  </si>
  <si>
    <t xml:space="preserve">LED Tube light, 10 W, 220 V, L: 600 MM, D: 25 MM, Model: WV-T806-10DLS-8D, Make: World Vision. Type: Straight, 50 Hz. </t>
  </si>
  <si>
    <t>PC</t>
  </si>
  <si>
    <t>SCF-S-ELE892</t>
  </si>
  <si>
    <t xml:space="preserve">PHILIPS GENIE LED LAMP 11W E26 220-240V 50-60Hz COOL DAYLIGHT </t>
  </si>
  <si>
    <t xml:space="preserve">RELAY CLEANER ELECTRIC CONTACT, 260GRM SPRAY TIN </t>
  </si>
  <si>
    <t>TIN</t>
  </si>
  <si>
    <t>KERGER 365145</t>
  </si>
  <si>
    <t xml:space="preserve">SCREWDRIVER PHILLIPS 1000V
100MM XNR.2 </t>
  </si>
  <si>
    <t>KERGER 365149</t>
  </si>
  <si>
    <t xml:space="preserve">SCREWDRIVER PHILLIPS 1000V
150MM XNR.3 </t>
  </si>
  <si>
    <t xml:space="preserve">STARTER FOR FL LAMP FG-1P </t>
  </si>
  <si>
    <t xml:space="preserve">STARTER FOR FL LAMP FG-4P </t>
  </si>
  <si>
    <t xml:space="preserve">TAPE PVC INSULATION 19MMX20MTR (BLACK) </t>
  </si>
  <si>
    <t>SPL</t>
  </si>
  <si>
    <t>RS 316-1580</t>
  </si>
  <si>
    <t xml:space="preserve">TE CONNECTIVITY ATUM-12/4-0 BLACK HEAT SHRINK TUBING, SLEEVE DIAMETER 12MM, LENGTH 1.2M, RATIO 3:1
 </t>
  </si>
  <si>
    <t>RS 316-1619</t>
  </si>
  <si>
    <t xml:space="preserve">TE CONNECTIVITY ATUM-40/13-0 BLACK HEAT SHRINK TUBING, SLEEVE DIAMETER 40MM, LENGTH 1.2M, RATIO 3:1 </t>
  </si>
  <si>
    <t xml:space="preserve">TERMINAL BOARD S-TYPE 20AMP, 4-TERMINAL </t>
  </si>
  <si>
    <t xml:space="preserve">TERMINAL LUG INSULATED EYELET, 1.25MM2 HOLE DIA 4MM RED </t>
  </si>
  <si>
    <t xml:space="preserve">TERMINAL LUG INSULATED SPADE, 1.25MM2 HOLE DIA 3.5MM RED </t>
  </si>
  <si>
    <t xml:space="preserve">TERMINAL LUG INSULATED SPADE, 2MM2 HOLE DIA 4MM BLUE </t>
  </si>
  <si>
    <t xml:space="preserve">TIP CLEANER FOR SOLDERING IRON </t>
  </si>
  <si>
    <t xml:space="preserve">TWO WIRE PROXIMITY SWITCH  Manufacturing Part No NCB2-12GM40-Z1, Thread M12, Sensing distance 2mm, Output NC, Switching Freq 2000Hz, Length 40mm, </t>
  </si>
  <si>
    <t xml:space="preserve">AIR FILTER 15X1600MM </t>
  </si>
  <si>
    <t>MTR</t>
  </si>
  <si>
    <t xml:space="preserve">DISC PAPER ABRASIVE 125MM, GRIT #80 </t>
  </si>
  <si>
    <t xml:space="preserve">DRUM HOOK CHAIN TYPE, FOR 2 DRUMS </t>
  </si>
  <si>
    <t xml:space="preserve">EMERY CLOTH ABRASIVE 230X280MM, GRIT #80 </t>
  </si>
  <si>
    <t>SHT</t>
  </si>
  <si>
    <t>GLUE GENERAL PURPOSE 1KG (For RUBBER)</t>
  </si>
  <si>
    <t>CAN</t>
  </si>
  <si>
    <t xml:space="preserve">HANDLE ALUMI W/SCREW THREAD, VIKAN #2945 22X1300MM </t>
  </si>
  <si>
    <t xml:space="preserve">LUBRICANT WD-40 SPRAY 360ML </t>
  </si>
  <si>
    <t xml:space="preserve">RAGS, LIGHT COLOUR STERILIZED </t>
  </si>
  <si>
    <t>KGS</t>
  </si>
  <si>
    <t xml:space="preserve">REFRACTORY PLASTIC FIRECLAY, PLIBRICO SUPER AB 25KG </t>
  </si>
  <si>
    <t>CTN</t>
  </si>
  <si>
    <t xml:space="preserve">RUBBER STRING 5MM DIAM </t>
  </si>
  <si>
    <t xml:space="preserve">RUBBER STRING 7MM DIAM </t>
  </si>
  <si>
    <t xml:space="preserve">RUBBER STRING 8MM DIAM </t>
  </si>
  <si>
    <t xml:space="preserve">SEALING AGENT PERMATEX, FORM-A GASKET NO.1 11OZ </t>
  </si>
  <si>
    <t>TUB</t>
  </si>
  <si>
    <t xml:space="preserve">SEALING AGENT PERMATEX, FORM-A GASKET NO.2 11OZ </t>
  </si>
  <si>
    <t xml:space="preserve">SHEET PACKING NON-ASBESTOS, #178 1.0X1500X1500MM </t>
  </si>
  <si>
    <t xml:space="preserve">SHEET PACKING NON-ASBESTOS, #178 2.0X1500X1500MM </t>
  </si>
  <si>
    <t xml:space="preserve">SHEET PACKING NON-ASBESTOS, #178 3.0X1500X1500MM </t>
  </si>
  <si>
    <t>SILICON SEALANT CLEAR 330GRM (300grm)</t>
  </si>
  <si>
    <t xml:space="preserve">SILICON SEALANT WHITE 300GRM </t>
  </si>
  <si>
    <t xml:space="preserve">STEEL EQUAL ANGLE HOT-ROLLED, 50X50X6MM 5.5MTR </t>
  </si>
  <si>
    <t>LGH</t>
  </si>
  <si>
    <t xml:space="preserve">STEEL ROUND COLD-FINISHED 10MM, 4MTR </t>
  </si>
  <si>
    <t xml:space="preserve">TEFLON ROUND 50X1000MM </t>
  </si>
  <si>
    <t xml:space="preserve">WALNUT SHELL FOR TURBOCHARGER CLEANING GRIT#16 (1,000-1500) </t>
  </si>
  <si>
    <t>BAG</t>
  </si>
  <si>
    <t xml:space="preserve">WIRE CUP BRUSH STANDARD, 100MMX5/8" </t>
  </si>
  <si>
    <t xml:space="preserve">FUNNEL STAINLESS STEEL, DIAM 160MM </t>
  </si>
  <si>
    <t xml:space="preserve">HAND SCOURER STAINLESS STEEL </t>
  </si>
  <si>
    <t xml:space="preserve">PLASTIC BAG BLACK 30"X34", (762X864MM) 65LTR 50'S </t>
  </si>
  <si>
    <t>WRINGER MOP BUCKET (Hard Plastic)</t>
  </si>
  <si>
    <t xml:space="preserve">CHISEL COLD NON-SPARK 15X150MM, SPECIAL ALUMINIUM BRONZE </t>
  </si>
  <si>
    <t xml:space="preserve">CHISEL CONCRETE NON-SPARK, BERYLLIUM COPPER 20X200MM </t>
  </si>
  <si>
    <t xml:space="preserve">DISC PAPER ABRASIVE 150MM, GRIT #100 </t>
  </si>
  <si>
    <t xml:space="preserve">PARTS CABINET WITH 48 DRAWERS, PLASTIC 574X272X880MM </t>
  </si>
  <si>
    <t xml:space="preserve">PULLER GEAR &amp; WHEEL 2-ARM, TYPE-G 0-75MM </t>
  </si>
  <si>
    <t xml:space="preserve">SOCKET WRENCH 6-POINT, 12.7MM/SQ DRIVEX11MM (7/16") </t>
  </si>
  <si>
    <t xml:space="preserve">SOCKET WRENCH 6-POINT, 12.7MM/SQ DRIVEX18MM </t>
  </si>
  <si>
    <t xml:space="preserve">SOCKET WRENCH 6-POINT, 12.7MM/SQ DRIVEX21MM (13/16") </t>
  </si>
  <si>
    <t xml:space="preserve">SOCKET WRENCH 6-POINT, 12.7MM/SQ DRIVEX9MM (11/32") </t>
  </si>
  <si>
    <t xml:space="preserve">CAP FOR AIRHOSE COUPLING, BRONZE M42 X 2 </t>
  </si>
  <si>
    <t xml:space="preserve">CONNECTION AIRHOSE CAST BRONZE M42X2 BY HOSE END 9MM </t>
  </si>
  <si>
    <t xml:space="preserve">COUPLER QUICK-CONNECT STAINLESS STEEL 20PH 1/4" </t>
  </si>
  <si>
    <t xml:space="preserve">COUPLER QUICK-CONNECT STAINLESS STEEL 20SH 1/4" </t>
  </si>
  <si>
    <t xml:space="preserve">COUPLER QUICK-CONNECT, STAINLESS STEEL 20PM R-1/4 </t>
  </si>
  <si>
    <t xml:space="preserve">COUPLER QUICK-CONNECT, STAINLESS STEEL 20SM R-1/4 </t>
  </si>
  <si>
    <t xml:space="preserve">HOSE OX RUBBER 15KG 6MMX2B </t>
  </si>
  <si>
    <t xml:space="preserve">HOSE PVC STEEL COIL REINFORCED, ID-32 X OD-41MM 6KG </t>
  </si>
  <si>
    <t xml:space="preserve">BRUSH HAND BRASS OVAL SHAPE </t>
  </si>
  <si>
    <t xml:space="preserve">MICROMETER DEPTH 0-25MM, IN 0.01MM BASE WIDTH 63.5MM </t>
  </si>
  <si>
    <t xml:space="preserve">RULE CONVEX STEEL METRIC&amp;INCH, 5MTR/16' </t>
  </si>
  <si>
    <t xml:space="preserve">THICKNESS GAUGE #150A25, 0.03-1.0MM 150MM LENGTH </t>
  </si>
  <si>
    <t xml:space="preserve">BRASS ROUND 50MM 4MTR  </t>
  </si>
  <si>
    <t xml:space="preserve">HIGH TENSION BRASS ROUND 60MM, 4MTR </t>
  </si>
  <si>
    <t xml:space="preserve">ZINC TAPE ADHESIVE, ANTI-CORROSIVE 100X0.1MMX20MTR </t>
  </si>
  <si>
    <t>ROL</t>
  </si>
  <si>
    <t xml:space="preserve">ADHESIVE ONE-COMPONET WEICON, HT 300 RED 310ML </t>
  </si>
  <si>
    <t xml:space="preserve">CLOTH CARBON 2MMX1000MM </t>
  </si>
  <si>
    <t xml:space="preserve">CLOTH GLASS 1.7X1000MM </t>
  </si>
  <si>
    <t xml:space="preserve">CLOTH GLASS 3X1000MM </t>
  </si>
  <si>
    <t>SCF-S-PKJ161</t>
  </si>
  <si>
    <t xml:space="preserve">CORD TEFLON 2.4MMX12MTR </t>
  </si>
  <si>
    <t xml:space="preserve">CORD TEFLON 4MMX6MTR </t>
  </si>
  <si>
    <t xml:space="preserve">CORD TEFLON 6MMX2.5MTR </t>
  </si>
  <si>
    <t xml:space="preserve">CORD TEFLON 8MMX3MTR </t>
  </si>
  <si>
    <t xml:space="preserve">GLASS WOOL </t>
  </si>
  <si>
    <t xml:space="preserve">GUN FOR SILICON SEALANT </t>
  </si>
  <si>
    <t xml:space="preserve">PACKING PTFE RAMIE, PILLAR NO.426F 6.5MMX20MTR </t>
  </si>
  <si>
    <t>BOX</t>
  </si>
  <si>
    <t xml:space="preserve">PACKING UNIVERSAL CARBONIZED, FIBER PILLARNO.6501L 11MMX3MTR </t>
  </si>
  <si>
    <t xml:space="preserve">PACKING UNIVERSAL CARBONIZED, FIBER PILR NO.6501L 6.5MMX3MTR </t>
  </si>
  <si>
    <t xml:space="preserve">SHEET PACKING NON-ASBESTOS #178 0.75X1500X1500MM </t>
  </si>
  <si>
    <t xml:space="preserve">SHEET RUBBER VITON BLACK, TH:5MMXW:1000MM #RP630050 </t>
  </si>
  <si>
    <t xml:space="preserve">TAPE GLASS 1.7X100MMX30MTR </t>
  </si>
  <si>
    <t>RLS</t>
  </si>
  <si>
    <t xml:space="preserve">TAPE SEAL TEFLON 0.1X20MMX10MTR </t>
  </si>
  <si>
    <t xml:space="preserve">TEFLON SHEET 1.5X300X300MM </t>
  </si>
  <si>
    <t xml:space="preserve">TEFLON SHEET 1X300X300MM </t>
  </si>
  <si>
    <t xml:space="preserve">TEFLON SHEET 2X300X300MM </t>
  </si>
  <si>
    <t xml:space="preserve">BRUSH CABIN UNIVERSAL, 300MM WIDTH WITH LONG HANDLE </t>
  </si>
  <si>
    <t xml:space="preserve">BRUSH COUNTER BLACK HAIR </t>
  </si>
  <si>
    <t xml:space="preserve">BRUSH DECK NYLON 300MM WIDTH, WITH LONG HANDLE </t>
  </si>
  <si>
    <t xml:space="preserve">BRUSH DECK NYLON HEAD ONLY, 300MM WIDTH </t>
  </si>
  <si>
    <t xml:space="preserve">BRUSH WIRE CUP TWIST KNOTTED TYPE 100MM X 5/8"(16MM) BORE </t>
  </si>
  <si>
    <t xml:space="preserve">WOOD HANDLE PUSH 1200MM, FOR BRUSH </t>
  </si>
  <si>
    <t xml:space="preserve">DRUM PUMP PNEUMATIC MODEL Q, FOR SUCTION </t>
  </si>
  <si>
    <t xml:space="preserve">PUMP TRANSFER PNEUMATIC PISTON, STAINLESS 60MTR ICO #17000-00 </t>
  </si>
  <si>
    <t xml:space="preserve">BAG SLUDGE POLYPROPYLENE, W/INNER BAG W600MMXL1000MM </t>
  </si>
  <si>
    <t xml:space="preserve">DOWEL PIN KIT HARDENED STEEL, METRIC PARALLEL 315PINS </t>
  </si>
  <si>
    <t xml:space="preserve">EYE BOLT STEEL M10 </t>
  </si>
  <si>
    <t xml:space="preserve">EYE BOLT STEEL M12 </t>
  </si>
  <si>
    <t xml:space="preserve">EYE BOLT STEEL M8 </t>
  </si>
  <si>
    <t xml:space="preserve">HEXAGON NUT STAINLESS STEEL, M10 </t>
  </si>
  <si>
    <t xml:space="preserve">HEXAGON NUT STAINLESS STEEL, M12 </t>
  </si>
  <si>
    <t xml:space="preserve">HEXAGON NUT STAINLESS STEEL, M16 </t>
  </si>
  <si>
    <t xml:space="preserve">HEXAGON NUT STAINLESS STEEL, M3 </t>
  </si>
  <si>
    <t xml:space="preserve">HEXAGON NUT STAINLESS STEEL, M4 </t>
  </si>
  <si>
    <t xml:space="preserve">HEXAGON NUT STAINLESS STEEL, M6 </t>
  </si>
  <si>
    <t xml:space="preserve">HEXAGON NUT STAINLESS STEEL, M8 </t>
  </si>
  <si>
    <t xml:space="preserve">SCREW MACHINE CROSS-RECESSED, HEAD WITH FURTHER DETAIL </t>
  </si>
  <si>
    <t>Cross- recessed Head ,countershank head nominal size 5, material: stainless steel, length :25mm</t>
  </si>
  <si>
    <t xml:space="preserve">SCREW TAPPING WITH FURTHER, DETAIL </t>
  </si>
  <si>
    <t>Cross- recessed head wood screws, Nominsl dia: 4.5, Length: 40mm</t>
  </si>
  <si>
    <t xml:space="preserve">TAPE OIL GAUGE STEEL, WHITE TAPE METRIC 20MTR </t>
  </si>
  <si>
    <t xml:space="preserve">WASHER PLAIN ROUND, STAINLESS STEEL M12.0 </t>
  </si>
  <si>
    <t xml:space="preserve">WASHER PLAIN ROUND, STAINLESS STEEL M16.0 </t>
  </si>
  <si>
    <t xml:space="preserve">WASHER PLAIN ROUND, STAINLESS STEEL M20.0 </t>
  </si>
  <si>
    <t xml:space="preserve">WASHER PLAIN ROUND, STAINLESS STEEL M4.0 </t>
  </si>
  <si>
    <t xml:space="preserve">WASHER SPRING-LOCK, STAINLESS STEEL M10.0 </t>
  </si>
  <si>
    <t xml:space="preserve">WASHER SPRING-LOCK, STAINLESS STEEL M12.0 </t>
  </si>
  <si>
    <t xml:space="preserve">WASHER SPRING-LOCK, STAINLESS STEEL M16.0 </t>
  </si>
  <si>
    <t xml:space="preserve">WASHER SPRING-LOCK, STAINLESS STEEL M20.0 </t>
  </si>
  <si>
    <t xml:space="preserve">WASHER SPRING-LOCK, STAINLESS STEEL M8.0 </t>
  </si>
  <si>
    <t xml:space="preserve">FUNNEL PLASTIC DIAM 120MM </t>
  </si>
  <si>
    <t xml:space="preserve">CUTTER TUBE COPPER AND BRASS, FOR 3-30 MM </t>
  </si>
  <si>
    <t xml:space="preserve">CUTTER VALVE SEAT WITH CUTTERS, FOR 1-4" 4'S </t>
  </si>
  <si>
    <t xml:space="preserve">REQUIRED 1/2'',3/4'',1-1/4'',1-1/2'',2-1/2'',5'' &amp; 6'' </t>
  </si>
  <si>
    <t xml:space="preserve">DISC PAPER ABRASIVE 100MM, GRIT #40 </t>
  </si>
  <si>
    <t xml:space="preserve">DRILL CHUCK WITH KEY 13.0MM, DIAM 55MM J.T. HOLE #6 </t>
  </si>
  <si>
    <t xml:space="preserve">DRILL SET HSS STRAIGHT SHANK, 1-10MM 19'S IN STEEL CASE </t>
  </si>
  <si>
    <t xml:space="preserve">EXTENSION BAR 12.7MM/SQ DRIVE, 150MM </t>
  </si>
  <si>
    <t xml:space="preserve">EXTENSION BAR 12.7MM/SQ DRIVE, 75MM </t>
  </si>
  <si>
    <t xml:space="preserve">EXTENSION BAR 25.4MM/SQ DRIVE, 250MM </t>
  </si>
  <si>
    <t xml:space="preserve">FILE NEEDLE SET 185MM 10'S SMOOTH FILE   </t>
  </si>
  <si>
    <t xml:space="preserve">GREASE NIPPLE BUTTON HEAD TYPE, M12X1.5 PLATED STEEL </t>
  </si>
  <si>
    <t xml:space="preserve">HAMMER RUBBER HANDLED, 48MM DIAM NO.3/4 (0.46KGS) </t>
  </si>
  <si>
    <t xml:space="preserve">HEXAGON BIT SETS, 3-10MM (6'S) </t>
  </si>
  <si>
    <t xml:space="preserve">INSULATED DIAGONAL CUTTERS, 160MM  (Upto 1000V) </t>
  </si>
  <si>
    <t xml:space="preserve">LADDER PLATFORM ALUM-ALLOY, (STEP LADDER) 2.7MTR </t>
  </si>
  <si>
    <t>SCF-S-TOO1358</t>
  </si>
  <si>
    <t xml:space="preserve">PASTE NOZZLE LAPPING MEDIUM, GRIT #1000 60GRM/TIN </t>
  </si>
  <si>
    <t xml:space="preserve">PLIER BENT-NOSE, PLASTIC COVERED HANDLE 150MM </t>
  </si>
  <si>
    <t xml:space="preserve">PLIER DIAGONAL CUTTING, PLASTIC COVERED HANDLE 125MM </t>
  </si>
  <si>
    <t xml:space="preserve">PLIER LONG NEEDLE NOSE, PLASTIC COVERED HANDLE 150MM </t>
  </si>
  <si>
    <t xml:space="preserve">PLIER SIDE-CUTTING INSULATED, 200MM </t>
  </si>
  <si>
    <t xml:space="preserve">PLIER STOP RING BENT, INTERNAL 32-80MM </t>
  </si>
  <si>
    <t xml:space="preserve">PLIER STOP RING STRAIGHT, EXTERNAL 10-25MM </t>
  </si>
  <si>
    <t xml:space="preserve">PLIER STOP RING STRAIGHT, EXTERNAL 19-40MM </t>
  </si>
  <si>
    <t xml:space="preserve">PLIER STOP RING STRAIGHT, EXTERNAL 3-15MM </t>
  </si>
  <si>
    <t xml:space="preserve">PLIER STOP RING STRAIGHT, EXTERNAL 32-80MM </t>
  </si>
  <si>
    <t xml:space="preserve">PLIER STOP RING STRAIGHT, INTERNAL 19-65MM </t>
  </si>
  <si>
    <t xml:space="preserve">PLIER STOP RING STRAIGHT, INTERNAL 32-80MM </t>
  </si>
  <si>
    <t xml:space="preserve">SAND PAPER ABRASIVE 230X280MM GRIT #400 </t>
  </si>
  <si>
    <t xml:space="preserve">SCISSORS CLOTH OVERALL 255MM </t>
  </si>
  <si>
    <t xml:space="preserve">SCRAPER TRIANGULAR YACHT TYPE, 70X300MM </t>
  </si>
  <si>
    <t xml:space="preserve">SCREWDRIVER INSULATED HANDLE, HEAVY-DUTY PHILLIPS NO.2 100MM </t>
  </si>
  <si>
    <t xml:space="preserve">SCREWDRIVER WOOD HANDLE SLOTTED 8.0X150MM </t>
  </si>
  <si>
    <t xml:space="preserve">SCREWDRIVER WOOD HANDLE, HEAVY-DUTY SLOTTED 10X300MM </t>
  </si>
  <si>
    <t xml:space="preserve">SOCKET DEEP WRENCH 12-POINT, 12.7MM/SQ DRIVEX27MM (1-1/16") </t>
  </si>
  <si>
    <t xml:space="preserve">SOCKET WRENCH 6-POINT, 12.7MM/SQ DRIVEX10MM </t>
  </si>
  <si>
    <t xml:space="preserve">SOCKET WRENCH 6-POINT, 12.7MM/SQ DRIVEX12MM (15/32") </t>
  </si>
  <si>
    <t xml:space="preserve">SOCKET WRENCH 6-POINT, 12.7MM/SQ DRIVEX13MM </t>
  </si>
  <si>
    <t xml:space="preserve">SOCKET WRENCH 6-POINT, 12.7MM/SQ DRIVEX14MM </t>
  </si>
  <si>
    <t xml:space="preserve">SOCKET WRENCH 6-POINT, 12.7MM/SQ DRIVEX16MM (5/8") </t>
  </si>
  <si>
    <t xml:space="preserve">SOCKET WRENCH 6-POINT, 12.7MM/SQ DRIVEX19MM (3/4") </t>
  </si>
  <si>
    <t xml:space="preserve">SOCKET WRENCH 6-POINT, 12.7MM/SQ DRIVEX22MM </t>
  </si>
  <si>
    <t xml:space="preserve">SOCKET WRENCH 6-POINT, 12.7MM/SQ DRIVEX24MM </t>
  </si>
  <si>
    <t xml:space="preserve">SOCKET WRENCH 6-POINT, 12.7MM/SQ DRIVEX27MM( 1-1/16") </t>
  </si>
  <si>
    <t xml:space="preserve">SOCKET WRENCH 6-POINT, 12.7MM/SQ DRIVEX30MM (1-3/16") </t>
  </si>
  <si>
    <t xml:space="preserve">SOCKET WRENCH 6-POINT, 12.7MM/SQ DRIVEX8MM (5/16") </t>
  </si>
  <si>
    <t xml:space="preserve">SOCKET WRENCH SET 6.35MM/SQ, 4-14MM 12SOCKET/7TOOL 1800M </t>
  </si>
  <si>
    <t xml:space="preserve">SPARE BLADE #2 WOOD/PLASTIC, H. RUBBER FOR ELEC. JIGSAW 5'S </t>
  </si>
  <si>
    <t xml:space="preserve">SPARE BLADE #5 PLASTIC/M.STEEL, ALUM/H.BOARD FOR EL JIGSAW 5'S </t>
  </si>
  <si>
    <t xml:space="preserve">SPARE CARTRIDGE FOR GAS TORCH </t>
  </si>
  <si>
    <t xml:space="preserve">VISE BENCH PARALLEL, SQUARE-CYLINDER 152X200X90MM </t>
  </si>
  <si>
    <t>SCF-S-TOO1217</t>
  </si>
  <si>
    <t xml:space="preserve">WHEEL FIXED TYPE 100MM, FOR PLATFORM TRUCK </t>
  </si>
  <si>
    <t xml:space="preserve">WHEEL FIXED TYPE 150MM FOR PLATFORM TRUCK </t>
  </si>
  <si>
    <t xml:space="preserve">WHEEL FREE SWIVEL TYPE 100MM FOR PLATFORM TRUCK </t>
  </si>
  <si>
    <t xml:space="preserve">WHEEL FREE SWIVEL TYPE 150MM FOR PLATFORM TRUCK </t>
  </si>
  <si>
    <t xml:space="preserve">WRENCH ADJUSTABLE HEAVY-DUTY, 150MM </t>
  </si>
  <si>
    <t xml:space="preserve">WRENCH ALLEN HEXAGON 5.5MM </t>
  </si>
  <si>
    <t xml:space="preserve">WRENCH ALLEN HEXAGON 6MM </t>
  </si>
  <si>
    <t xml:space="preserve">WRENCH DOUBLE HEAD RATCHET, &amp; SPUD 12-POINT 10X13MM </t>
  </si>
  <si>
    <t xml:space="preserve">WRENCH DOUBLE HEAD RATCHET, &amp; SPUD 12-POINT 13X17MM </t>
  </si>
  <si>
    <t xml:space="preserve">WRENCH DOUBLE OPEN END 6X7MM </t>
  </si>
  <si>
    <t xml:space="preserve">WRENCH OPEN &amp; RACHET TYPE, 12-POINT BOX 10MM </t>
  </si>
  <si>
    <t xml:space="preserve">WRENCH OPEN &amp; RACHET TYPE, 12-POINT BOX 13MM </t>
  </si>
  <si>
    <t xml:space="preserve">WRENCH OPEN &amp; RACHET TYPE, 12-POINT BOX 14MM </t>
  </si>
  <si>
    <t xml:space="preserve">WRENCH OPEN &amp; RACHET TYPE, 12-POINT BOX 17MM </t>
  </si>
  <si>
    <t xml:space="preserve">WRENCH PIPE STRAIGHT, HEAVY-DUTY 600MM </t>
  </si>
  <si>
    <t xml:space="preserve">ANGLE HOSE VALVE BRONZE, FLANGE&amp;SCREW F7334 10KG-15MM </t>
  </si>
  <si>
    <t xml:space="preserve">GLOBE HOSE VALVE BRONZE, FLANGE&amp;SCREW F7334 10KG-15MM </t>
  </si>
  <si>
    <t xml:space="preserve">ANGLE VALVE FORGED-STEEL AIR, UNION NUT F7337 46KG-10MM </t>
  </si>
  <si>
    <t xml:space="preserve">GLOBE VALVE FORGED-STEEL AIR, UNION-END F7336 46KG-10MM </t>
  </si>
  <si>
    <t>Item Sub Total :</t>
  </si>
  <si>
    <t>Other Charges</t>
  </si>
  <si>
    <t>Amount</t>
  </si>
  <si>
    <t>Price</t>
  </si>
  <si>
    <t>Packing cost</t>
  </si>
  <si>
    <t>Freight charge</t>
  </si>
  <si>
    <t>aaa</t>
  </si>
  <si>
    <t>Grand Total :</t>
  </si>
  <si>
    <t>Buyer Remarks</t>
  </si>
  <si>
    <t>please do not cut any item requested. If anything to be deleted from the list either quantity or item please inform vessel as we may tell you why we had requested the particular item
We have included for tank cleaning items as office supplied stores were very small for cleaning these many tanks</t>
  </si>
  <si>
    <t>Packing Instructions</t>
  </si>
  <si>
    <t>Your Quotation is subjected to :</t>
  </si>
  <si>
    <t>All meats and milk derivatives to be supplied must be free from FMD. All meat, milk and milk products, if imported, are purchased from countries not affected by FMD. All Poultry products must be free from</t>
  </si>
  <si>
    <t>Birds Flu / Avian Influenza (H5N1) &amp; if demanded you must be able to produce a certification to this effect. All provisions and bond products must have proper expiry dates mentioned in English.</t>
  </si>
  <si>
    <r>
      <rPr>
        <sz val="8"/>
        <color theme="3" tint="-0.499969989061356"/>
        <rFont val="Calibri"/>
        <family val="2"/>
      </rPr>
      <t>You must quote for the</t>
    </r>
    <r>
      <rPr>
        <b/>
        <sz val="8"/>
        <color theme="3" tint="-0.499969989061356"/>
        <rFont val="Calibri"/>
        <family val="2"/>
      </rPr>
      <t xml:space="preserve"> Packaging and Brands </t>
    </r>
    <r>
      <rPr>
        <sz val="8"/>
        <color theme="3" tint="-0.499969989061356"/>
        <rFont val="Calibri"/>
        <family val="2"/>
      </rPr>
      <t>as has been asked by us. If the same is not available then please quote for the nearest matching Packaging and Brands available in local market. You must clearly specify the</t>
    </r>
  </si>
  <si>
    <t>weight &amp; packaging of each &amp; every packed, bottled or canned products in case different from the one that has been requested for. If certain items can only be supplied in a given case or Packaging then, mention the</t>
  </si>
  <si>
    <t>weight of the case or packaging, with the minimum quantity of order required by you, as we do not accept / pay for any oversupply at later stage.</t>
  </si>
  <si>
    <t>Pls. ensure that all items quoted must have long expiry dates as per the parameters below : -</t>
  </si>
  <si>
    <t>All Dry Provisions, Frozen Meat &amp; Fish / Processed Meat etc.: Minimum 06 Months.</t>
  </si>
  <si>
    <t>All Ready Mixes / Cereals / Juices / Jam &amp; Marmalade / Pickles / All Other Canned or Bottled Products like Sauces, Tinned Fruits, Tinned Meat etc.: Minimum 12 Months.</t>
  </si>
  <si>
    <t>Dairy Products (L.L Milk, Evaporated Milk &amp; Condensed Milk, Milk Powder): Minimum 06 months.</t>
  </si>
  <si>
    <t>Yoghurt / Slice Cheese / Block cheese: Minimum 03 Months.</t>
  </si>
  <si>
    <t>Bond Items to have minimum 6 months expiry.</t>
  </si>
  <si>
    <t xml:space="preserve">Stores Items to have minimum 12 months expiry. The Supplier shall ensure that ordered stores do not contain asbestos materials as regulated by SOLAS II - 1/3 – 5. Applicable supplies have to be delivered with free asbestos guarantee declaration/letter             
</t>
  </si>
  <si>
    <t xml:space="preserve">Your Quote must indicate the following: --  </t>
  </si>
  <si>
    <t>Currency Quoted: Preferably should be in Local Currency</t>
  </si>
  <si>
    <t>Delivery: Free on Board / If any charges are applicable they have to be clearly advised beforehand.</t>
  </si>
  <si>
    <t>Discount offered by you: For Cash / For Credit with 30/21/15 Banking days net of bank charges</t>
  </si>
  <si>
    <t>Launch Hire Charges: If applicable</t>
  </si>
  <si>
    <t xml:space="preserve">You must quote only for high quality &amp; branded products, please do not quote for sub–standard products, just to get the order as we shall not pay if the items are found of sub-standard or poor quality, upon delivery &amp; </t>
  </si>
  <si>
    <t>shall also try to avoid your company for future.</t>
  </si>
  <si>
    <t>GMS</t>
  </si>
  <si>
    <t>KG</t>
  </si>
  <si>
    <t>RFQFileType</t>
  </si>
  <si>
    <t>RFQ</t>
  </si>
  <si>
    <t>ADP</t>
  </si>
  <si>
    <t>Ml</t>
  </si>
  <si>
    <t>RFQ_ID</t>
  </si>
  <si>
    <t>AED</t>
  </si>
  <si>
    <t>Ltr</t>
  </si>
  <si>
    <t>ADDITIONAL JOBS</t>
  </si>
  <si>
    <t>RequestForQuoteID</t>
  </si>
  <si>
    <t>AFA</t>
  </si>
  <si>
    <t>AGENCY FEE</t>
  </si>
  <si>
    <t>HeaderID</t>
  </si>
  <si>
    <t>AUD</t>
  </si>
  <si>
    <t>NOS</t>
  </si>
  <si>
    <t>HANDLING CHARGE</t>
  </si>
  <si>
    <t>VendorID</t>
  </si>
  <si>
    <t>BAD</t>
  </si>
  <si>
    <t>UNIT</t>
  </si>
  <si>
    <t>PACKING CHARGE</t>
  </si>
  <si>
    <t>RFQCategory</t>
  </si>
  <si>
    <t>CP - GENERAL STORES</t>
  </si>
  <si>
    <t>BAM</t>
  </si>
  <si>
    <t>CAL</t>
  </si>
  <si>
    <t>SPARE USED</t>
  </si>
  <si>
    <t>QuoteID</t>
  </si>
  <si>
    <t>BBD</t>
  </si>
  <si>
    <t>Perc</t>
  </si>
  <si>
    <t>WAREHOUSING</t>
  </si>
  <si>
    <t>BHD</t>
  </si>
  <si>
    <t>Mg</t>
  </si>
  <si>
    <t>CRANAGE</t>
  </si>
  <si>
    <t>BMD</t>
  </si>
  <si>
    <t>Can</t>
  </si>
  <si>
    <t>CUSTOMS</t>
  </si>
  <si>
    <t>BOL</t>
  </si>
  <si>
    <t>Tin</t>
  </si>
  <si>
    <t>LAUNCH HIRE CHARGE</t>
  </si>
  <si>
    <t>BRL</t>
  </si>
  <si>
    <t>Btl</t>
  </si>
  <si>
    <t>ROUNDING ADJUSTMENT</t>
  </si>
  <si>
    <t>BSD</t>
  </si>
  <si>
    <t>Ctn</t>
  </si>
  <si>
    <t>BOAT CHARGES</t>
  </si>
  <si>
    <t>CAD</t>
  </si>
  <si>
    <t>OZ</t>
  </si>
  <si>
    <t>MINIMUM QUANTITY CHARGE</t>
  </si>
  <si>
    <t>CDZ</t>
  </si>
  <si>
    <t>CHF</t>
  </si>
  <si>
    <t>CLP</t>
  </si>
  <si>
    <t>CNY</t>
  </si>
  <si>
    <t>CYP</t>
  </si>
  <si>
    <t>CZK</t>
  </si>
  <si>
    <t>DEM</t>
  </si>
  <si>
    <t>DKK</t>
  </si>
  <si>
    <t>EGP</t>
  </si>
  <si>
    <t>ESP</t>
  </si>
  <si>
    <t>ETB</t>
  </si>
  <si>
    <t>EUR</t>
  </si>
  <si>
    <t>FKP</t>
  </si>
  <si>
    <t>GBP</t>
  </si>
  <si>
    <t>GEK</t>
  </si>
  <si>
    <t>GEL</t>
  </si>
  <si>
    <t>GRD</t>
  </si>
  <si>
    <t>HKD</t>
  </si>
  <si>
    <t>HRK</t>
  </si>
  <si>
    <t>IDR</t>
  </si>
  <si>
    <t>INR</t>
  </si>
  <si>
    <t>JPY</t>
  </si>
  <si>
    <t>KRW</t>
  </si>
  <si>
    <t>KWD</t>
  </si>
  <si>
    <t>MAD</t>
  </si>
  <si>
    <t>MDL</t>
  </si>
  <si>
    <t>MXN</t>
  </si>
  <si>
    <t>MYR</t>
  </si>
  <si>
    <t>NAD</t>
  </si>
  <si>
    <t>NOK</t>
  </si>
  <si>
    <t>NZD</t>
  </si>
  <si>
    <t>OMR</t>
  </si>
  <si>
    <t>PGK</t>
  </si>
  <si>
    <t>PHP</t>
  </si>
  <si>
    <t>PLN</t>
  </si>
  <si>
    <t>QAR</t>
  </si>
  <si>
    <t>RON</t>
  </si>
  <si>
    <t>RUB</t>
  </si>
  <si>
    <t>SAR</t>
  </si>
  <si>
    <t>SDG</t>
  </si>
  <si>
    <t>SEK</t>
  </si>
  <si>
    <t>SGD</t>
  </si>
  <si>
    <t>SLL</t>
  </si>
  <si>
    <t>STD</t>
  </si>
  <si>
    <t>THB</t>
  </si>
  <si>
    <t>TRY</t>
  </si>
  <si>
    <t>TWD</t>
  </si>
  <si>
    <t>UAH</t>
  </si>
  <si>
    <t>UAK</t>
  </si>
  <si>
    <t>UGS</t>
  </si>
  <si>
    <t>UYU</t>
  </si>
  <si>
    <t>VEF</t>
  </si>
  <si>
    <t>VND</t>
  </si>
  <si>
    <t>ZAR</t>
  </si>
  <si>
    <t>ZRZ</t>
  </si>
  <si>
    <t>ZWD</t>
  </si>
  <si>
    <t>BJD1910181935368LET</t>
  </si>
  <si>
    <t>SKF ORIGINAL,NON-RETURN</t>
  </si>
  <si>
    <t>QBY25</t>
  </si>
  <si>
    <t>DELIVERY TIME 3 WEEKS</t>
  </si>
  <si>
    <t>STANLEY</t>
  </si>
  <si>
    <t>GP</t>
  </si>
  <si>
    <t>EQUIVALENT</t>
  </si>
  <si>
    <t>LIANGZHOU</t>
  </si>
  <si>
    <t>BRIGHTSTAR 60102</t>
  </si>
  <si>
    <t>DELIVERY TIME 5 WORKING DAYS</t>
  </si>
  <si>
    <t>UNI-T</t>
  </si>
  <si>
    <t>INCLUDED IN ABV</t>
  </si>
  <si>
    <t>SMOOTHSEAS</t>
  </si>
  <si>
    <t>CRC</t>
  </si>
  <si>
    <t>ENDURA</t>
  </si>
  <si>
    <t>19MM*10M/ROLL</t>
  </si>
  <si>
    <t>DELIVERY TIME 3 WORKING DAYS</t>
  </si>
  <si>
    <t>20MTR/ROLL,NO CUT</t>
  </si>
  <si>
    <t>HOLDENBOND</t>
  </si>
  <si>
    <t>1.5M</t>
  </si>
  <si>
    <t>80%-COTTON 25KG/PKT,NO LOOSE</t>
  </si>
  <si>
    <t>PLIBRICO</t>
  </si>
  <si>
    <t>PERMATEX</t>
  </si>
  <si>
    <t>6M/LGH</t>
  </si>
  <si>
    <t>COMMON TYPE</t>
  </si>
  <si>
    <t>600*220*940MM 48 DRAWERS</t>
  </si>
  <si>
    <t>40MTR/ROLL,NO CUT</t>
  </si>
  <si>
    <t>WEICON</t>
  </si>
  <si>
    <t>1.0*1000*1500MM</t>
  </si>
  <si>
    <t>NATURAL RUBBER JOINT SHEET
126.10 VITON BLACK | Price-193.49</t>
  </si>
  <si>
    <t>SUS304</t>
  </si>
  <si>
    <t>1-4 4/S
166.10 1/2'',3/4'',1-1/4'',1-1/2'',2-1/2'',5'' &amp; 6',DELIVERY TIME 3 WORKING DAYS | Price-285.95</t>
  </si>
  <si>
    <t>BOSCH</t>
  </si>
  <si>
    <t>6MM</t>
  </si>
  <si>
    <t>SAME AS ABV</t>
  </si>
</sst>
</file>

<file path=xl/styles.xml><?xml version="1.0" encoding="utf-8"?>
<styleSheet xmlns="http://schemas.openxmlformats.org/spreadsheetml/2006/main"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numFmts count="9">
    <numFmt numFmtId="44" formatCode="_(&quot;$&quot;* #,##0.00_);_(&quot;$&quot;* \(#,##0.00\);_(&quot;$&quot;* &quot;-&quot;??_);_(@_)"/>
    <numFmt numFmtId="164" formatCode="[$-409]d/mmm/yyyy;@"/>
    <numFmt numFmtId="165" formatCode="m/d/yy;@"/>
    <numFmt numFmtId="166" formatCode=";;;"/>
    <numFmt numFmtId="167" formatCode="#,##0.000"/>
    <numFmt numFmtId="168" formatCode="0.000"/>
    <numFmt numFmtId="169" formatCode="[$-409]d\-mmm\-yyyy;@"/>
    <numFmt numFmtId="170" formatCode="[$-409]d\-mmm\-yy;@"/>
    <numFmt numFmtId="172" formatCode="#,##0.00"/>
  </numFmts>
  <fonts count="41">
    <font>
      <sz val="11"/>
      <color theme="1"/>
      <name val="Calibri"/>
      <family val="2"/>
      <scheme val="minor"/>
    </font>
    <font>
      <sz val="10"/>
      <name val="Arial"/>
      <family val="2"/>
    </font>
    <font>
      <b/>
      <sz val="15"/>
      <color theme="3"/>
      <name val="Calibri"/>
      <family val="2"/>
      <scheme val="minor"/>
    </font>
    <font>
      <b/>
      <sz val="11"/>
      <color theme="3"/>
      <name val="Calibri"/>
      <family val="2"/>
      <scheme val="minor"/>
    </font>
    <font>
      <b/>
      <sz val="11"/>
      <color rgb="FFFA7D00"/>
      <name val="Calibri"/>
      <family val="2"/>
      <scheme val="minor"/>
    </font>
    <font>
      <sz val="12"/>
      <name val="Calibri"/>
      <family val="2"/>
      <scheme val="minor"/>
    </font>
    <font>
      <sz val="10"/>
      <name val="Calibri"/>
      <family val="2"/>
      <scheme val="minor"/>
    </font>
    <font>
      <i/>
      <sz val="38"/>
      <color indexed="41"/>
      <name val="Calibri"/>
      <family val="2"/>
      <scheme val="minor"/>
    </font>
    <font>
      <b/>
      <i/>
      <sz val="36"/>
      <color indexed="41"/>
      <name val="Calibri"/>
      <family val="2"/>
      <scheme val="minor"/>
    </font>
    <font>
      <b/>
      <i/>
      <sz val="36"/>
      <color theme="0" tint="-0.149990007281303"/>
      <name val="Calibri"/>
      <family val="2"/>
      <scheme val="minor"/>
    </font>
    <font>
      <b/>
      <sz val="10"/>
      <color theme="3"/>
      <name val="Calibri"/>
      <family val="2"/>
      <scheme val="minor"/>
    </font>
    <font>
      <sz val="8"/>
      <name val="Calibri"/>
      <family val="2"/>
      <scheme val="minor"/>
    </font>
    <font>
      <sz val="8"/>
      <color indexed="61"/>
      <name val="Calibri"/>
      <family val="2"/>
      <scheme val="minor"/>
    </font>
    <font>
      <b/>
      <sz val="8"/>
      <color indexed="61"/>
      <name val="Calibri"/>
      <family val="2"/>
      <scheme val="minor"/>
    </font>
    <font>
      <b/>
      <sz val="9"/>
      <color theme="3" tint="-0.499969989061356"/>
      <name val="Calibri"/>
      <family val="2"/>
      <scheme val="minor"/>
    </font>
    <font>
      <sz val="8"/>
      <color theme="3" tint="-0.499969989061356"/>
      <name val="Calibri"/>
      <family val="2"/>
      <scheme val="minor"/>
    </font>
    <font>
      <sz val="11"/>
      <color theme="3" tint="-0.499969989061356"/>
      <name val="Calibri"/>
      <family val="2"/>
      <scheme val="minor"/>
    </font>
    <font>
      <b/>
      <sz val="11"/>
      <color theme="9"/>
      <name val="Calibri"/>
      <family val="2"/>
      <scheme val="minor"/>
    </font>
    <font>
      <i/>
      <sz val="8"/>
      <name val="Calibri"/>
      <family val="2"/>
      <scheme val="minor"/>
    </font>
    <font>
      <b/>
      <sz val="9"/>
      <name val="Calibri"/>
      <family val="2"/>
      <scheme val="minor"/>
    </font>
    <font>
      <b/>
      <sz val="8"/>
      <color theme="3" tint="-0.499969989061356"/>
      <name val="Calibri"/>
      <family val="2"/>
      <scheme val="minor"/>
    </font>
    <font>
      <sz val="9"/>
      <name val="Calibri"/>
      <family val="2"/>
      <scheme val="minor"/>
    </font>
    <font>
      <b/>
      <sz val="10"/>
      <color theme="0" tint="-0.249970003962517"/>
      <name val="Calibri"/>
      <family val="2"/>
      <scheme val="minor"/>
    </font>
    <font>
      <b/>
      <sz val="11"/>
      <color theme="0" tint="-0.249970003962517"/>
      <name val="Calibri"/>
      <family val="2"/>
      <scheme val="minor"/>
    </font>
    <font>
      <sz val="8"/>
      <color theme="1"/>
      <name val="Calibri"/>
      <family val="2"/>
      <scheme val="minor"/>
    </font>
    <font>
      <b/>
      <sz val="11"/>
      <color theme="1" tint="0.349990010261536"/>
      <name val="Calibri"/>
      <family val="2"/>
      <scheme val="minor"/>
    </font>
    <font>
      <sz val="11"/>
      <color theme="1" tint="0.349990010261536"/>
      <name val="Calibri"/>
      <family val="2"/>
      <scheme val="minor"/>
    </font>
    <font>
      <b/>
      <sz val="12"/>
      <color rgb="FFFF0000"/>
      <name val="Calibri"/>
      <family val="2"/>
      <scheme val="minor"/>
    </font>
    <font>
      <sz val="10"/>
      <color rgb="FF4B7279"/>
      <name val="Calibri"/>
      <family val="2"/>
      <scheme val="minor"/>
    </font>
    <font>
      <sz val="10"/>
      <color indexed="61"/>
      <name val="Calibri"/>
      <family val="2"/>
      <scheme val="minor"/>
    </font>
    <font>
      <u val="single"/>
      <sz val="11"/>
      <color theme="10"/>
      <name val="Calibri"/>
      <family val="2"/>
      <scheme val="minor"/>
    </font>
    <font>
      <sz val="11"/>
      <color rgb="FF000000"/>
      <name val="Calibri"/>
      <family val="2"/>
    </font>
    <font>
      <sz val="12"/>
      <color theme="1"/>
      <name val="Calibri"/>
      <family val="2"/>
    </font>
    <font>
      <sz val="10"/>
      <color theme="1"/>
      <name val="Calibri"/>
      <family val="2"/>
    </font>
    <font>
      <i/>
      <sz val="8"/>
      <color theme="1"/>
      <name val="Calibri"/>
      <family val="2"/>
    </font>
    <font>
      <b/>
      <sz val="9"/>
      <color theme="1"/>
      <name val="Calibri"/>
      <family val="2"/>
    </font>
    <font>
      <sz val="9"/>
      <color theme="1"/>
      <name val="Calibri"/>
      <family val="2"/>
    </font>
    <font>
      <b/>
      <sz val="10"/>
      <color theme="0" tint="-0.249970003962517"/>
      <name val="Calibri"/>
      <family val="2"/>
    </font>
    <font>
      <b/>
      <sz val="12"/>
      <color rgb="FFFF0000"/>
      <name val="Calibri"/>
      <family val="2"/>
    </font>
    <font>
      <sz val="8"/>
      <color theme="3" tint="-0.499969989061356"/>
      <name val="Calibri"/>
      <family val="2"/>
    </font>
    <font>
      <b/>
      <sz val="8"/>
      <color theme="3" tint="-0.499969989061356"/>
      <name val="Calibri"/>
      <family val="2"/>
    </font>
  </fonts>
  <fills count="12">
    <fill>
      <patternFill/>
    </fill>
    <fill>
      <patternFill patternType="gray125"/>
    </fill>
    <fill>
      <patternFill patternType="solid">
        <fgColor rgb="FFF2F2F2"/>
        <bgColor indexed="64"/>
      </patternFill>
    </fill>
    <fill>
      <patternFill patternType="solid">
        <fgColor theme="4" tint="0.599990010261536"/>
        <bgColor indexed="64"/>
      </patternFill>
    </fill>
    <fill>
      <patternFill patternType="solid">
        <fgColor rgb="FF9DBEC3"/>
        <bgColor indexed="64"/>
      </patternFill>
    </fill>
    <fill>
      <patternFill patternType="solid">
        <fgColor rgb="FFEDF3F3"/>
        <bgColor indexed="64"/>
      </patternFill>
    </fill>
    <fill>
      <patternFill patternType="solid">
        <fgColor indexed="9"/>
        <bgColor indexed="64"/>
      </patternFill>
    </fill>
    <fill>
      <patternFill patternType="solid">
        <fgColor theme="4" tint="0.799979984760284"/>
        <bgColor indexed="64"/>
      </patternFill>
    </fill>
    <fill>
      <patternFill patternType="solid">
        <fgColor theme="4" tint="0.599960029125214"/>
        <bgColor indexed="64"/>
      </patternFill>
    </fill>
    <fill>
      <patternFill patternType="solid">
        <fgColor theme="0"/>
        <bgColor indexed="64"/>
      </patternFill>
    </fill>
    <fill>
      <patternFill patternType="solid">
        <fgColor theme="0" tint="-0.149990007281303"/>
        <bgColor indexed="64"/>
      </patternFill>
    </fill>
    <fill>
      <patternFill patternType="solid">
        <fgColor rgb="FFFFFF00"/>
        <bgColor indexed="64"/>
      </patternFill>
    </fill>
  </fills>
  <borders count="30">
    <border>
      <left/>
      <right/>
      <top/>
      <bottom/>
      <diagonal/>
    </border>
    <border>
      <left/>
      <right/>
      <top/>
      <bottom style="thick">
        <color theme="4"/>
      </bottom>
    </border>
    <border>
      <left/>
      <right/>
      <top/>
      <bottom style="medium">
        <color theme="4" tint="0.399980008602142"/>
      </bottom>
    </border>
    <border>
      <left style="thin">
        <color rgb="FF7F7F7F"/>
      </left>
      <right style="thin">
        <color rgb="FF7F7F7F"/>
      </right>
      <top style="thin">
        <color rgb="FF7F7F7F"/>
      </top>
      <bottom style="thin">
        <color rgb="FF7F7F7F"/>
      </bottom>
    </border>
    <border>
      <left style="thin">
        <color indexed="44"/>
      </left>
      <right/>
      <top/>
      <bottom/>
    </border>
    <border>
      <left style="thin">
        <color rgb="FFD6DCE0"/>
      </left>
      <right style="thin">
        <color rgb="FFD6DCE0"/>
      </right>
      <top style="thin">
        <color rgb="FFD6DCE0"/>
      </top>
      <bottom/>
    </border>
    <border>
      <left style="thin">
        <color rgb="FFD6DCE0"/>
      </left>
      <right style="thin">
        <color rgb="FFD6DCE0"/>
      </right>
      <top style="thin">
        <color rgb="FFD6DCE0"/>
      </top>
      <bottom style="thin">
        <color rgb="FFD6DCE0"/>
      </bottom>
    </border>
    <border>
      <left/>
      <right/>
      <top style="medium">
        <color theme="4" tint="0.399980008602142"/>
      </top>
      <bottom style="medium">
        <color theme="4" tint="0.399980008602142"/>
      </bottom>
    </border>
    <border>
      <left style="thin">
        <color rgb="FFD6DCE0"/>
      </left>
      <right/>
      <top style="thin">
        <color rgb="FFD6DCE0"/>
      </top>
      <bottom style="thin">
        <color rgb="FFD6DCE0"/>
      </bottom>
    </border>
    <border>
      <left/>
      <right/>
      <top style="thin">
        <color rgb="FFD6DCE0"/>
      </top>
      <bottom/>
    </border>
    <border>
      <left/>
      <right style="thin">
        <color rgb="FFD6DCE0"/>
      </right>
      <top/>
      <bottom/>
    </border>
    <border>
      <left/>
      <right style="thin">
        <color theme="0" tint="-0.349979996681213"/>
      </right>
      <top style="thin">
        <color theme="0" tint="-0.349979996681213"/>
      </top>
      <bottom/>
    </border>
    <border>
      <left style="thin">
        <color theme="0" tint="-0.349979996681213"/>
      </left>
      <right/>
      <top style="thin">
        <color theme="0" tint="-0.349979996681213"/>
      </top>
      <bottom style="thin">
        <color theme="0" tint="-0.349979996681213"/>
      </bottom>
    </border>
    <border>
      <left/>
      <right style="thin">
        <color theme="0" tint="-0.149959996342659"/>
      </right>
      <top style="thin">
        <color theme="0" tint="-0.349979996681213"/>
      </top>
      <bottom style="thin">
        <color theme="0" tint="-0.349979996681213"/>
      </bottom>
    </border>
    <border>
      <left style="thin">
        <color rgb="FFD6DCE0"/>
      </left>
      <right style="thin">
        <color rgb="FFD6DCE0"/>
      </right>
      <top/>
      <bottom style="thin">
        <color rgb="FFD6DCE0"/>
      </bottom>
    </border>
    <border>
      <left style="thin">
        <color rgb="FF7F7F7F"/>
      </left>
      <right style="thin">
        <color rgb="FF7F7F7F"/>
      </right>
      <top style="medium">
        <color theme="4" tint="0.399980008602142"/>
      </top>
      <bottom style="medium">
        <color theme="4" tint="0.399980008602142"/>
      </bottom>
    </border>
    <border>
      <left style="thin">
        <color theme="0" tint="-0.149959996342659"/>
      </left>
      <right style="thin">
        <color theme="0" tint="-0.149959996342659"/>
      </right>
      <top style="thin">
        <color theme="0" tint="-0.349979996681213"/>
      </top>
      <bottom style="thin">
        <color theme="0" tint="-0.349979996681213"/>
      </bottom>
    </border>
    <border>
      <left style="thin">
        <color theme="0" tint="-0.149959996342659"/>
      </left>
      <right style="thin">
        <color theme="0" tint="-0.349979996681213"/>
      </right>
      <top style="thin">
        <color theme="0" tint="-0.349979996681213"/>
      </top>
      <bottom style="thin">
        <color theme="0" tint="-0.349979996681213"/>
      </bottom>
    </border>
    <border>
      <left style="thin">
        <color theme="0" tint="-0.349979996681213"/>
      </left>
      <right style="thin">
        <color theme="0" tint="-0.349979996681213"/>
      </right>
      <top style="thin">
        <color theme="0" tint="-0.349979996681213"/>
      </top>
      <bottom style="thin">
        <color theme="0" tint="-0.349979996681213"/>
      </bottom>
    </border>
    <border>
      <left/>
      <right style="thin">
        <color rgb="FFD6DCE0"/>
      </right>
      <top style="thin">
        <color rgb="FFD6DCE0"/>
      </top>
      <bottom style="thin">
        <color rgb="FFD6DCE0"/>
      </bottom>
    </border>
    <border>
      <left style="thin"/>
      <right/>
      <top/>
      <bottom/>
    </border>
    <border>
      <left/>
      <right style="thin"/>
      <top/>
      <bottom/>
    </border>
    <border>
      <left/>
      <right/>
      <top style="medium">
        <color theme="4" tint="0.399980008602142"/>
      </top>
      <bottom/>
    </border>
    <border>
      <left/>
      <right/>
      <top/>
      <bottom style="medium">
        <color theme="4" tint="0.399949997663498"/>
      </bottom>
    </border>
    <border>
      <left style="thin">
        <color rgb="FF7F7F7F"/>
      </left>
      <right/>
      <top/>
      <bottom style="thin">
        <color rgb="FF7F7F7F"/>
      </bottom>
    </border>
    <border>
      <left/>
      <right/>
      <top/>
      <bottom style="thin">
        <color rgb="FF7F7F7F"/>
      </bottom>
    </border>
    <border>
      <left/>
      <right style="thin">
        <color rgb="FF7F7F7F"/>
      </right>
      <top/>
      <bottom style="thin">
        <color rgb="FF7F7F7F"/>
      </bottom>
    </border>
    <border>
      <left/>
      <right/>
      <top style="medium">
        <color theme="4" tint="0.399949997663498"/>
      </top>
      <bottom style="medium">
        <color theme="4" tint="0.399980008602142"/>
      </bottom>
    </border>
    <border>
      <left/>
      <right/>
      <top style="thin">
        <color theme="0" tint="-0.349979996681213"/>
      </top>
      <bottom style="thin">
        <color theme="0" tint="-0.349979996681213"/>
      </bottom>
    </border>
    <border>
      <left style="thin">
        <color theme="0" tint="-0.349979996681213"/>
      </left>
      <right style="thin">
        <color rgb="FFD6DCE0"/>
      </right>
      <top/>
      <bottom style="thin">
        <color rgb="FFD6DCE0"/>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xf numFmtId="0" fontId="3" fillId="0" borderId="0" applyNumberFormat="0" applyFill="0" applyBorder="0" applyAlignment="0" applyProtection="0"/>
    <xf numFmtId="0" fontId="4" fillId="2" borderId="3" applyNumberFormat="0" applyAlignment="0" applyProtection="0"/>
    <xf numFmtId="0" fontId="0" fillId="3" borderId="0" applyNumberFormat="0" applyBorder="0" applyAlignment="0" applyProtection="0"/>
    <xf numFmtId="0" fontId="30" fillId="0" borderId="0" applyNumberFormat="0" applyFill="0" applyBorder="0" applyAlignment="0" applyProtection="0"/>
  </cellStyleXfs>
  <cellXfs count="272">
    <xf numFmtId="0" fontId="0" fillId="0" borderId="0" xfId="0"/>
    <xf numFmtId="0" fontId="6" fillId="0" borderId="0" xfId="0" applyFont="1" applyProtection="1">
      <protection/>
    </xf>
    <xf numFmtId="165" fontId="14" fillId="4" borderId="4" xfId="0" applyNumberFormat="1" applyFont="1" applyFill="1" applyBorder="1" applyAlignment="1" applyProtection="1">
      <alignment horizontal="left" wrapText="1"/>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0" fontId="14" fillId="4" borderId="0" xfId="0" applyFont="1" applyFill="1" applyBorder="1" applyAlignment="1" applyProtection="1">
      <alignment wrapText="1"/>
      <protection/>
    </xf>
    <xf numFmtId="1" fontId="12" fillId="0" borderId="5" xfId="0" applyNumberFormat="1" applyFont="1" applyFill="1" applyBorder="1" applyAlignment="1">
      <alignment horizontal="right" vertical="center"/>
    </xf>
    <xf numFmtId="49" fontId="15" fillId="5" borderId="6" xfId="0" applyNumberFormat="1" applyFont="1" applyFill="1" applyBorder="1" applyAlignment="1" applyProtection="1">
      <alignment horizontal="right" vertical="center"/>
      <protection/>
    </xf>
    <xf numFmtId="44" fontId="19" fillId="6" borderId="0" xfId="0" applyNumberFormat="1" applyFont="1" applyFill="1" applyBorder="1" applyAlignment="1" applyProtection="1">
      <alignment/>
      <protection/>
    </xf>
    <xf numFmtId="1" fontId="15" fillId="5" borderId="0" xfId="0" applyNumberFormat="1" applyFont="1" applyFill="1" applyBorder="1" applyAlignment="1" applyProtection="1">
      <alignment vertical="center" wrapText="1"/>
      <protection/>
    </xf>
    <xf numFmtId="0" fontId="5" fillId="0" borderId="0" xfId="0" applyFont="1" applyFill="1" applyBorder="1" applyAlignment="1" applyProtection="1">
      <alignment horizontal="left" indent="1"/>
      <protection/>
    </xf>
    <xf numFmtId="0" fontId="6" fillId="0" borderId="0" xfId="0" applyFont="1" applyFill="1" applyProtection="1">
      <protection/>
    </xf>
    <xf numFmtId="0" fontId="7" fillId="0" borderId="0" xfId="0" applyFont="1" applyFill="1" applyBorder="1" applyAlignment="1" applyProtection="1">
      <alignment/>
      <protection/>
    </xf>
    <xf numFmtId="0" fontId="0" fillId="0" borderId="0" xfId="0" applyFill="1" applyBorder="1"/>
    <xf numFmtId="0" fontId="0" fillId="0" borderId="0" xfId="0" applyFill="1"/>
    <xf numFmtId="0" fontId="10" fillId="0" borderId="2" xfId="21" applyFont="1" applyFill="1" applyAlignment="1" applyProtection="1">
      <alignment horizontal="left"/>
      <protection/>
    </xf>
    <xf numFmtId="0" fontId="11" fillId="0" borderId="0" xfId="0" applyFont="1" applyFill="1" applyProtection="1">
      <protection/>
    </xf>
    <xf numFmtId="0" fontId="12" fillId="0" borderId="0" xfId="0" applyFont="1" applyFill="1" applyAlignment="1" applyProtection="1">
      <alignment vertical="top"/>
      <protection/>
    </xf>
    <xf numFmtId="0" fontId="10" fillId="0" borderId="2" xfId="21" applyFont="1" applyFill="1" applyAlignment="1" applyProtection="1">
      <alignment vertical="top"/>
      <protection/>
    </xf>
    <xf numFmtId="0" fontId="10" fillId="0" borderId="2" xfId="21" applyFont="1" applyFill="1" applyProtection="1">
      <protection/>
    </xf>
    <xf numFmtId="0" fontId="3" fillId="0" borderId="2" xfId="21" applyFont="1" applyFill="1" applyAlignment="1" applyProtection="1">
      <alignment horizontal="left"/>
      <protection/>
    </xf>
    <xf numFmtId="0" fontId="10" fillId="0" borderId="2" xfId="21" applyFont="1" applyFill="1" applyAlignment="1" applyProtection="1">
      <alignment horizontal="right"/>
      <protection/>
    </xf>
    <xf numFmtId="164" fontId="10" fillId="0" borderId="7" xfId="21" applyNumberFormat="1" applyFont="1" applyFill="1" applyBorder="1" applyAlignment="1" applyProtection="1">
      <alignment/>
      <protection/>
    </xf>
    <xf numFmtId="0" fontId="11" fillId="0" borderId="0" xfId="0" applyFont="1" applyFill="1" applyBorder="1" applyAlignment="1" applyProtection="1">
      <alignment/>
      <protection/>
    </xf>
    <xf numFmtId="0" fontId="12" fillId="0" borderId="0" xfId="0" applyFont="1" applyFill="1" applyAlignment="1" applyProtection="1">
      <alignment/>
      <protection/>
    </xf>
    <xf numFmtId="0" fontId="12" fillId="0" borderId="0" xfId="0" applyFont="1" applyFill="1" applyAlignment="1" applyProtection="1">
      <alignment horizontal="left"/>
      <protection/>
    </xf>
    <xf numFmtId="164" fontId="13" fillId="0" borderId="0" xfId="0" applyNumberFormat="1" applyFont="1" applyFill="1" applyAlignment="1" applyProtection="1">
      <alignment/>
      <protection/>
    </xf>
    <xf numFmtId="164" fontId="13" fillId="0" borderId="0" xfId="0" applyNumberFormat="1" applyFont="1" applyFill="1" applyAlignment="1" applyProtection="1">
      <alignment horizontal="left"/>
      <protection/>
    </xf>
    <xf numFmtId="1" fontId="12" fillId="0" borderId="0" xfId="0" applyNumberFormat="1" applyFont="1" applyFill="1" applyBorder="1" applyAlignment="1">
      <alignment horizontal="right" vertical="center"/>
    </xf>
    <xf numFmtId="0" fontId="11" fillId="0" borderId="0" xfId="0" applyNumberFormat="1" applyFont="1" applyFill="1" applyBorder="1" applyAlignment="1" applyProtection="1">
      <alignment horizontal="left"/>
      <protection/>
    </xf>
    <xf numFmtId="0" fontId="11" fillId="0" borderId="0" xfId="0" applyFont="1" applyFill="1" applyBorder="1" applyAlignment="1" applyProtection="1">
      <alignment horizontal="left"/>
      <protection/>
    </xf>
    <xf numFmtId="0" fontId="12" fillId="0" borderId="0" xfId="0" applyFont="1" applyFill="1" applyBorder="1" applyAlignment="1" applyProtection="1">
      <alignment horizontal="right"/>
      <protection/>
    </xf>
    <xf numFmtId="0" fontId="18" fillId="0" borderId="0" xfId="0" applyFont="1" applyFill="1" applyBorder="1" applyProtection="1">
      <protection/>
    </xf>
    <xf numFmtId="44" fontId="19" fillId="0" borderId="0" xfId="0" applyNumberFormat="1" applyFont="1" applyFill="1" applyBorder="1" applyAlignment="1" applyProtection="1">
      <alignment/>
      <protection/>
    </xf>
    <xf numFmtId="0" fontId="11" fillId="0" borderId="0" xfId="0" applyFont="1" applyFill="1" applyAlignment="1" applyProtection="1">
      <alignment/>
      <protection/>
    </xf>
    <xf numFmtId="49" fontId="19" fillId="0" borderId="0" xfId="0" applyNumberFormat="1" applyFont="1" applyFill="1" applyBorder="1" applyAlignment="1" applyProtection="1">
      <alignment/>
      <protection/>
    </xf>
    <xf numFmtId="4" fontId="15" fillId="3" borderId="8" xfId="0" applyNumberFormat="1" applyFont="1" applyFill="1" applyBorder="1" applyAlignment="1" applyProtection="1">
      <alignment vertical="center"/>
      <protection locked="0"/>
    </xf>
    <xf numFmtId="0" fontId="12" fillId="0" borderId="9" xfId="0" applyFont="1" applyFill="1" applyBorder="1" applyAlignment="1" applyProtection="1">
      <alignment vertical="center"/>
      <protection/>
    </xf>
    <xf numFmtId="49" fontId="16" fillId="3" borderId="6" xfId="24" applyNumberFormat="1" applyFont="1" applyFill="1" applyBorder="1" applyAlignment="1" applyProtection="1">
      <alignment vertical="center"/>
      <protection locked="0"/>
    </xf>
    <xf numFmtId="11" fontId="16" fillId="7" borderId="8" xfId="24" applyNumberFormat="1" applyFont="1" applyFill="1" applyBorder="1" applyAlignment="1" applyProtection="1">
      <alignment vertical="center"/>
      <protection locked="0"/>
    </xf>
    <xf numFmtId="0" fontId="11" fillId="0" borderId="10" xfId="0" applyFont="1" applyFill="1" applyBorder="1" applyAlignment="1" applyProtection="1">
      <alignment/>
      <protection/>
    </xf>
    <xf numFmtId="0" fontId="11" fillId="0" borderId="11" xfId="0" applyFont="1" applyFill="1" applyBorder="1" applyAlignment="1" applyProtection="1">
      <alignment/>
      <protection/>
    </xf>
    <xf numFmtId="44" fontId="21" fillId="0" borderId="0" xfId="0" applyNumberFormat="1" applyFont="1" applyFill="1" applyBorder="1" applyAlignment="1" applyProtection="1">
      <alignment/>
      <protection/>
    </xf>
    <xf numFmtId="1" fontId="21" fillId="0" borderId="0" xfId="0" applyNumberFormat="1" applyFont="1" applyFill="1" applyBorder="1" applyAlignment="1" applyProtection="1">
      <alignment/>
      <protection/>
    </xf>
    <xf numFmtId="3" fontId="21" fillId="0" borderId="0" xfId="0" applyNumberFormat="1" applyFont="1" applyFill="1" applyBorder="1" applyAlignment="1" applyProtection="1">
      <alignment/>
      <protection/>
    </xf>
    <xf numFmtId="1" fontId="11" fillId="0" borderId="0" xfId="0" applyNumberFormat="1" applyFont="1" applyFill="1" applyBorder="1" applyProtection="1">
      <protection/>
    </xf>
    <xf numFmtId="0" fontId="0" fillId="0" borderId="0" xfId="0" applyFont="1"/>
    <xf numFmtId="44" fontId="21" fillId="6" borderId="0" xfId="0" applyNumberFormat="1" applyFont="1" applyFill="1" applyBorder="1" applyAlignment="1" applyProtection="1">
      <alignment/>
      <protection/>
    </xf>
    <xf numFmtId="44" fontId="21" fillId="6" borderId="0" xfId="0" applyNumberFormat="1" applyFont="1" applyFill="1" applyBorder="1" applyAlignment="1" applyProtection="1">
      <alignment wrapText="1"/>
      <protection/>
    </xf>
    <xf numFmtId="0" fontId="22" fillId="0" borderId="2" xfId="21" applyFont="1" applyFill="1" applyAlignment="1" applyProtection="1">
      <alignment/>
      <protection/>
    </xf>
    <xf numFmtId="0" fontId="22" fillId="0" borderId="2" xfId="21" applyFont="1" applyFill="1" applyProtection="1">
      <protection/>
    </xf>
    <xf numFmtId="0" fontId="17" fillId="8" borderId="12" xfId="23" applyFont="1" applyFill="1" applyBorder="1" applyAlignment="1" applyProtection="1">
      <alignment horizontal="left" vertical="top"/>
      <protection locked="0"/>
    </xf>
    <xf numFmtId="0" fontId="17" fillId="8" borderId="13" xfId="23" applyFont="1" applyFill="1" applyBorder="1" applyAlignment="1" applyProtection="1">
      <alignment horizontal="left" vertical="top"/>
      <protection locked="0"/>
    </xf>
    <xf numFmtId="166" fontId="10" fillId="0" borderId="2" xfId="21" applyNumberFormat="1" applyFont="1" applyFill="1" applyProtection="1">
      <protection/>
    </xf>
    <xf numFmtId="167" fontId="15" fillId="5" borderId="6" xfId="0" applyNumberFormat="1" applyFont="1" applyFill="1" applyBorder="1" applyAlignment="1" applyProtection="1">
      <alignment vertical="center"/>
      <protection/>
    </xf>
    <xf numFmtId="168" fontId="15" fillId="5" borderId="14" xfId="0" applyNumberFormat="1" applyFont="1" applyFill="1" applyBorder="1" applyAlignment="1" applyProtection="1">
      <alignment horizontal="left" vertical="center"/>
      <protection/>
    </xf>
    <xf numFmtId="168" fontId="15" fillId="5" borderId="6" xfId="0" applyNumberFormat="1" applyFont="1" applyFill="1" applyBorder="1" applyAlignment="1" applyProtection="1">
      <alignment horizontal="left" vertical="center"/>
      <protection/>
    </xf>
    <xf numFmtId="0" fontId="14" fillId="4" borderId="0" xfId="0" applyFont="1" applyFill="1" applyBorder="1" applyAlignment="1" applyProtection="1">
      <alignment horizontal="left" wrapText="1"/>
      <protection/>
    </xf>
    <xf numFmtId="166" fontId="8" fillId="0" borderId="0" xfId="0" applyNumberFormat="1" applyFont="1" applyFill="1" applyBorder="1" applyAlignment="1" applyProtection="1">
      <alignment horizontal="right"/>
      <protection/>
    </xf>
    <xf numFmtId="166" fontId="0" fillId="0" borderId="0" xfId="0" applyNumberFormat="1" applyFill="1" applyBorder="1"/>
    <xf numFmtId="166" fontId="10" fillId="0" borderId="0" xfId="21" applyNumberFormat="1" applyFont="1" applyFill="1" applyBorder="1" applyAlignment="1" applyProtection="1">
      <alignment horizontal="left"/>
      <protection/>
    </xf>
    <xf numFmtId="166" fontId="10" fillId="0" borderId="0" xfId="21" applyNumberFormat="1" applyFont="1" applyFill="1" applyBorder="1" applyAlignment="1" applyProtection="1">
      <alignment vertical="top"/>
      <protection/>
    </xf>
    <xf numFmtId="166" fontId="11" fillId="0" borderId="0" xfId="0" applyNumberFormat="1" applyFont="1" applyFill="1" applyProtection="1">
      <protection/>
    </xf>
    <xf numFmtId="166" fontId="14" fillId="9" borderId="0" xfId="0" applyNumberFormat="1" applyFont="1" applyFill="1" applyBorder="1" applyAlignment="1" applyProtection="1">
      <alignment horizontal="left" wrapText="1"/>
      <protection/>
    </xf>
    <xf numFmtId="166" fontId="6" fillId="9" borderId="0" xfId="0" applyNumberFormat="1" applyFont="1" applyFill="1" applyBorder="1" applyProtection="1">
      <protection/>
    </xf>
    <xf numFmtId="166" fontId="16" fillId="9" borderId="0" xfId="24" applyNumberFormat="1" applyFont="1" applyFill="1" applyBorder="1" applyAlignment="1" applyProtection="1">
      <alignment horizontal="left" vertical="center"/>
      <protection locked="0"/>
    </xf>
    <xf numFmtId="166" fontId="6" fillId="9" borderId="0" xfId="0" applyNumberFormat="1" applyFont="1" applyFill="1" applyProtection="1">
      <protection/>
    </xf>
    <xf numFmtId="166" fontId="17" fillId="9" borderId="0" xfId="23" applyNumberFormat="1" applyFont="1" applyFill="1" applyBorder="1" applyAlignment="1" applyProtection="1">
      <alignment horizontal="left" vertical="top"/>
      <protection locked="0"/>
    </xf>
    <xf numFmtId="166" fontId="20" fillId="9" borderId="0" xfId="0" applyNumberFormat="1" applyFont="1" applyFill="1" applyBorder="1" applyAlignment="1" applyProtection="1">
      <alignment horizontal="left" vertical="top"/>
      <protection/>
    </xf>
    <xf numFmtId="166" fontId="15" fillId="9" borderId="0" xfId="0" applyNumberFormat="1" applyFont="1" applyFill="1" applyBorder="1" applyAlignment="1" applyProtection="1">
      <alignment vertical="center" wrapText="1"/>
      <protection/>
    </xf>
    <xf numFmtId="166" fontId="15" fillId="9" borderId="0" xfId="0" applyNumberFormat="1" applyFont="1" applyFill="1" applyBorder="1" applyAlignment="1" applyProtection="1">
      <alignment horizontal="left" vertical="top" wrapText="1"/>
      <protection/>
    </xf>
    <xf numFmtId="166" fontId="20" fillId="9" borderId="0" xfId="0" applyNumberFormat="1" applyFont="1" applyFill="1" applyBorder="1" applyAlignment="1" applyProtection="1">
      <alignment horizontal="left" vertical="top" wrapText="1"/>
      <protection/>
    </xf>
    <xf numFmtId="166" fontId="15" fillId="9" borderId="0" xfId="0" applyNumberFormat="1" applyFont="1" applyFill="1" applyBorder="1" applyAlignment="1" applyProtection="1">
      <alignment horizontal="left" vertical="top"/>
      <protection/>
    </xf>
    <xf numFmtId="166" fontId="0" fillId="0" borderId="0" xfId="0" applyNumberFormat="1" applyFill="1"/>
    <xf numFmtId="0" fontId="14" fillId="4" borderId="0" xfId="0" applyFont="1" applyFill="1" applyBorder="1" applyAlignment="1" applyProtection="1">
      <alignment horizontal="left" wrapText="1"/>
      <protection/>
    </xf>
    <xf numFmtId="166" fontId="16" fillId="9" borderId="0" xfId="24" applyNumberFormat="1" applyFont="1" applyFill="1" applyBorder="1" applyAlignment="1" applyProtection="1">
      <alignment vertical="center"/>
      <protection/>
    </xf>
    <xf numFmtId="1" fontId="15" fillId="0" borderId="6" xfId="0" applyNumberFormat="1" applyFont="1" applyFill="1" applyBorder="1" applyAlignment="1" applyProtection="1">
      <alignment horizontal="right" vertical="center"/>
      <protection/>
    </xf>
    <xf numFmtId="49" fontId="15" fillId="0" borderId="6" xfId="0" applyNumberFormat="1" applyFont="1" applyFill="1" applyBorder="1" applyAlignment="1" applyProtection="1">
      <alignment horizontal="left" vertical="center"/>
      <protection/>
    </xf>
    <xf numFmtId="49" fontId="15" fillId="0" borderId="6" xfId="0" applyNumberFormat="1" applyFont="1" applyFill="1" applyBorder="1" applyAlignment="1" applyProtection="1">
      <alignment vertical="center" wrapText="1"/>
      <protection/>
    </xf>
    <xf numFmtId="49" fontId="15" fillId="0" borderId="6" xfId="0" applyNumberFormat="1" applyFont="1" applyFill="1" applyBorder="1" applyAlignment="1" applyProtection="1">
      <alignment vertical="center"/>
      <protection/>
    </xf>
    <xf numFmtId="49" fontId="15" fillId="0" borderId="6" xfId="0" applyNumberFormat="1" applyFont="1" applyFill="1" applyBorder="1" applyAlignment="1" applyProtection="1">
      <alignment horizontal="left" vertical="center"/>
      <protection locked="0"/>
    </xf>
    <xf numFmtId="49" fontId="16" fillId="0" borderId="6" xfId="24" applyNumberFormat="1" applyFont="1" applyFill="1" applyBorder="1" applyAlignment="1" applyProtection="1">
      <alignment vertical="center"/>
      <protection/>
    </xf>
    <xf numFmtId="0" fontId="25" fillId="10" borderId="3" xfId="23" applyFont="1" applyFill="1" applyAlignment="1" applyProtection="1">
      <alignment horizontal="left"/>
      <protection locked="0"/>
    </xf>
    <xf numFmtId="4" fontId="25" fillId="10" borderId="15" xfId="23" applyNumberFormat="1" applyFont="1" applyFill="1" applyBorder="1" applyAlignment="1" applyProtection="1">
      <alignment horizontal="right"/>
      <protection locked="0"/>
    </xf>
    <xf numFmtId="167" fontId="26" fillId="10" borderId="3" xfId="23" applyNumberFormat="1" applyFont="1" applyFill="1" applyAlignment="1" applyProtection="1">
      <alignment horizontal="right"/>
      <protection locked="0"/>
    </xf>
    <xf numFmtId="0" fontId="26" fillId="10" borderId="3" xfId="23" applyFont="1" applyFill="1" applyAlignment="1" applyProtection="1">
      <alignment horizontal="right"/>
      <protection locked="0"/>
    </xf>
    <xf numFmtId="0" fontId="26" fillId="8" borderId="16" xfId="23" applyFont="1" applyFill="1" applyBorder="1" applyAlignment="1" applyProtection="1">
      <alignment horizontal="left"/>
      <protection locked="0"/>
    </xf>
    <xf numFmtId="168" fontId="26" fillId="8" borderId="16" xfId="23" applyNumberFormat="1" applyFont="1" applyFill="1" applyBorder="1" applyAlignment="1" applyProtection="1">
      <alignment horizontal="left"/>
      <protection locked="0"/>
    </xf>
    <xf numFmtId="168" fontId="26" fillId="8" borderId="17" xfId="23" applyNumberFormat="1" applyFont="1" applyFill="1" applyBorder="1" applyAlignment="1" applyProtection="1">
      <alignment horizontal="left"/>
      <protection locked="0"/>
    </xf>
    <xf numFmtId="167" fontId="26" fillId="8" borderId="18" xfId="23" applyNumberFormat="1" applyFont="1" applyFill="1" applyBorder="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2" fontId="15" fillId="0" borderId="6" xfId="0" applyNumberFormat="1" applyFont="1" applyFill="1" applyBorder="1" applyAlignment="1" applyProtection="1">
      <alignment horizontal="right" vertical="center"/>
      <protection/>
    </xf>
    <xf numFmtId="49" fontId="15" fillId="3" borderId="19" xfId="0" applyNumberFormat="1" applyFont="1" applyFill="1" applyBorder="1" applyAlignment="1" applyProtection="1">
      <alignment horizontal="right" vertical="center"/>
      <protection locked="0"/>
    </xf>
    <xf numFmtId="49" fontId="15" fillId="3" borderId="8" xfId="0" applyNumberFormat="1" applyFont="1" applyFill="1" applyBorder="1" applyAlignment="1" applyProtection="1">
      <alignment vertical="center"/>
      <protection/>
    </xf>
    <xf numFmtId="49" fontId="15" fillId="3" borderId="6" xfId="0" applyNumberFormat="1" applyFont="1" applyFill="1" applyBorder="1" applyAlignment="1" applyProtection="1">
      <alignment vertical="center"/>
      <protection locked="0"/>
    </xf>
    <xf numFmtId="0" fontId="0" fillId="0" borderId="20" xfId="0" applyBorder="1"/>
    <xf numFmtId="0" fontId="0" fillId="0" borderId="0" xfId="0" applyBorder="1"/>
    <xf numFmtId="0" fontId="0" fillId="0" borderId="21" xfId="0" applyBorder="1"/>
    <xf numFmtId="49" fontId="0" fillId="0" borderId="0" xfId="0" applyNumberFormat="1" applyBorder="1"/>
    <xf numFmtId="0" fontId="3" fillId="0" borderId="22" xfId="22" applyFont="1" applyFill="1" applyBorder="1" applyAlignment="1" applyProtection="1">
      <alignment vertical="top" wrapText="1"/>
      <protection/>
    </xf>
    <xf numFmtId="0" fontId="3" fillId="0" borderId="0" xfId="22" applyFont="1" applyFill="1" applyBorder="1" applyAlignment="1" applyProtection="1">
      <alignment vertical="top" wrapText="1"/>
      <protection/>
    </xf>
    <xf numFmtId="0" fontId="29" fillId="0" borderId="0" xfId="0" applyFont="1" applyFill="1" applyBorder="1" applyAlignment="1" applyProtection="1">
      <alignment wrapText="1"/>
      <protection/>
    </xf>
    <xf numFmtId="0" fontId="29" fillId="0" borderId="0" xfId="0" applyFont="1" applyFill="1" applyBorder="1" applyAlignment="1" applyProtection="1">
      <alignment horizontal="left" wrapText="1"/>
      <protection/>
    </xf>
    <xf numFmtId="0" fontId="10" fillId="0" borderId="2" xfId="21" applyFont="1" applyFill="1" applyAlignment="1" applyProtection="1">
      <alignment/>
      <protection/>
    </xf>
    <xf numFmtId="0" fontId="28" fillId="0" borderId="0" xfId="0" applyFont="1" applyFill="1" applyBorder="1" applyAlignment="1" applyProtection="1">
      <alignment wrapText="1"/>
      <protection/>
    </xf>
    <xf numFmtId="0" fontId="28" fillId="0" borderId="23" xfId="0" applyFont="1" applyFill="1" applyBorder="1" applyAlignment="1" applyProtection="1">
      <alignment wrapText="1"/>
      <protection/>
    </xf>
    <xf numFmtId="0" fontId="3" fillId="0" borderId="22" xfId="22" applyFont="1" applyFill="1" applyBorder="1" applyAlignment="1" applyProtection="1">
      <alignment horizontal="left" wrapText="1"/>
      <protection/>
    </xf>
    <xf numFmtId="0" fontId="3" fillId="0" borderId="2" xfId="21" applyFont="1" applyFill="1" applyAlignment="1" applyProtection="1">
      <alignment horizontal="left" wrapText="1"/>
      <protection/>
    </xf>
    <xf numFmtId="0" fontId="28" fillId="0" borderId="0" xfId="0" applyFont="1" applyFill="1" applyBorder="1" applyAlignment="1" applyProtection="1">
      <alignment horizontal="left" wrapText="1"/>
      <protection/>
    </xf>
    <xf numFmtId="0" fontId="22" fillId="0" borderId="7" xfId="21" applyFont="1" applyFill="1" applyBorder="1" applyAlignment="1" applyProtection="1">
      <alignment horizontal="left"/>
      <protection/>
    </xf>
    <xf numFmtId="49" fontId="10" fillId="0" borderId="2" xfId="21" applyNumberFormat="1" applyFont="1" applyFill="1" applyAlignment="1" applyProtection="1">
      <alignment horizontal="left"/>
      <protection/>
    </xf>
    <xf numFmtId="169" fontId="10" fillId="0" borderId="2" xfId="21" applyNumberFormat="1" applyFont="1" applyFill="1" applyAlignment="1" applyProtection="1">
      <alignment horizontal="left"/>
      <protection/>
    </xf>
    <xf numFmtId="0" fontId="22" fillId="0" borderId="2" xfId="21" applyFont="1" applyFill="1" applyAlignment="1" applyProtection="1">
      <alignment horizontal="left"/>
      <protection/>
    </xf>
    <xf numFmtId="49" fontId="10" fillId="0" borderId="7" xfId="21" applyNumberFormat="1" applyFont="1" applyFill="1" applyBorder="1" applyAlignment="1" applyProtection="1">
      <alignment horizontal="left"/>
      <protection/>
    </xf>
    <xf numFmtId="170" fontId="10" fillId="0" borderId="2" xfId="21" applyNumberFormat="1" applyFont="1" applyFill="1" applyAlignment="1" applyProtection="1">
      <alignment horizontal="left"/>
      <protection/>
    </xf>
    <xf numFmtId="0" fontId="9" fillId="0" borderId="0" xfId="0" applyFont="1" applyFill="1" applyBorder="1" applyAlignment="1" applyProtection="1">
      <alignment horizontal="right"/>
      <protection/>
    </xf>
    <xf numFmtId="0" fontId="8" fillId="0" borderId="0" xfId="0" applyFont="1" applyFill="1" applyBorder="1" applyAlignment="1" applyProtection="1">
      <alignment horizontal="right"/>
      <protection/>
    </xf>
    <xf numFmtId="0" fontId="2" fillId="0" borderId="1" xfId="20" applyFont="1" applyFill="1" applyAlignment="1" applyProtection="1">
      <alignment horizontal="left"/>
      <protection/>
    </xf>
    <xf numFmtId="49" fontId="3" fillId="0" borderId="2" xfId="21" applyNumberFormat="1" applyFont="1" applyFill="1" applyAlignment="1" applyProtection="1">
      <alignment horizontal="left" wrapText="1"/>
      <protection/>
    </xf>
    <xf numFmtId="4" fontId="25" fillId="10" borderId="24" xfId="23" applyNumberFormat="1" applyFont="1" applyFill="1" applyBorder="1" applyAlignment="1" applyProtection="1">
      <alignment horizontal="left"/>
      <protection locked="0"/>
    </xf>
    <xf numFmtId="4" fontId="25" fillId="10" borderId="25" xfId="23" applyNumberFormat="1" applyFont="1" applyFill="1" applyBorder="1" applyAlignment="1" applyProtection="1">
      <alignment horizontal="left"/>
      <protection locked="0"/>
    </xf>
    <xf numFmtId="4" fontId="25" fillId="10" borderId="26" xfId="23" applyNumberFormat="1" applyFont="1" applyFill="1" applyBorder="1" applyAlignment="1" applyProtection="1">
      <alignment horizontal="left"/>
      <protection locked="0"/>
    </xf>
    <xf numFmtId="0" fontId="23" fillId="0" borderId="2" xfId="21" applyFont="1" applyFill="1" applyAlignment="1" applyProtection="1">
      <alignment horizontal="left"/>
      <protection/>
    </xf>
    <xf numFmtId="49" fontId="10" fillId="0" borderId="2" xfId="21" applyNumberFormat="1" applyFont="1" applyFill="1" applyAlignment="1" applyProtection="1">
      <alignment horizontal="left"/>
      <protection locked="0"/>
    </xf>
    <xf numFmtId="0" fontId="3" fillId="0" borderId="27" xfId="21" applyFont="1" applyFill="1" applyBorder="1" applyAlignment="1" applyProtection="1">
      <alignment horizontal="left"/>
      <protection/>
    </xf>
    <xf numFmtId="0" fontId="30" fillId="0" borderId="0" xfId="25" applyFill="1" applyBorder="1" applyAlignment="1" applyProtection="1">
      <alignment horizontal="left" wrapText="1"/>
      <protection/>
    </xf>
    <xf numFmtId="0" fontId="28" fillId="0" borderId="23" xfId="0" applyFont="1" applyFill="1" applyBorder="1" applyAlignment="1" applyProtection="1">
      <alignment horizontal="left" wrapText="1"/>
      <protection/>
    </xf>
    <xf numFmtId="0" fontId="13" fillId="0" borderId="0" xfId="0" applyFont="1" applyFill="1" applyAlignment="1" applyProtection="1">
      <alignment horizontal="left"/>
      <protection/>
    </xf>
    <xf numFmtId="165" fontId="14" fillId="4" borderId="0" xfId="0" applyNumberFormat="1" applyFont="1" applyFill="1" applyBorder="1" applyAlignment="1" applyProtection="1">
      <alignment horizontal="left" wrapText="1"/>
      <protection/>
    </xf>
    <xf numFmtId="0" fontId="14" fillId="4" borderId="0" xfId="0" applyFont="1" applyFill="1" applyBorder="1" applyAlignment="1" applyProtection="1">
      <alignment horizontal="left" wrapText="1"/>
      <protection/>
    </xf>
    <xf numFmtId="49" fontId="16" fillId="3" borderId="12" xfId="24" applyNumberFormat="1" applyFont="1" applyFill="1" applyBorder="1" applyAlignment="1" applyProtection="1">
      <alignment horizontal="left" vertical="center"/>
      <protection locked="0"/>
    </xf>
    <xf numFmtId="49" fontId="16" fillId="3" borderId="28" xfId="24" applyNumberFormat="1" applyFont="1" applyFill="1" applyBorder="1" applyAlignment="1" applyProtection="1">
      <alignment horizontal="left" vertical="center"/>
      <protection locked="0"/>
    </xf>
    <xf numFmtId="0" fontId="26" fillId="8" borderId="12" xfId="23" applyFont="1" applyFill="1" applyBorder="1" applyAlignment="1" applyProtection="1">
      <alignment horizontal="left"/>
      <protection locked="0"/>
    </xf>
    <xf numFmtId="0" fontId="26" fillId="8" borderId="28" xfId="23" applyFont="1" applyFill="1" applyBorder="1" applyAlignment="1" applyProtection="1">
      <alignment horizontal="left"/>
      <protection locked="0"/>
    </xf>
    <xf numFmtId="0" fontId="26" fillId="8" borderId="13" xfId="23" applyFont="1" applyFill="1" applyBorder="1" applyAlignment="1" applyProtection="1">
      <alignment horizontal="left"/>
      <protection locked="0"/>
    </xf>
    <xf numFmtId="1" fontId="20" fillId="5" borderId="0" xfId="0" applyNumberFormat="1" applyFont="1" applyFill="1" applyBorder="1" applyAlignment="1" applyProtection="1">
      <alignment horizontal="left" vertical="top"/>
      <protection/>
    </xf>
    <xf numFmtId="1" fontId="15" fillId="5" borderId="0" xfId="0" applyNumberFormat="1" applyFont="1" applyFill="1" applyBorder="1" applyAlignment="1" applyProtection="1">
      <alignment horizontal="left" vertical="top" wrapText="1"/>
      <protection/>
    </xf>
    <xf numFmtId="165" fontId="14" fillId="4" borderId="18" xfId="0" applyNumberFormat="1" applyFont="1" applyFill="1" applyBorder="1" applyAlignment="1" applyProtection="1">
      <alignment horizontal="left" vertical="center" wrapText="1"/>
      <protection/>
    </xf>
    <xf numFmtId="0" fontId="20" fillId="0" borderId="29" xfId="0" applyNumberFormat="1" applyFont="1" applyFill="1" applyBorder="1" applyAlignment="1" applyProtection="1">
      <alignment horizontal="left" vertical="center"/>
      <protection/>
    </xf>
    <xf numFmtId="0" fontId="20" fillId="0" borderId="14" xfId="0" applyNumberFormat="1" applyFont="1" applyFill="1" applyBorder="1" applyAlignment="1" applyProtection="1">
      <alignment horizontal="left" vertical="center"/>
      <protection/>
    </xf>
    <xf numFmtId="0" fontId="15" fillId="0" borderId="6" xfId="0" applyNumberFormat="1" applyFont="1" applyFill="1" applyBorder="1" applyAlignment="1" applyProtection="1">
      <alignment horizontal="left" vertical="center"/>
      <protection/>
    </xf>
    <xf numFmtId="0" fontId="20" fillId="0" borderId="6" xfId="0" applyNumberFormat="1" applyFont="1" applyFill="1" applyBorder="1" applyAlignment="1" applyProtection="1">
      <alignment horizontal="left" vertical="center"/>
      <protection/>
    </xf>
    <xf numFmtId="0" fontId="24" fillId="5" borderId="18" xfId="0" applyNumberFormat="1" applyFont="1" applyFill="1" applyBorder="1" applyAlignment="1" applyProtection="1">
      <alignment horizontal="left" vertical="center"/>
      <protection/>
    </xf>
    <xf numFmtId="0" fontId="26" fillId="8" borderId="28" xfId="23" applyFont="1" applyFill="1" applyBorder="1" applyAlignment="1" applyProtection="1">
      <alignment horizontal="left" vertical="top"/>
      <protection locked="0"/>
    </xf>
    <xf numFmtId="1" fontId="15" fillId="5" borderId="0" xfId="0" applyNumberFormat="1" applyFont="1" applyFill="1" applyBorder="1" applyAlignment="1" applyProtection="1">
      <alignment horizontal="left" vertical="top"/>
      <protection/>
    </xf>
    <xf numFmtId="1" fontId="20" fillId="5" borderId="0" xfId="0" applyNumberFormat="1" applyFont="1" applyFill="1" applyBorder="1" applyAlignment="1" applyProtection="1">
      <alignment horizontal="left" vertical="top" wrapText="1"/>
      <protection/>
    </xf>
    <xf numFmtId="0" fontId="0" fillId="0" borderId="0" xfId="0" applyNumberFormat="1" applyFill="1" applyAlignment="1" applyProtection="1">
      <alignment horizontal="left"/>
      <protection/>
    </xf>
    <xf numFmtId="166" fontId="0" fillId="0" borderId="0" xfId="0" applyNumberFormat="1" applyFill="1" applyAlignment="1" applyProtection="1">
      <alignment horizontal="left"/>
      <protection/>
    </xf>
    <xf numFmtId="0" fontId="2" fillId="0" borderId="1" xfId="0" applyNumberFormat="1" applyFill="1" applyBorder="1" applyAlignment="1" applyProtection="1">
      <alignment horizontal="left"/>
      <protection/>
    </xf>
    <xf numFmtId="0" fontId="32" fillId="0" borderId="0" xfId="0" applyNumberFormat="1" applyFill="1" applyAlignment="1" applyProtection="1">
      <alignment horizontal="left" indent="1"/>
      <protection/>
    </xf>
    <xf numFmtId="0" fontId="33" fillId="0" borderId="0" xfId="0" applyNumberFormat="1" applyFill="1" applyAlignment="1" applyProtection="1">
      <alignment horizontal="left"/>
      <protection/>
    </xf>
    <xf numFmtId="0" fontId="7" fillId="0" borderId="0" xfId="0" applyNumberFormat="1" applyFill="1" applyAlignment="1" applyProtection="1">
      <alignment horizontal="left"/>
      <protection/>
    </xf>
    <xf numFmtId="0" fontId="9" fillId="0" borderId="0" xfId="0" applyNumberFormat="1" applyFill="1" applyAlignment="1" applyProtection="1">
      <alignment horizontal="right"/>
      <protection/>
    </xf>
    <xf numFmtId="0" fontId="8" fillId="0" borderId="0" xfId="0" applyNumberFormat="1" applyFill="1" applyAlignment="1" applyProtection="1">
      <alignment horizontal="right"/>
      <protection/>
    </xf>
    <xf numFmtId="166" fontId="8" fillId="0" borderId="0" xfId="0" applyNumberFormat="1" applyFill="1" applyAlignment="1" applyProtection="1">
      <alignment horizontal="right"/>
      <protection/>
    </xf>
    <xf numFmtId="49" fontId="3" fillId="0" borderId="2" xfId="0" applyNumberFormat="1" applyFill="1" applyBorder="1" applyAlignment="1" applyProtection="1">
      <alignment horizontal="left" wrapText="1"/>
      <protection/>
    </xf>
    <xf numFmtId="0" fontId="10" fillId="0" borderId="2" xfId="0" applyNumberFormat="1" applyFill="1" applyBorder="1" applyAlignment="1" applyProtection="1">
      <alignment horizontal="left"/>
      <protection/>
    </xf>
    <xf numFmtId="0" fontId="22"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xf>
    <xf numFmtId="166" fontId="10" fillId="0" borderId="0" xfId="0" applyNumberFormat="1" applyFill="1" applyAlignment="1" applyProtection="1">
      <alignment horizontal="left"/>
      <protection/>
    </xf>
    <xf numFmtId="0" fontId="3" fillId="0" borderId="2" xfId="0" applyNumberFormat="1" applyFill="1" applyBorder="1" applyAlignment="1" applyProtection="1">
      <alignment horizontal="left" wrapText="1"/>
      <protection/>
    </xf>
    <xf numFmtId="0" fontId="3" fillId="0" borderId="0" xfId="0" applyNumberFormat="1" applyFill="1" applyAlignment="1" applyProtection="1">
      <alignment horizontal="left" vertical="top" wrapText="1"/>
      <protection/>
    </xf>
    <xf numFmtId="0" fontId="24" fillId="0" borderId="0" xfId="0" applyNumberFormat="1" applyFill="1" applyAlignment="1" applyProtection="1">
      <alignment horizontal="left"/>
      <protection/>
    </xf>
    <xf numFmtId="169"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12" fillId="0" borderId="0" xfId="0" applyNumberFormat="1" applyFill="1" applyAlignment="1" applyProtection="1">
      <alignment horizontal="left" vertical="top"/>
      <protection/>
    </xf>
    <xf numFmtId="170" fontId="10" fillId="0" borderId="2" xfId="0" applyNumberFormat="1" applyFill="1" applyBorder="1" applyAlignment="1" applyProtection="1">
      <alignment horizontal="left"/>
      <protection/>
    </xf>
    <xf numFmtId="0" fontId="10" fillId="0" borderId="2" xfId="0" applyNumberFormat="1" applyFill="1" applyBorder="1" applyAlignment="1" applyProtection="1">
      <alignment horizontal="left" vertical="top"/>
      <protection/>
    </xf>
    <xf numFmtId="166" fontId="10" fillId="0" borderId="0" xfId="0" applyNumberFormat="1" applyFill="1" applyAlignment="1" applyProtection="1">
      <alignment horizontal="left" vertical="top"/>
      <protection/>
    </xf>
    <xf numFmtId="0" fontId="29" fillId="0" borderId="0" xfId="0" applyNumberFormat="1" applyFill="1" applyAlignment="1" applyProtection="1">
      <alignment horizontal="left" wrapText="1"/>
      <protection/>
    </xf>
    <xf numFmtId="0" fontId="29" fillId="0" borderId="0" xfId="0" applyNumberFormat="1" applyFill="1" applyAlignment="1" applyProtection="1">
      <alignment horizontal="left" wrapText="1"/>
      <protection/>
    </xf>
    <xf numFmtId="0" fontId="10" fillId="0" borderId="2" xfId="0" applyNumberFormat="1" applyFill="1" applyBorder="1" applyAlignment="1" applyProtection="1">
      <alignment horizontal="left"/>
      <protection/>
    </xf>
    <xf numFmtId="0" fontId="28" fillId="0" borderId="0" xfId="0" applyNumberFormat="1" applyFill="1" applyAlignment="1" applyProtection="1">
      <alignment horizontal="left" wrapText="1"/>
      <protection/>
    </xf>
    <xf numFmtId="0" fontId="30" fillId="0" borderId="0" xfId="0" applyNumberFormat="1" applyFill="1" applyAlignment="1" applyProtection="1">
      <alignment horizontal="left" wrapText="1"/>
      <protection/>
    </xf>
    <xf numFmtId="0" fontId="22" fillId="0" borderId="2" xfId="0" applyNumberFormat="1" applyFill="1" applyBorder="1" applyAlignment="1" applyProtection="1">
      <alignment horizontal="left"/>
      <protection/>
    </xf>
    <xf numFmtId="0" fontId="25" fillId="10" borderId="3" xfId="0" applyNumberFormat="1" applyBorder="1" applyAlignment="1" applyProtection="1">
      <alignment horizontal="left"/>
      <protection locked="0"/>
    </xf>
    <xf numFmtId="0" fontId="10" fillId="0" borderId="2" xfId="0" applyNumberFormat="1" applyFill="1" applyBorder="1" applyAlignment="1" applyProtection="1">
      <alignment horizontal="right"/>
      <protection/>
    </xf>
    <xf numFmtId="4" fontId="25" fillId="10" borderId="15" xfId="0" applyNumberFormat="1" applyBorder="1" applyAlignment="1" applyProtection="1">
      <alignment horizontal="right"/>
      <protection locked="0"/>
    </xf>
    <xf numFmtId="0" fontId="3" fillId="0" borderId="2" xfId="0" applyNumberFormat="1" applyFill="1" applyBorder="1" applyAlignment="1" applyProtection="1">
      <alignment horizontal="left"/>
      <protection/>
    </xf>
    <xf numFmtId="4" fontId="25" fillId="10" borderId="24" xfId="0" applyNumberFormat="1" applyBorder="1" applyAlignment="1" applyProtection="1">
      <alignment horizontal="left"/>
      <protection locked="0"/>
    </xf>
    <xf numFmtId="4" fontId="25" fillId="10" borderId="25" xfId="0" applyNumberFormat="1" applyBorder="1" applyAlignment="1" applyProtection="1">
      <alignment horizontal="left"/>
      <protection locked="0"/>
    </xf>
    <xf numFmtId="4" fontId="25" fillId="10" borderId="26" xfId="0" applyNumberFormat="1" applyBorder="1" applyAlignment="1" applyProtection="1">
      <alignment horizontal="left"/>
      <protection locked="0"/>
    </xf>
    <xf numFmtId="0" fontId="23" fillId="0" borderId="2" xfId="0" applyNumberFormat="1" applyFill="1" applyBorder="1" applyAlignment="1" applyProtection="1">
      <alignment horizontal="left"/>
      <protection/>
    </xf>
    <xf numFmtId="49" fontId="10" fillId="0" borderId="2" xfId="0" applyNumberFormat="1" applyFill="1" applyBorder="1" applyAlignment="1" applyProtection="1">
      <alignment horizontal="left"/>
      <protection locked="0"/>
    </xf>
    <xf numFmtId="0" fontId="26" fillId="10" borderId="3" xfId="0" applyNumberFormat="1" applyBorder="1" applyAlignment="1" applyProtection="1">
      <alignment horizontal="right"/>
      <protection locked="0"/>
    </xf>
    <xf numFmtId="166" fontId="10" fillId="0" borderId="2" xfId="0" applyNumberFormat="1" applyFill="1" applyBorder="1" applyAlignment="1" applyProtection="1">
      <alignment horizontal="left"/>
      <protection/>
    </xf>
    <xf numFmtId="167" fontId="26" fillId="10" borderId="3" xfId="0" applyNumberFormat="1" applyBorder="1" applyAlignment="1" applyProtection="1">
      <alignment horizontal="right"/>
      <protection locked="0"/>
    </xf>
    <xf numFmtId="0" fontId="12" fillId="0" borderId="0" xfId="0" applyNumberFormat="1" applyFill="1" applyAlignment="1" applyProtection="1">
      <alignment horizontal="left"/>
      <protection/>
    </xf>
    <xf numFmtId="166" fontId="24" fillId="0" borderId="0" xfId="0" applyNumberFormat="1" applyFill="1" applyAlignment="1" applyProtection="1">
      <alignment horizontal="left"/>
      <protection/>
    </xf>
    <xf numFmtId="0" fontId="12" fillId="0" borderId="0" xfId="0" applyNumberFormat="1" applyFill="1" applyAlignment="1" applyProtection="1">
      <alignment horizontal="left"/>
      <protection/>
    </xf>
    <xf numFmtId="0"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4" fontId="13" fillId="0" borderId="0" xfId="0" applyNumberFormat="1" applyFill="1" applyAlignment="1" applyProtection="1">
      <alignment horizontal="left"/>
      <protection/>
    </xf>
    <xf numFmtId="165" fontId="14" fillId="4" borderId="4" xfId="0" applyNumberFormat="1" applyBorder="1" applyAlignment="1" applyProtection="1">
      <alignment horizontal="left" wrapText="1"/>
      <protection/>
    </xf>
    <xf numFmtId="165"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0" fontId="14" fillId="4" borderId="0" xfId="0" applyNumberFormat="1" applyAlignment="1" applyProtection="1">
      <alignment horizontal="left" wrapText="1"/>
      <protection/>
    </xf>
    <xf numFmtId="166" fontId="14" fillId="9" borderId="0" xfId="0" applyNumberFormat="1" applyAlignment="1" applyProtection="1">
      <alignment horizontal="left" wrapText="1"/>
      <protection/>
    </xf>
    <xf numFmtId="1" fontId="15" fillId="11" borderId="6" xfId="0" applyNumberFormat="1" applyBorder="1" applyAlignment="1" applyProtection="1">
      <alignment horizontal="right" vertical="center"/>
      <protection/>
    </xf>
    <xf numFmtId="49" fontId="15" fillId="11" borderId="6" xfId="0" applyNumberFormat="1" applyBorder="1" applyAlignment="1" applyProtection="1">
      <alignment horizontal="left" vertical="center"/>
      <protection/>
    </xf>
    <xf numFmtId="49" fontId="15" fillId="11" borderId="6" xfId="0" applyNumberFormat="1" applyBorder="1" applyAlignment="1" applyProtection="1">
      <alignment horizontal="left" vertical="center" wrapText="1"/>
      <protection/>
    </xf>
    <xf numFmtId="49" fontId="15" fillId="11" borderId="6" xfId="0" applyNumberFormat="1" applyBorder="1" applyAlignment="1" applyProtection="1">
      <alignment horizontal="left" vertical="center"/>
      <protection/>
    </xf>
    <xf numFmtId="2" fontId="15" fillId="11" borderId="6" xfId="0" applyNumberFormat="1" applyBorder="1" applyAlignment="1" applyProtection="1">
      <alignment horizontal="right" vertical="center"/>
      <protection/>
    </xf>
    <xf numFmtId="49" fontId="15" fillId="11" borderId="8" xfId="0" applyNumberFormat="1" applyBorder="1" applyAlignment="1" applyProtection="1">
      <alignment horizontal="left" vertical="center"/>
      <protection/>
    </xf>
    <xf numFmtId="4" fontId="15" fillId="11" borderId="8" xfId="0" applyNumberFormat="1" applyBorder="1" applyAlignment="1" applyProtection="1">
      <alignment horizontal="left" vertical="center"/>
      <protection/>
    </xf>
    <xf numFmtId="49" fontId="15" fillId="11" borderId="19" xfId="0" applyNumberFormat="1" applyBorder="1" applyAlignment="1" applyProtection="1">
      <alignment horizontal="right" vertical="center"/>
      <protection/>
    </xf>
    <xf numFmtId="167" fontId="15" fillId="11" borderId="6" xfId="0" applyNumberFormat="1" applyBorder="1" applyAlignment="1" applyProtection="1">
      <alignment horizontal="left" vertical="center"/>
      <protection/>
    </xf>
    <xf numFmtId="49" fontId="16" fillId="11" borderId="6" xfId="0" applyNumberFormat="1" applyBorder="1" applyAlignment="1" applyProtection="1">
      <alignment horizontal="left" vertical="center"/>
      <protection/>
    </xf>
    <xf numFmtId="11" fontId="16" fillId="7" borderId="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xf>
    <xf numFmtId="1" fontId="12" fillId="0" borderId="0" xfId="0" applyNumberFormat="1" applyFill="1" applyAlignment="1" applyProtection="1">
      <alignment horizontal="right" vertical="center"/>
      <protection/>
    </xf>
    <xf numFmtId="0" fontId="24" fillId="0" borderId="0" xfId="0" applyNumberFormat="1" applyFill="1" applyAlignment="1" applyProtection="1">
      <alignment horizontal="left"/>
      <protection/>
    </xf>
    <xf numFmtId="0" fontId="12" fillId="0" borderId="0" xfId="0" applyNumberFormat="1" applyFill="1" applyAlignment="1" applyProtection="1">
      <alignment horizontal="right"/>
      <protection/>
    </xf>
    <xf numFmtId="166" fontId="33" fillId="9" borderId="0" xfId="0" applyNumberFormat="1" applyAlignment="1" applyProtection="1">
      <alignment horizontal="left"/>
      <protection/>
    </xf>
    <xf numFmtId="49" fontId="15" fillId="5" borderId="6" xfId="0" applyNumberFormat="1" applyBorder="1" applyAlignment="1" applyProtection="1">
      <alignment horizontal="right" vertical="center"/>
      <protection/>
    </xf>
    <xf numFmtId="0" fontId="26" fillId="8" borderId="12" xfId="0" applyNumberFormat="1" applyBorder="1" applyAlignment="1" applyProtection="1">
      <alignment horizontal="left"/>
      <protection locked="0"/>
    </xf>
    <xf numFmtId="0" fontId="26" fillId="8" borderId="28" xfId="0" applyNumberFormat="1" applyBorder="1" applyAlignment="1" applyProtection="1">
      <alignment horizontal="left"/>
      <protection locked="0"/>
    </xf>
    <xf numFmtId="0" fontId="26" fillId="8" borderId="13" xfId="0" applyNumberFormat="1" applyBorder="1" applyAlignment="1" applyProtection="1">
      <alignment horizontal="left"/>
      <protection locked="0"/>
    </xf>
    <xf numFmtId="0" fontId="26" fillId="8" borderId="16" xfId="0" applyNumberFormat="1" applyBorder="1" applyAlignment="1" applyProtection="1">
      <alignment horizontal="left"/>
      <protection locked="0"/>
    </xf>
    <xf numFmtId="172" fontId="26" fillId="8" borderId="16" xfId="0" applyNumberFormat="1" applyBorder="1" applyAlignment="1" applyProtection="1">
      <alignment horizontal="left"/>
      <protection locked="0"/>
    </xf>
    <xf numFmtId="172" fontId="26" fillId="8" borderId="17" xfId="0" applyNumberFormat="1" applyBorder="1" applyAlignment="1" applyProtection="1">
      <alignment horizontal="left"/>
      <protection locked="0"/>
    </xf>
    <xf numFmtId="167" fontId="26" fillId="8" borderId="18" xfId="0" applyNumberFormat="1" applyBorder="1" applyAlignment="1" applyProtection="1">
      <alignment horizontal="left"/>
      <protection/>
    </xf>
    <xf numFmtId="49" fontId="16" fillId="3" borderId="12" xfId="0" applyNumberFormat="1" applyBorder="1" applyAlignment="1" applyProtection="1">
      <alignment horizontal="left" vertical="center"/>
      <protection locked="0"/>
    </xf>
    <xf numFmtId="49" fontId="16" fillId="3" borderId="28" xfId="0" applyNumberFormat="1" applyBorder="1" applyAlignment="1" applyProtection="1">
      <alignment horizontal="left" vertical="center"/>
      <protection locked="0"/>
    </xf>
    <xf numFmtId="166" fontId="16" fillId="9" borderId="0" xfId="0" applyNumberFormat="1" applyAlignment="1" applyProtection="1">
      <alignment horizontal="left" vertical="center"/>
      <protection locked="0"/>
    </xf>
    <xf numFmtId="0" fontId="34" fillId="0" borderId="0" xfId="0" applyNumberFormat="1" applyFill="1" applyAlignment="1" applyProtection="1">
      <alignment horizontal="left"/>
      <protection/>
    </xf>
    <xf numFmtId="44" fontId="35" fillId="0" borderId="0" xfId="0" applyNumberFormat="1" applyFill="1" applyAlignment="1" applyProtection="1">
      <alignment horizontal="left"/>
      <protection/>
    </xf>
    <xf numFmtId="0" fontId="24" fillId="0" borderId="11" xfId="0" applyNumberFormat="1" applyFill="1" applyBorder="1" applyAlignment="1" applyProtection="1">
      <alignment horizontal="left"/>
      <protection/>
    </xf>
    <xf numFmtId="168" fontId="15" fillId="5" borderId="14" xfId="0" applyNumberFormat="1" applyBorder="1" applyAlignment="1" applyProtection="1">
      <alignment horizontal="left" vertical="center"/>
      <protection/>
    </xf>
    <xf numFmtId="0" fontId="24" fillId="0" borderId="10" xfId="0" applyNumberFormat="1" applyFill="1" applyBorder="1" applyAlignment="1" applyProtection="1">
      <alignment horizontal="left"/>
      <protection/>
    </xf>
    <xf numFmtId="168" fontId="15" fillId="5" borderId="6" xfId="0" applyNumberFormat="1" applyBorder="1" applyAlignment="1" applyProtection="1">
      <alignment horizontal="left" vertical="center"/>
      <protection/>
    </xf>
    <xf numFmtId="1" fontId="24" fillId="0" borderId="0" xfId="0" applyNumberFormat="1" applyFill="1" applyAlignment="1" applyProtection="1">
      <alignment horizontal="left"/>
      <protection/>
    </xf>
    <xf numFmtId="1" fontId="36" fillId="0" borderId="0" xfId="0" applyNumberFormat="1" applyFill="1" applyAlignment="1" applyProtection="1">
      <alignment horizontal="left"/>
      <protection/>
    </xf>
    <xf numFmtId="3" fontId="36" fillId="0" borderId="0" xfId="0" applyNumberFormat="1" applyFill="1" applyAlignment="1" applyProtection="1">
      <alignment horizontal="left"/>
      <protection/>
    </xf>
    <xf numFmtId="44" fontId="36" fillId="0" borderId="0" xfId="0" applyNumberFormat="1" applyFill="1" applyAlignment="1" applyProtection="1">
      <alignment horizontal="left"/>
      <protection/>
    </xf>
    <xf numFmtId="49" fontId="35" fillId="0" borderId="0" xfId="0" applyNumberFormat="1" applyFill="1" applyAlignment="1" applyProtection="1">
      <alignment horizontal="left"/>
      <protection/>
    </xf>
    <xf numFmtId="44" fontId="35" fillId="6" borderId="0" xfId="0" applyNumberFormat="1" applyAlignment="1" applyProtection="1">
      <alignment horizontal="left"/>
      <protection/>
    </xf>
    <xf numFmtId="44" fontId="36" fillId="6" borderId="0" xfId="0" applyNumberFormat="1" applyAlignment="1" applyProtection="1">
      <alignment horizontal="left" wrapText="1"/>
      <protection/>
    </xf>
    <xf numFmtId="44" fontId="36" fillId="6" borderId="0" xfId="0" applyNumberFormat="1" applyAlignment="1" applyProtection="1">
      <alignment horizontal="left"/>
      <protection/>
    </xf>
    <xf numFmtId="165" fontId="14" fillId="4" borderId="18" xfId="0" applyNumberFormat="1" applyBorder="1" applyAlignment="1" applyProtection="1">
      <alignment horizontal="left" vertical="center" wrapText="1"/>
      <protection/>
    </xf>
    <xf numFmtId="0" fontId="24" fillId="5" borderId="18" xfId="0" applyNumberFormat="1" applyBorder="1" applyAlignment="1" applyProtection="1">
      <alignment horizontal="left" vertical="center"/>
      <protection/>
    </xf>
    <xf numFmtId="0" fontId="17" fillId="8" borderId="12" xfId="0" applyNumberFormat="1" applyBorder="1" applyAlignment="1" applyProtection="1">
      <alignment horizontal="left" vertical="top"/>
      <protection locked="0"/>
    </xf>
    <xf numFmtId="0" fontId="26" fillId="8" borderId="28" xfId="0" applyNumberFormat="1" applyBorder="1" applyAlignment="1" applyProtection="1">
      <alignment horizontal="left" vertical="top"/>
      <protection locked="0"/>
    </xf>
    <xf numFmtId="0" fontId="17" fillId="8" borderId="13" xfId="0" applyNumberFormat="1" applyBorder="1" applyAlignment="1" applyProtection="1">
      <alignment horizontal="left" vertical="top"/>
      <protection locked="0"/>
    </xf>
    <xf numFmtId="166" fontId="17" fillId="9" borderId="0" xfId="0" applyNumberFormat="1" applyAlignment="1" applyProtection="1">
      <alignment horizontal="left" vertical="top"/>
      <protection locked="0"/>
    </xf>
    <xf numFmtId="1" fontId="20" fillId="5" borderId="0" xfId="0" applyNumberFormat="1" applyAlignment="1" applyProtection="1">
      <alignment horizontal="left" vertical="top"/>
      <protection/>
    </xf>
    <xf numFmtId="166" fontId="20" fillId="9" borderId="0" xfId="0" applyNumberFormat="1" applyAlignment="1" applyProtection="1">
      <alignment horizontal="left" vertical="top"/>
      <protection/>
    </xf>
    <xf numFmtId="1" fontId="15" fillId="5" borderId="0" xfId="0" applyNumberFormat="1" applyAlignment="1" applyProtection="1">
      <alignment horizontal="left" vertical="center" wrapText="1"/>
      <protection/>
    </xf>
    <xf numFmtId="166" fontId="15" fillId="9" borderId="0" xfId="0" applyNumberFormat="1" applyAlignment="1" applyProtection="1">
      <alignment horizontal="left" vertical="center" wrapText="1"/>
      <protection/>
    </xf>
    <xf numFmtId="1" fontId="15" fillId="5" borderId="0" xfId="0" applyNumberFormat="1" applyAlignment="1" applyProtection="1">
      <alignment horizontal="left" vertical="top" wrapText="1"/>
      <protection/>
    </xf>
    <xf numFmtId="166" fontId="15" fillId="9" borderId="0" xfId="0" applyNumberFormat="1" applyAlignment="1" applyProtection="1">
      <alignment horizontal="left" vertical="top" wrapText="1"/>
      <protection/>
    </xf>
    <xf numFmtId="1" fontId="20" fillId="5" borderId="0" xfId="0" applyNumberFormat="1" applyAlignment="1" applyProtection="1">
      <alignment horizontal="left" vertical="top" wrapText="1"/>
      <protection/>
    </xf>
    <xf numFmtId="166" fontId="20" fillId="9" borderId="0" xfId="0" applyNumberFormat="1" applyAlignment="1" applyProtection="1">
      <alignment horizontal="left" vertical="top" wrapText="1"/>
      <protection/>
    </xf>
    <xf numFmtId="1" fontId="15" fillId="5" borderId="0" xfId="0" applyNumberFormat="1" applyAlignment="1" applyProtection="1">
      <alignment horizontal="left" vertical="top"/>
      <protection/>
    </xf>
    <xf numFmtId="166" fontId="15" fillId="9" borderId="0" xfId="0" applyNumberFormat="1" applyAlignment="1" applyProtection="1">
      <alignment horizontal="left" vertical="top"/>
      <protection/>
    </xf>
    <xf numFmtId="172" fontId="15" fillId="3" borderId="8" xfId="0" applyNumberFormat="1" applyBorder="1" applyAlignment="1" applyProtection="1">
      <alignment horizontal="left" vertical="center"/>
      <protection locked="0"/>
    </xf>
    <xf numFmtId="4" fontId="15" fillId="3" borderId="8" xfId="0" applyNumberFormat="1" applyBorder="1" applyAlignment="1" applyProtection="1">
      <alignment horizontal="left" vertical="center"/>
      <protection locked="0"/>
    </xf>
    <xf numFmtId="172" fontId="15" fillId="3" borderId="19" xfId="0" applyNumberFormat="1" applyBorder="1" applyAlignment="1" applyProtection="1">
      <alignment horizontal="right" vertical="center"/>
      <protection locked="0"/>
    </xf>
    <xf numFmtId="172" fontId="15" fillId="3" borderId="6" xfId="0" applyNumberFormat="1" applyBorder="1" applyAlignment="1" applyProtection="1">
      <alignment horizontal="left" vertical="center"/>
      <protection locked="0"/>
    </xf>
    <xf numFmtId="167" fontId="15" fillId="5"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locked="0"/>
    </xf>
    <xf numFmtId="49" fontId="15" fillId="3" borderId="8" xfId="0" applyNumberFormat="1" applyBorder="1" applyAlignment="1" applyProtection="1">
      <alignment horizontal="left" vertical="center"/>
      <protection/>
    </xf>
    <xf numFmtId="4" fontId="15" fillId="3" borderId="8"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xf>
    <xf numFmtId="49" fontId="15" fillId="3" borderId="6" xfId="0" applyNumberFormat="1" applyBorder="1" applyAlignment="1" applyProtection="1">
      <alignment horizontal="left" vertical="center"/>
      <protection/>
    </xf>
    <xf numFmtId="49" fontId="16" fillId="3" borderId="6" xfId="0" applyNumberFormat="1" applyBorder="1" applyAlignment="1" applyProtection="1">
      <alignment horizontal="left" vertical="center"/>
      <protection/>
    </xf>
    <xf numFmtId="49" fontId="15" fillId="3" borderId="19" xfId="0" applyNumberFormat="1" applyBorder="1" applyAlignment="1" applyProtection="1">
      <alignment horizontal="right" vertical="center"/>
      <protection locked="0"/>
    </xf>
    <xf numFmtId="49" fontId="15" fillId="3" borderId="6" xfId="0" applyNumberFormat="1" applyBorder="1" applyAlignment="1" applyProtection="1">
      <alignment horizontal="left" vertical="center"/>
      <protection locked="0"/>
    </xf>
    <xf numFmtId="0" fontId="0" fillId="0" borderId="20" xfId="0" applyNumberFormat="1" applyFill="1" applyBorder="1" applyAlignment="1" applyProtection="1">
      <alignment horizontal="left"/>
      <protection/>
    </xf>
    <xf numFmtId="49" fontId="0" fillId="0" borderId="0" xfId="0" applyNumberFormat="1" applyFill="1" applyAlignment="1" applyProtection="1">
      <alignment horizontal="left"/>
      <protection/>
    </xf>
    <xf numFmtId="0" fontId="0" fillId="0" borderId="21" xfId="0" applyNumberFormat="1" applyFill="1" applyBorder="1" applyAlignment="1" applyProtection="1">
      <alignment horizontal="left"/>
      <protection/>
    </xf>
  </cellXfs>
  <cellStyles count="12">
    <cellStyle name="Normal" xfId="0"/>
    <cellStyle name="Percent" xfId="15"/>
    <cellStyle name="Currency" xfId="16"/>
    <cellStyle name="Currency [0]" xfId="17"/>
    <cellStyle name="Comma" xfId="18"/>
    <cellStyle name="Comma [0]" xfId="19"/>
    <cellStyle name="Heading 1" xfId="20"/>
    <cellStyle name="Heading 3" xfId="21"/>
    <cellStyle name="Heading 4" xfId="22"/>
    <cellStyle name="Calculation" xfId="23"/>
    <cellStyle name="40% - Accent1" xfId="24"/>
    <cellStyle name="Hyperlink" xfId="25"/>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x:ext xmlns:x15="http://schemas.microsoft.com/office/spreadsheetml/2010/11/main" uri="{9260A510-F301-46a8-8635-F512D64BE5F5}">
      <x15:timelineStyles defaultTimelineStyle="TimeSlicerStyleLight1"/>
    </x: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microsoft.com/office/2006/relationships/vbaProject" Target="vbaProject.bin"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38100</xdr:colOff>
      <xdr:row>0</xdr:row>
      <xdr:rowOff>57150</xdr:rowOff>
    </xdr:from>
    <xdr:to>
      <xdr:col>3</xdr:col>
      <xdr:colOff>334053</xdr:colOff>
      <xdr:row>0</xdr:row>
      <xdr:rowOff>544041</xdr:rowOff>
    </xdr:to>
    <xdr:pic>
      <xdr:nvPicPr>
        <xdr:cNvPr id="3" name="Picture 2" descr="Seachef_Logo.jpg"/>
        <xdr:cNvPicPr>
          <a:picLocks noChangeAspect="1"/>
        </xdr:cNvPicPr>
      </xdr:nvPicPr>
      <xdr:blipFill>
        <a:blip r:embed="rId1"/>
        <a:stretch>
          <a:fillRect/>
        </a:stretch>
      </xdr:blipFill>
      <xdr:spPr>
        <a:xfrm>
          <a:off x="38100" y="57150"/>
          <a:ext cx="1704975" cy="4857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hyperlink" Target="mailto:seachef@seachef.com" TargetMode="External" /><Relationship Id="rId2" Type="http://schemas.openxmlformats.org/officeDocument/2006/relationships/drawing" Target="../drawings/drawing1.xml" /><Relationship Id="rId3"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14="http://schemas.microsoft.com/office/spreadsheetml/2009/9/main" xmlns:xm="http://schemas.microsoft.com/office/excel/2006/main" xmlns:mc="http://schemas.openxmlformats.org/markup-compatibility/2006" xmlns:x14ac="http://schemas.microsoft.com/office/spreadsheetml/2009/9/ac" xmlns:x="http://schemas.openxmlformats.org/spreadsheetml/2006/main" mc:Ignorable="x14ac">
  <sheetPr codeName="Sheet1"/>
  <dimension ref="A1:U292"/>
  <sheetViews>
    <sheetView showGridLines="0" tabSelected="1" zoomScale="90" zoomScaleNormal="90" workbookViewId="0" topLeftCell="A1">
      <selection pane="topLeft" activeCell="U3" sqref="U3 U3"/>
    </sheetView>
  </sheetViews>
  <sheetFormatPr defaultColWidth="9.140625" defaultRowHeight="15"/>
  <cols>
    <col min="1" max="1" width="7" style="147" customWidth="1"/>
    <col min="2" max="2" width="4.85714285714286" style="147" hidden="1" customWidth="1"/>
    <col min="3" max="3" width="14.1428571428571" style="147" customWidth="1"/>
    <col min="4" max="4" width="27.4285714285714" style="147" customWidth="1"/>
    <col min="5" max="5" width="16.7142857142857" style="147" hidden="1" customWidth="1"/>
    <col min="6" max="6" width="12.7142857142857" style="147" customWidth="1"/>
    <col min="7" max="7" width="9.42857142857143" style="147" customWidth="1"/>
    <col min="8" max="9" width="7.42857142857143" style="147" customWidth="1"/>
    <col min="10" max="10" width="12.2857142857143" style="147" customWidth="1"/>
    <col min="11" max="11" width="9.28571428571429" style="147" customWidth="1"/>
    <col min="12" max="12" width="2.42857142857143" style="147" hidden="1" customWidth="1"/>
    <col min="13" max="13" width="13.8571428571429" style="147" customWidth="1"/>
    <col min="14" max="14" width="9.85714285714286" style="147" customWidth="1"/>
    <col min="15" max="15" width="8.42857142857143" style="147" customWidth="1"/>
    <col min="16" max="16" width="15.2857142857143" style="147" customWidth="1"/>
    <col min="17" max="17" width="24.1428571428571" style="147" customWidth="1"/>
    <col min="18" max="18" width="8.85714285714286" style="147" hidden="1" customWidth="1"/>
    <col min="19" max="19" width="18.5714285714286" style="147" customWidth="1"/>
    <col min="20" max="20" width="9.14285714285714" style="147" hidden="1" customWidth="1"/>
    <col min="21" max="21" width="9.14285714285714" style="148" customWidth="1"/>
    <col min="22" max="22" width="9.14285714285714" style="147" customWidth="1"/>
    <col min="23" max="23" width="9.14285714285714" style="147" hidden="1" customWidth="1"/>
    <col min="24" max="16384" width="9.14285714285714" style="147" customWidth="1"/>
  </cols>
  <sheetData>
    <row r="1" spans="1:21" ht="51" customHeight="1">
      <c r="A1" s="150"/>
      <c r="B1" s="150"/>
      <c r="C1" s="150"/>
      <c r="D1" s="151"/>
      <c r="E1" s="152"/>
      <c r="F1" s="152"/>
      <c r="G1" s="152"/>
      <c r="H1" s="151"/>
      <c r="I1" s="151"/>
      <c r="J1" s="151"/>
      <c r="K1" s="152"/>
      <c r="L1" s="152"/>
      <c r="M1" s="153" t="s">
        <v>0</v>
      </c>
      <c r="N1" s="154"/>
      <c r="O1" s="154"/>
      <c r="P1" s="154"/>
      <c r="Q1" s="154"/>
      <c r="R1" s="154"/>
      <c r="S1" s="154"/>
      <c r="T1" s="154"/>
      <c r="U1" s="155"/>
    </row>
    <row r="2" ht="5.25" customHeight="1">
      <c r="U2" s="148"/>
    </row>
    <row r="3" spans="1:21" ht="15.75" customHeight="1">
      <c r="A3" s="149" t="s">
        <v>1</v>
      </c>
      <c r="B3" s="149"/>
      <c r="C3" s="149"/>
      <c r="D3" s="149"/>
      <c r="E3" s="149"/>
      <c r="U3" s="148"/>
    </row>
    <row r="4" spans="1:21" ht="22.5" customHeight="1">
      <c r="A4" s="156" t="s">
        <v>2</v>
      </c>
      <c r="B4" s="156"/>
      <c r="C4" s="156"/>
      <c r="D4" s="156"/>
      <c r="E4" s="156"/>
      <c r="F4" s="156"/>
      <c r="G4" s="156"/>
      <c r="H4" s="157"/>
      <c r="I4" s="157"/>
      <c r="J4" s="157"/>
      <c r="K4" s="147"/>
      <c r="M4" s="158" t="s">
        <v>3</v>
      </c>
      <c r="N4" s="158"/>
      <c r="O4" s="159" t="s">
        <v>4</v>
      </c>
      <c r="P4" s="159"/>
      <c r="Q4" s="159"/>
      <c r="R4" s="157"/>
      <c r="S4" s="157"/>
      <c r="T4" s="157"/>
      <c r="U4" s="160"/>
    </row>
    <row r="5" spans="1:21" ht="13.5" customHeight="1">
      <c r="A5" s="107" t="s">
        <v>5</v>
      </c>
      <c r="B5" s="107"/>
      <c r="C5" s="107"/>
      <c r="D5" s="107"/>
      <c r="E5" s="107"/>
      <c r="F5" s="107"/>
      <c r="G5" s="107"/>
      <c r="H5" s="100"/>
      <c r="I5" s="100"/>
      <c r="J5" s="100"/>
      <c r="L5" s="151"/>
      <c r="M5" s="110" t="s">
        <v>6</v>
      </c>
      <c r="N5" s="110"/>
      <c r="O5" s="159" t="s">
        <v>7</v>
      </c>
      <c r="P5" s="159"/>
      <c r="Q5" s="159"/>
      <c r="R5" s="157"/>
      <c r="S5" s="157"/>
      <c r="T5" s="157"/>
      <c r="U5" s="160"/>
    </row>
    <row r="6" spans="1:21" ht="13.5" customHeight="1">
      <c r="A6" s="161" t="s">
        <v>8</v>
      </c>
      <c r="B6" s="161"/>
      <c r="C6" s="161"/>
      <c r="D6" s="161"/>
      <c r="E6" s="161"/>
      <c r="F6" s="161"/>
      <c r="G6" s="161"/>
      <c r="H6" s="162"/>
      <c r="I6" s="162"/>
      <c r="J6" s="162"/>
      <c r="K6" s="163"/>
      <c r="L6" s="163"/>
      <c r="M6" s="158" t="s">
        <v>9</v>
      </c>
      <c r="N6" s="158"/>
      <c r="O6" s="164">
        <v>43756</v>
      </c>
      <c r="P6" s="164"/>
      <c r="Q6" s="164"/>
      <c r="R6" s="157"/>
      <c r="S6" s="157"/>
      <c r="T6" s="157"/>
      <c r="U6" s="160"/>
    </row>
    <row r="7" spans="1:21" ht="13.5" customHeight="1">
      <c r="A7" s="165" t="s">
        <v>10</v>
      </c>
      <c r="B7" s="165"/>
      <c r="C7" s="165"/>
      <c r="D7" s="165"/>
      <c r="E7" s="165"/>
      <c r="F7" s="165"/>
      <c r="G7" s="165"/>
      <c r="H7" s="162"/>
      <c r="I7" s="162"/>
      <c r="J7" s="162"/>
      <c r="K7" s="163"/>
      <c r="L7" s="163"/>
      <c r="M7" s="158"/>
      <c r="N7" s="158"/>
      <c r="O7" s="114"/>
      <c r="P7" s="114"/>
      <c r="Q7" s="114"/>
      <c r="R7" s="114"/>
      <c r="S7" s="157"/>
      <c r="T7" s="157"/>
      <c r="U7" s="160"/>
    </row>
    <row r="8" spans="1:21" ht="13.5" customHeight="1">
      <c r="A8" s="165" t="s">
        <v>11</v>
      </c>
      <c r="B8" s="165"/>
      <c r="C8" s="165"/>
      <c r="D8" s="165"/>
      <c r="E8" s="165"/>
      <c r="F8" s="165"/>
      <c r="G8" s="165"/>
      <c r="H8" s="162"/>
      <c r="I8" s="162"/>
      <c r="J8" s="162"/>
      <c r="K8" s="166"/>
      <c r="L8" s="166"/>
      <c r="M8" s="158" t="s">
        <v>12</v>
      </c>
      <c r="N8" s="158"/>
      <c r="O8" s="167">
        <v>43756</v>
      </c>
      <c r="P8" s="167"/>
      <c r="Q8" s="157"/>
      <c r="R8" s="168"/>
      <c r="S8" s="168"/>
      <c r="T8" s="168"/>
      <c r="U8" s="169"/>
    </row>
    <row r="9" spans="1:19" ht="15" customHeight="1">
      <c r="A9" s="165" t="s">
        <v>13</v>
      </c>
      <c r="B9" s="165"/>
      <c r="C9" s="165"/>
      <c r="D9" s="165"/>
      <c r="E9" s="165"/>
      <c r="F9" s="165"/>
      <c r="G9" s="165"/>
      <c r="H9" s="170"/>
      <c r="I9" s="171"/>
      <c r="J9" s="166"/>
      <c r="K9" s="166"/>
      <c r="L9" s="172" t="s">
        <v>14</v>
      </c>
      <c r="M9" s="172"/>
      <c r="N9" s="114"/>
      <c r="O9" s="114" t="s">
        <v>15</v>
      </c>
      <c r="P9" s="114"/>
      <c r="Q9" s="114"/>
      <c r="R9" s="168"/>
      <c r="S9" s="168"/>
    </row>
    <row r="10" spans="1:21" ht="15" customHeight="1">
      <c r="A10" s="173" t="s">
        <v>16</v>
      </c>
      <c r="B10" s="173" t="s">
        <v>16</v>
      </c>
      <c r="C10" s="174" t="s">
        <v>17</v>
      </c>
      <c r="D10" s="165"/>
      <c r="E10" s="165"/>
      <c r="F10" s="162"/>
      <c r="G10" s="162"/>
      <c r="H10" s="162"/>
      <c r="I10" s="162"/>
      <c r="J10" s="162"/>
      <c r="K10" s="166"/>
      <c r="L10" s="166"/>
      <c r="M10" s="175" t="s">
        <v>18</v>
      </c>
      <c r="N10" s="175"/>
      <c r="O10" s="164">
        <v>43768.50</v>
      </c>
      <c r="P10" s="164"/>
      <c r="Q10" s="172"/>
      <c r="R10" s="168"/>
      <c r="S10" s="168"/>
      <c r="T10" s="168"/>
      <c r="U10" s="169"/>
    </row>
    <row r="11" spans="1:21" ht="15" customHeight="1">
      <c r="A11" s="106" t="s">
        <v>19</v>
      </c>
      <c r="B11" s="162"/>
      <c r="C11" s="127" t="s">
        <v>20</v>
      </c>
      <c r="D11" s="127"/>
      <c r="E11" s="127"/>
      <c r="F11" s="127"/>
      <c r="G11" s="127"/>
      <c r="H11" s="162"/>
      <c r="I11" s="162"/>
      <c r="J11" s="162"/>
      <c r="K11" s="166"/>
      <c r="L11" s="166"/>
      <c r="M11" s="175" t="s">
        <v>21</v>
      </c>
      <c r="N11" s="175"/>
      <c r="O11" s="176" t="s">
        <v>22</v>
      </c>
      <c r="P11" s="177" t="s">
        <v>23</v>
      </c>
      <c r="Q11" s="178">
        <v>9</v>
      </c>
      <c r="R11" s="168"/>
      <c r="S11" s="168"/>
      <c r="T11" s="168"/>
      <c r="U11" s="169"/>
    </row>
    <row r="12" spans="1:21" ht="15.75" customHeight="1">
      <c r="A12" s="125" t="s">
        <v>24</v>
      </c>
      <c r="B12" s="125"/>
      <c r="C12" s="125"/>
      <c r="D12" s="125"/>
      <c r="E12" s="179"/>
      <c r="F12" s="179"/>
      <c r="G12" s="179"/>
      <c r="H12" s="179"/>
      <c r="I12" s="179"/>
      <c r="J12" s="179"/>
      <c r="K12" s="163"/>
      <c r="L12" s="163"/>
      <c r="M12" s="158" t="s">
        <v>25</v>
      </c>
      <c r="N12" s="158"/>
      <c r="O12" s="180" t="s">
        <v>457</v>
      </c>
      <c r="P12" s="181"/>
      <c r="Q12" s="182"/>
      <c r="R12" s="168"/>
      <c r="S12" s="168"/>
      <c r="T12" s="168"/>
      <c r="U12" s="169"/>
    </row>
    <row r="13" spans="1:21" ht="15.75" customHeight="1">
      <c r="A13" s="110" t="s">
        <v>26</v>
      </c>
      <c r="B13" s="110"/>
      <c r="C13" s="110"/>
      <c r="D13" s="159" t="s">
        <v>27</v>
      </c>
      <c r="E13" s="159"/>
      <c r="F13" s="159"/>
      <c r="G13" s="159"/>
      <c r="H13" s="159"/>
      <c r="I13" s="159"/>
      <c r="J13" s="159"/>
      <c r="K13" s="163"/>
      <c r="L13" s="163"/>
      <c r="M13" s="183"/>
      <c r="N13" s="183"/>
      <c r="O13" s="184"/>
      <c r="P13" s="184"/>
      <c r="Q13" s="184"/>
      <c r="R13" s="184"/>
      <c r="S13" s="168"/>
      <c r="T13" s="168"/>
      <c r="U13" s="169"/>
    </row>
    <row r="14" spans="1:21" ht="16.5" customHeight="1">
      <c r="A14" s="110" t="s">
        <v>28</v>
      </c>
      <c r="B14" s="110"/>
      <c r="C14" s="110"/>
      <c r="D14" s="159" t="s">
        <v>29</v>
      </c>
      <c r="E14" s="159"/>
      <c r="F14" s="159"/>
      <c r="G14" s="159"/>
      <c r="H14" s="159"/>
      <c r="I14" s="159"/>
      <c r="J14" s="159"/>
      <c r="K14" s="163"/>
      <c r="L14" s="163"/>
      <c r="M14" s="110" t="s">
        <v>30</v>
      </c>
      <c r="N14" s="110"/>
      <c r="O14" s="185" t="s">
        <v>31</v>
      </c>
      <c r="P14" s="172"/>
      <c r="Q14" s="186"/>
      <c r="R14" s="157"/>
      <c r="S14" s="168"/>
      <c r="T14" s="168"/>
      <c r="U14" s="169"/>
    </row>
    <row r="15" spans="1:21" ht="15.75" customHeight="1">
      <c r="A15" s="110" t="s">
        <v>32</v>
      </c>
      <c r="B15" s="110"/>
      <c r="C15" s="110"/>
      <c r="D15" s="159"/>
      <c r="E15" s="159"/>
      <c r="F15" s="159"/>
      <c r="G15" s="159"/>
      <c r="H15" s="159"/>
      <c r="I15" s="159"/>
      <c r="J15" s="159"/>
      <c r="K15" s="163"/>
      <c r="L15" s="163"/>
      <c r="M15" s="110" t="s">
        <v>33</v>
      </c>
      <c r="N15" s="110"/>
      <c r="O15" s="187">
        <v>0</v>
      </c>
      <c r="P15" s="22"/>
      <c r="Q15" s="186" t="s">
        <v>34</v>
      </c>
      <c r="R15" s="157"/>
      <c r="S15" s="168"/>
      <c r="T15" s="168"/>
      <c r="U15" s="169"/>
    </row>
    <row r="16" spans="1:21" ht="15.75" customHeight="1">
      <c r="A16" s="110" t="s">
        <v>35</v>
      </c>
      <c r="B16" s="110"/>
      <c r="C16" s="110"/>
      <c r="D16" s="159"/>
      <c r="E16" s="159"/>
      <c r="F16" s="159"/>
      <c r="G16" s="159"/>
      <c r="H16" s="159"/>
      <c r="I16" s="159"/>
      <c r="J16" s="159"/>
      <c r="K16" s="163"/>
      <c r="L16" s="163"/>
      <c r="M16" s="110" t="s">
        <v>36</v>
      </c>
      <c r="N16" s="110"/>
      <c r="O16" s="187">
        <v>0</v>
      </c>
      <c r="P16" s="22"/>
      <c r="Q16" s="172"/>
      <c r="R16" s="157"/>
      <c r="S16" s="168"/>
      <c r="T16" s="168"/>
      <c r="U16" s="169"/>
    </row>
    <row r="17" spans="1:21" ht="13.5" customHeight="1">
      <c r="A17" s="110" t="s">
        <v>37</v>
      </c>
      <c r="B17" s="110"/>
      <c r="C17" s="110"/>
      <c r="D17" s="159" t="s">
        <v>38</v>
      </c>
      <c r="E17" s="159"/>
      <c r="F17" s="159"/>
      <c r="G17" s="159"/>
      <c r="H17" s="159"/>
      <c r="I17" s="159"/>
      <c r="J17" s="159"/>
      <c r="K17" s="163"/>
      <c r="L17" s="163"/>
      <c r="M17" s="188"/>
      <c r="N17" s="188"/>
      <c r="O17" s="188"/>
      <c r="P17" s="188"/>
      <c r="Q17" s="188"/>
      <c r="R17" s="188"/>
      <c r="S17" s="188"/>
      <c r="T17" s="163"/>
      <c r="U17" s="189"/>
    </row>
    <row r="18" spans="1:21" ht="13.5" customHeight="1">
      <c r="A18" s="163"/>
      <c r="B18" s="163"/>
      <c r="C18" s="163"/>
      <c r="D18" s="190"/>
      <c r="E18" s="191"/>
      <c r="F18" s="191"/>
      <c r="G18" s="190"/>
      <c r="H18" s="191"/>
      <c r="I18" s="191"/>
      <c r="J18" s="191"/>
      <c r="K18" s="191"/>
      <c r="L18" s="191"/>
      <c r="M18" s="190"/>
      <c r="N18" s="192"/>
      <c r="O18" s="163"/>
      <c r="P18" s="190"/>
      <c r="Q18" s="193"/>
      <c r="R18" s="190"/>
      <c r="S18" s="193"/>
      <c r="T18" s="163"/>
      <c r="U18" s="189"/>
    </row>
    <row r="19" spans="1:21" ht="27" customHeight="1">
      <c r="A19" s="194" t="s">
        <v>39</v>
      </c>
      <c r="B19" s="195"/>
      <c r="C19" s="195" t="s">
        <v>40</v>
      </c>
      <c r="D19" s="195" t="s">
        <v>41</v>
      </c>
      <c r="E19" s="195"/>
      <c r="F19" s="196" t="s">
        <v>42</v>
      </c>
      <c r="G19" s="197" t="s">
        <v>43</v>
      </c>
      <c r="H19" s="197" t="s">
        <v>44</v>
      </c>
      <c r="I19" s="197" t="s">
        <v>45</v>
      </c>
      <c r="J19" s="197" t="s">
        <v>46</v>
      </c>
      <c r="K19" s="197" t="s">
        <v>47</v>
      </c>
      <c r="L19" s="197">
        <f>CONCATENATE("Unit Price ","( ",Currency," )")</f>
      </c>
      <c r="M19" s="197"/>
      <c r="N19" s="197" t="s">
        <v>48</v>
      </c>
      <c r="O19" s="197" t="s">
        <v>49</v>
      </c>
      <c r="P19" s="197" t="s">
        <v>50</v>
      </c>
      <c r="Q19" s="197" t="s">
        <v>51</v>
      </c>
      <c r="R19" s="197"/>
      <c r="S19" s="197" t="s">
        <v>52</v>
      </c>
      <c r="T19" s="197"/>
      <c r="U19" s="198"/>
    </row>
    <row r="20" spans="1:21" ht="15">
      <c r="A20" s="199"/>
      <c r="B20" s="199">
        <v>0</v>
      </c>
      <c r="C20" s="200" t="s">
        <v>53</v>
      </c>
      <c r="D20" s="201"/>
      <c r="E20" s="202"/>
      <c r="F20" s="200"/>
      <c r="G20" s="203"/>
      <c r="H20" s="200"/>
      <c r="I20" s="200"/>
      <c r="J20" s="202"/>
      <c r="K20" s="204"/>
      <c r="L20" s="205"/>
      <c r="M20" s="206"/>
      <c r="N20" s="202"/>
      <c r="O20" s="202"/>
      <c r="P20" s="207"/>
      <c r="Q20" s="208"/>
      <c r="R20" s="208"/>
      <c r="S20" s="208"/>
      <c r="T20" s="209"/>
      <c r="U20" s="210"/>
    </row>
    <row r="21" spans="1:21" ht="15">
      <c r="A21" s="76">
        <v>1</v>
      </c>
      <c r="B21" s="76">
        <v>99990009554057</v>
      </c>
      <c r="C21" s="77">
        <v>2124593</v>
      </c>
      <c r="D21" s="78" t="s">
        <v>54</v>
      </c>
      <c r="E21" s="79"/>
      <c r="F21" s="77"/>
      <c r="G21" s="92">
        <v>0</v>
      </c>
      <c r="H21" s="80" t="s">
        <v>55</v>
      </c>
      <c r="I21" s="80"/>
      <c r="J21" s="79">
        <v>0</v>
      </c>
      <c r="K21" s="256">
        <v>5</v>
      </c>
      <c r="L21" s="257"/>
      <c r="M21" s="258">
        <v>11.14</v>
      </c>
      <c r="N21" s="259">
        <v>0</v>
      </c>
      <c r="O21" s="259">
        <v>0</v>
      </c>
      <c r="P21" s="260">
        <f>ROUND(((K21*M21)-(K21*M21*N21/100))+(((K21*M21)-(K21*M21*N21/100))*O21/100),2)</f>
      </c>
      <c r="Q21" s="261" t="s">
        <v>458</v>
      </c>
      <c r="R21" s="261"/>
      <c r="S21" s="81"/>
      <c r="T21" s="209"/>
      <c r="U21" s="210"/>
    </row>
    <row r="22" spans="1:21" ht="15">
      <c r="A22" s="76">
        <v>2</v>
      </c>
      <c r="B22" s="76">
        <v>99990010226287</v>
      </c>
      <c r="C22" s="77">
        <v>770653</v>
      </c>
      <c r="D22" s="78" t="s">
        <v>56</v>
      </c>
      <c r="E22" s="79"/>
      <c r="F22" s="77"/>
      <c r="G22" s="92">
        <v>0</v>
      </c>
      <c r="H22" s="80" t="s">
        <v>55</v>
      </c>
      <c r="I22" s="80"/>
      <c r="J22" s="79">
        <v>0</v>
      </c>
      <c r="K22" s="256">
        <v>2</v>
      </c>
      <c r="L22" s="257"/>
      <c r="M22" s="258">
        <v>2.19</v>
      </c>
      <c r="N22" s="259">
        <v>0</v>
      </c>
      <c r="O22" s="259">
        <v>0</v>
      </c>
      <c r="P22" s="260">
        <f>ROUND(((K22*M22)-(K22*M22*N22/100))+(((K22*M22)-(K22*M22*N22/100))*O22/100),2)</f>
      </c>
      <c r="Q22" s="261" t="s">
        <v>458</v>
      </c>
      <c r="R22" s="261"/>
      <c r="S22" s="81"/>
      <c r="T22" s="209"/>
      <c r="U22" s="210"/>
    </row>
    <row r="23" spans="1:21" ht="15">
      <c r="A23" s="76">
        <v>3</v>
      </c>
      <c r="B23" s="76">
        <v>99990009669830</v>
      </c>
      <c r="C23" s="77">
        <v>770305</v>
      </c>
      <c r="D23" s="78" t="s">
        <v>57</v>
      </c>
      <c r="E23" s="79"/>
      <c r="F23" s="77"/>
      <c r="G23" s="92">
        <v>0</v>
      </c>
      <c r="H23" s="80" t="s">
        <v>55</v>
      </c>
      <c r="I23" s="80"/>
      <c r="J23" s="79">
        <v>0</v>
      </c>
      <c r="K23" s="256">
        <v>4</v>
      </c>
      <c r="L23" s="257"/>
      <c r="M23" s="258">
        <v>3.84</v>
      </c>
      <c r="N23" s="259">
        <v>0</v>
      </c>
      <c r="O23" s="259">
        <v>0</v>
      </c>
      <c r="P23" s="260">
        <f>ROUND(((K23*M23)-(K23*M23*N23/100))+(((K23*M23)-(K23*M23*N23/100))*O23/100),2)</f>
      </c>
      <c r="Q23" s="261" t="s">
        <v>458</v>
      </c>
      <c r="R23" s="261"/>
      <c r="S23" s="81"/>
      <c r="T23" s="209"/>
      <c r="U23" s="210"/>
    </row>
    <row r="24" spans="1:21" ht="15">
      <c r="A24" s="76">
        <v>4</v>
      </c>
      <c r="B24" s="76">
        <v>99990008207944</v>
      </c>
      <c r="C24" s="77">
        <v>770307</v>
      </c>
      <c r="D24" s="78" t="s">
        <v>58</v>
      </c>
      <c r="E24" s="79"/>
      <c r="F24" s="77"/>
      <c r="G24" s="92">
        <v>0</v>
      </c>
      <c r="H24" s="80" t="s">
        <v>55</v>
      </c>
      <c r="I24" s="80"/>
      <c r="J24" s="79">
        <v>0</v>
      </c>
      <c r="K24" s="256">
        <v>4</v>
      </c>
      <c r="L24" s="257"/>
      <c r="M24" s="258">
        <v>5.85</v>
      </c>
      <c r="N24" s="259">
        <v>0</v>
      </c>
      <c r="O24" s="259">
        <v>0</v>
      </c>
      <c r="P24" s="260">
        <f>ROUND(((K24*M24)-(K24*M24*N24/100))+(((K24*M24)-(K24*M24*N24/100))*O24/100),2)</f>
      </c>
      <c r="Q24" s="261" t="s">
        <v>458</v>
      </c>
      <c r="R24" s="261"/>
      <c r="S24" s="81"/>
      <c r="T24" s="209"/>
      <c r="U24" s="210"/>
    </row>
    <row r="25" spans="1:21" ht="15">
      <c r="A25" s="76">
        <v>5</v>
      </c>
      <c r="B25" s="76">
        <v>99990010171296</v>
      </c>
      <c r="C25" s="77">
        <v>770657</v>
      </c>
      <c r="D25" s="78" t="s">
        <v>59</v>
      </c>
      <c r="E25" s="79"/>
      <c r="F25" s="77"/>
      <c r="G25" s="92">
        <v>0</v>
      </c>
      <c r="H25" s="80" t="s">
        <v>55</v>
      </c>
      <c r="I25" s="80"/>
      <c r="J25" s="79">
        <v>0</v>
      </c>
      <c r="K25" s="256">
        <v>5</v>
      </c>
      <c r="L25" s="257"/>
      <c r="M25" s="258">
        <v>5.3</v>
      </c>
      <c r="N25" s="259">
        <v>0</v>
      </c>
      <c r="O25" s="259">
        <v>0</v>
      </c>
      <c r="P25" s="260">
        <f>ROUND(((K25*M25)-(K25*M25*N25/100))+(((K25*M25)-(K25*M25*N25/100))*O25/100),2)</f>
      </c>
      <c r="Q25" s="261" t="s">
        <v>458</v>
      </c>
      <c r="R25" s="261"/>
      <c r="S25" s="81"/>
      <c r="T25" s="209"/>
      <c r="U25" s="210"/>
    </row>
    <row r="26" spans="1:21" ht="15">
      <c r="A26" s="76">
        <v>6</v>
      </c>
      <c r="B26" s="76">
        <v>99990009559904</v>
      </c>
      <c r="C26" s="77">
        <v>2126165</v>
      </c>
      <c r="D26" s="78" t="s">
        <v>60</v>
      </c>
      <c r="E26" s="79"/>
      <c r="F26" s="77"/>
      <c r="G26" s="92">
        <v>0</v>
      </c>
      <c r="H26" s="80" t="s">
        <v>55</v>
      </c>
      <c r="I26" s="80"/>
      <c r="J26" s="79">
        <v>0</v>
      </c>
      <c r="K26" s="256">
        <v>2</v>
      </c>
      <c r="L26" s="257"/>
      <c r="M26" s="258">
        <v>7.86</v>
      </c>
      <c r="N26" s="259">
        <v>0</v>
      </c>
      <c r="O26" s="259">
        <v>0</v>
      </c>
      <c r="P26" s="260">
        <f>ROUND(((K26*M26)-(K26*M26*N26/100))+(((K26*M26)-(K26*M26*N26/100))*O26/100),2)</f>
      </c>
      <c r="Q26" s="261" t="s">
        <v>458</v>
      </c>
      <c r="R26" s="261"/>
      <c r="S26" s="81"/>
      <c r="T26" s="209"/>
      <c r="U26" s="210"/>
    </row>
    <row r="27" spans="1:21" ht="15">
      <c r="A27" s="76">
        <v>7</v>
      </c>
      <c r="B27" s="76">
        <v>99990008655525</v>
      </c>
      <c r="C27" s="77">
        <v>270612</v>
      </c>
      <c r="D27" s="78" t="s">
        <v>61</v>
      </c>
      <c r="E27" s="79"/>
      <c r="F27" s="77"/>
      <c r="G27" s="92">
        <v>0</v>
      </c>
      <c r="H27" s="80" t="s">
        <v>55</v>
      </c>
      <c r="I27" s="80"/>
      <c r="J27" s="79">
        <v>0</v>
      </c>
      <c r="K27" s="256">
        <v>2</v>
      </c>
      <c r="L27" s="257"/>
      <c r="M27" s="258">
        <v>3.47</v>
      </c>
      <c r="N27" s="259">
        <v>0</v>
      </c>
      <c r="O27" s="259">
        <v>0</v>
      </c>
      <c r="P27" s="260">
        <f>ROUND(((K27*M27)-(K27*M27*N27/100))+(((K27*M27)-(K27*M27*N27/100))*O27/100),2)</f>
      </c>
      <c r="Q27" s="261"/>
      <c r="R27" s="261"/>
      <c r="S27" s="81"/>
      <c r="T27" s="209"/>
      <c r="U27" s="210"/>
    </row>
    <row r="28" spans="1:21" ht="15">
      <c r="A28" s="76">
        <v>8</v>
      </c>
      <c r="B28" s="76">
        <v>99990010080536</v>
      </c>
      <c r="C28" s="77" t="s">
        <v>62</v>
      </c>
      <c r="D28" s="78" t="s">
        <v>63</v>
      </c>
      <c r="E28" s="79"/>
      <c r="F28" s="77"/>
      <c r="G28" s="92">
        <v>0</v>
      </c>
      <c r="H28" s="80" t="s">
        <v>55</v>
      </c>
      <c r="I28" s="80"/>
      <c r="J28" s="79">
        <v>0</v>
      </c>
      <c r="K28" s="256">
        <v>12</v>
      </c>
      <c r="L28" s="257"/>
      <c r="M28" s="258">
        <v>1.33</v>
      </c>
      <c r="N28" s="259">
        <v>0</v>
      </c>
      <c r="O28" s="259">
        <v>0</v>
      </c>
      <c r="P28" s="260">
        <f>ROUND(((K28*M28)-(K28*M28*N28/100))+(((K28*M28)-(K28*M28*N28/100))*O28/100),2)</f>
      </c>
      <c r="Q28" s="261"/>
      <c r="R28" s="261"/>
      <c r="S28" s="81"/>
      <c r="T28" s="209"/>
      <c r="U28" s="210"/>
    </row>
    <row r="29" spans="1:21" ht="15">
      <c r="A29" s="76">
        <v>9</v>
      </c>
      <c r="B29" s="76">
        <v>99990009574317</v>
      </c>
      <c r="C29" s="77">
        <v>2137188</v>
      </c>
      <c r="D29" s="78" t="s">
        <v>64</v>
      </c>
      <c r="E29" s="79"/>
      <c r="F29" s="77"/>
      <c r="G29" s="92">
        <v>0</v>
      </c>
      <c r="H29" s="80" t="s">
        <v>55</v>
      </c>
      <c r="I29" s="80"/>
      <c r="J29" s="79">
        <v>0</v>
      </c>
      <c r="K29" s="256">
        <v>4</v>
      </c>
      <c r="L29" s="257"/>
      <c r="M29" s="258">
        <v>0.86</v>
      </c>
      <c r="N29" s="259">
        <v>0</v>
      </c>
      <c r="O29" s="259">
        <v>0</v>
      </c>
      <c r="P29" s="260">
        <f>ROUND(((K29*M29)-(K29*M29*N29/100))+(((K29*M29)-(K29*M29*N29/100))*O29/100),2)</f>
      </c>
      <c r="Q29" s="261"/>
      <c r="R29" s="261"/>
      <c r="S29" s="81"/>
      <c r="T29" s="209"/>
      <c r="U29" s="210"/>
    </row>
    <row r="30" spans="1:21" ht="15">
      <c r="A30" s="76">
        <v>10</v>
      </c>
      <c r="B30" s="76">
        <v>99990009574315</v>
      </c>
      <c r="C30" s="77">
        <v>2137186</v>
      </c>
      <c r="D30" s="78" t="s">
        <v>65</v>
      </c>
      <c r="E30" s="79"/>
      <c r="F30" s="77"/>
      <c r="G30" s="92">
        <v>0</v>
      </c>
      <c r="H30" s="80" t="s">
        <v>55</v>
      </c>
      <c r="I30" s="80"/>
      <c r="J30" s="79">
        <v>0</v>
      </c>
      <c r="K30" s="256">
        <v>2</v>
      </c>
      <c r="L30" s="257"/>
      <c r="M30" s="258">
        <v>0.46</v>
      </c>
      <c r="N30" s="259">
        <v>0</v>
      </c>
      <c r="O30" s="259">
        <v>0</v>
      </c>
      <c r="P30" s="260">
        <f>ROUND(((K30*M30)-(K30*M30*N30/100))+(((K30*M30)-(K30*M30*N30/100))*O30/100),2)</f>
      </c>
      <c r="Q30" s="261"/>
      <c r="R30" s="261"/>
      <c r="S30" s="81"/>
      <c r="T30" s="209"/>
      <c r="U30" s="210"/>
    </row>
    <row r="31" spans="1:21" ht="15">
      <c r="A31" s="76">
        <v>11</v>
      </c>
      <c r="B31" s="76">
        <v>99990009630906</v>
      </c>
      <c r="C31" s="77">
        <v>510888</v>
      </c>
      <c r="D31" s="78" t="s">
        <v>66</v>
      </c>
      <c r="E31" s="79"/>
      <c r="F31" s="77"/>
      <c r="G31" s="92">
        <v>0</v>
      </c>
      <c r="H31" s="80" t="s">
        <v>55</v>
      </c>
      <c r="I31" s="80"/>
      <c r="J31" s="79">
        <v>0</v>
      </c>
      <c r="K31" s="256">
        <v>6</v>
      </c>
      <c r="L31" s="257"/>
      <c r="M31" s="258">
        <v>2.16</v>
      </c>
      <c r="N31" s="259">
        <v>0</v>
      </c>
      <c r="O31" s="259">
        <v>0</v>
      </c>
      <c r="P31" s="260">
        <f>ROUND(((K31*M31)-(K31*M31*N31/100))+(((K31*M31)-(K31*M31*N31/100))*O31/100),2)</f>
      </c>
      <c r="Q31" s="261"/>
      <c r="R31" s="261"/>
      <c r="S31" s="81"/>
      <c r="T31" s="209"/>
      <c r="U31" s="210"/>
    </row>
    <row r="32" spans="1:21" ht="15">
      <c r="A32" s="76">
        <v>12</v>
      </c>
      <c r="B32" s="76">
        <v>99990008655536</v>
      </c>
      <c r="C32" s="77">
        <v>510785</v>
      </c>
      <c r="D32" s="78" t="s">
        <v>67</v>
      </c>
      <c r="E32" s="79"/>
      <c r="F32" s="77"/>
      <c r="G32" s="92">
        <v>0</v>
      </c>
      <c r="H32" s="80" t="s">
        <v>55</v>
      </c>
      <c r="I32" s="80"/>
      <c r="J32" s="79">
        <v>0</v>
      </c>
      <c r="K32" s="256">
        <v>10</v>
      </c>
      <c r="L32" s="257"/>
      <c r="M32" s="258">
        <v>0.95</v>
      </c>
      <c r="N32" s="259">
        <v>0</v>
      </c>
      <c r="O32" s="259">
        <v>0</v>
      </c>
      <c r="P32" s="260">
        <f>ROUND(((K32*M32)-(K32*M32*N32/100))+(((K32*M32)-(K32*M32*N32/100))*O32/100),2)</f>
      </c>
      <c r="Q32" s="261"/>
      <c r="R32" s="261"/>
      <c r="S32" s="81"/>
      <c r="T32" s="209"/>
      <c r="U32" s="210"/>
    </row>
    <row r="33" spans="1:21" ht="15">
      <c r="A33" s="76">
        <v>13</v>
      </c>
      <c r="B33" s="76">
        <v>99990008656623</v>
      </c>
      <c r="C33" s="77">
        <v>591601</v>
      </c>
      <c r="D33" s="78" t="s">
        <v>68</v>
      </c>
      <c r="E33" s="79"/>
      <c r="F33" s="77"/>
      <c r="G33" s="92">
        <v>0</v>
      </c>
      <c r="H33" s="80" t="s">
        <v>69</v>
      </c>
      <c r="I33" s="80"/>
      <c r="J33" s="79">
        <v>0</v>
      </c>
      <c r="K33" s="256">
        <v>1</v>
      </c>
      <c r="L33" s="257"/>
      <c r="M33" s="258">
        <v>248.46</v>
      </c>
      <c r="N33" s="259">
        <v>0</v>
      </c>
      <c r="O33" s="259">
        <v>0</v>
      </c>
      <c r="P33" s="260">
        <f>ROUND(((K33*M33)-(K33*M33*N33/100))+(((K33*M33)-(K33*M33*N33/100))*O33/100),2)</f>
      </c>
      <c r="Q33" s="261" t="s">
        <v>459</v>
      </c>
      <c r="R33" s="261"/>
      <c r="S33" s="81"/>
      <c r="T33" s="209"/>
      <c r="U33" s="210"/>
    </row>
    <row r="34" spans="1:21" ht="15">
      <c r="A34" s="76">
        <v>14</v>
      </c>
      <c r="B34" s="76">
        <v>99990009630907</v>
      </c>
      <c r="C34" s="77">
        <v>510892</v>
      </c>
      <c r="D34" s="78" t="s">
        <v>70</v>
      </c>
      <c r="E34" s="79"/>
      <c r="F34" s="77"/>
      <c r="G34" s="92">
        <v>0</v>
      </c>
      <c r="H34" s="80" t="s">
        <v>55</v>
      </c>
      <c r="I34" s="80"/>
      <c r="J34" s="79">
        <v>0</v>
      </c>
      <c r="K34" s="256">
        <v>10</v>
      </c>
      <c r="L34" s="257"/>
      <c r="M34" s="258">
        <v>2.01</v>
      </c>
      <c r="N34" s="259">
        <v>0</v>
      </c>
      <c r="O34" s="259">
        <v>0</v>
      </c>
      <c r="P34" s="260">
        <f>ROUND(((K34*M34)-(K34*M34*N34/100))+(((K34*M34)-(K34*M34*N34/100))*O34/100),2)</f>
      </c>
      <c r="Q34" s="261"/>
      <c r="R34" s="261"/>
      <c r="S34" s="81"/>
      <c r="T34" s="209"/>
      <c r="U34" s="210"/>
    </row>
    <row r="35" spans="1:21" ht="15">
      <c r="A35" s="76">
        <v>15</v>
      </c>
      <c r="B35" s="76">
        <v>99990008655458</v>
      </c>
      <c r="C35" s="77">
        <v>174277</v>
      </c>
      <c r="D35" s="78" t="s">
        <v>71</v>
      </c>
      <c r="E35" s="79"/>
      <c r="F35" s="77"/>
      <c r="G35" s="92">
        <v>0</v>
      </c>
      <c r="H35" s="80" t="s">
        <v>55</v>
      </c>
      <c r="I35" s="80"/>
      <c r="J35" s="79">
        <v>0</v>
      </c>
      <c r="K35" s="256">
        <v>12</v>
      </c>
      <c r="L35" s="257"/>
      <c r="M35" s="258">
        <v>0.9</v>
      </c>
      <c r="N35" s="259">
        <v>0</v>
      </c>
      <c r="O35" s="259">
        <v>0</v>
      </c>
      <c r="P35" s="260">
        <f>ROUND(((K35*M35)-(K35*M35*N35/100))+(((K35*M35)-(K35*M35*N35/100))*O35/100),2)</f>
      </c>
      <c r="Q35" s="261"/>
      <c r="R35" s="261"/>
      <c r="S35" s="81"/>
      <c r="T35" s="209"/>
      <c r="U35" s="210"/>
    </row>
    <row r="36" spans="1:21" ht="15">
      <c r="A36" s="76">
        <v>16</v>
      </c>
      <c r="B36" s="76">
        <v>99990008655497</v>
      </c>
      <c r="C36" s="77">
        <v>232602</v>
      </c>
      <c r="D36" s="78" t="s">
        <v>72</v>
      </c>
      <c r="E36" s="79"/>
      <c r="F36" s="77"/>
      <c r="G36" s="92">
        <v>0</v>
      </c>
      <c r="H36" s="80" t="s">
        <v>55</v>
      </c>
      <c r="I36" s="80"/>
      <c r="J36" s="79">
        <v>0</v>
      </c>
      <c r="K36" s="256">
        <v>2</v>
      </c>
      <c r="L36" s="257"/>
      <c r="M36" s="258">
        <v>1.19</v>
      </c>
      <c r="N36" s="259">
        <v>0</v>
      </c>
      <c r="O36" s="259">
        <v>0</v>
      </c>
      <c r="P36" s="260">
        <f>ROUND(((K36*M36)-(K36*M36*N36/100))+(((K36*M36)-(K36*M36*N36/100))*O36/100),2)</f>
      </c>
      <c r="Q36" s="261"/>
      <c r="R36" s="261"/>
      <c r="S36" s="81"/>
      <c r="T36" s="209"/>
      <c r="U36" s="210"/>
    </row>
    <row r="37" spans="1:21" ht="15">
      <c r="A37" s="76">
        <v>17</v>
      </c>
      <c r="B37" s="76">
        <v>99990008655451</v>
      </c>
      <c r="C37" s="77">
        <v>174231</v>
      </c>
      <c r="D37" s="78" t="s">
        <v>73</v>
      </c>
      <c r="E37" s="79"/>
      <c r="F37" s="77"/>
      <c r="G37" s="92">
        <v>0</v>
      </c>
      <c r="H37" s="80" t="s">
        <v>55</v>
      </c>
      <c r="I37" s="80"/>
      <c r="J37" s="79">
        <v>0</v>
      </c>
      <c r="K37" s="256">
        <v>8</v>
      </c>
      <c r="L37" s="257"/>
      <c r="M37" s="258">
        <v>5.76</v>
      </c>
      <c r="N37" s="259">
        <v>0</v>
      </c>
      <c r="O37" s="259">
        <v>0</v>
      </c>
      <c r="P37" s="260">
        <f>ROUND(((K37*M37)-(K37*M37*N37/100))+(((K37*M37)-(K37*M37*N37/100))*O37/100),2)</f>
      </c>
      <c r="Q37" s="261"/>
      <c r="R37" s="261"/>
      <c r="S37" s="81"/>
      <c r="T37" s="209"/>
      <c r="U37" s="210"/>
    </row>
    <row r="38" spans="1:21" ht="15">
      <c r="A38" s="76">
        <v>18</v>
      </c>
      <c r="B38" s="76">
        <v>99990008655444</v>
      </c>
      <c r="C38" s="77">
        <v>174176</v>
      </c>
      <c r="D38" s="78" t="s">
        <v>74</v>
      </c>
      <c r="E38" s="79"/>
      <c r="F38" s="77"/>
      <c r="G38" s="92">
        <v>0</v>
      </c>
      <c r="H38" s="80" t="s">
        <v>75</v>
      </c>
      <c r="I38" s="80"/>
      <c r="J38" s="79">
        <v>0</v>
      </c>
      <c r="K38" s="256">
        <v>6</v>
      </c>
      <c r="L38" s="257"/>
      <c r="M38" s="258">
        <v>4.5</v>
      </c>
      <c r="N38" s="259">
        <v>0</v>
      </c>
      <c r="O38" s="259">
        <v>0</v>
      </c>
      <c r="P38" s="260">
        <f>ROUND(((K38*M38)-(K38*M38*N38/100))+(((K38*M38)-(K38*M38*N38/100))*O38/100),2)</f>
      </c>
      <c r="Q38" s="261"/>
      <c r="R38" s="261"/>
      <c r="S38" s="81"/>
      <c r="T38" s="209"/>
      <c r="U38" s="210"/>
    </row>
    <row r="39" spans="1:21" ht="15">
      <c r="A39" s="76">
        <v>19</v>
      </c>
      <c r="B39" s="76">
        <v>99990008655456</v>
      </c>
      <c r="C39" s="77">
        <v>174275</v>
      </c>
      <c r="D39" s="78" t="s">
        <v>76</v>
      </c>
      <c r="E39" s="79"/>
      <c r="F39" s="77"/>
      <c r="G39" s="92">
        <v>0</v>
      </c>
      <c r="H39" s="80" t="s">
        <v>55</v>
      </c>
      <c r="I39" s="80"/>
      <c r="J39" s="79">
        <v>0</v>
      </c>
      <c r="K39" s="256">
        <v>6</v>
      </c>
      <c r="L39" s="257"/>
      <c r="M39" s="258">
        <v>2.04</v>
      </c>
      <c r="N39" s="259">
        <v>0</v>
      </c>
      <c r="O39" s="259">
        <v>0</v>
      </c>
      <c r="P39" s="260">
        <f>ROUND(((K39*M39)-(K39*M39*N39/100))+(((K39*M39)-(K39*M39*N39/100))*O39/100),2)</f>
      </c>
      <c r="Q39" s="261"/>
      <c r="R39" s="261"/>
      <c r="S39" s="81"/>
      <c r="T39" s="209"/>
      <c r="U39" s="210"/>
    </row>
    <row r="40" spans="1:21" ht="15">
      <c r="A40" s="76">
        <v>20</v>
      </c>
      <c r="B40" s="76">
        <v>99990008655462</v>
      </c>
      <c r="C40" s="77">
        <v>174291</v>
      </c>
      <c r="D40" s="78" t="s">
        <v>77</v>
      </c>
      <c r="E40" s="79"/>
      <c r="F40" s="77"/>
      <c r="G40" s="92">
        <v>0</v>
      </c>
      <c r="H40" s="80" t="s">
        <v>55</v>
      </c>
      <c r="I40" s="80"/>
      <c r="J40" s="79">
        <v>0</v>
      </c>
      <c r="K40" s="256">
        <v>3</v>
      </c>
      <c r="L40" s="257"/>
      <c r="M40" s="258">
        <v>2.22</v>
      </c>
      <c r="N40" s="259">
        <v>0</v>
      </c>
      <c r="O40" s="259">
        <v>0</v>
      </c>
      <c r="P40" s="260">
        <f>ROUND(((K40*M40)-(K40*M40*N40/100))+(((K40*M40)-(K40*M40*N40/100))*O40/100),2)</f>
      </c>
      <c r="Q40" s="261"/>
      <c r="R40" s="261"/>
      <c r="S40" s="81"/>
      <c r="T40" s="209"/>
      <c r="U40" s="210"/>
    </row>
    <row r="41" spans="1:21" ht="15">
      <c r="A41" s="76">
        <v>21</v>
      </c>
      <c r="B41" s="76">
        <v>99990008655463</v>
      </c>
      <c r="C41" s="77">
        <v>174292</v>
      </c>
      <c r="D41" s="78" t="s">
        <v>78</v>
      </c>
      <c r="E41" s="79"/>
      <c r="F41" s="77"/>
      <c r="G41" s="92">
        <v>0</v>
      </c>
      <c r="H41" s="80" t="s">
        <v>55</v>
      </c>
      <c r="I41" s="80"/>
      <c r="J41" s="79">
        <v>0</v>
      </c>
      <c r="K41" s="256">
        <v>10</v>
      </c>
      <c r="L41" s="257"/>
      <c r="M41" s="258">
        <v>2.22</v>
      </c>
      <c r="N41" s="259">
        <v>0</v>
      </c>
      <c r="O41" s="259">
        <v>0</v>
      </c>
      <c r="P41" s="260">
        <f>ROUND(((K41*M41)-(K41*M41*N41/100))+(((K41*M41)-(K41*M41*N41/100))*O41/100),2)</f>
      </c>
      <c r="Q41" s="261"/>
      <c r="R41" s="261"/>
      <c r="S41" s="81"/>
      <c r="T41" s="209"/>
      <c r="U41" s="210"/>
    </row>
    <row r="42" spans="1:21" ht="15">
      <c r="A42" s="76">
        <v>22</v>
      </c>
      <c r="B42" s="76">
        <v>99990012196026</v>
      </c>
      <c r="C42" s="77" t="s">
        <v>79</v>
      </c>
      <c r="D42" s="78" t="s">
        <v>80</v>
      </c>
      <c r="E42" s="79"/>
      <c r="F42" s="77"/>
      <c r="G42" s="92">
        <v>0</v>
      </c>
      <c r="H42" s="80" t="s">
        <v>55</v>
      </c>
      <c r="I42" s="80"/>
      <c r="J42" s="79">
        <v>0</v>
      </c>
      <c r="K42" s="256">
        <v>2</v>
      </c>
      <c r="L42" s="257"/>
      <c r="M42" s="258">
        <v>51.63</v>
      </c>
      <c r="N42" s="259">
        <v>0</v>
      </c>
      <c r="O42" s="259">
        <v>0</v>
      </c>
      <c r="P42" s="260">
        <f>ROUND(((K42*M42)-(K42*M42*N42/100))+(((K42*M42)-(K42*M42*N42/100))*O42/100),2)</f>
      </c>
      <c r="Q42" s="261" t="s">
        <v>460</v>
      </c>
      <c r="R42" s="261"/>
      <c r="S42" s="81"/>
      <c r="T42" s="209"/>
      <c r="U42" s="210"/>
    </row>
    <row r="43" spans="1:21" ht="15">
      <c r="A43" s="76">
        <v>23</v>
      </c>
      <c r="B43" s="76">
        <v>99990011823107</v>
      </c>
      <c r="C43" s="77" t="s">
        <v>81</v>
      </c>
      <c r="D43" s="78" t="s">
        <v>82</v>
      </c>
      <c r="E43" s="79"/>
      <c r="F43" s="77"/>
      <c r="G43" s="92">
        <v>0</v>
      </c>
      <c r="H43" s="80" t="s">
        <v>69</v>
      </c>
      <c r="I43" s="80"/>
      <c r="J43" s="79">
        <v>0</v>
      </c>
      <c r="K43" s="256">
        <v>1</v>
      </c>
      <c r="L43" s="257"/>
      <c r="M43" s="258">
        <v>32.03</v>
      </c>
      <c r="N43" s="259">
        <v>0</v>
      </c>
      <c r="O43" s="259">
        <v>0</v>
      </c>
      <c r="P43" s="260">
        <f>ROUND(((K43*M43)-(K43*M43*N43/100))+(((K43*M43)-(K43*M43*N43/100))*O43/100),2)</f>
      </c>
      <c r="Q43" s="261" t="s">
        <v>461</v>
      </c>
      <c r="R43" s="261"/>
      <c r="S43" s="81"/>
      <c r="T43" s="209"/>
      <c r="U43" s="210"/>
    </row>
    <row r="44" spans="1:21" ht="15">
      <c r="A44" s="76">
        <v>24</v>
      </c>
      <c r="B44" s="76">
        <v>99990008656766</v>
      </c>
      <c r="C44" s="77">
        <v>792410</v>
      </c>
      <c r="D44" s="78" t="s">
        <v>83</v>
      </c>
      <c r="E44" s="79"/>
      <c r="F44" s="77"/>
      <c r="G44" s="92">
        <v>0</v>
      </c>
      <c r="H44" s="80" t="s">
        <v>55</v>
      </c>
      <c r="I44" s="80"/>
      <c r="J44" s="79">
        <v>0</v>
      </c>
      <c r="K44" s="256">
        <v>25</v>
      </c>
      <c r="L44" s="257"/>
      <c r="M44" s="258">
        <v>0.1</v>
      </c>
      <c r="N44" s="259">
        <v>0</v>
      </c>
      <c r="O44" s="259">
        <v>0</v>
      </c>
      <c r="P44" s="260">
        <f>ROUND(((K44*M44)-(K44*M44*N44/100))+(((K44*M44)-(K44*M44*N44/100))*O44/100),2)</f>
      </c>
      <c r="Q44" s="261"/>
      <c r="R44" s="261"/>
      <c r="S44" s="81"/>
      <c r="T44" s="209"/>
      <c r="U44" s="210"/>
    </row>
    <row r="45" spans="1:21" ht="15">
      <c r="A45" s="76">
        <v>25</v>
      </c>
      <c r="B45" s="76">
        <v>99990008656763</v>
      </c>
      <c r="C45" s="77">
        <v>792403</v>
      </c>
      <c r="D45" s="78" t="s">
        <v>84</v>
      </c>
      <c r="E45" s="79"/>
      <c r="F45" s="77"/>
      <c r="G45" s="92">
        <v>0</v>
      </c>
      <c r="H45" s="80" t="s">
        <v>55</v>
      </c>
      <c r="I45" s="80"/>
      <c r="J45" s="79">
        <v>0</v>
      </c>
      <c r="K45" s="256">
        <v>25</v>
      </c>
      <c r="L45" s="257"/>
      <c r="M45" s="258">
        <v>0.13</v>
      </c>
      <c r="N45" s="259">
        <v>0</v>
      </c>
      <c r="O45" s="259">
        <v>0</v>
      </c>
      <c r="P45" s="260">
        <f>ROUND(((K45*M45)-(K45*M45*N45/100))+(((K45*M45)-(K45*M45*N45/100))*O45/100),2)</f>
      </c>
      <c r="Q45" s="261"/>
      <c r="R45" s="261"/>
      <c r="S45" s="81"/>
      <c r="T45" s="209"/>
      <c r="U45" s="210"/>
    </row>
    <row r="46" spans="1:21" ht="15">
      <c r="A46" s="76">
        <v>26</v>
      </c>
      <c r="B46" s="76">
        <v>99990008656767</v>
      </c>
      <c r="C46" s="77">
        <v>792413</v>
      </c>
      <c r="D46" s="78" t="s">
        <v>85</v>
      </c>
      <c r="E46" s="79"/>
      <c r="F46" s="77"/>
      <c r="G46" s="92">
        <v>0</v>
      </c>
      <c r="H46" s="80" t="s">
        <v>55</v>
      </c>
      <c r="I46" s="80"/>
      <c r="J46" s="79">
        <v>0</v>
      </c>
      <c r="K46" s="256">
        <v>10</v>
      </c>
      <c r="L46" s="257"/>
      <c r="M46" s="258">
        <v>0.51</v>
      </c>
      <c r="N46" s="259">
        <v>0</v>
      </c>
      <c r="O46" s="259">
        <v>0</v>
      </c>
      <c r="P46" s="260">
        <f>ROUND(((K46*M46)-(K46*M46*N46/100))+(((K46*M46)-(K46*M46*N46/100))*O46/100),2)</f>
      </c>
      <c r="Q46" s="261" t="s">
        <v>462</v>
      </c>
      <c r="R46" s="261"/>
      <c r="S46" s="81"/>
      <c r="T46" s="209"/>
      <c r="U46" s="210"/>
    </row>
    <row r="47" spans="1:21" ht="15">
      <c r="A47" s="76">
        <v>27</v>
      </c>
      <c r="B47" s="76">
        <v>99990008656872</v>
      </c>
      <c r="C47" s="77">
        <v>794851</v>
      </c>
      <c r="D47" s="78" t="s">
        <v>86</v>
      </c>
      <c r="E47" s="79"/>
      <c r="F47" s="77"/>
      <c r="G47" s="92">
        <v>0</v>
      </c>
      <c r="H47" s="80" t="s">
        <v>55</v>
      </c>
      <c r="I47" s="80"/>
      <c r="J47" s="79">
        <v>0</v>
      </c>
      <c r="K47" s="256">
        <v>100</v>
      </c>
      <c r="L47" s="257"/>
      <c r="M47" s="258">
        <v>0</v>
      </c>
      <c r="N47" s="259">
        <v>0</v>
      </c>
      <c r="O47" s="259">
        <v>0</v>
      </c>
      <c r="P47" s="260">
        <f>ROUND(((K47*M47)-(K47*M47*N47/100))+(((K47*M47)-(K47*M47*N47/100))*O47/100),2)</f>
      </c>
      <c r="Q47" s="261"/>
      <c r="R47" s="261"/>
      <c r="S47" s="81"/>
      <c r="T47" s="209"/>
      <c r="U47" s="210"/>
    </row>
    <row r="48" spans="1:21" ht="15">
      <c r="A48" s="76">
        <v>28</v>
      </c>
      <c r="B48" s="76">
        <v>99990008656873</v>
      </c>
      <c r="C48" s="77">
        <v>794852</v>
      </c>
      <c r="D48" s="78" t="s">
        <v>87</v>
      </c>
      <c r="E48" s="79"/>
      <c r="F48" s="77"/>
      <c r="G48" s="92">
        <v>0</v>
      </c>
      <c r="H48" s="80" t="s">
        <v>55</v>
      </c>
      <c r="I48" s="80"/>
      <c r="J48" s="79">
        <v>0</v>
      </c>
      <c r="K48" s="256">
        <v>100</v>
      </c>
      <c r="L48" s="257"/>
      <c r="M48" s="258">
        <v>0.01</v>
      </c>
      <c r="N48" s="259">
        <v>0</v>
      </c>
      <c r="O48" s="259">
        <v>0</v>
      </c>
      <c r="P48" s="260">
        <f>ROUND(((K48*M48)-(K48*M48*N48/100))+(((K48*M48)-(K48*M48*N48/100))*O48/100),2)</f>
      </c>
      <c r="Q48" s="261"/>
      <c r="R48" s="261"/>
      <c r="S48" s="81"/>
      <c r="T48" s="209"/>
      <c r="U48" s="210"/>
    </row>
    <row r="49" spans="1:21" ht="15">
      <c r="A49" s="76">
        <v>29</v>
      </c>
      <c r="B49" s="76">
        <v>99990008656878</v>
      </c>
      <c r="C49" s="77">
        <v>794857</v>
      </c>
      <c r="D49" s="78" t="s">
        <v>88</v>
      </c>
      <c r="E49" s="79"/>
      <c r="F49" s="77"/>
      <c r="G49" s="92">
        <v>0</v>
      </c>
      <c r="H49" s="80" t="s">
        <v>55</v>
      </c>
      <c r="I49" s="80"/>
      <c r="J49" s="79">
        <v>0</v>
      </c>
      <c r="K49" s="256">
        <v>50</v>
      </c>
      <c r="L49" s="257"/>
      <c r="M49" s="258">
        <v>0.04</v>
      </c>
      <c r="N49" s="259">
        <v>0</v>
      </c>
      <c r="O49" s="259">
        <v>0</v>
      </c>
      <c r="P49" s="260">
        <f>ROUND(((K49*M49)-(K49*M49*N49/100))+(((K49*M49)-(K49*M49*N49/100))*O49/100),2)</f>
      </c>
      <c r="Q49" s="261"/>
      <c r="R49" s="261"/>
      <c r="S49" s="81"/>
      <c r="T49" s="209"/>
      <c r="U49" s="210"/>
    </row>
    <row r="50" spans="1:21" ht="15">
      <c r="A50" s="76">
        <v>30</v>
      </c>
      <c r="B50" s="76">
        <v>99990011680364</v>
      </c>
      <c r="C50" s="77" t="s">
        <v>89</v>
      </c>
      <c r="D50" s="78" t="s">
        <v>90</v>
      </c>
      <c r="E50" s="79"/>
      <c r="F50" s="77"/>
      <c r="G50" s="92">
        <v>0</v>
      </c>
      <c r="H50" s="80" t="s">
        <v>55</v>
      </c>
      <c r="I50" s="80"/>
      <c r="J50" s="79">
        <v>0</v>
      </c>
      <c r="K50" s="256">
        <v>2</v>
      </c>
      <c r="L50" s="257"/>
      <c r="M50" s="258">
        <v>6.35</v>
      </c>
      <c r="N50" s="259">
        <v>0</v>
      </c>
      <c r="O50" s="259">
        <v>0</v>
      </c>
      <c r="P50" s="260">
        <f>ROUND(((K50*M50)-(K50*M50*N50/100))+(((K50*M50)-(K50*M50*N50/100))*O50/100),2)</f>
      </c>
      <c r="Q50" s="261" t="s">
        <v>463</v>
      </c>
      <c r="R50" s="261"/>
      <c r="S50" s="81"/>
      <c r="T50" s="209"/>
      <c r="U50" s="210"/>
    </row>
    <row r="51" spans="1:21" ht="15">
      <c r="A51" s="76">
        <v>31</v>
      </c>
      <c r="B51" s="76">
        <v>99990008656887</v>
      </c>
      <c r="C51" s="77">
        <v>795178</v>
      </c>
      <c r="D51" s="78" t="s">
        <v>91</v>
      </c>
      <c r="E51" s="79"/>
      <c r="F51" s="77"/>
      <c r="G51" s="92">
        <v>0</v>
      </c>
      <c r="H51" s="80" t="s">
        <v>55</v>
      </c>
      <c r="I51" s="80"/>
      <c r="J51" s="79">
        <v>0</v>
      </c>
      <c r="K51" s="256">
        <v>1</v>
      </c>
      <c r="L51" s="257"/>
      <c r="M51" s="258">
        <v>2.4</v>
      </c>
      <c r="N51" s="259">
        <v>0</v>
      </c>
      <c r="O51" s="259">
        <v>0</v>
      </c>
      <c r="P51" s="260">
        <f>ROUND(((K51*M51)-(K51*M51*N51/100))+(((K51*M51)-(K51*M51*N51/100))*O51/100),2)</f>
      </c>
      <c r="Q51" s="261"/>
      <c r="R51" s="261"/>
      <c r="S51" s="81"/>
      <c r="T51" s="209"/>
      <c r="U51" s="210"/>
    </row>
    <row r="52" spans="1:21" ht="15">
      <c r="A52" s="76">
        <v>32</v>
      </c>
      <c r="B52" s="76">
        <v>99990009546062</v>
      </c>
      <c r="C52" s="77">
        <v>2120833</v>
      </c>
      <c r="D52" s="78" t="s">
        <v>92</v>
      </c>
      <c r="E52" s="79"/>
      <c r="F52" s="77"/>
      <c r="G52" s="92">
        <v>0</v>
      </c>
      <c r="H52" s="80" t="s">
        <v>55</v>
      </c>
      <c r="I52" s="80"/>
      <c r="J52" s="79">
        <v>0</v>
      </c>
      <c r="K52" s="256">
        <v>2</v>
      </c>
      <c r="L52" s="257"/>
      <c r="M52" s="258">
        <v>31.06</v>
      </c>
      <c r="N52" s="259">
        <v>0</v>
      </c>
      <c r="O52" s="259">
        <v>0</v>
      </c>
      <c r="P52" s="260">
        <f>ROUND(((K52*M52)-(K52*M52*N52/100))+(((K52*M52)-(K52*M52*N52/100))*O52/100),2)</f>
      </c>
      <c r="Q52" s="261" t="s">
        <v>464</v>
      </c>
      <c r="R52" s="261"/>
      <c r="S52" s="81"/>
      <c r="T52" s="209"/>
      <c r="U52" s="210"/>
    </row>
    <row r="53" spans="1:21" ht="15">
      <c r="A53" s="76">
        <v>33</v>
      </c>
      <c r="B53" s="76">
        <v>99990009694185</v>
      </c>
      <c r="C53" s="77">
        <v>791887</v>
      </c>
      <c r="D53" s="78" t="s">
        <v>93</v>
      </c>
      <c r="E53" s="79"/>
      <c r="F53" s="77"/>
      <c r="G53" s="92">
        <v>0</v>
      </c>
      <c r="H53" s="80" t="s">
        <v>55</v>
      </c>
      <c r="I53" s="80"/>
      <c r="J53" s="79">
        <v>0</v>
      </c>
      <c r="K53" s="256">
        <v>2</v>
      </c>
      <c r="L53" s="257"/>
      <c r="M53" s="258">
        <v>49.33</v>
      </c>
      <c r="N53" s="259">
        <v>0</v>
      </c>
      <c r="O53" s="259">
        <v>0</v>
      </c>
      <c r="P53" s="260">
        <f>ROUND(((K53*M53)-(K53*M53*N53/100))+(((K53*M53)-(K53*M53*N53/100))*O53/100),2)</f>
      </c>
      <c r="Q53" s="261" t="s">
        <v>464</v>
      </c>
      <c r="R53" s="261"/>
      <c r="S53" s="81"/>
      <c r="T53" s="209"/>
      <c r="U53" s="210"/>
    </row>
    <row r="54" spans="1:21" ht="15">
      <c r="A54" s="76">
        <v>34</v>
      </c>
      <c r="B54" s="76">
        <v>99990009574382</v>
      </c>
      <c r="C54" s="77">
        <v>2137253</v>
      </c>
      <c r="D54" s="78" t="s">
        <v>94</v>
      </c>
      <c r="E54" s="79"/>
      <c r="F54" s="77"/>
      <c r="G54" s="92">
        <v>0</v>
      </c>
      <c r="H54" s="80" t="s">
        <v>55</v>
      </c>
      <c r="I54" s="80"/>
      <c r="J54" s="79">
        <v>0</v>
      </c>
      <c r="K54" s="256">
        <v>3</v>
      </c>
      <c r="L54" s="257"/>
      <c r="M54" s="258">
        <v>45.75</v>
      </c>
      <c r="N54" s="259">
        <v>0</v>
      </c>
      <c r="O54" s="259">
        <v>0</v>
      </c>
      <c r="P54" s="260">
        <f>ROUND(((K54*M54)-(K54*M54*N54/100))+(((K54*M54)-(K54*M54*N54/100))*O54/100),2)</f>
      </c>
      <c r="Q54" s="261" t="s">
        <v>465</v>
      </c>
      <c r="R54" s="261"/>
      <c r="S54" s="81"/>
      <c r="T54" s="209"/>
      <c r="U54" s="210"/>
    </row>
    <row r="55" spans="1:21" ht="15">
      <c r="A55" s="76">
        <v>35</v>
      </c>
      <c r="B55" s="76">
        <v>99990011921128</v>
      </c>
      <c r="C55" s="77" t="s">
        <v>95</v>
      </c>
      <c r="D55" s="78" t="s">
        <v>96</v>
      </c>
      <c r="E55" s="79"/>
      <c r="F55" s="77"/>
      <c r="G55" s="92">
        <v>0</v>
      </c>
      <c r="H55" s="80" t="s">
        <v>55</v>
      </c>
      <c r="I55" s="80"/>
      <c r="J55" s="79">
        <v>0</v>
      </c>
      <c r="K55" s="256">
        <v>2</v>
      </c>
      <c r="L55" s="257"/>
      <c r="M55" s="258">
        <v>33.36</v>
      </c>
      <c r="N55" s="259">
        <v>0</v>
      </c>
      <c r="O55" s="259">
        <v>0</v>
      </c>
      <c r="P55" s="260">
        <f>ROUND(((K55*M55)-(K55*M55*N55/100))+(((K55*M55)-(K55*M55*N55/100))*O55/100),2)</f>
      </c>
      <c r="Q55" s="261" t="s">
        <v>466</v>
      </c>
      <c r="R55" s="261"/>
      <c r="S55" s="81"/>
      <c r="T55" s="209"/>
      <c r="U55" s="210"/>
    </row>
    <row r="56" spans="1:21" ht="15">
      <c r="A56" s="76">
        <v>36</v>
      </c>
      <c r="B56" s="76">
        <v>99990008656813</v>
      </c>
      <c r="C56" s="77">
        <v>793736</v>
      </c>
      <c r="D56" s="78" t="s">
        <v>97</v>
      </c>
      <c r="E56" s="79"/>
      <c r="F56" s="77"/>
      <c r="G56" s="92">
        <v>0</v>
      </c>
      <c r="H56" s="80" t="s">
        <v>98</v>
      </c>
      <c r="I56" s="80"/>
      <c r="J56" s="79">
        <v>0</v>
      </c>
      <c r="K56" s="256">
        <v>1</v>
      </c>
      <c r="L56" s="257"/>
      <c r="M56" s="258">
        <v>1.2</v>
      </c>
      <c r="N56" s="259">
        <v>0</v>
      </c>
      <c r="O56" s="259">
        <v>0</v>
      </c>
      <c r="P56" s="260">
        <f>ROUND(((K56*M56)-(K56*M56*N56/100))+(((K56*M56)-(K56*M56*N56/100))*O56/100),2)</f>
      </c>
      <c r="Q56" s="261"/>
      <c r="R56" s="261"/>
      <c r="S56" s="81"/>
      <c r="T56" s="209"/>
      <c r="U56" s="210"/>
    </row>
    <row r="57" spans="1:21" ht="15">
      <c r="A57" s="76">
        <v>37</v>
      </c>
      <c r="B57" s="76">
        <v>99990011680372</v>
      </c>
      <c r="C57" s="77" t="s">
        <v>99</v>
      </c>
      <c r="D57" s="78" t="s">
        <v>100</v>
      </c>
      <c r="E57" s="79"/>
      <c r="F57" s="77"/>
      <c r="G57" s="92">
        <v>0</v>
      </c>
      <c r="H57" s="80" t="s">
        <v>55</v>
      </c>
      <c r="I57" s="80"/>
      <c r="J57" s="79">
        <v>0</v>
      </c>
      <c r="K57" s="256">
        <v>3</v>
      </c>
      <c r="L57" s="257"/>
      <c r="M57" s="258">
        <v>12.91</v>
      </c>
      <c r="N57" s="259">
        <v>0</v>
      </c>
      <c r="O57" s="259">
        <v>0</v>
      </c>
      <c r="P57" s="260">
        <f>ROUND(((K57*M57)-(K57*M57*N57/100))+(((K57*M57)-(K57*M57*N57/100))*O57/100),2)</f>
      </c>
      <c r="Q57" s="261"/>
      <c r="R57" s="261"/>
      <c r="S57" s="81"/>
      <c r="T57" s="209"/>
      <c r="U57" s="210"/>
    </row>
    <row r="58" spans="1:21" ht="15">
      <c r="A58" s="76">
        <v>38</v>
      </c>
      <c r="B58" s="76">
        <v>99990011074654</v>
      </c>
      <c r="C58" s="77">
        <v>795781</v>
      </c>
      <c r="D58" s="78" t="s">
        <v>101</v>
      </c>
      <c r="E58" s="79"/>
      <c r="F58" s="77"/>
      <c r="G58" s="92">
        <v>0</v>
      </c>
      <c r="H58" s="80" t="s">
        <v>69</v>
      </c>
      <c r="I58" s="80"/>
      <c r="J58" s="79">
        <v>0</v>
      </c>
      <c r="K58" s="256">
        <v>1</v>
      </c>
      <c r="L58" s="257"/>
      <c r="M58" s="258">
        <v>80.07</v>
      </c>
      <c r="N58" s="259">
        <v>0</v>
      </c>
      <c r="O58" s="259">
        <v>0</v>
      </c>
      <c r="P58" s="260">
        <f>ROUND(((K58*M58)-(K58*M58*N58/100))+(((K58*M58)-(K58*M58*N58/100))*O58/100),2)</f>
      </c>
      <c r="Q58" s="261" t="s">
        <v>467</v>
      </c>
      <c r="R58" s="261"/>
      <c r="S58" s="81"/>
      <c r="T58" s="209"/>
      <c r="U58" s="210"/>
    </row>
    <row r="59" spans="1:21" ht="15">
      <c r="A59" s="76">
        <v>39</v>
      </c>
      <c r="B59" s="76">
        <v>99990008656786</v>
      </c>
      <c r="C59" s="77">
        <v>792892</v>
      </c>
      <c r="D59" s="78" t="s">
        <v>102</v>
      </c>
      <c r="E59" s="79"/>
      <c r="F59" s="77"/>
      <c r="G59" s="92">
        <v>0</v>
      </c>
      <c r="H59" s="80" t="s">
        <v>55</v>
      </c>
      <c r="I59" s="80"/>
      <c r="J59" s="79">
        <v>0</v>
      </c>
      <c r="K59" s="256">
        <v>10</v>
      </c>
      <c r="L59" s="257"/>
      <c r="M59" s="258">
        <v>1.57</v>
      </c>
      <c r="N59" s="259">
        <v>0</v>
      </c>
      <c r="O59" s="259">
        <v>0</v>
      </c>
      <c r="P59" s="260">
        <f>ROUND(((K59*M59)-(K59*M59*N59/100))+(((K59*M59)-(K59*M59*N59/100))*O59/100),2)</f>
      </c>
      <c r="Q59" s="261"/>
      <c r="R59" s="261"/>
      <c r="S59" s="81"/>
      <c r="T59" s="209"/>
      <c r="U59" s="210"/>
    </row>
    <row r="60" spans="1:21" ht="15">
      <c r="A60" s="76">
        <v>40</v>
      </c>
      <c r="B60" s="76">
        <v>99990008656727</v>
      </c>
      <c r="C60" s="77">
        <v>791437</v>
      </c>
      <c r="D60" s="78" t="s">
        <v>103</v>
      </c>
      <c r="E60" s="79"/>
      <c r="F60" s="77"/>
      <c r="G60" s="92">
        <v>0</v>
      </c>
      <c r="H60" s="80" t="s">
        <v>55</v>
      </c>
      <c r="I60" s="80"/>
      <c r="J60" s="79">
        <v>0</v>
      </c>
      <c r="K60" s="256">
        <v>100</v>
      </c>
      <c r="L60" s="257"/>
      <c r="M60" s="258">
        <v>0.57</v>
      </c>
      <c r="N60" s="259">
        <v>0</v>
      </c>
      <c r="O60" s="259">
        <v>0</v>
      </c>
      <c r="P60" s="260">
        <f>ROUND(((K60*M60)-(K60*M60*N60/100))+(((K60*M60)-(K60*M60*N60/100))*O60/100),2)</f>
      </c>
      <c r="Q60" s="261"/>
      <c r="R60" s="261"/>
      <c r="S60" s="81"/>
      <c r="T60" s="209"/>
      <c r="U60" s="210"/>
    </row>
    <row r="61" spans="1:21" ht="15">
      <c r="A61" s="76">
        <v>41</v>
      </c>
      <c r="B61" s="76">
        <v>99990008656722</v>
      </c>
      <c r="C61" s="77">
        <v>791432</v>
      </c>
      <c r="D61" s="78" t="s">
        <v>104</v>
      </c>
      <c r="E61" s="79"/>
      <c r="F61" s="77"/>
      <c r="G61" s="92">
        <v>0</v>
      </c>
      <c r="H61" s="80" t="s">
        <v>55</v>
      </c>
      <c r="I61" s="80"/>
      <c r="J61" s="79">
        <v>0</v>
      </c>
      <c r="K61" s="256">
        <v>150</v>
      </c>
      <c r="L61" s="257"/>
      <c r="M61" s="258">
        <v>0.54</v>
      </c>
      <c r="N61" s="259">
        <v>0</v>
      </c>
      <c r="O61" s="259">
        <v>0</v>
      </c>
      <c r="P61" s="260">
        <f>ROUND(((K61*M61)-(K61*M61*N61/100))+(((K61*M61)-(K61*M61*N61/100))*O61/100),2)</f>
      </c>
      <c r="Q61" s="261"/>
      <c r="R61" s="261"/>
      <c r="S61" s="81"/>
      <c r="T61" s="209"/>
      <c r="U61" s="210"/>
    </row>
    <row r="62" spans="1:21" ht="15">
      <c r="A62" s="76">
        <v>42</v>
      </c>
      <c r="B62" s="76">
        <v>99990009456774</v>
      </c>
      <c r="C62" s="77">
        <v>2112820</v>
      </c>
      <c r="D62" s="78" t="s">
        <v>105</v>
      </c>
      <c r="E62" s="79"/>
      <c r="F62" s="77"/>
      <c r="G62" s="92">
        <v>0</v>
      </c>
      <c r="H62" s="80" t="s">
        <v>55</v>
      </c>
      <c r="I62" s="80"/>
      <c r="J62" s="79">
        <v>0</v>
      </c>
      <c r="K62" s="256">
        <v>50</v>
      </c>
      <c r="L62" s="257"/>
      <c r="M62" s="258">
        <v>2.98</v>
      </c>
      <c r="N62" s="259">
        <v>0</v>
      </c>
      <c r="O62" s="259">
        <v>0</v>
      </c>
      <c r="P62" s="260">
        <f>ROUND(((K62*M62)-(K62*M62*N62/100))+(((K62*M62)-(K62*M62*N62/100))*O62/100),2)</f>
      </c>
      <c r="Q62" s="261"/>
      <c r="R62" s="261"/>
      <c r="S62" s="81" t="s">
        <v>106</v>
      </c>
      <c r="T62" s="209"/>
      <c r="U62" s="210"/>
    </row>
    <row r="63" spans="1:21" ht="15">
      <c r="A63" s="76">
        <v>43</v>
      </c>
      <c r="B63" s="76">
        <v>99990009456775</v>
      </c>
      <c r="C63" s="77">
        <v>2112821</v>
      </c>
      <c r="D63" s="78" t="s">
        <v>107</v>
      </c>
      <c r="E63" s="79"/>
      <c r="F63" s="77"/>
      <c r="G63" s="92">
        <v>0</v>
      </c>
      <c r="H63" s="80" t="s">
        <v>55</v>
      </c>
      <c r="I63" s="80"/>
      <c r="J63" s="79">
        <v>0</v>
      </c>
      <c r="K63" s="256">
        <v>50</v>
      </c>
      <c r="L63" s="257"/>
      <c r="M63" s="258">
        <v>0</v>
      </c>
      <c r="N63" s="259">
        <v>0</v>
      </c>
      <c r="O63" s="259">
        <v>0</v>
      </c>
      <c r="P63" s="260">
        <f>ROUND(((K63*M63)-(K63*M63*N63/100))+(((K63*M63)-(K63*M63*N63/100))*O63/100),2)</f>
      </c>
      <c r="Q63" s="261" t="s">
        <v>468</v>
      </c>
      <c r="R63" s="261"/>
      <c r="S63" s="81" t="s">
        <v>106</v>
      </c>
      <c r="T63" s="209"/>
      <c r="U63" s="210"/>
    </row>
    <row r="64" spans="1:21" ht="15">
      <c r="A64" s="76">
        <v>44</v>
      </c>
      <c r="B64" s="76">
        <v>99990014674770</v>
      </c>
      <c r="C64" s="77">
        <v>2948511</v>
      </c>
      <c r="D64" s="78" t="s">
        <v>108</v>
      </c>
      <c r="E64" s="79"/>
      <c r="F64" s="77"/>
      <c r="G64" s="92">
        <v>0</v>
      </c>
      <c r="H64" s="80" t="s">
        <v>109</v>
      </c>
      <c r="I64" s="80"/>
      <c r="J64" s="79">
        <v>0</v>
      </c>
      <c r="K64" s="256">
        <v>50</v>
      </c>
      <c r="L64" s="257"/>
      <c r="M64" s="258">
        <v>10.26</v>
      </c>
      <c r="N64" s="259">
        <v>0</v>
      </c>
      <c r="O64" s="259">
        <v>0</v>
      </c>
      <c r="P64" s="260">
        <f>ROUND(((K64*M64)-(K64*M64*N64/100))+(((K64*M64)-(K64*M64*N64/100))*O64/100),2)</f>
      </c>
      <c r="Q64" s="261" t="s">
        <v>469</v>
      </c>
      <c r="R64" s="261"/>
      <c r="S64" s="81"/>
      <c r="T64" s="209"/>
      <c r="U64" s="210"/>
    </row>
    <row r="65" spans="1:21" ht="15">
      <c r="A65" s="76">
        <v>45</v>
      </c>
      <c r="B65" s="76">
        <v>99990010266505</v>
      </c>
      <c r="C65" s="77" t="s">
        <v>110</v>
      </c>
      <c r="D65" s="78" t="s">
        <v>111</v>
      </c>
      <c r="E65" s="79"/>
      <c r="F65" s="77"/>
      <c r="G65" s="92">
        <v>0</v>
      </c>
      <c r="H65" s="80" t="s">
        <v>55</v>
      </c>
      <c r="I65" s="80"/>
      <c r="J65" s="79">
        <v>0</v>
      </c>
      <c r="K65" s="256">
        <v>100</v>
      </c>
      <c r="L65" s="257"/>
      <c r="M65" s="258">
        <v>2.86</v>
      </c>
      <c r="N65" s="259">
        <v>0</v>
      </c>
      <c r="O65" s="259">
        <v>0</v>
      </c>
      <c r="P65" s="260">
        <f>ROUND(((K65*M65)-(K65*M65*N65/100))+(((K65*M65)-(K65*M65*N65/100))*O65/100),2)</f>
      </c>
      <c r="Q65" s="261"/>
      <c r="R65" s="261"/>
      <c r="S65" s="81"/>
      <c r="T65" s="209"/>
      <c r="U65" s="210"/>
    </row>
    <row r="66" spans="1:21" ht="15">
      <c r="A66" s="76">
        <v>46</v>
      </c>
      <c r="B66" s="76">
        <v>99990008656903</v>
      </c>
      <c r="C66" s="77">
        <v>795511</v>
      </c>
      <c r="D66" s="78" t="s">
        <v>112</v>
      </c>
      <c r="E66" s="79"/>
      <c r="F66" s="77"/>
      <c r="G66" s="92">
        <v>0</v>
      </c>
      <c r="H66" s="80" t="s">
        <v>113</v>
      </c>
      <c r="I66" s="80"/>
      <c r="J66" s="79">
        <v>0</v>
      </c>
      <c r="K66" s="256">
        <v>10</v>
      </c>
      <c r="L66" s="257"/>
      <c r="M66" s="258">
        <v>4.26</v>
      </c>
      <c r="N66" s="259">
        <v>0</v>
      </c>
      <c r="O66" s="259">
        <v>0</v>
      </c>
      <c r="P66" s="260">
        <f>ROUND(((K66*M66)-(K66*M66*N66/100))+(((K66*M66)-(K66*M66*N66/100))*O66/100),2)</f>
      </c>
      <c r="Q66" s="261" t="s">
        <v>470</v>
      </c>
      <c r="R66" s="261"/>
      <c r="S66" s="81"/>
      <c r="T66" s="209"/>
      <c r="U66" s="210"/>
    </row>
    <row r="67" spans="1:21" ht="15">
      <c r="A67" s="76">
        <v>47</v>
      </c>
      <c r="B67" s="76">
        <v>99990011922793</v>
      </c>
      <c r="C67" s="77" t="s">
        <v>114</v>
      </c>
      <c r="D67" s="78" t="s">
        <v>115</v>
      </c>
      <c r="E67" s="79"/>
      <c r="F67" s="77"/>
      <c r="G67" s="92">
        <v>0</v>
      </c>
      <c r="H67" s="80" t="s">
        <v>55</v>
      </c>
      <c r="I67" s="80"/>
      <c r="J67" s="79">
        <v>0</v>
      </c>
      <c r="K67" s="256">
        <v>1</v>
      </c>
      <c r="L67" s="257"/>
      <c r="M67" s="258">
        <v>3.02</v>
      </c>
      <c r="N67" s="259">
        <v>0</v>
      </c>
      <c r="O67" s="259">
        <v>0</v>
      </c>
      <c r="P67" s="260">
        <f>ROUND(((K67*M67)-(K67*M67*N67/100))+(((K67*M67)-(K67*M67*N67/100))*O67/100),2)</f>
      </c>
      <c r="Q67" s="261" t="s">
        <v>471</v>
      </c>
      <c r="R67" s="261"/>
      <c r="S67" s="81"/>
      <c r="T67" s="209"/>
      <c r="U67" s="210"/>
    </row>
    <row r="68" spans="1:21" ht="15">
      <c r="A68" s="76">
        <v>48</v>
      </c>
      <c r="B68" s="76">
        <v>99990011922794</v>
      </c>
      <c r="C68" s="77" t="s">
        <v>116</v>
      </c>
      <c r="D68" s="78" t="s">
        <v>117</v>
      </c>
      <c r="E68" s="79"/>
      <c r="F68" s="77"/>
      <c r="G68" s="92">
        <v>0</v>
      </c>
      <c r="H68" s="80" t="s">
        <v>55</v>
      </c>
      <c r="I68" s="80"/>
      <c r="J68" s="79">
        <v>0</v>
      </c>
      <c r="K68" s="256">
        <v>1</v>
      </c>
      <c r="L68" s="257"/>
      <c r="M68" s="258">
        <v>4.3</v>
      </c>
      <c r="N68" s="259">
        <v>0</v>
      </c>
      <c r="O68" s="259">
        <v>0</v>
      </c>
      <c r="P68" s="260">
        <f>ROUND(((K68*M68)-(K68*M68*N68/100))+(((K68*M68)-(K68*M68*N68/100))*O68/100),2)</f>
      </c>
      <c r="Q68" s="261" t="s">
        <v>471</v>
      </c>
      <c r="R68" s="261"/>
      <c r="S68" s="81"/>
      <c r="T68" s="209"/>
      <c r="U68" s="210"/>
    </row>
    <row r="69" spans="1:21" ht="15">
      <c r="A69" s="76">
        <v>49</v>
      </c>
      <c r="B69" s="76">
        <v>99990008656736</v>
      </c>
      <c r="C69" s="77">
        <v>791504</v>
      </c>
      <c r="D69" s="78" t="s">
        <v>118</v>
      </c>
      <c r="E69" s="79"/>
      <c r="F69" s="77"/>
      <c r="G69" s="92">
        <v>0</v>
      </c>
      <c r="H69" s="80" t="s">
        <v>55</v>
      </c>
      <c r="I69" s="80"/>
      <c r="J69" s="79">
        <v>0</v>
      </c>
      <c r="K69" s="256">
        <v>50</v>
      </c>
      <c r="L69" s="257"/>
      <c r="M69" s="258">
        <v>0.12</v>
      </c>
      <c r="N69" s="259">
        <v>0</v>
      </c>
      <c r="O69" s="259">
        <v>0</v>
      </c>
      <c r="P69" s="260">
        <f>ROUND(((K69*M69)-(K69*M69*N69/100))+(((K69*M69)-(K69*M69*N69/100))*O69/100),2)</f>
      </c>
      <c r="Q69" s="261"/>
      <c r="R69" s="261"/>
      <c r="S69" s="81"/>
      <c r="T69" s="209"/>
      <c r="U69" s="210"/>
    </row>
    <row r="70" spans="1:21" ht="15">
      <c r="A70" s="76">
        <v>50</v>
      </c>
      <c r="B70" s="76">
        <v>99990008656737</v>
      </c>
      <c r="C70" s="77">
        <v>791505</v>
      </c>
      <c r="D70" s="78" t="s">
        <v>119</v>
      </c>
      <c r="E70" s="79"/>
      <c r="F70" s="77"/>
      <c r="G70" s="92">
        <v>0</v>
      </c>
      <c r="H70" s="80" t="s">
        <v>55</v>
      </c>
      <c r="I70" s="80"/>
      <c r="J70" s="79">
        <v>0</v>
      </c>
      <c r="K70" s="256">
        <v>50</v>
      </c>
      <c r="L70" s="257"/>
      <c r="M70" s="258">
        <v>0.12</v>
      </c>
      <c r="N70" s="259">
        <v>0</v>
      </c>
      <c r="O70" s="259">
        <v>0</v>
      </c>
      <c r="P70" s="260">
        <f>ROUND(((K70*M70)-(K70*M70*N70/100))+(((K70*M70)-(K70*M70*N70/100))*O70/100),2)</f>
      </c>
      <c r="Q70" s="261"/>
      <c r="R70" s="261"/>
      <c r="S70" s="81"/>
      <c r="T70" s="209"/>
      <c r="U70" s="210"/>
    </row>
    <row r="71" spans="1:21" ht="15">
      <c r="A71" s="76">
        <v>51</v>
      </c>
      <c r="B71" s="76">
        <v>99990008656891</v>
      </c>
      <c r="C71" s="77">
        <v>795431</v>
      </c>
      <c r="D71" s="78" t="s">
        <v>120</v>
      </c>
      <c r="E71" s="79"/>
      <c r="F71" s="77"/>
      <c r="G71" s="92">
        <v>0</v>
      </c>
      <c r="H71" s="80" t="s">
        <v>121</v>
      </c>
      <c r="I71" s="80"/>
      <c r="J71" s="79">
        <v>0</v>
      </c>
      <c r="K71" s="256">
        <v>10</v>
      </c>
      <c r="L71" s="257"/>
      <c r="M71" s="258">
        <v>0.14</v>
      </c>
      <c r="N71" s="259">
        <v>0</v>
      </c>
      <c r="O71" s="259">
        <v>0</v>
      </c>
      <c r="P71" s="260">
        <f>ROUND(((K71*M71)-(K71*M71*N71/100))+(((K71*M71)-(K71*M71*N71/100))*O71/100),2)</f>
      </c>
      <c r="Q71" s="261" t="s">
        <v>472</v>
      </c>
      <c r="R71" s="261"/>
      <c r="S71" s="81"/>
      <c r="T71" s="209"/>
      <c r="U71" s="210"/>
    </row>
    <row r="72" spans="1:21" ht="15">
      <c r="A72" s="76">
        <v>52</v>
      </c>
      <c r="B72" s="76">
        <v>99990010620681</v>
      </c>
      <c r="C72" s="77" t="s">
        <v>122</v>
      </c>
      <c r="D72" s="78" t="s">
        <v>123</v>
      </c>
      <c r="E72" s="79"/>
      <c r="F72" s="77"/>
      <c r="G72" s="92">
        <v>0</v>
      </c>
      <c r="H72" s="80" t="s">
        <v>55</v>
      </c>
      <c r="I72" s="80"/>
      <c r="J72" s="79">
        <v>0</v>
      </c>
      <c r="K72" s="256">
        <v>5</v>
      </c>
      <c r="L72" s="257"/>
      <c r="M72" s="258">
        <v>1.26</v>
      </c>
      <c r="N72" s="259">
        <v>0</v>
      </c>
      <c r="O72" s="259">
        <v>0</v>
      </c>
      <c r="P72" s="260">
        <f>ROUND(((K72*M72)-(K72*M72*N72/100))+(((K72*M72)-(K72*M72*N72/100))*O72/100),2)</f>
      </c>
      <c r="Q72" s="261"/>
      <c r="R72" s="261"/>
      <c r="S72" s="81"/>
      <c r="T72" s="209"/>
      <c r="U72" s="210"/>
    </row>
    <row r="73" spans="1:21" ht="15">
      <c r="A73" s="76">
        <v>53</v>
      </c>
      <c r="B73" s="76">
        <v>99990010620680</v>
      </c>
      <c r="C73" s="77" t="s">
        <v>124</v>
      </c>
      <c r="D73" s="78" t="s">
        <v>125</v>
      </c>
      <c r="E73" s="79"/>
      <c r="F73" s="77"/>
      <c r="G73" s="92">
        <v>0</v>
      </c>
      <c r="H73" s="80" t="s">
        <v>55</v>
      </c>
      <c r="I73" s="80"/>
      <c r="J73" s="79">
        <v>0</v>
      </c>
      <c r="K73" s="256">
        <v>5</v>
      </c>
      <c r="L73" s="257"/>
      <c r="M73" s="258">
        <v>3.89</v>
      </c>
      <c r="N73" s="259">
        <v>0</v>
      </c>
      <c r="O73" s="259">
        <v>0</v>
      </c>
      <c r="P73" s="260">
        <f>ROUND(((K73*M73)-(K73*M73*N73/100))+(((K73*M73)-(K73*M73*N73/100))*O73/100),2)</f>
      </c>
      <c r="Q73" s="261"/>
      <c r="R73" s="261"/>
      <c r="S73" s="81"/>
      <c r="T73" s="209"/>
      <c r="U73" s="210"/>
    </row>
    <row r="74" spans="1:21" ht="15">
      <c r="A74" s="76">
        <v>54</v>
      </c>
      <c r="B74" s="76">
        <v>99990008211101</v>
      </c>
      <c r="C74" s="77">
        <v>794623</v>
      </c>
      <c r="D74" s="78" t="s">
        <v>126</v>
      </c>
      <c r="E74" s="79"/>
      <c r="F74" s="77"/>
      <c r="G74" s="92">
        <v>0</v>
      </c>
      <c r="H74" s="80" t="s">
        <v>55</v>
      </c>
      <c r="I74" s="80"/>
      <c r="J74" s="79">
        <v>0</v>
      </c>
      <c r="K74" s="256">
        <v>5</v>
      </c>
      <c r="L74" s="257"/>
      <c r="M74" s="258">
        <v>0.69</v>
      </c>
      <c r="N74" s="259">
        <v>0</v>
      </c>
      <c r="O74" s="259">
        <v>0</v>
      </c>
      <c r="P74" s="260">
        <f>ROUND(((K74*M74)-(K74*M74*N74/100))+(((K74*M74)-(K74*M74*N74/100))*O74/100),2)</f>
      </c>
      <c r="Q74" s="261"/>
      <c r="R74" s="261"/>
      <c r="S74" s="81"/>
      <c r="T74" s="209"/>
      <c r="U74" s="210"/>
    </row>
    <row r="75" spans="1:21" ht="15">
      <c r="A75" s="76">
        <v>55</v>
      </c>
      <c r="B75" s="76">
        <v>99990008656837</v>
      </c>
      <c r="C75" s="77">
        <v>794521</v>
      </c>
      <c r="D75" s="78" t="s">
        <v>127</v>
      </c>
      <c r="E75" s="79"/>
      <c r="F75" s="77"/>
      <c r="G75" s="92">
        <v>0</v>
      </c>
      <c r="H75" s="80" t="s">
        <v>55</v>
      </c>
      <c r="I75" s="80"/>
      <c r="J75" s="79">
        <v>0</v>
      </c>
      <c r="K75" s="256">
        <v>30</v>
      </c>
      <c r="L75" s="257"/>
      <c r="M75" s="258">
        <v>0.04</v>
      </c>
      <c r="N75" s="259">
        <v>0</v>
      </c>
      <c r="O75" s="259">
        <v>0</v>
      </c>
      <c r="P75" s="260">
        <f>ROUND(((K75*M75)-(K75*M75*N75/100))+(((K75*M75)-(K75*M75*N75/100))*O75/100),2)</f>
      </c>
      <c r="Q75" s="261"/>
      <c r="R75" s="261"/>
      <c r="S75" s="81"/>
      <c r="T75" s="209"/>
      <c r="U75" s="210"/>
    </row>
    <row r="76" spans="1:21" ht="15">
      <c r="A76" s="76">
        <v>56</v>
      </c>
      <c r="B76" s="76">
        <v>99990008656843</v>
      </c>
      <c r="C76" s="77">
        <v>794532</v>
      </c>
      <c r="D76" s="78" t="s">
        <v>128</v>
      </c>
      <c r="E76" s="79"/>
      <c r="F76" s="77"/>
      <c r="G76" s="92">
        <v>0</v>
      </c>
      <c r="H76" s="80" t="s">
        <v>55</v>
      </c>
      <c r="I76" s="80"/>
      <c r="J76" s="79">
        <v>0</v>
      </c>
      <c r="K76" s="256">
        <v>30</v>
      </c>
      <c r="L76" s="257"/>
      <c r="M76" s="258">
        <v>0.03</v>
      </c>
      <c r="N76" s="259">
        <v>0</v>
      </c>
      <c r="O76" s="259">
        <v>0</v>
      </c>
      <c r="P76" s="260">
        <f>ROUND(((K76*M76)-(K76*M76*N76/100))+(((K76*M76)-(K76*M76*N76/100))*O76/100),2)</f>
      </c>
      <c r="Q76" s="261"/>
      <c r="R76" s="261"/>
      <c r="S76" s="81"/>
      <c r="T76" s="209"/>
      <c r="U76" s="210"/>
    </row>
    <row r="77" spans="1:21" ht="15">
      <c r="A77" s="76">
        <v>57</v>
      </c>
      <c r="B77" s="76">
        <v>99990009838376</v>
      </c>
      <c r="C77" s="77">
        <v>794533</v>
      </c>
      <c r="D77" s="78" t="s">
        <v>129</v>
      </c>
      <c r="E77" s="79"/>
      <c r="F77" s="77"/>
      <c r="G77" s="92">
        <v>0</v>
      </c>
      <c r="H77" s="80" t="s">
        <v>55</v>
      </c>
      <c r="I77" s="80"/>
      <c r="J77" s="79">
        <v>0</v>
      </c>
      <c r="K77" s="256">
        <v>30</v>
      </c>
      <c r="L77" s="257"/>
      <c r="M77" s="258">
        <v>0.02</v>
      </c>
      <c r="N77" s="259">
        <v>0</v>
      </c>
      <c r="O77" s="259">
        <v>0</v>
      </c>
      <c r="P77" s="260">
        <f>ROUND(((K77*M77)-(K77*M77*N77/100))+(((K77*M77)-(K77*M77*N77/100))*O77/100),2)</f>
      </c>
      <c r="Q77" s="261"/>
      <c r="R77" s="261"/>
      <c r="S77" s="81"/>
      <c r="T77" s="209"/>
      <c r="U77" s="210"/>
    </row>
    <row r="78" spans="1:21" ht="15">
      <c r="A78" s="76">
        <v>58</v>
      </c>
      <c r="B78" s="76">
        <v>99990008656886</v>
      </c>
      <c r="C78" s="77">
        <v>795176</v>
      </c>
      <c r="D78" s="78" t="s">
        <v>130</v>
      </c>
      <c r="E78" s="79"/>
      <c r="F78" s="77"/>
      <c r="G78" s="92">
        <v>0</v>
      </c>
      <c r="H78" s="80" t="s">
        <v>55</v>
      </c>
      <c r="I78" s="80"/>
      <c r="J78" s="79">
        <v>0</v>
      </c>
      <c r="K78" s="256">
        <v>1</v>
      </c>
      <c r="L78" s="257"/>
      <c r="M78" s="258">
        <v>2.4</v>
      </c>
      <c r="N78" s="259">
        <v>0</v>
      </c>
      <c r="O78" s="259">
        <v>0</v>
      </c>
      <c r="P78" s="260">
        <f>ROUND(((K78*M78)-(K78*M78*N78/100))+(((K78*M78)-(K78*M78*N78/100))*O78/100),2)</f>
      </c>
      <c r="Q78" s="261"/>
      <c r="R78" s="261"/>
      <c r="S78" s="81"/>
      <c r="T78" s="209"/>
      <c r="U78" s="210"/>
    </row>
    <row r="79" spans="1:21" ht="15">
      <c r="A79" s="76">
        <v>59</v>
      </c>
      <c r="B79" s="76">
        <v>99990014160376</v>
      </c>
      <c r="C79" s="77">
        <v>2894022</v>
      </c>
      <c r="D79" s="78" t="s">
        <v>131</v>
      </c>
      <c r="E79" s="79"/>
      <c r="F79" s="77"/>
      <c r="G79" s="92">
        <v>0</v>
      </c>
      <c r="H79" s="80" t="s">
        <v>109</v>
      </c>
      <c r="I79" s="80"/>
      <c r="J79" s="79">
        <v>0</v>
      </c>
      <c r="K79" s="256">
        <v>2</v>
      </c>
      <c r="L79" s="257"/>
      <c r="M79" s="258">
        <v>51.63</v>
      </c>
      <c r="N79" s="259">
        <v>0</v>
      </c>
      <c r="O79" s="259">
        <v>0</v>
      </c>
      <c r="P79" s="260">
        <f>ROUND(((K79*M79)-(K79*M79*N79/100))+(((K79*M79)-(K79*M79*N79/100))*O79/100),2)</f>
      </c>
      <c r="Q79" s="261" t="s">
        <v>473</v>
      </c>
      <c r="R79" s="261"/>
      <c r="S79" s="81"/>
      <c r="T79" s="209"/>
      <c r="U79" s="210"/>
    </row>
    <row r="80" spans="1:21" ht="15">
      <c r="A80" s="76">
        <v>60</v>
      </c>
      <c r="B80" s="76">
        <v>99990008656966</v>
      </c>
      <c r="C80" s="77">
        <v>813102</v>
      </c>
      <c r="D80" s="78" t="s">
        <v>132</v>
      </c>
      <c r="E80" s="79"/>
      <c r="F80" s="77"/>
      <c r="G80" s="92">
        <v>0</v>
      </c>
      <c r="H80" s="80" t="s">
        <v>133</v>
      </c>
      <c r="I80" s="80"/>
      <c r="J80" s="79">
        <v>0</v>
      </c>
      <c r="K80" s="256">
        <v>30</v>
      </c>
      <c r="L80" s="257"/>
      <c r="M80" s="258">
        <v>2.27</v>
      </c>
      <c r="N80" s="259">
        <v>0</v>
      </c>
      <c r="O80" s="259">
        <v>0</v>
      </c>
      <c r="P80" s="260">
        <f>ROUND(((K80*M80)-(K80*M80*N80/100))+(((K80*M80)-(K80*M80*N80/100))*O80/100),2)</f>
      </c>
      <c r="Q80" s="261" t="s">
        <v>474</v>
      </c>
      <c r="R80" s="261"/>
      <c r="S80" s="81"/>
      <c r="T80" s="209"/>
      <c r="U80" s="210"/>
    </row>
    <row r="81" spans="1:21" ht="15">
      <c r="A81" s="76">
        <v>61</v>
      </c>
      <c r="B81" s="76">
        <v>99990008655620</v>
      </c>
      <c r="C81" s="77">
        <v>614634</v>
      </c>
      <c r="D81" s="78" t="s">
        <v>134</v>
      </c>
      <c r="E81" s="79"/>
      <c r="F81" s="77"/>
      <c r="G81" s="92">
        <v>0</v>
      </c>
      <c r="H81" s="80" t="s">
        <v>55</v>
      </c>
      <c r="I81" s="80"/>
      <c r="J81" s="79">
        <v>0</v>
      </c>
      <c r="K81" s="256">
        <v>50</v>
      </c>
      <c r="L81" s="257"/>
      <c r="M81" s="258">
        <v>0.12</v>
      </c>
      <c r="N81" s="259">
        <v>0</v>
      </c>
      <c r="O81" s="259">
        <v>0</v>
      </c>
      <c r="P81" s="260">
        <f>ROUND(((K81*M81)-(K81*M81*N81/100))+(((K81*M81)-(K81*M81*N81/100))*O81/100),2)</f>
      </c>
      <c r="Q81" s="261"/>
      <c r="R81" s="261"/>
      <c r="S81" s="81"/>
      <c r="T81" s="209"/>
      <c r="U81" s="210"/>
    </row>
    <row r="82" spans="1:21" ht="15">
      <c r="A82" s="76">
        <v>62</v>
      </c>
      <c r="B82" s="76">
        <v>99990008655608</v>
      </c>
      <c r="C82" s="77">
        <v>614026</v>
      </c>
      <c r="D82" s="78" t="s">
        <v>135</v>
      </c>
      <c r="E82" s="79"/>
      <c r="F82" s="77"/>
      <c r="G82" s="92">
        <v>0</v>
      </c>
      <c r="H82" s="80" t="s">
        <v>69</v>
      </c>
      <c r="I82" s="80"/>
      <c r="J82" s="79">
        <v>0</v>
      </c>
      <c r="K82" s="256">
        <v>1</v>
      </c>
      <c r="L82" s="257"/>
      <c r="M82" s="258">
        <v>57.1</v>
      </c>
      <c r="N82" s="259">
        <v>0</v>
      </c>
      <c r="O82" s="259">
        <v>0</v>
      </c>
      <c r="P82" s="260">
        <f>ROUND(((K82*M82)-(K82*M82*N82/100))+(((K82*M82)-(K82*M82*N82/100))*O82/100),2)</f>
      </c>
      <c r="Q82" s="261"/>
      <c r="R82" s="261"/>
      <c r="S82" s="81"/>
      <c r="T82" s="209"/>
      <c r="U82" s="210"/>
    </row>
    <row r="83" spans="1:21" ht="15">
      <c r="A83" s="76">
        <v>63</v>
      </c>
      <c r="B83" s="76">
        <v>99990008655627</v>
      </c>
      <c r="C83" s="77">
        <v>614686</v>
      </c>
      <c r="D83" s="78" t="s">
        <v>136</v>
      </c>
      <c r="E83" s="79"/>
      <c r="F83" s="77"/>
      <c r="G83" s="92">
        <v>0</v>
      </c>
      <c r="H83" s="80" t="s">
        <v>137</v>
      </c>
      <c r="I83" s="80"/>
      <c r="J83" s="79">
        <v>0</v>
      </c>
      <c r="K83" s="256">
        <v>50</v>
      </c>
      <c r="L83" s="257"/>
      <c r="M83" s="258">
        <v>0.11</v>
      </c>
      <c r="N83" s="259">
        <v>0</v>
      </c>
      <c r="O83" s="259">
        <v>0</v>
      </c>
      <c r="P83" s="260">
        <f>ROUND(((K83*M83)-(K83*M83*N83/100))+(((K83*M83)-(K83*M83*N83/100))*O83/100),2)</f>
      </c>
      <c r="Q83" s="261"/>
      <c r="R83" s="261"/>
      <c r="S83" s="81"/>
      <c r="T83" s="209"/>
      <c r="U83" s="210"/>
    </row>
    <row r="84" spans="1:21" ht="15">
      <c r="A84" s="76">
        <v>64</v>
      </c>
      <c r="B84" s="76">
        <v>99990008656943</v>
      </c>
      <c r="C84" s="77">
        <v>812703</v>
      </c>
      <c r="D84" s="78" t="s">
        <v>138</v>
      </c>
      <c r="E84" s="79"/>
      <c r="F84" s="77"/>
      <c r="G84" s="92">
        <v>0</v>
      </c>
      <c r="H84" s="80" t="s">
        <v>139</v>
      </c>
      <c r="I84" s="80"/>
      <c r="J84" s="79">
        <v>0</v>
      </c>
      <c r="K84" s="256">
        <v>5</v>
      </c>
      <c r="L84" s="257"/>
      <c r="M84" s="258">
        <v>3.97</v>
      </c>
      <c r="N84" s="259">
        <v>0</v>
      </c>
      <c r="O84" s="259">
        <v>0</v>
      </c>
      <c r="P84" s="260">
        <f>ROUND(((K84*M84)-(K84*M84*N84/100))+(((K84*M84)-(K84*M84*N84/100))*O84/100),2)</f>
      </c>
      <c r="Q84" s="261" t="s">
        <v>475</v>
      </c>
      <c r="R84" s="261"/>
      <c r="S84" s="81"/>
      <c r="T84" s="209"/>
      <c r="U84" s="210"/>
    </row>
    <row r="85" spans="1:21" ht="15">
      <c r="A85" s="76">
        <v>65</v>
      </c>
      <c r="B85" s="76">
        <v>99990008655581</v>
      </c>
      <c r="C85" s="77">
        <v>510891</v>
      </c>
      <c r="D85" s="78" t="s">
        <v>140</v>
      </c>
      <c r="E85" s="79"/>
      <c r="F85" s="77"/>
      <c r="G85" s="92">
        <v>0</v>
      </c>
      <c r="H85" s="80" t="s">
        <v>55</v>
      </c>
      <c r="I85" s="80"/>
      <c r="J85" s="79">
        <v>0</v>
      </c>
      <c r="K85" s="256">
        <v>15</v>
      </c>
      <c r="L85" s="257"/>
      <c r="M85" s="258">
        <v>2.01</v>
      </c>
      <c r="N85" s="259">
        <v>0</v>
      </c>
      <c r="O85" s="259">
        <v>0</v>
      </c>
      <c r="P85" s="260">
        <f>ROUND(((K85*M85)-(K85*M85*N85/100))+(((K85*M85)-(K85*M85*N85/100))*O85/100),2)</f>
      </c>
      <c r="Q85" s="261" t="s">
        <v>476</v>
      </c>
      <c r="R85" s="261"/>
      <c r="S85" s="81"/>
      <c r="T85" s="209"/>
      <c r="U85" s="210"/>
    </row>
    <row r="86" spans="1:21" ht="15">
      <c r="A86" s="76">
        <v>66</v>
      </c>
      <c r="B86" s="76">
        <v>99990008655559</v>
      </c>
      <c r="C86" s="77">
        <v>450702</v>
      </c>
      <c r="D86" s="78" t="s">
        <v>141</v>
      </c>
      <c r="E86" s="79"/>
      <c r="F86" s="77"/>
      <c r="G86" s="92">
        <v>0</v>
      </c>
      <c r="H86" s="80" t="s">
        <v>113</v>
      </c>
      <c r="I86" s="80"/>
      <c r="J86" s="79">
        <v>0</v>
      </c>
      <c r="K86" s="256">
        <v>15</v>
      </c>
      <c r="L86" s="257"/>
      <c r="M86" s="258">
        <v>1.91</v>
      </c>
      <c r="N86" s="259">
        <v>0</v>
      </c>
      <c r="O86" s="259">
        <v>0</v>
      </c>
      <c r="P86" s="260">
        <f>ROUND(((K86*M86)-(K86*M86*N86/100))+(((K86*M86)-(K86*M86*N86/100))*O86/100),2)</f>
      </c>
      <c r="Q86" s="261" t="s">
        <v>463</v>
      </c>
      <c r="R86" s="261"/>
      <c r="S86" s="81"/>
      <c r="T86" s="209"/>
      <c r="U86" s="210"/>
    </row>
    <row r="87" spans="1:21" ht="15">
      <c r="A87" s="76">
        <v>67</v>
      </c>
      <c r="B87" s="76">
        <v>99990008655516</v>
      </c>
      <c r="C87" s="77">
        <v>232908</v>
      </c>
      <c r="D87" s="78" t="s">
        <v>142</v>
      </c>
      <c r="E87" s="79"/>
      <c r="F87" s="77"/>
      <c r="G87" s="92">
        <v>0</v>
      </c>
      <c r="H87" s="80" t="s">
        <v>143</v>
      </c>
      <c r="I87" s="80"/>
      <c r="J87" s="79">
        <v>0</v>
      </c>
      <c r="K87" s="256">
        <v>200</v>
      </c>
      <c r="L87" s="257"/>
      <c r="M87" s="258">
        <v>0.86</v>
      </c>
      <c r="N87" s="259">
        <v>0</v>
      </c>
      <c r="O87" s="259">
        <v>0</v>
      </c>
      <c r="P87" s="260">
        <f>ROUND(((K87*M87)-(K87*M87*N87/100))+(((K87*M87)-(K87*M87*N87/100))*O87/100),2)</f>
      </c>
      <c r="Q87" s="261" t="s">
        <v>477</v>
      </c>
      <c r="R87" s="261"/>
      <c r="S87" s="81"/>
      <c r="T87" s="209"/>
      <c r="U87" s="210"/>
    </row>
    <row r="88" spans="1:21" ht="15">
      <c r="A88" s="76">
        <v>68</v>
      </c>
      <c r="B88" s="76">
        <v>99990008655866</v>
      </c>
      <c r="C88" s="77">
        <v>812442</v>
      </c>
      <c r="D88" s="78" t="s">
        <v>144</v>
      </c>
      <c r="E88" s="79"/>
      <c r="F88" s="77"/>
      <c r="G88" s="92">
        <v>0</v>
      </c>
      <c r="H88" s="80" t="s">
        <v>145</v>
      </c>
      <c r="I88" s="80"/>
      <c r="J88" s="79">
        <v>0</v>
      </c>
      <c r="K88" s="256">
        <v>1</v>
      </c>
      <c r="L88" s="257"/>
      <c r="M88" s="258">
        <v>41.46</v>
      </c>
      <c r="N88" s="259">
        <v>0</v>
      </c>
      <c r="O88" s="259">
        <v>0</v>
      </c>
      <c r="P88" s="260">
        <f>ROUND(((K88*M88)-(K88*M88*N88/100))+(((K88*M88)-(K88*M88*N88/100))*O88/100),2)</f>
      </c>
      <c r="Q88" s="261" t="s">
        <v>478</v>
      </c>
      <c r="R88" s="261"/>
      <c r="S88" s="81"/>
      <c r="T88" s="209"/>
      <c r="U88" s="210"/>
    </row>
    <row r="89" spans="1:21" ht="15">
      <c r="A89" s="76">
        <v>69</v>
      </c>
      <c r="B89" s="76">
        <v>99990008656956</v>
      </c>
      <c r="C89" s="77">
        <v>813058</v>
      </c>
      <c r="D89" s="78" t="s">
        <v>146</v>
      </c>
      <c r="E89" s="79"/>
      <c r="F89" s="77"/>
      <c r="G89" s="92">
        <v>0</v>
      </c>
      <c r="H89" s="80" t="s">
        <v>133</v>
      </c>
      <c r="I89" s="80"/>
      <c r="J89" s="79">
        <v>0</v>
      </c>
      <c r="K89" s="256">
        <v>5</v>
      </c>
      <c r="L89" s="257"/>
      <c r="M89" s="258">
        <v>0.2</v>
      </c>
      <c r="N89" s="259">
        <v>0</v>
      </c>
      <c r="O89" s="259">
        <v>0</v>
      </c>
      <c r="P89" s="260">
        <f>ROUND(((K89*M89)-(K89*M89*N89/100))+(((K89*M89)-(K89*M89*N89/100))*O89/100),2)</f>
      </c>
      <c r="Q89" s="261"/>
      <c r="R89" s="261"/>
      <c r="S89" s="81"/>
      <c r="T89" s="209"/>
      <c r="U89" s="210"/>
    </row>
    <row r="90" spans="1:21" ht="15">
      <c r="A90" s="76">
        <v>70</v>
      </c>
      <c r="B90" s="76">
        <v>99990008656958</v>
      </c>
      <c r="C90" s="77">
        <v>813062</v>
      </c>
      <c r="D90" s="78" t="s">
        <v>147</v>
      </c>
      <c r="E90" s="79"/>
      <c r="F90" s="77"/>
      <c r="G90" s="92">
        <v>0</v>
      </c>
      <c r="H90" s="80" t="s">
        <v>133</v>
      </c>
      <c r="I90" s="80"/>
      <c r="J90" s="79">
        <v>0</v>
      </c>
      <c r="K90" s="256">
        <v>10</v>
      </c>
      <c r="L90" s="257"/>
      <c r="M90" s="258">
        <v>0.26</v>
      </c>
      <c r="N90" s="259">
        <v>0</v>
      </c>
      <c r="O90" s="259">
        <v>0</v>
      </c>
      <c r="P90" s="260">
        <f>ROUND(((K90*M90)-(K90*M90*N90/100))+(((K90*M90)-(K90*M90*N90/100))*O90/100),2)</f>
      </c>
      <c r="Q90" s="261"/>
      <c r="R90" s="261"/>
      <c r="S90" s="81"/>
      <c r="T90" s="209"/>
      <c r="U90" s="210"/>
    </row>
    <row r="91" spans="1:21" ht="15">
      <c r="A91" s="76">
        <v>71</v>
      </c>
      <c r="B91" s="76">
        <v>99990008656959</v>
      </c>
      <c r="C91" s="77">
        <v>813063</v>
      </c>
      <c r="D91" s="78" t="s">
        <v>148</v>
      </c>
      <c r="E91" s="79"/>
      <c r="F91" s="77"/>
      <c r="G91" s="92">
        <v>0</v>
      </c>
      <c r="H91" s="80" t="s">
        <v>133</v>
      </c>
      <c r="I91" s="80"/>
      <c r="J91" s="79">
        <v>0</v>
      </c>
      <c r="K91" s="256">
        <v>10</v>
      </c>
      <c r="L91" s="257"/>
      <c r="M91" s="258">
        <v>0.3</v>
      </c>
      <c r="N91" s="259">
        <v>0</v>
      </c>
      <c r="O91" s="259">
        <v>0</v>
      </c>
      <c r="P91" s="260">
        <f>ROUND(((K91*M91)-(K91*M91*N91/100))+(((K91*M91)-(K91*M91*N91/100))*O91/100),2)</f>
      </c>
      <c r="Q91" s="261"/>
      <c r="R91" s="261"/>
      <c r="S91" s="81"/>
      <c r="T91" s="209"/>
      <c r="U91" s="210"/>
    </row>
    <row r="92" spans="1:21" ht="15">
      <c r="A92" s="76">
        <v>72</v>
      </c>
      <c r="B92" s="76">
        <v>99990008656940</v>
      </c>
      <c r="C92" s="77">
        <v>812611</v>
      </c>
      <c r="D92" s="78" t="s">
        <v>149</v>
      </c>
      <c r="E92" s="79"/>
      <c r="F92" s="77"/>
      <c r="G92" s="92">
        <v>0</v>
      </c>
      <c r="H92" s="80" t="s">
        <v>150</v>
      </c>
      <c r="I92" s="80"/>
      <c r="J92" s="79">
        <v>0</v>
      </c>
      <c r="K92" s="256">
        <v>3</v>
      </c>
      <c r="L92" s="257"/>
      <c r="M92" s="258">
        <v>6.19</v>
      </c>
      <c r="N92" s="259">
        <v>0</v>
      </c>
      <c r="O92" s="259">
        <v>0</v>
      </c>
      <c r="P92" s="260">
        <f>ROUND(((K92*M92)-(K92*M92*N92/100))+(((K92*M92)-(K92*M92*N92/100))*O92/100),2)</f>
      </c>
      <c r="Q92" s="261" t="s">
        <v>479</v>
      </c>
      <c r="R92" s="261"/>
      <c r="S92" s="81"/>
      <c r="T92" s="209"/>
      <c r="U92" s="210"/>
    </row>
    <row r="93" spans="1:21" ht="15">
      <c r="A93" s="76">
        <v>73</v>
      </c>
      <c r="B93" s="76">
        <v>99990008656941</v>
      </c>
      <c r="C93" s="77">
        <v>812612</v>
      </c>
      <c r="D93" s="78" t="s">
        <v>151</v>
      </c>
      <c r="E93" s="79"/>
      <c r="F93" s="77"/>
      <c r="G93" s="92">
        <v>0</v>
      </c>
      <c r="H93" s="80" t="s">
        <v>150</v>
      </c>
      <c r="I93" s="80"/>
      <c r="J93" s="79">
        <v>0</v>
      </c>
      <c r="K93" s="256">
        <v>4</v>
      </c>
      <c r="L93" s="257"/>
      <c r="M93" s="258">
        <v>6.19</v>
      </c>
      <c r="N93" s="259">
        <v>0</v>
      </c>
      <c r="O93" s="259">
        <v>0</v>
      </c>
      <c r="P93" s="260">
        <f>ROUND(((K93*M93)-(K93*M93*N93/100))+(((K93*M93)-(K93*M93*N93/100))*O93/100),2)</f>
      </c>
      <c r="Q93" s="261" t="s">
        <v>479</v>
      </c>
      <c r="R93" s="261"/>
      <c r="S93" s="81"/>
      <c r="T93" s="209"/>
      <c r="U93" s="210"/>
    </row>
    <row r="94" spans="1:21" ht="15">
      <c r="A94" s="76">
        <v>74</v>
      </c>
      <c r="B94" s="76">
        <v>99990008655842</v>
      </c>
      <c r="C94" s="77">
        <v>811293</v>
      </c>
      <c r="D94" s="78" t="s">
        <v>152</v>
      </c>
      <c r="E94" s="79"/>
      <c r="F94" s="77"/>
      <c r="G94" s="92">
        <v>0</v>
      </c>
      <c r="H94" s="80" t="s">
        <v>137</v>
      </c>
      <c r="I94" s="80"/>
      <c r="J94" s="79">
        <v>0</v>
      </c>
      <c r="K94" s="256">
        <v>1</v>
      </c>
      <c r="L94" s="257"/>
      <c r="M94" s="258">
        <v>16.07</v>
      </c>
      <c r="N94" s="259">
        <v>0</v>
      </c>
      <c r="O94" s="259">
        <v>0</v>
      </c>
      <c r="P94" s="260">
        <f>ROUND(((K94*M94)-(K94*M94*N94/100))+(((K94*M94)-(K94*M94*N94/100))*O94/100),2)</f>
      </c>
      <c r="Q94" s="261"/>
      <c r="R94" s="261"/>
      <c r="S94" s="81"/>
      <c r="T94" s="209"/>
      <c r="U94" s="210"/>
    </row>
    <row r="95" spans="1:21" ht="15">
      <c r="A95" s="76">
        <v>75</v>
      </c>
      <c r="B95" s="76">
        <v>99990008655844</v>
      </c>
      <c r="C95" s="77">
        <v>811295</v>
      </c>
      <c r="D95" s="78" t="s">
        <v>153</v>
      </c>
      <c r="E95" s="79"/>
      <c r="F95" s="77"/>
      <c r="G95" s="92">
        <v>0</v>
      </c>
      <c r="H95" s="80" t="s">
        <v>137</v>
      </c>
      <c r="I95" s="80"/>
      <c r="J95" s="79">
        <v>0</v>
      </c>
      <c r="K95" s="256">
        <v>1</v>
      </c>
      <c r="L95" s="257"/>
      <c r="M95" s="258">
        <v>32.54</v>
      </c>
      <c r="N95" s="259">
        <v>0</v>
      </c>
      <c r="O95" s="259">
        <v>0</v>
      </c>
      <c r="P95" s="260">
        <f>ROUND(((K95*M95)-(K95*M95*N95/100))+(((K95*M95)-(K95*M95*N95/100))*O95/100),2)</f>
      </c>
      <c r="Q95" s="261"/>
      <c r="R95" s="261"/>
      <c r="S95" s="81"/>
      <c r="T95" s="209"/>
      <c r="U95" s="210"/>
    </row>
    <row r="96" spans="1:21" ht="15">
      <c r="A96" s="76">
        <v>76</v>
      </c>
      <c r="B96" s="76">
        <v>99990008655845</v>
      </c>
      <c r="C96" s="77">
        <v>811296</v>
      </c>
      <c r="D96" s="78" t="s">
        <v>154</v>
      </c>
      <c r="E96" s="79"/>
      <c r="F96" s="77"/>
      <c r="G96" s="92">
        <v>0</v>
      </c>
      <c r="H96" s="80" t="s">
        <v>137</v>
      </c>
      <c r="I96" s="80"/>
      <c r="J96" s="79">
        <v>0</v>
      </c>
      <c r="K96" s="256">
        <v>1</v>
      </c>
      <c r="L96" s="257"/>
      <c r="M96" s="258">
        <v>48.72</v>
      </c>
      <c r="N96" s="259">
        <v>0</v>
      </c>
      <c r="O96" s="259">
        <v>0</v>
      </c>
      <c r="P96" s="260">
        <f>ROUND(((K96*M96)-(K96*M96*N96/100))+(((K96*M96)-(K96*M96*N96/100))*O96/100),2)</f>
      </c>
      <c r="Q96" s="261"/>
      <c r="R96" s="261"/>
      <c r="S96" s="81"/>
      <c r="T96" s="209"/>
      <c r="U96" s="210"/>
    </row>
    <row r="97" spans="1:21" ht="15">
      <c r="A97" s="76">
        <v>77</v>
      </c>
      <c r="B97" s="76">
        <v>99990008656937</v>
      </c>
      <c r="C97" s="77">
        <v>812602</v>
      </c>
      <c r="D97" s="78" t="s">
        <v>155</v>
      </c>
      <c r="E97" s="79"/>
      <c r="F97" s="77"/>
      <c r="G97" s="92">
        <v>0</v>
      </c>
      <c r="H97" s="80" t="s">
        <v>150</v>
      </c>
      <c r="I97" s="80"/>
      <c r="J97" s="79">
        <v>0</v>
      </c>
      <c r="K97" s="256">
        <v>15</v>
      </c>
      <c r="L97" s="257"/>
      <c r="M97" s="258">
        <v>1.08</v>
      </c>
      <c r="N97" s="259">
        <v>0</v>
      </c>
      <c r="O97" s="259">
        <v>0</v>
      </c>
      <c r="P97" s="260">
        <f>ROUND(((K97*M97)-(K97*M97*N97/100))+(((K97*M97)-(K97*M97*N97/100))*O97/100),2)</f>
      </c>
      <c r="Q97" s="261"/>
      <c r="R97" s="261"/>
      <c r="S97" s="81"/>
      <c r="T97" s="209"/>
      <c r="U97" s="210"/>
    </row>
    <row r="98" spans="1:21" ht="15">
      <c r="A98" s="76">
        <v>78</v>
      </c>
      <c r="B98" s="76">
        <v>99990008656939</v>
      </c>
      <c r="C98" s="77">
        <v>812605</v>
      </c>
      <c r="D98" s="78" t="s">
        <v>156</v>
      </c>
      <c r="E98" s="79"/>
      <c r="F98" s="77"/>
      <c r="G98" s="92">
        <v>0</v>
      </c>
      <c r="H98" s="80" t="s">
        <v>150</v>
      </c>
      <c r="I98" s="80"/>
      <c r="J98" s="79">
        <v>0</v>
      </c>
      <c r="K98" s="256">
        <v>10</v>
      </c>
      <c r="L98" s="257"/>
      <c r="M98" s="258">
        <v>1.19</v>
      </c>
      <c r="N98" s="259">
        <v>0</v>
      </c>
      <c r="O98" s="259">
        <v>0</v>
      </c>
      <c r="P98" s="260">
        <f>ROUND(((K98*M98)-(K98*M98*N98/100))+(((K98*M98)-(K98*M98*N98/100))*O98/100),2)</f>
      </c>
      <c r="Q98" s="261"/>
      <c r="R98" s="261"/>
      <c r="S98" s="81"/>
      <c r="T98" s="209"/>
      <c r="U98" s="210"/>
    </row>
    <row r="99" spans="1:21" ht="15">
      <c r="A99" s="76">
        <v>79</v>
      </c>
      <c r="B99" s="76">
        <v>99990008655787</v>
      </c>
      <c r="C99" s="77">
        <v>670608</v>
      </c>
      <c r="D99" s="78" t="s">
        <v>157</v>
      </c>
      <c r="E99" s="79"/>
      <c r="F99" s="77"/>
      <c r="G99" s="92">
        <v>0</v>
      </c>
      <c r="H99" s="80" t="s">
        <v>158</v>
      </c>
      <c r="I99" s="80"/>
      <c r="J99" s="79">
        <v>0</v>
      </c>
      <c r="K99" s="256">
        <v>1</v>
      </c>
      <c r="L99" s="257"/>
      <c r="M99" s="258">
        <v>25.94</v>
      </c>
      <c r="N99" s="259">
        <v>0</v>
      </c>
      <c r="O99" s="259">
        <v>0</v>
      </c>
      <c r="P99" s="260">
        <f>ROUND(((K99*M99)-(K99*M99*N99/100))+(((K99*M99)-(K99*M99*N99/100))*O99/100),2)</f>
      </c>
      <c r="Q99" s="261"/>
      <c r="R99" s="261"/>
      <c r="S99" s="81"/>
      <c r="T99" s="209"/>
      <c r="U99" s="210"/>
    </row>
    <row r="100" spans="1:21" ht="15">
      <c r="A100" s="76">
        <v>80</v>
      </c>
      <c r="B100" s="76">
        <v>99990008655768</v>
      </c>
      <c r="C100" s="77">
        <v>670106</v>
      </c>
      <c r="D100" s="78" t="s">
        <v>159</v>
      </c>
      <c r="E100" s="79"/>
      <c r="F100" s="77"/>
      <c r="G100" s="92">
        <v>0</v>
      </c>
      <c r="H100" s="80" t="s">
        <v>158</v>
      </c>
      <c r="I100" s="80"/>
      <c r="J100" s="79">
        <v>0</v>
      </c>
      <c r="K100" s="256">
        <v>11</v>
      </c>
      <c r="L100" s="257"/>
      <c r="M100" s="258">
        <v>2.56</v>
      </c>
      <c r="N100" s="259">
        <v>0</v>
      </c>
      <c r="O100" s="259">
        <v>0</v>
      </c>
      <c r="P100" s="260">
        <f>ROUND(((K100*M100)-(K100*M100*N100/100))+(((K100*M100)-(K100*M100*N100/100))*O100/100),2)</f>
      </c>
      <c r="Q100" s="261" t="s">
        <v>480</v>
      </c>
      <c r="R100" s="261"/>
      <c r="S100" s="81"/>
      <c r="T100" s="209"/>
      <c r="U100" s="210"/>
    </row>
    <row r="101" spans="1:21" ht="15">
      <c r="A101" s="76">
        <v>81</v>
      </c>
      <c r="B101" s="76">
        <v>99990008656935</v>
      </c>
      <c r="C101" s="77">
        <v>812527</v>
      </c>
      <c r="D101" s="78" t="s">
        <v>160</v>
      </c>
      <c r="E101" s="79"/>
      <c r="F101" s="77"/>
      <c r="G101" s="92">
        <v>0</v>
      </c>
      <c r="H101" s="80" t="s">
        <v>158</v>
      </c>
      <c r="I101" s="80"/>
      <c r="J101" s="79">
        <v>0</v>
      </c>
      <c r="K101" s="256">
        <v>1</v>
      </c>
      <c r="L101" s="257"/>
      <c r="M101" s="258">
        <v>42.24</v>
      </c>
      <c r="N101" s="259">
        <v>0</v>
      </c>
      <c r="O101" s="259">
        <v>0</v>
      </c>
      <c r="P101" s="260">
        <f>ROUND(((K101*M101)-(K101*M101*N101/100))+(((K101*M101)-(K101*M101*N101/100))*O101/100),2)</f>
      </c>
      <c r="Q101" s="261"/>
      <c r="R101" s="261"/>
      <c r="S101" s="81"/>
      <c r="T101" s="209"/>
      <c r="U101" s="210"/>
    </row>
    <row r="102" spans="1:21" ht="15">
      <c r="A102" s="76">
        <v>82</v>
      </c>
      <c r="B102" s="76">
        <v>99990008656921</v>
      </c>
      <c r="C102" s="77">
        <v>232974</v>
      </c>
      <c r="D102" s="78" t="s">
        <v>161</v>
      </c>
      <c r="E102" s="79"/>
      <c r="F102" s="77"/>
      <c r="G102" s="92">
        <v>0</v>
      </c>
      <c r="H102" s="80" t="s">
        <v>162</v>
      </c>
      <c r="I102" s="80"/>
      <c r="J102" s="79">
        <v>0</v>
      </c>
      <c r="K102" s="256">
        <v>10</v>
      </c>
      <c r="L102" s="257"/>
      <c r="M102" s="258">
        <v>8.4</v>
      </c>
      <c r="N102" s="259">
        <v>0</v>
      </c>
      <c r="O102" s="259">
        <v>0</v>
      </c>
      <c r="P102" s="260">
        <f>ROUND(((K102*M102)-(K102*M102*N102/100))+(((K102*M102)-(K102*M102*N102/100))*O102/100),2)</f>
      </c>
      <c r="Q102" s="261"/>
      <c r="R102" s="261"/>
      <c r="S102" s="81"/>
      <c r="T102" s="209"/>
      <c r="U102" s="210"/>
    </row>
    <row r="103" spans="1:21" ht="15">
      <c r="A103" s="76">
        <v>83</v>
      </c>
      <c r="B103" s="76">
        <v>99990008655572</v>
      </c>
      <c r="C103" s="77">
        <v>510762</v>
      </c>
      <c r="D103" s="78" t="s">
        <v>163</v>
      </c>
      <c r="E103" s="79"/>
      <c r="F103" s="77"/>
      <c r="G103" s="92">
        <v>0</v>
      </c>
      <c r="H103" s="80" t="s">
        <v>55</v>
      </c>
      <c r="I103" s="80"/>
      <c r="J103" s="79">
        <v>0</v>
      </c>
      <c r="K103" s="256">
        <v>5</v>
      </c>
      <c r="L103" s="257"/>
      <c r="M103" s="258">
        <v>1.19</v>
      </c>
      <c r="N103" s="259">
        <v>0</v>
      </c>
      <c r="O103" s="259">
        <v>0</v>
      </c>
      <c r="P103" s="260">
        <f>ROUND(((K103*M103)-(K103*M103*N103/100))+(((K103*M103)-(K103*M103*N103/100))*O103/100),2)</f>
      </c>
      <c r="Q103" s="261"/>
      <c r="R103" s="261"/>
      <c r="S103" s="81"/>
      <c r="T103" s="209"/>
      <c r="U103" s="210"/>
    </row>
    <row r="104" spans="1:21" ht="15">
      <c r="A104" s="76">
        <v>84</v>
      </c>
      <c r="B104" s="76">
        <v>99990010634570</v>
      </c>
      <c r="C104" s="77">
        <v>172256</v>
      </c>
      <c r="D104" s="78" t="s">
        <v>164</v>
      </c>
      <c r="E104" s="79"/>
      <c r="F104" s="77"/>
      <c r="G104" s="92">
        <v>0</v>
      </c>
      <c r="H104" s="80" t="s">
        <v>55</v>
      </c>
      <c r="I104" s="80"/>
      <c r="J104" s="79">
        <v>0</v>
      </c>
      <c r="K104" s="256">
        <v>2</v>
      </c>
      <c r="L104" s="257"/>
      <c r="M104" s="258">
        <v>2.12</v>
      </c>
      <c r="N104" s="259">
        <v>0</v>
      </c>
      <c r="O104" s="259">
        <v>0</v>
      </c>
      <c r="P104" s="260">
        <f>ROUND(((K104*M104)-(K104*M104*N104/100))+(((K104*M104)-(K104*M104*N104/100))*O104/100),2)</f>
      </c>
      <c r="Q104" s="261"/>
      <c r="R104" s="261"/>
      <c r="S104" s="81"/>
      <c r="T104" s="209"/>
      <c r="U104" s="210"/>
    </row>
    <row r="105" spans="1:21" ht="15">
      <c r="A105" s="76">
        <v>85</v>
      </c>
      <c r="B105" s="76">
        <v>99990008657333</v>
      </c>
      <c r="C105" s="77">
        <v>174055</v>
      </c>
      <c r="D105" s="78" t="s">
        <v>165</v>
      </c>
      <c r="E105" s="79"/>
      <c r="F105" s="77"/>
      <c r="G105" s="92">
        <v>0</v>
      </c>
      <c r="H105" s="80" t="s">
        <v>55</v>
      </c>
      <c r="I105" s="80"/>
      <c r="J105" s="79">
        <v>0</v>
      </c>
      <c r="K105" s="256">
        <v>10</v>
      </c>
      <c r="L105" s="257"/>
      <c r="M105" s="258">
        <v>0.07</v>
      </c>
      <c r="N105" s="259">
        <v>0</v>
      </c>
      <c r="O105" s="259">
        <v>0</v>
      </c>
      <c r="P105" s="260">
        <f>ROUND(((K105*M105)-(K105*M105*N105/100))+(((K105*M105)-(K105*M105*N105/100))*O105/100),2)</f>
      </c>
      <c r="Q105" s="261"/>
      <c r="R105" s="261"/>
      <c r="S105" s="81"/>
      <c r="T105" s="209"/>
      <c r="U105" s="210"/>
    </row>
    <row r="106" spans="1:21" ht="15">
      <c r="A106" s="76">
        <v>86</v>
      </c>
      <c r="B106" s="76">
        <v>99990009566578</v>
      </c>
      <c r="C106" s="77">
        <v>2131492</v>
      </c>
      <c r="D106" s="78" t="s">
        <v>166</v>
      </c>
      <c r="E106" s="79"/>
      <c r="F106" s="77"/>
      <c r="G106" s="92">
        <v>0</v>
      </c>
      <c r="H106" s="80" t="s">
        <v>75</v>
      </c>
      <c r="I106" s="80"/>
      <c r="J106" s="79">
        <v>0</v>
      </c>
      <c r="K106" s="256">
        <v>10</v>
      </c>
      <c r="L106" s="257"/>
      <c r="M106" s="258">
        <v>3.5</v>
      </c>
      <c r="N106" s="259">
        <v>0</v>
      </c>
      <c r="O106" s="259">
        <v>0</v>
      </c>
      <c r="P106" s="260">
        <f>ROUND(((K106*M106)-(K106*M106*N106/100))+(((K106*M106)-(K106*M106*N106/100))*O106/100),2)</f>
      </c>
      <c r="Q106" s="261"/>
      <c r="R106" s="261"/>
      <c r="S106" s="81"/>
      <c r="T106" s="209"/>
      <c r="U106" s="210"/>
    </row>
    <row r="107" spans="1:21" ht="15">
      <c r="A107" s="76">
        <v>87</v>
      </c>
      <c r="B107" s="76">
        <v>99990008655459</v>
      </c>
      <c r="C107" s="77">
        <v>174280</v>
      </c>
      <c r="D107" s="78" t="s">
        <v>167</v>
      </c>
      <c r="E107" s="79"/>
      <c r="F107" s="77"/>
      <c r="G107" s="92">
        <v>0</v>
      </c>
      <c r="H107" s="80" t="s">
        <v>55</v>
      </c>
      <c r="I107" s="80"/>
      <c r="J107" s="79">
        <v>0</v>
      </c>
      <c r="K107" s="256">
        <v>6</v>
      </c>
      <c r="L107" s="257"/>
      <c r="M107" s="258">
        <v>6.59</v>
      </c>
      <c r="N107" s="259">
        <v>0</v>
      </c>
      <c r="O107" s="259">
        <v>0</v>
      </c>
      <c r="P107" s="260">
        <f>ROUND(((K107*M107)-(K107*M107*N107/100))+(((K107*M107)-(K107*M107*N107/100))*O107/100),2)</f>
      </c>
      <c r="Q107" s="261"/>
      <c r="R107" s="261"/>
      <c r="S107" s="81"/>
      <c r="T107" s="209"/>
      <c r="U107" s="210"/>
    </row>
    <row r="108" spans="1:21" ht="15">
      <c r="A108" s="76">
        <v>88</v>
      </c>
      <c r="B108" s="76">
        <v>99990008191344</v>
      </c>
      <c r="C108" s="77">
        <v>615802</v>
      </c>
      <c r="D108" s="78" t="s">
        <v>168</v>
      </c>
      <c r="E108" s="79"/>
      <c r="F108" s="77"/>
      <c r="G108" s="92">
        <v>0</v>
      </c>
      <c r="H108" s="80" t="s">
        <v>55</v>
      </c>
      <c r="I108" s="80"/>
      <c r="J108" s="79">
        <v>0</v>
      </c>
      <c r="K108" s="256">
        <v>2</v>
      </c>
      <c r="L108" s="257"/>
      <c r="M108" s="258">
        <v>1.29</v>
      </c>
      <c r="N108" s="259">
        <v>0</v>
      </c>
      <c r="O108" s="259">
        <v>0</v>
      </c>
      <c r="P108" s="260">
        <f>ROUND(((K108*M108)-(K108*M108*N108/100))+(((K108*M108)-(K108*M108*N108/100))*O108/100),2)</f>
      </c>
      <c r="Q108" s="261" t="s">
        <v>481</v>
      </c>
      <c r="R108" s="261"/>
      <c r="S108" s="81"/>
      <c r="T108" s="209"/>
      <c r="U108" s="210"/>
    </row>
    <row r="109" spans="1:21" ht="15">
      <c r="A109" s="76">
        <v>89</v>
      </c>
      <c r="B109" s="76">
        <v>99990008191357</v>
      </c>
      <c r="C109" s="77">
        <v>615818</v>
      </c>
      <c r="D109" s="78" t="s">
        <v>169</v>
      </c>
      <c r="E109" s="79"/>
      <c r="F109" s="77"/>
      <c r="G109" s="92">
        <v>0</v>
      </c>
      <c r="H109" s="80" t="s">
        <v>55</v>
      </c>
      <c r="I109" s="80"/>
      <c r="J109" s="79">
        <v>0</v>
      </c>
      <c r="K109" s="256">
        <v>2</v>
      </c>
      <c r="L109" s="257"/>
      <c r="M109" s="258">
        <v>17.67</v>
      </c>
      <c r="N109" s="259">
        <v>0</v>
      </c>
      <c r="O109" s="259">
        <v>0</v>
      </c>
      <c r="P109" s="260">
        <f>ROUND(((K109*M109)-(K109*M109*N109/100))+(((K109*M109)-(K109*M109*N109/100))*O109/100),2)</f>
      </c>
      <c r="Q109" s="261"/>
      <c r="R109" s="261"/>
      <c r="S109" s="81"/>
      <c r="T109" s="209"/>
      <c r="U109" s="210"/>
    </row>
    <row r="110" spans="1:21" ht="15">
      <c r="A110" s="76">
        <v>90</v>
      </c>
      <c r="B110" s="76">
        <v>99990008190755</v>
      </c>
      <c r="C110" s="77">
        <v>614650</v>
      </c>
      <c r="D110" s="78" t="s">
        <v>170</v>
      </c>
      <c r="E110" s="79"/>
      <c r="F110" s="77"/>
      <c r="G110" s="92">
        <v>0</v>
      </c>
      <c r="H110" s="80" t="s">
        <v>55</v>
      </c>
      <c r="I110" s="80"/>
      <c r="J110" s="79">
        <v>0</v>
      </c>
      <c r="K110" s="256">
        <v>50</v>
      </c>
      <c r="L110" s="257"/>
      <c r="M110" s="258">
        <v>0.27</v>
      </c>
      <c r="N110" s="259">
        <v>0</v>
      </c>
      <c r="O110" s="259">
        <v>0</v>
      </c>
      <c r="P110" s="260">
        <f>ROUND(((K110*M110)-(K110*M110*N110/100))+(((K110*M110)-(K110*M110*N110/100))*O110/100),2)</f>
      </c>
      <c r="Q110" s="261"/>
      <c r="R110" s="261"/>
      <c r="S110" s="81"/>
      <c r="T110" s="209"/>
      <c r="U110" s="210"/>
    </row>
    <row r="111" spans="1:21" ht="15">
      <c r="A111" s="76">
        <v>91</v>
      </c>
      <c r="B111" s="76">
        <v>99990008190219</v>
      </c>
      <c r="C111" s="77">
        <v>613829</v>
      </c>
      <c r="D111" s="78" t="s">
        <v>171</v>
      </c>
      <c r="E111" s="79"/>
      <c r="F111" s="77"/>
      <c r="G111" s="92">
        <v>0</v>
      </c>
      <c r="H111" s="80" t="s">
        <v>69</v>
      </c>
      <c r="I111" s="80"/>
      <c r="J111" s="79">
        <v>0</v>
      </c>
      <c r="K111" s="256">
        <v>1</v>
      </c>
      <c r="L111" s="257"/>
      <c r="M111" s="258">
        <v>92.93</v>
      </c>
      <c r="N111" s="259">
        <v>0</v>
      </c>
      <c r="O111" s="259">
        <v>0</v>
      </c>
      <c r="P111" s="260">
        <f>ROUND(((K111*M111)-(K111*M111*N111/100))+(((K111*M111)-(K111*M111*N111/100))*O111/100),2)</f>
      </c>
      <c r="Q111" s="261" t="s">
        <v>482</v>
      </c>
      <c r="R111" s="261"/>
      <c r="S111" s="81"/>
      <c r="T111" s="209"/>
      <c r="U111" s="210"/>
    </row>
    <row r="112" spans="1:21" ht="15">
      <c r="A112" s="76">
        <v>92</v>
      </c>
      <c r="B112" s="76">
        <v>99990008190956</v>
      </c>
      <c r="C112" s="77">
        <v>615050</v>
      </c>
      <c r="D112" s="78" t="s">
        <v>172</v>
      </c>
      <c r="E112" s="79"/>
      <c r="F112" s="77"/>
      <c r="G112" s="92">
        <v>0</v>
      </c>
      <c r="H112" s="80" t="s">
        <v>69</v>
      </c>
      <c r="I112" s="80"/>
      <c r="J112" s="79">
        <v>0</v>
      </c>
      <c r="K112" s="256">
        <v>1</v>
      </c>
      <c r="L112" s="257"/>
      <c r="M112" s="258">
        <v>3.2</v>
      </c>
      <c r="N112" s="259">
        <v>0</v>
      </c>
      <c r="O112" s="259">
        <v>0</v>
      </c>
      <c r="P112" s="260">
        <f>ROUND(((K112*M112)-(K112*M112*N112/100))+(((K112*M112)-(K112*M112*N112/100))*O112/100),2)</f>
      </c>
      <c r="Q112" s="261"/>
      <c r="R112" s="261"/>
      <c r="S112" s="81"/>
      <c r="T112" s="209"/>
      <c r="U112" s="210"/>
    </row>
    <row r="113" spans="1:21" ht="15">
      <c r="A113" s="76">
        <v>93</v>
      </c>
      <c r="B113" s="76">
        <v>99990008188220</v>
      </c>
      <c r="C113" s="77">
        <v>610244</v>
      </c>
      <c r="D113" s="78" t="s">
        <v>173</v>
      </c>
      <c r="E113" s="79"/>
      <c r="F113" s="77"/>
      <c r="G113" s="92">
        <v>0</v>
      </c>
      <c r="H113" s="80" t="s">
        <v>55</v>
      </c>
      <c r="I113" s="80"/>
      <c r="J113" s="79">
        <v>0</v>
      </c>
      <c r="K113" s="256">
        <v>1</v>
      </c>
      <c r="L113" s="257"/>
      <c r="M113" s="258">
        <v>0.49</v>
      </c>
      <c r="N113" s="259">
        <v>0</v>
      </c>
      <c r="O113" s="259">
        <v>0</v>
      </c>
      <c r="P113" s="260">
        <f>ROUND(((K113*M113)-(K113*M113*N113/100))+(((K113*M113)-(K113*M113*N113/100))*O113/100),2)</f>
      </c>
      <c r="Q113" s="261"/>
      <c r="R113" s="261"/>
      <c r="S113" s="81"/>
      <c r="T113" s="209"/>
      <c r="U113" s="210"/>
    </row>
    <row r="114" spans="1:21" ht="15">
      <c r="A114" s="76">
        <v>94</v>
      </c>
      <c r="B114" s="76">
        <v>99990008188227</v>
      </c>
      <c r="C114" s="77">
        <v>610251</v>
      </c>
      <c r="D114" s="78" t="s">
        <v>174</v>
      </c>
      <c r="E114" s="79"/>
      <c r="F114" s="77"/>
      <c r="G114" s="92">
        <v>0</v>
      </c>
      <c r="H114" s="80" t="s">
        <v>55</v>
      </c>
      <c r="I114" s="80"/>
      <c r="J114" s="79">
        <v>0</v>
      </c>
      <c r="K114" s="256">
        <v>2</v>
      </c>
      <c r="L114" s="257"/>
      <c r="M114" s="258">
        <v>0.69</v>
      </c>
      <c r="N114" s="259">
        <v>0</v>
      </c>
      <c r="O114" s="259">
        <v>0</v>
      </c>
      <c r="P114" s="260">
        <f>ROUND(((K114*M114)-(K114*M114*N114/100))+(((K114*M114)-(K114*M114*N114/100))*O114/100),2)</f>
      </c>
      <c r="Q114" s="261"/>
      <c r="R114" s="261"/>
      <c r="S114" s="81"/>
      <c r="T114" s="209"/>
      <c r="U114" s="210"/>
    </row>
    <row r="115" spans="1:21" ht="15">
      <c r="A115" s="76">
        <v>95</v>
      </c>
      <c r="B115" s="76">
        <v>99990008188230</v>
      </c>
      <c r="C115" s="77">
        <v>610254</v>
      </c>
      <c r="D115" s="78" t="s">
        <v>175</v>
      </c>
      <c r="E115" s="79"/>
      <c r="F115" s="77"/>
      <c r="G115" s="92">
        <v>0</v>
      </c>
      <c r="H115" s="80" t="s">
        <v>55</v>
      </c>
      <c r="I115" s="80"/>
      <c r="J115" s="79">
        <v>0</v>
      </c>
      <c r="K115" s="256">
        <v>1</v>
      </c>
      <c r="L115" s="257"/>
      <c r="M115" s="258">
        <v>0.67</v>
      </c>
      <c r="N115" s="259">
        <v>0</v>
      </c>
      <c r="O115" s="259">
        <v>0</v>
      </c>
      <c r="P115" s="260">
        <f>ROUND(((K115*M115)-(K115*M115*N115/100))+(((K115*M115)-(K115*M115*N115/100))*O115/100),2)</f>
      </c>
      <c r="Q115" s="261"/>
      <c r="R115" s="261"/>
      <c r="S115" s="81"/>
      <c r="T115" s="209"/>
      <c r="U115" s="210"/>
    </row>
    <row r="116" spans="1:21" ht="15">
      <c r="A116" s="76">
        <v>96</v>
      </c>
      <c r="B116" s="76">
        <v>99990008188218</v>
      </c>
      <c r="C116" s="77">
        <v>610242</v>
      </c>
      <c r="D116" s="78" t="s">
        <v>176</v>
      </c>
      <c r="E116" s="79"/>
      <c r="F116" s="77"/>
      <c r="G116" s="92">
        <v>0</v>
      </c>
      <c r="H116" s="80" t="s">
        <v>55</v>
      </c>
      <c r="I116" s="80"/>
      <c r="J116" s="79">
        <v>0</v>
      </c>
      <c r="K116" s="256">
        <v>1</v>
      </c>
      <c r="L116" s="257"/>
      <c r="M116" s="258">
        <v>0.49</v>
      </c>
      <c r="N116" s="259">
        <v>0</v>
      </c>
      <c r="O116" s="259">
        <v>0</v>
      </c>
      <c r="P116" s="260">
        <f>ROUND(((K116*M116)-(K116*M116*N116/100))+(((K116*M116)-(K116*M116*N116/100))*O116/100),2)</f>
      </c>
      <c r="Q116" s="261"/>
      <c r="R116" s="261"/>
      <c r="S116" s="81"/>
      <c r="T116" s="209"/>
      <c r="U116" s="210"/>
    </row>
    <row r="117" spans="1:21" ht="15">
      <c r="A117" s="76">
        <v>97</v>
      </c>
      <c r="B117" s="76">
        <v>99990009630945</v>
      </c>
      <c r="C117" s="77">
        <v>351058</v>
      </c>
      <c r="D117" s="78" t="s">
        <v>177</v>
      </c>
      <c r="E117" s="79"/>
      <c r="F117" s="77"/>
      <c r="G117" s="92">
        <v>0</v>
      </c>
      <c r="H117" s="80" t="s">
        <v>55</v>
      </c>
      <c r="I117" s="80"/>
      <c r="J117" s="79">
        <v>0</v>
      </c>
      <c r="K117" s="256">
        <v>10</v>
      </c>
      <c r="L117" s="257"/>
      <c r="M117" s="258">
        <v>7.63</v>
      </c>
      <c r="N117" s="259">
        <v>0</v>
      </c>
      <c r="O117" s="259">
        <v>0</v>
      </c>
      <c r="P117" s="260">
        <f>ROUND(((K117*M117)-(K117*M117*N117/100))+(((K117*M117)-(K117*M117*N117/100))*O117/100),2)</f>
      </c>
      <c r="Q117" s="261"/>
      <c r="R117" s="261"/>
      <c r="S117" s="81"/>
      <c r="T117" s="209"/>
      <c r="U117" s="210"/>
    </row>
    <row r="118" spans="1:21" ht="15">
      <c r="A118" s="76">
        <v>98</v>
      </c>
      <c r="B118" s="76">
        <v>99990008657458</v>
      </c>
      <c r="C118" s="77">
        <v>351053</v>
      </c>
      <c r="D118" s="78" t="s">
        <v>178</v>
      </c>
      <c r="E118" s="79"/>
      <c r="F118" s="77"/>
      <c r="G118" s="92">
        <v>0</v>
      </c>
      <c r="H118" s="80" t="s">
        <v>55</v>
      </c>
      <c r="I118" s="80"/>
      <c r="J118" s="79">
        <v>0</v>
      </c>
      <c r="K118" s="256">
        <v>10</v>
      </c>
      <c r="L118" s="257"/>
      <c r="M118" s="258">
        <v>3.14</v>
      </c>
      <c r="N118" s="259">
        <v>0</v>
      </c>
      <c r="O118" s="259">
        <v>0</v>
      </c>
      <c r="P118" s="260">
        <f>ROUND(((K118*M118)-(K118*M118*N118/100))+(((K118*M118)-(K118*M118*N118/100))*O118/100),2)</f>
      </c>
      <c r="Q118" s="261"/>
      <c r="R118" s="261"/>
      <c r="S118" s="81"/>
      <c r="T118" s="209"/>
      <c r="U118" s="210"/>
    </row>
    <row r="119" spans="1:21" ht="15">
      <c r="A119" s="76">
        <v>99</v>
      </c>
      <c r="B119" s="76">
        <v>99990008657469</v>
      </c>
      <c r="C119" s="77">
        <v>351251</v>
      </c>
      <c r="D119" s="78" t="s">
        <v>179</v>
      </c>
      <c r="E119" s="79"/>
      <c r="F119" s="77"/>
      <c r="G119" s="92">
        <v>0</v>
      </c>
      <c r="H119" s="80" t="s">
        <v>55</v>
      </c>
      <c r="I119" s="80"/>
      <c r="J119" s="79">
        <v>0</v>
      </c>
      <c r="K119" s="256">
        <v>10</v>
      </c>
      <c r="L119" s="257"/>
      <c r="M119" s="258">
        <v>0.71</v>
      </c>
      <c r="N119" s="259">
        <v>0</v>
      </c>
      <c r="O119" s="259">
        <v>0</v>
      </c>
      <c r="P119" s="260">
        <f>ROUND(((K119*M119)-(K119*M119*N119/100))+(((K119*M119)-(K119*M119*N119/100))*O119/100),2)</f>
      </c>
      <c r="Q119" s="261"/>
      <c r="R119" s="261"/>
      <c r="S119" s="81"/>
      <c r="T119" s="209"/>
      <c r="U119" s="210"/>
    </row>
    <row r="120" spans="1:21" ht="15">
      <c r="A120" s="76">
        <v>100</v>
      </c>
      <c r="B120" s="76">
        <v>99990008657463</v>
      </c>
      <c r="C120" s="77">
        <v>351221</v>
      </c>
      <c r="D120" s="78" t="s">
        <v>180</v>
      </c>
      <c r="E120" s="79"/>
      <c r="F120" s="77"/>
      <c r="G120" s="92">
        <v>0</v>
      </c>
      <c r="H120" s="80" t="s">
        <v>55</v>
      </c>
      <c r="I120" s="80"/>
      <c r="J120" s="79">
        <v>0</v>
      </c>
      <c r="K120" s="256">
        <v>10</v>
      </c>
      <c r="L120" s="257"/>
      <c r="M120" s="258">
        <v>3.02</v>
      </c>
      <c r="N120" s="259">
        <v>0</v>
      </c>
      <c r="O120" s="259">
        <v>0</v>
      </c>
      <c r="P120" s="260">
        <f>ROUND(((K120*M120)-(K120*M120*N120/100))+(((K120*M120)-(K120*M120*N120/100))*O120/100),2)</f>
      </c>
      <c r="Q120" s="261"/>
      <c r="R120" s="261"/>
      <c r="S120" s="81"/>
      <c r="T120" s="209"/>
      <c r="U120" s="210"/>
    </row>
    <row r="121" spans="1:21" ht="15">
      <c r="A121" s="76">
        <v>101</v>
      </c>
      <c r="B121" s="76">
        <v>99990009574807</v>
      </c>
      <c r="C121" s="77">
        <v>2137672</v>
      </c>
      <c r="D121" s="78" t="s">
        <v>181</v>
      </c>
      <c r="E121" s="79"/>
      <c r="F121" s="77"/>
      <c r="G121" s="92">
        <v>0</v>
      </c>
      <c r="H121" s="80" t="s">
        <v>55</v>
      </c>
      <c r="I121" s="80"/>
      <c r="J121" s="79">
        <v>0</v>
      </c>
      <c r="K121" s="256">
        <v>10</v>
      </c>
      <c r="L121" s="257"/>
      <c r="M121" s="258">
        <v>0.2</v>
      </c>
      <c r="N121" s="259">
        <v>0</v>
      </c>
      <c r="O121" s="259">
        <v>0</v>
      </c>
      <c r="P121" s="260">
        <f>ROUND(((K121*M121)-(K121*M121*N121/100))+(((K121*M121)-(K121*M121*N121/100))*O121/100),2)</f>
      </c>
      <c r="Q121" s="261"/>
      <c r="R121" s="261"/>
      <c r="S121" s="81"/>
      <c r="T121" s="209"/>
      <c r="U121" s="210"/>
    </row>
    <row r="122" spans="1:21" ht="15">
      <c r="A122" s="76">
        <v>102</v>
      </c>
      <c r="B122" s="76">
        <v>99990009574801</v>
      </c>
      <c r="C122" s="77">
        <v>2137666</v>
      </c>
      <c r="D122" s="78" t="s">
        <v>182</v>
      </c>
      <c r="E122" s="79"/>
      <c r="F122" s="77"/>
      <c r="G122" s="92">
        <v>0</v>
      </c>
      <c r="H122" s="80" t="s">
        <v>55</v>
      </c>
      <c r="I122" s="80"/>
      <c r="J122" s="79">
        <v>0</v>
      </c>
      <c r="K122" s="256">
        <v>10</v>
      </c>
      <c r="L122" s="257"/>
      <c r="M122" s="258">
        <v>3.02</v>
      </c>
      <c r="N122" s="259">
        <v>0</v>
      </c>
      <c r="O122" s="259">
        <v>0</v>
      </c>
      <c r="P122" s="260">
        <f>ROUND(((K122*M122)-(K122*M122*N122/100))+(((K122*M122)-(K122*M122*N122/100))*O122/100),2)</f>
      </c>
      <c r="Q122" s="261"/>
      <c r="R122" s="261"/>
      <c r="S122" s="81"/>
      <c r="T122" s="209"/>
      <c r="U122" s="210"/>
    </row>
    <row r="123" spans="1:21" ht="15">
      <c r="A123" s="76">
        <v>103</v>
      </c>
      <c r="B123" s="76">
        <v>99990008179926</v>
      </c>
      <c r="C123" s="77">
        <v>350116</v>
      </c>
      <c r="D123" s="78" t="s">
        <v>183</v>
      </c>
      <c r="E123" s="79"/>
      <c r="F123" s="77"/>
      <c r="G123" s="92">
        <v>0</v>
      </c>
      <c r="H123" s="80" t="s">
        <v>133</v>
      </c>
      <c r="I123" s="80"/>
      <c r="J123" s="79">
        <v>0</v>
      </c>
      <c r="K123" s="256">
        <v>50</v>
      </c>
      <c r="L123" s="257"/>
      <c r="M123" s="258">
        <v>0.46</v>
      </c>
      <c r="N123" s="259">
        <v>0</v>
      </c>
      <c r="O123" s="259">
        <v>0</v>
      </c>
      <c r="P123" s="260">
        <f>ROUND(((K123*M123)-(K123*M123*N123/100))+(((K123*M123)-(K123*M123*N123/100))*O123/100),2)</f>
      </c>
      <c r="Q123" s="261"/>
      <c r="R123" s="261"/>
      <c r="S123" s="81"/>
      <c r="T123" s="209"/>
      <c r="U123" s="210"/>
    </row>
    <row r="124" spans="1:21" ht="15">
      <c r="A124" s="76">
        <v>104</v>
      </c>
      <c r="B124" s="76">
        <v>99990010092055</v>
      </c>
      <c r="C124" s="77">
        <v>350360</v>
      </c>
      <c r="D124" s="78" t="s">
        <v>184</v>
      </c>
      <c r="E124" s="79"/>
      <c r="F124" s="77"/>
      <c r="G124" s="92">
        <v>0</v>
      </c>
      <c r="H124" s="80" t="s">
        <v>133</v>
      </c>
      <c r="I124" s="80"/>
      <c r="J124" s="79">
        <v>0</v>
      </c>
      <c r="K124" s="256">
        <v>40</v>
      </c>
      <c r="L124" s="257"/>
      <c r="M124" s="258">
        <v>1.4</v>
      </c>
      <c r="N124" s="259">
        <v>0</v>
      </c>
      <c r="O124" s="259">
        <v>0</v>
      </c>
      <c r="P124" s="260">
        <f>ROUND(((K124*M124)-(K124*M124*N124/100))+(((K124*M124)-(K124*M124*N124/100))*O124/100),2)</f>
      </c>
      <c r="Q124" s="261" t="s">
        <v>483</v>
      </c>
      <c r="R124" s="261"/>
      <c r="S124" s="81"/>
      <c r="T124" s="209"/>
      <c r="U124" s="210"/>
    </row>
    <row r="125" spans="1:21" ht="15">
      <c r="A125" s="76">
        <v>105</v>
      </c>
      <c r="B125" s="76">
        <v>99990008186049</v>
      </c>
      <c r="C125" s="77">
        <v>510666</v>
      </c>
      <c r="D125" s="78" t="s">
        <v>185</v>
      </c>
      <c r="E125" s="79"/>
      <c r="F125" s="77"/>
      <c r="G125" s="92">
        <v>0</v>
      </c>
      <c r="H125" s="80" t="s">
        <v>55</v>
      </c>
      <c r="I125" s="80"/>
      <c r="J125" s="79">
        <v>0</v>
      </c>
      <c r="K125" s="256">
        <v>1</v>
      </c>
      <c r="L125" s="257"/>
      <c r="M125" s="258">
        <v>1.01</v>
      </c>
      <c r="N125" s="259">
        <v>0</v>
      </c>
      <c r="O125" s="259">
        <v>0</v>
      </c>
      <c r="P125" s="260">
        <f>ROUND(((K125*M125)-(K125*M125*N125/100))+(((K125*M125)-(K125*M125*N125/100))*O125/100),2)</f>
      </c>
      <c r="Q125" s="261"/>
      <c r="R125" s="261"/>
      <c r="S125" s="81"/>
      <c r="T125" s="209"/>
      <c r="U125" s="210"/>
    </row>
    <row r="126" spans="1:21" ht="15">
      <c r="A126" s="76">
        <v>106</v>
      </c>
      <c r="B126" s="76">
        <v>99990008194456</v>
      </c>
      <c r="C126" s="77">
        <v>650471</v>
      </c>
      <c r="D126" s="78" t="s">
        <v>186</v>
      </c>
      <c r="E126" s="79"/>
      <c r="F126" s="77"/>
      <c r="G126" s="92">
        <v>0</v>
      </c>
      <c r="H126" s="80" t="s">
        <v>55</v>
      </c>
      <c r="I126" s="80"/>
      <c r="J126" s="79">
        <v>0</v>
      </c>
      <c r="K126" s="256">
        <v>1</v>
      </c>
      <c r="L126" s="257"/>
      <c r="M126" s="258">
        <v>27.4</v>
      </c>
      <c r="N126" s="259">
        <v>0</v>
      </c>
      <c r="O126" s="259">
        <v>0</v>
      </c>
      <c r="P126" s="260">
        <f>ROUND(((K126*M126)-(K126*M126*N126/100))+(((K126*M126)-(K126*M126*N126/100))*O126/100),2)</f>
      </c>
      <c r="Q126" s="261"/>
      <c r="R126" s="261"/>
      <c r="S126" s="81"/>
      <c r="T126" s="209"/>
      <c r="U126" s="210"/>
    </row>
    <row r="127" spans="1:21" ht="15">
      <c r="A127" s="76">
        <v>107</v>
      </c>
      <c r="B127" s="76">
        <v>99990008655755</v>
      </c>
      <c r="C127" s="77">
        <v>650828</v>
      </c>
      <c r="D127" s="78" t="s">
        <v>187</v>
      </c>
      <c r="E127" s="79"/>
      <c r="F127" s="77"/>
      <c r="G127" s="92">
        <v>0</v>
      </c>
      <c r="H127" s="80" t="s">
        <v>55</v>
      </c>
      <c r="I127" s="80"/>
      <c r="J127" s="79">
        <v>0</v>
      </c>
      <c r="K127" s="256">
        <v>3</v>
      </c>
      <c r="L127" s="257"/>
      <c r="M127" s="258">
        <v>1.2</v>
      </c>
      <c r="N127" s="259">
        <v>0</v>
      </c>
      <c r="O127" s="259">
        <v>0</v>
      </c>
      <c r="P127" s="260">
        <f>ROUND(((K127*M127)-(K127*M127*N127/100))+(((K127*M127)-(K127*M127*N127/100))*O127/100),2)</f>
      </c>
      <c r="Q127" s="261"/>
      <c r="R127" s="261"/>
      <c r="S127" s="81"/>
      <c r="T127" s="209"/>
      <c r="U127" s="210"/>
    </row>
    <row r="128" spans="1:21" ht="15">
      <c r="A128" s="76">
        <v>108</v>
      </c>
      <c r="B128" s="76">
        <v>99990010275207</v>
      </c>
      <c r="C128" s="77">
        <v>650564</v>
      </c>
      <c r="D128" s="78" t="s">
        <v>188</v>
      </c>
      <c r="E128" s="79"/>
      <c r="F128" s="77"/>
      <c r="G128" s="92">
        <v>0</v>
      </c>
      <c r="H128" s="80" t="s">
        <v>55</v>
      </c>
      <c r="I128" s="80"/>
      <c r="J128" s="79">
        <v>0</v>
      </c>
      <c r="K128" s="256">
        <v>1</v>
      </c>
      <c r="L128" s="257"/>
      <c r="M128" s="258">
        <v>2.38</v>
      </c>
      <c r="N128" s="259">
        <v>0</v>
      </c>
      <c r="O128" s="259">
        <v>0</v>
      </c>
      <c r="P128" s="260">
        <f>ROUND(((K128*M128)-(K128*M128*N128/100))+(((K128*M128)-(K128*M128*N128/100))*O128/100),2)</f>
      </c>
      <c r="Q128" s="261"/>
      <c r="R128" s="261"/>
      <c r="S128" s="81"/>
      <c r="T128" s="209"/>
      <c r="U128" s="210"/>
    </row>
    <row r="129" spans="1:21" ht="15">
      <c r="A129" s="76">
        <v>109</v>
      </c>
      <c r="B129" s="76">
        <v>99990008657516</v>
      </c>
      <c r="C129" s="77">
        <v>672142</v>
      </c>
      <c r="D129" s="78" t="s">
        <v>189</v>
      </c>
      <c r="E129" s="79"/>
      <c r="F129" s="77"/>
      <c r="G129" s="92">
        <v>0</v>
      </c>
      <c r="H129" s="80" t="s">
        <v>158</v>
      </c>
      <c r="I129" s="80"/>
      <c r="J129" s="79">
        <v>0</v>
      </c>
      <c r="K129" s="256">
        <v>1</v>
      </c>
      <c r="L129" s="257"/>
      <c r="M129" s="258">
        <v>544.44</v>
      </c>
      <c r="N129" s="259">
        <v>0</v>
      </c>
      <c r="O129" s="259">
        <v>0</v>
      </c>
      <c r="P129" s="260">
        <f>ROUND(((K129*M129)-(K129*M129*N129/100))+(((K129*M129)-(K129*M129*N129/100))*O129/100),2)</f>
      </c>
      <c r="Q129" s="261"/>
      <c r="R129" s="261"/>
      <c r="S129" s="81"/>
      <c r="T129" s="209"/>
      <c r="U129" s="210"/>
    </row>
    <row r="130" spans="1:21" ht="15">
      <c r="A130" s="76">
        <v>110</v>
      </c>
      <c r="B130" s="76">
        <v>99990008198113</v>
      </c>
      <c r="C130" s="77">
        <v>672566</v>
      </c>
      <c r="D130" s="78" t="s">
        <v>190</v>
      </c>
      <c r="E130" s="79"/>
      <c r="F130" s="77"/>
      <c r="G130" s="92">
        <v>0</v>
      </c>
      <c r="H130" s="80" t="s">
        <v>158</v>
      </c>
      <c r="I130" s="80"/>
      <c r="J130" s="79">
        <v>0</v>
      </c>
      <c r="K130" s="256">
        <v>1</v>
      </c>
      <c r="L130" s="257"/>
      <c r="M130" s="258">
        <v>792.88</v>
      </c>
      <c r="N130" s="259">
        <v>0</v>
      </c>
      <c r="O130" s="259">
        <v>0</v>
      </c>
      <c r="P130" s="260">
        <f>ROUND(((K130*M130)-(K130*M130*N130/100))+(((K130*M130)-(K130*M130*N130/100))*O130/100),2)</f>
      </c>
      <c r="Q130" s="261"/>
      <c r="R130" s="261"/>
      <c r="S130" s="81"/>
      <c r="T130" s="209"/>
      <c r="U130" s="210"/>
    </row>
    <row r="131" spans="1:21" ht="15">
      <c r="A131" s="76">
        <v>111</v>
      </c>
      <c r="B131" s="76">
        <v>99990011300955</v>
      </c>
      <c r="C131" s="77">
        <v>673523</v>
      </c>
      <c r="D131" s="78" t="s">
        <v>191</v>
      </c>
      <c r="E131" s="79"/>
      <c r="F131" s="77"/>
      <c r="G131" s="92">
        <v>0</v>
      </c>
      <c r="H131" s="80" t="s">
        <v>192</v>
      </c>
      <c r="I131" s="80"/>
      <c r="J131" s="79">
        <v>0</v>
      </c>
      <c r="K131" s="256">
        <v>1</v>
      </c>
      <c r="L131" s="257"/>
      <c r="M131" s="258">
        <v>23.75</v>
      </c>
      <c r="N131" s="259">
        <v>0</v>
      </c>
      <c r="O131" s="259">
        <v>0</v>
      </c>
      <c r="P131" s="260">
        <f>ROUND(((K131*M131)-(K131*M131*N131/100))+(((K131*M131)-(K131*M131*N131/100))*O131/100),2)</f>
      </c>
      <c r="Q131" s="261"/>
      <c r="R131" s="261"/>
      <c r="S131" s="81"/>
      <c r="T131" s="209"/>
      <c r="U131" s="210"/>
    </row>
    <row r="132" spans="1:21" ht="15">
      <c r="A132" s="76">
        <v>112</v>
      </c>
      <c r="B132" s="76">
        <v>99990009813304</v>
      </c>
      <c r="C132" s="77">
        <v>815283</v>
      </c>
      <c r="D132" s="78" t="s">
        <v>193</v>
      </c>
      <c r="E132" s="79"/>
      <c r="F132" s="77"/>
      <c r="G132" s="92">
        <v>0</v>
      </c>
      <c r="H132" s="80" t="s">
        <v>55</v>
      </c>
      <c r="I132" s="80"/>
      <c r="J132" s="79">
        <v>0</v>
      </c>
      <c r="K132" s="256">
        <v>10</v>
      </c>
      <c r="L132" s="257"/>
      <c r="M132" s="258">
        <v>30.41</v>
      </c>
      <c r="N132" s="259">
        <v>0</v>
      </c>
      <c r="O132" s="259">
        <v>0</v>
      </c>
      <c r="P132" s="260">
        <f>ROUND(((K132*M132)-(K132*M132*N132/100))+(((K132*M132)-(K132*M132*N132/100))*O132/100),2)</f>
      </c>
      <c r="Q132" s="261" t="s">
        <v>484</v>
      </c>
      <c r="R132" s="261"/>
      <c r="S132" s="81"/>
      <c r="T132" s="209"/>
      <c r="U132" s="210"/>
    </row>
    <row r="133" spans="1:21" ht="15">
      <c r="A133" s="76">
        <v>113</v>
      </c>
      <c r="B133" s="76">
        <v>99990008212335</v>
      </c>
      <c r="C133" s="77">
        <v>811752</v>
      </c>
      <c r="D133" s="78" t="s">
        <v>194</v>
      </c>
      <c r="E133" s="79"/>
      <c r="F133" s="77"/>
      <c r="G133" s="92">
        <v>0</v>
      </c>
      <c r="H133" s="80" t="s">
        <v>133</v>
      </c>
      <c r="I133" s="80"/>
      <c r="J133" s="79">
        <v>0</v>
      </c>
      <c r="K133" s="256">
        <v>1</v>
      </c>
      <c r="L133" s="257"/>
      <c r="M133" s="258">
        <v>8.77</v>
      </c>
      <c r="N133" s="259">
        <v>0</v>
      </c>
      <c r="O133" s="259">
        <v>0</v>
      </c>
      <c r="P133" s="260">
        <f>ROUND(((K133*M133)-(K133*M133*N133/100))+(((K133*M133)-(K133*M133*N133/100))*O133/100),2)</f>
      </c>
      <c r="Q133" s="261"/>
      <c r="R133" s="261"/>
      <c r="S133" s="81"/>
      <c r="T133" s="209"/>
      <c r="U133" s="210"/>
    </row>
    <row r="134" spans="1:21" ht="15">
      <c r="A134" s="76">
        <v>114</v>
      </c>
      <c r="B134" s="76">
        <v>99990010275214</v>
      </c>
      <c r="C134" s="77">
        <v>811702</v>
      </c>
      <c r="D134" s="78" t="s">
        <v>195</v>
      </c>
      <c r="E134" s="79"/>
      <c r="F134" s="77"/>
      <c r="G134" s="92">
        <v>0</v>
      </c>
      <c r="H134" s="80" t="s">
        <v>133</v>
      </c>
      <c r="I134" s="80"/>
      <c r="J134" s="79">
        <v>0</v>
      </c>
      <c r="K134" s="256">
        <v>2</v>
      </c>
      <c r="L134" s="257"/>
      <c r="M134" s="258">
        <v>1.81</v>
      </c>
      <c r="N134" s="259">
        <v>0</v>
      </c>
      <c r="O134" s="259">
        <v>0</v>
      </c>
      <c r="P134" s="260">
        <f>ROUND(((K134*M134)-(K134*M134*N134/100))+(((K134*M134)-(K134*M134*N134/100))*O134/100),2)</f>
      </c>
      <c r="Q134" s="261"/>
      <c r="R134" s="261"/>
      <c r="S134" s="81"/>
      <c r="T134" s="209"/>
      <c r="U134" s="210"/>
    </row>
    <row r="135" spans="1:21" ht="15">
      <c r="A135" s="76">
        <v>115</v>
      </c>
      <c r="B135" s="76">
        <v>99990009638806</v>
      </c>
      <c r="C135" s="77">
        <v>811703</v>
      </c>
      <c r="D135" s="78" t="s">
        <v>196</v>
      </c>
      <c r="E135" s="79"/>
      <c r="F135" s="77"/>
      <c r="G135" s="92">
        <v>0</v>
      </c>
      <c r="H135" s="80" t="s">
        <v>69</v>
      </c>
      <c r="I135" s="80"/>
      <c r="J135" s="79">
        <v>0</v>
      </c>
      <c r="K135" s="256">
        <v>1</v>
      </c>
      <c r="L135" s="257"/>
      <c r="M135" s="258">
        <v>3.63</v>
      </c>
      <c r="N135" s="259">
        <v>0</v>
      </c>
      <c r="O135" s="259">
        <v>0</v>
      </c>
      <c r="P135" s="260">
        <f>ROUND(((K135*M135)-(K135*M135*N135/100))+(((K135*M135)-(K135*M135*N135/100))*O135/100),2)</f>
      </c>
      <c r="Q135" s="261"/>
      <c r="R135" s="261"/>
      <c r="S135" s="81"/>
      <c r="T135" s="209"/>
      <c r="U135" s="210"/>
    </row>
    <row r="136" spans="1:21" ht="15">
      <c r="A136" s="76">
        <v>116</v>
      </c>
      <c r="B136" s="76">
        <v>99990009864552</v>
      </c>
      <c r="C136" s="77" t="s">
        <v>197</v>
      </c>
      <c r="D136" s="78" t="s">
        <v>198</v>
      </c>
      <c r="E136" s="79"/>
      <c r="F136" s="77"/>
      <c r="G136" s="92">
        <v>0</v>
      </c>
      <c r="H136" s="80" t="s">
        <v>121</v>
      </c>
      <c r="I136" s="80"/>
      <c r="J136" s="79">
        <v>0</v>
      </c>
      <c r="K136" s="256">
        <v>1</v>
      </c>
      <c r="L136" s="257"/>
      <c r="M136" s="258">
        <v>2.1</v>
      </c>
      <c r="N136" s="259">
        <v>0</v>
      </c>
      <c r="O136" s="259">
        <v>0</v>
      </c>
      <c r="P136" s="260">
        <f>ROUND(((K136*M136)-(K136*M136*N136/100))+(((K136*M136)-(K136*M136*N136/100))*O136/100),2)</f>
      </c>
      <c r="Q136" s="261"/>
      <c r="R136" s="261"/>
      <c r="S136" s="81"/>
      <c r="T136" s="209"/>
      <c r="U136" s="210"/>
    </row>
    <row r="137" spans="1:21" ht="15">
      <c r="A137" s="76">
        <v>117</v>
      </c>
      <c r="B137" s="76">
        <v>99990011124690</v>
      </c>
      <c r="C137" s="77">
        <v>812552</v>
      </c>
      <c r="D137" s="78" t="s">
        <v>199</v>
      </c>
      <c r="E137" s="79"/>
      <c r="F137" s="77"/>
      <c r="G137" s="92">
        <v>0</v>
      </c>
      <c r="H137" s="80" t="s">
        <v>121</v>
      </c>
      <c r="I137" s="80"/>
      <c r="J137" s="79">
        <v>0</v>
      </c>
      <c r="K137" s="256">
        <v>1</v>
      </c>
      <c r="L137" s="257"/>
      <c r="M137" s="258">
        <v>3.05</v>
      </c>
      <c r="N137" s="259">
        <v>0</v>
      </c>
      <c r="O137" s="259">
        <v>0</v>
      </c>
      <c r="P137" s="260">
        <f>ROUND(((K137*M137)-(K137*M137*N137/100))+(((K137*M137)-(K137*M137*N137/100))*O137/100),2)</f>
      </c>
      <c r="Q137" s="261"/>
      <c r="R137" s="261"/>
      <c r="S137" s="81"/>
      <c r="T137" s="209"/>
      <c r="U137" s="210"/>
    </row>
    <row r="138" spans="1:21" ht="15">
      <c r="A138" s="76">
        <v>118</v>
      </c>
      <c r="B138" s="76">
        <v>99990011124691</v>
      </c>
      <c r="C138" s="77">
        <v>812553</v>
      </c>
      <c r="D138" s="78" t="s">
        <v>200</v>
      </c>
      <c r="E138" s="79"/>
      <c r="F138" s="77"/>
      <c r="G138" s="92">
        <v>0</v>
      </c>
      <c r="H138" s="80" t="s">
        <v>121</v>
      </c>
      <c r="I138" s="80"/>
      <c r="J138" s="79">
        <v>0</v>
      </c>
      <c r="K138" s="256">
        <v>1</v>
      </c>
      <c r="L138" s="257"/>
      <c r="M138" s="258">
        <v>3.43</v>
      </c>
      <c r="N138" s="259">
        <v>0</v>
      </c>
      <c r="O138" s="259">
        <v>0</v>
      </c>
      <c r="P138" s="260">
        <f>ROUND(((K138*M138)-(K138*M138*N138/100))+(((K138*M138)-(K138*M138*N138/100))*O138/100),2)</f>
      </c>
      <c r="Q138" s="261"/>
      <c r="R138" s="261"/>
      <c r="S138" s="81"/>
      <c r="T138" s="209"/>
      <c r="U138" s="210"/>
    </row>
    <row r="139" spans="1:21" ht="15">
      <c r="A139" s="76">
        <v>119</v>
      </c>
      <c r="B139" s="76">
        <v>99990008212662</v>
      </c>
      <c r="C139" s="77">
        <v>812554</v>
      </c>
      <c r="D139" s="78" t="s">
        <v>201</v>
      </c>
      <c r="E139" s="79"/>
      <c r="F139" s="77"/>
      <c r="G139" s="92">
        <v>0</v>
      </c>
      <c r="H139" s="80" t="s">
        <v>121</v>
      </c>
      <c r="I139" s="80"/>
      <c r="J139" s="79">
        <v>0</v>
      </c>
      <c r="K139" s="256">
        <v>1</v>
      </c>
      <c r="L139" s="257"/>
      <c r="M139" s="258">
        <v>3.43</v>
      </c>
      <c r="N139" s="259">
        <v>0</v>
      </c>
      <c r="O139" s="259">
        <v>0</v>
      </c>
      <c r="P139" s="260">
        <f>ROUND(((K139*M139)-(K139*M139*N139/100))+(((K139*M139)-(K139*M139*N139/100))*O139/100),2)</f>
      </c>
      <c r="Q139" s="261"/>
      <c r="R139" s="261"/>
      <c r="S139" s="81"/>
      <c r="T139" s="209"/>
      <c r="U139" s="210"/>
    </row>
    <row r="140" spans="1:21" ht="15">
      <c r="A140" s="76">
        <v>120</v>
      </c>
      <c r="B140" s="76">
        <v>99990010275215</v>
      </c>
      <c r="C140" s="77">
        <v>811741</v>
      </c>
      <c r="D140" s="78" t="s">
        <v>202</v>
      </c>
      <c r="E140" s="79"/>
      <c r="F140" s="77"/>
      <c r="G140" s="92">
        <v>0</v>
      </c>
      <c r="H140" s="80" t="s">
        <v>143</v>
      </c>
      <c r="I140" s="80"/>
      <c r="J140" s="79">
        <v>0</v>
      </c>
      <c r="K140" s="256">
        <v>5</v>
      </c>
      <c r="L140" s="257"/>
      <c r="M140" s="258">
        <v>2.07</v>
      </c>
      <c r="N140" s="259">
        <v>0</v>
      </c>
      <c r="O140" s="259">
        <v>0</v>
      </c>
      <c r="P140" s="260">
        <f>ROUND(((K140*M140)-(K140*M140*N140/100))+(((K140*M140)-(K140*M140*N140/100))*O140/100),2)</f>
      </c>
      <c r="Q140" s="261"/>
      <c r="R140" s="261"/>
      <c r="S140" s="81"/>
      <c r="T140" s="209"/>
      <c r="U140" s="210"/>
    </row>
    <row r="141" spans="1:21" ht="15">
      <c r="A141" s="76">
        <v>121</v>
      </c>
      <c r="B141" s="76">
        <v>99990008656938</v>
      </c>
      <c r="C141" s="77">
        <v>812603</v>
      </c>
      <c r="D141" s="78" t="s">
        <v>203</v>
      </c>
      <c r="E141" s="79"/>
      <c r="F141" s="77"/>
      <c r="G141" s="92">
        <v>0</v>
      </c>
      <c r="H141" s="80" t="s">
        <v>55</v>
      </c>
      <c r="I141" s="80"/>
      <c r="J141" s="79">
        <v>0</v>
      </c>
      <c r="K141" s="256">
        <v>3</v>
      </c>
      <c r="L141" s="257"/>
      <c r="M141" s="258">
        <v>1.2</v>
      </c>
      <c r="N141" s="259">
        <v>0</v>
      </c>
      <c r="O141" s="259">
        <v>0</v>
      </c>
      <c r="P141" s="260">
        <f>ROUND(((K141*M141)-(K141*M141*N141/100))+(((K141*M141)-(K141*M141*N141/100))*O141/100),2)</f>
      </c>
      <c r="Q141" s="261"/>
      <c r="R141" s="261"/>
      <c r="S141" s="81"/>
      <c r="T141" s="209"/>
      <c r="U141" s="210"/>
    </row>
    <row r="142" spans="1:21" ht="15">
      <c r="A142" s="76">
        <v>122</v>
      </c>
      <c r="B142" s="76">
        <v>99990008211533</v>
      </c>
      <c r="C142" s="77">
        <v>810223</v>
      </c>
      <c r="D142" s="78" t="s">
        <v>204</v>
      </c>
      <c r="E142" s="79"/>
      <c r="F142" s="77"/>
      <c r="G142" s="92">
        <v>0</v>
      </c>
      <c r="H142" s="80" t="s">
        <v>205</v>
      </c>
      <c r="I142" s="80"/>
      <c r="J142" s="79">
        <v>0</v>
      </c>
      <c r="K142" s="256">
        <v>1</v>
      </c>
      <c r="L142" s="257"/>
      <c r="M142" s="258">
        <v>16.59</v>
      </c>
      <c r="N142" s="259">
        <v>0</v>
      </c>
      <c r="O142" s="259">
        <v>0</v>
      </c>
      <c r="P142" s="260">
        <f>ROUND(((K142*M142)-(K142*M142*N142/100))+(((K142*M142)-(K142*M142*N142/100))*O142/100),2)</f>
      </c>
      <c r="Q142" s="261"/>
      <c r="R142" s="261"/>
      <c r="S142" s="81"/>
      <c r="T142" s="209"/>
      <c r="U142" s="210"/>
    </row>
    <row r="143" spans="1:21" ht="15">
      <c r="A143" s="76">
        <v>123</v>
      </c>
      <c r="B143" s="76">
        <v>99990009838381</v>
      </c>
      <c r="C143" s="77">
        <v>810386</v>
      </c>
      <c r="D143" s="78" t="s">
        <v>206</v>
      </c>
      <c r="E143" s="79"/>
      <c r="F143" s="77"/>
      <c r="G143" s="92">
        <v>0</v>
      </c>
      <c r="H143" s="80" t="s">
        <v>205</v>
      </c>
      <c r="I143" s="80"/>
      <c r="J143" s="79">
        <v>0</v>
      </c>
      <c r="K143" s="256">
        <v>1</v>
      </c>
      <c r="L143" s="257"/>
      <c r="M143" s="258">
        <v>5.48</v>
      </c>
      <c r="N143" s="259">
        <v>0</v>
      </c>
      <c r="O143" s="259">
        <v>0</v>
      </c>
      <c r="P143" s="260">
        <f>ROUND(((K143*M143)-(K143*M143*N143/100))+(((K143*M143)-(K143*M143*N143/100))*O143/100),2)</f>
      </c>
      <c r="Q143" s="261"/>
      <c r="R143" s="261"/>
      <c r="S143" s="81"/>
      <c r="T143" s="209"/>
      <c r="U143" s="210"/>
    </row>
    <row r="144" spans="1:21" ht="15">
      <c r="A144" s="76">
        <v>124</v>
      </c>
      <c r="B144" s="76">
        <v>99990009696768</v>
      </c>
      <c r="C144" s="77">
        <v>810383</v>
      </c>
      <c r="D144" s="78" t="s">
        <v>207</v>
      </c>
      <c r="E144" s="79"/>
      <c r="F144" s="77"/>
      <c r="G144" s="92">
        <v>0</v>
      </c>
      <c r="H144" s="80" t="s">
        <v>205</v>
      </c>
      <c r="I144" s="80"/>
      <c r="J144" s="79">
        <v>0</v>
      </c>
      <c r="K144" s="256">
        <v>1</v>
      </c>
      <c r="L144" s="257"/>
      <c r="M144" s="258">
        <v>1.94</v>
      </c>
      <c r="N144" s="259">
        <v>0</v>
      </c>
      <c r="O144" s="259">
        <v>0</v>
      </c>
      <c r="P144" s="260">
        <f>ROUND(((K144*M144)-(K144*M144*N144/100))+(((K144*M144)-(K144*M144*N144/100))*O144/100),2)</f>
      </c>
      <c r="Q144" s="261"/>
      <c r="R144" s="261"/>
      <c r="S144" s="81"/>
      <c r="T144" s="209"/>
      <c r="U144" s="210"/>
    </row>
    <row r="145" spans="1:21" ht="15">
      <c r="A145" s="76">
        <v>125</v>
      </c>
      <c r="B145" s="76">
        <v>99990008657546</v>
      </c>
      <c r="C145" s="77">
        <v>811292</v>
      </c>
      <c r="D145" s="78" t="s">
        <v>208</v>
      </c>
      <c r="E145" s="79"/>
      <c r="F145" s="77"/>
      <c r="G145" s="92">
        <v>0</v>
      </c>
      <c r="H145" s="80" t="s">
        <v>55</v>
      </c>
      <c r="I145" s="80"/>
      <c r="J145" s="79">
        <v>0</v>
      </c>
      <c r="K145" s="256">
        <v>1</v>
      </c>
      <c r="L145" s="257"/>
      <c r="M145" s="258">
        <v>16.07</v>
      </c>
      <c r="N145" s="259">
        <v>0</v>
      </c>
      <c r="O145" s="259">
        <v>0</v>
      </c>
      <c r="P145" s="260">
        <f>ROUND(((K145*M145)-(K145*M145*N145/100))+(((K145*M145)-(K145*M145*N145/100))*O145/100),2)</f>
      </c>
      <c r="Q145" s="261" t="s">
        <v>485</v>
      </c>
      <c r="R145" s="261"/>
      <c r="S145" s="81"/>
      <c r="T145" s="209"/>
      <c r="U145" s="210"/>
    </row>
    <row r="146" spans="1:21" ht="15">
      <c r="A146" s="76">
        <v>126</v>
      </c>
      <c r="B146" s="76">
        <v>99990010266553</v>
      </c>
      <c r="C146" s="77">
        <v>811148</v>
      </c>
      <c r="D146" s="78" t="s">
        <v>209</v>
      </c>
      <c r="E146" s="79"/>
      <c r="F146" s="77"/>
      <c r="G146" s="92">
        <v>0</v>
      </c>
      <c r="H146" s="80" t="s">
        <v>133</v>
      </c>
      <c r="I146" s="80"/>
      <c r="J146" s="79">
        <v>0</v>
      </c>
      <c r="K146" s="256">
        <v>5</v>
      </c>
      <c r="L146" s="257"/>
      <c r="M146" s="258">
        <v>6.3</v>
      </c>
      <c r="N146" s="259">
        <v>0</v>
      </c>
      <c r="O146" s="259">
        <v>0</v>
      </c>
      <c r="P146" s="260">
        <f>ROUND(((K146*M146)-(K146*M146*N146/100))+(((K146*M146)-(K146*M146*N146/100))*O146/100),2)</f>
      </c>
      <c r="Q146" s="261" t="s">
        <v>486</v>
      </c>
      <c r="R146" s="261"/>
      <c r="S146" s="81"/>
      <c r="T146" s="209"/>
      <c r="U146" s="210"/>
    </row>
    <row r="147" spans="1:21" ht="15">
      <c r="A147" s="76">
        <v>127</v>
      </c>
      <c r="B147" s="76">
        <v>99990010352855</v>
      </c>
      <c r="C147" s="77">
        <v>811715</v>
      </c>
      <c r="D147" s="78" t="s">
        <v>210</v>
      </c>
      <c r="E147" s="79"/>
      <c r="F147" s="77"/>
      <c r="G147" s="92">
        <v>0</v>
      </c>
      <c r="H147" s="80" t="s">
        <v>211</v>
      </c>
      <c r="I147" s="80"/>
      <c r="J147" s="79">
        <v>0</v>
      </c>
      <c r="K147" s="256">
        <v>4</v>
      </c>
      <c r="L147" s="257"/>
      <c r="M147" s="258">
        <v>6.59</v>
      </c>
      <c r="N147" s="259">
        <v>0</v>
      </c>
      <c r="O147" s="259">
        <v>0</v>
      </c>
      <c r="P147" s="260">
        <f>ROUND(((K147*M147)-(K147*M147*N147/100))+(((K147*M147)-(K147*M147*N147/100))*O147/100),2)</f>
      </c>
      <c r="Q147" s="261"/>
      <c r="R147" s="261"/>
      <c r="S147" s="81"/>
      <c r="T147" s="209"/>
      <c r="U147" s="210"/>
    </row>
    <row r="148" spans="1:21" ht="15">
      <c r="A148" s="76">
        <v>128</v>
      </c>
      <c r="B148" s="76">
        <v>99990008657553</v>
      </c>
      <c r="C148" s="77">
        <v>812502</v>
      </c>
      <c r="D148" s="78" t="s">
        <v>212</v>
      </c>
      <c r="E148" s="79"/>
      <c r="F148" s="77"/>
      <c r="G148" s="92">
        <v>0</v>
      </c>
      <c r="H148" s="80" t="s">
        <v>55</v>
      </c>
      <c r="I148" s="80"/>
      <c r="J148" s="79">
        <v>0</v>
      </c>
      <c r="K148" s="256">
        <v>10</v>
      </c>
      <c r="L148" s="257"/>
      <c r="M148" s="258">
        <v>0.18</v>
      </c>
      <c r="N148" s="259">
        <v>0</v>
      </c>
      <c r="O148" s="259">
        <v>0</v>
      </c>
      <c r="P148" s="260">
        <f>ROUND(((K148*M148)-(K148*M148*N148/100))+(((K148*M148)-(K148*M148*N148/100))*O148/100),2)</f>
      </c>
      <c r="Q148" s="261"/>
      <c r="R148" s="261"/>
      <c r="S148" s="81"/>
      <c r="T148" s="209"/>
      <c r="U148" s="210"/>
    </row>
    <row r="149" spans="1:21" ht="15">
      <c r="A149" s="76">
        <v>129</v>
      </c>
      <c r="B149" s="76">
        <v>99990008212642</v>
      </c>
      <c r="C149" s="77">
        <v>812538</v>
      </c>
      <c r="D149" s="78" t="s">
        <v>213</v>
      </c>
      <c r="E149" s="79"/>
      <c r="F149" s="77"/>
      <c r="G149" s="92">
        <v>0</v>
      </c>
      <c r="H149" s="80" t="s">
        <v>137</v>
      </c>
      <c r="I149" s="80"/>
      <c r="J149" s="79">
        <v>0</v>
      </c>
      <c r="K149" s="256">
        <v>1</v>
      </c>
      <c r="L149" s="257"/>
      <c r="M149" s="258">
        <v>3.84</v>
      </c>
      <c r="N149" s="259">
        <v>0</v>
      </c>
      <c r="O149" s="259">
        <v>0</v>
      </c>
      <c r="P149" s="260">
        <f>ROUND(((K149*M149)-(K149*M149*N149/100))+(((K149*M149)-(K149*M149*N149/100))*O149/100),2)</f>
      </c>
      <c r="Q149" s="261"/>
      <c r="R149" s="261"/>
      <c r="S149" s="81"/>
      <c r="T149" s="209"/>
      <c r="U149" s="210"/>
    </row>
    <row r="150" spans="1:21" ht="15">
      <c r="A150" s="76">
        <v>130</v>
      </c>
      <c r="B150" s="76">
        <v>99990009880807</v>
      </c>
      <c r="C150" s="77">
        <v>812531</v>
      </c>
      <c r="D150" s="78" t="s">
        <v>214</v>
      </c>
      <c r="E150" s="79"/>
      <c r="F150" s="77"/>
      <c r="G150" s="92">
        <v>0</v>
      </c>
      <c r="H150" s="80" t="s">
        <v>137</v>
      </c>
      <c r="I150" s="80"/>
      <c r="J150" s="79">
        <v>0</v>
      </c>
      <c r="K150" s="256">
        <v>1</v>
      </c>
      <c r="L150" s="257"/>
      <c r="M150" s="258">
        <v>2.29</v>
      </c>
      <c r="N150" s="259">
        <v>0</v>
      </c>
      <c r="O150" s="259">
        <v>0</v>
      </c>
      <c r="P150" s="260">
        <f>ROUND(((K150*M150)-(K150*M150*N150/100))+(((K150*M150)-(K150*M150*N150/100))*O150/100),2)</f>
      </c>
      <c r="Q150" s="261"/>
      <c r="R150" s="261"/>
      <c r="S150" s="81"/>
      <c r="T150" s="209"/>
      <c r="U150" s="210"/>
    </row>
    <row r="151" spans="1:21" ht="15">
      <c r="A151" s="76">
        <v>131</v>
      </c>
      <c r="B151" s="76">
        <v>99990009813405</v>
      </c>
      <c r="C151" s="77">
        <v>812532</v>
      </c>
      <c r="D151" s="78" t="s">
        <v>215</v>
      </c>
      <c r="E151" s="79"/>
      <c r="F151" s="77"/>
      <c r="G151" s="92">
        <v>0</v>
      </c>
      <c r="H151" s="80" t="s">
        <v>137</v>
      </c>
      <c r="I151" s="80"/>
      <c r="J151" s="79">
        <v>0</v>
      </c>
      <c r="K151" s="256">
        <v>2</v>
      </c>
      <c r="L151" s="257"/>
      <c r="M151" s="258">
        <v>4.66</v>
      </c>
      <c r="N151" s="259">
        <v>0</v>
      </c>
      <c r="O151" s="259">
        <v>0</v>
      </c>
      <c r="P151" s="260">
        <f>ROUND(((K151*M151)-(K151*M151*N151/100))+(((K151*M151)-(K151*M151*N151/100))*O151/100),2)</f>
      </c>
      <c r="Q151" s="261"/>
      <c r="R151" s="261"/>
      <c r="S151" s="81"/>
      <c r="T151" s="209"/>
      <c r="U151" s="210"/>
    </row>
    <row r="152" spans="1:21" ht="15">
      <c r="A152" s="76">
        <v>132</v>
      </c>
      <c r="B152" s="76">
        <v>99990008655919</v>
      </c>
      <c r="C152" s="77">
        <v>510636</v>
      </c>
      <c r="D152" s="78" t="s">
        <v>216</v>
      </c>
      <c r="E152" s="79"/>
      <c r="F152" s="77"/>
      <c r="G152" s="92">
        <v>0</v>
      </c>
      <c r="H152" s="80" t="s">
        <v>55</v>
      </c>
      <c r="I152" s="80"/>
      <c r="J152" s="79">
        <v>0</v>
      </c>
      <c r="K152" s="256">
        <v>4</v>
      </c>
      <c r="L152" s="257"/>
      <c r="M152" s="258">
        <v>2.2</v>
      </c>
      <c r="N152" s="259">
        <v>0</v>
      </c>
      <c r="O152" s="259">
        <v>0</v>
      </c>
      <c r="P152" s="260">
        <f>ROUND(((K152*M152)-(K152*M152*N152/100))+(((K152*M152)-(K152*M152*N152/100))*O152/100),2)</f>
      </c>
      <c r="Q152" s="261"/>
      <c r="R152" s="261"/>
      <c r="S152" s="81"/>
      <c r="T152" s="209"/>
      <c r="U152" s="210"/>
    </row>
    <row r="153" spans="1:21" ht="15">
      <c r="A153" s="76">
        <v>133</v>
      </c>
      <c r="B153" s="76">
        <v>99990008655922</v>
      </c>
      <c r="C153" s="77">
        <v>510646</v>
      </c>
      <c r="D153" s="78" t="s">
        <v>217</v>
      </c>
      <c r="E153" s="79"/>
      <c r="F153" s="77"/>
      <c r="G153" s="92">
        <v>0</v>
      </c>
      <c r="H153" s="80" t="s">
        <v>55</v>
      </c>
      <c r="I153" s="80"/>
      <c r="J153" s="79">
        <v>0</v>
      </c>
      <c r="K153" s="256">
        <v>3</v>
      </c>
      <c r="L153" s="257"/>
      <c r="M153" s="258">
        <v>0.84</v>
      </c>
      <c r="N153" s="259">
        <v>0</v>
      </c>
      <c r="O153" s="259">
        <v>0</v>
      </c>
      <c r="P153" s="260">
        <f>ROUND(((K153*M153)-(K153*M153*N153/100))+(((K153*M153)-(K153*M153*N153/100))*O153/100),2)</f>
      </c>
      <c r="Q153" s="261"/>
      <c r="R153" s="261"/>
      <c r="S153" s="81"/>
      <c r="T153" s="209"/>
      <c r="U153" s="210"/>
    </row>
    <row r="154" spans="1:21" ht="15">
      <c r="A154" s="76">
        <v>134</v>
      </c>
      <c r="B154" s="76">
        <v>99990008655913</v>
      </c>
      <c r="C154" s="77">
        <v>510613</v>
      </c>
      <c r="D154" s="78" t="s">
        <v>218</v>
      </c>
      <c r="E154" s="79"/>
      <c r="F154" s="77"/>
      <c r="G154" s="92">
        <v>0</v>
      </c>
      <c r="H154" s="80" t="s">
        <v>55</v>
      </c>
      <c r="I154" s="80"/>
      <c r="J154" s="79">
        <v>0</v>
      </c>
      <c r="K154" s="256">
        <v>5</v>
      </c>
      <c r="L154" s="257"/>
      <c r="M154" s="258">
        <v>0.86</v>
      </c>
      <c r="N154" s="259">
        <v>0</v>
      </c>
      <c r="O154" s="259">
        <v>0</v>
      </c>
      <c r="P154" s="260">
        <f>ROUND(((K154*M154)-(K154*M154*N154/100))+(((K154*M154)-(K154*M154*N154/100))*O154/100),2)</f>
      </c>
      <c r="Q154" s="261"/>
      <c r="R154" s="261"/>
      <c r="S154" s="81"/>
      <c r="T154" s="209"/>
      <c r="U154" s="210"/>
    </row>
    <row r="155" spans="1:21" ht="15">
      <c r="A155" s="76">
        <v>135</v>
      </c>
      <c r="B155" s="76">
        <v>99990008655914</v>
      </c>
      <c r="C155" s="77">
        <v>510614</v>
      </c>
      <c r="D155" s="78" t="s">
        <v>219</v>
      </c>
      <c r="E155" s="79"/>
      <c r="F155" s="77"/>
      <c r="G155" s="92">
        <v>0</v>
      </c>
      <c r="H155" s="80" t="s">
        <v>55</v>
      </c>
      <c r="I155" s="80"/>
      <c r="J155" s="79">
        <v>0</v>
      </c>
      <c r="K155" s="256">
        <v>4</v>
      </c>
      <c r="L155" s="257"/>
      <c r="M155" s="258">
        <v>0.76</v>
      </c>
      <c r="N155" s="259">
        <v>0</v>
      </c>
      <c r="O155" s="259">
        <v>0</v>
      </c>
      <c r="P155" s="260">
        <f>ROUND(((K155*M155)-(K155*M155*N155/100))+(((K155*M155)-(K155*M155*N155/100))*O155/100),2)</f>
      </c>
      <c r="Q155" s="261"/>
      <c r="R155" s="261"/>
      <c r="S155" s="81"/>
      <c r="T155" s="209"/>
      <c r="U155" s="210"/>
    </row>
    <row r="156" spans="1:21" ht="15">
      <c r="A156" s="76">
        <v>136</v>
      </c>
      <c r="B156" s="76">
        <v>99990008655927</v>
      </c>
      <c r="C156" s="77">
        <v>510767</v>
      </c>
      <c r="D156" s="78" t="s">
        <v>220</v>
      </c>
      <c r="E156" s="79"/>
      <c r="F156" s="77"/>
      <c r="G156" s="92">
        <v>0</v>
      </c>
      <c r="H156" s="80" t="s">
        <v>55</v>
      </c>
      <c r="I156" s="80"/>
      <c r="J156" s="79">
        <v>0</v>
      </c>
      <c r="K156" s="256">
        <v>10</v>
      </c>
      <c r="L156" s="257"/>
      <c r="M156" s="258">
        <v>1.87</v>
      </c>
      <c r="N156" s="259">
        <v>0</v>
      </c>
      <c r="O156" s="259">
        <v>0</v>
      </c>
      <c r="P156" s="260">
        <f>ROUND(((K156*M156)-(K156*M156*N156/100))+(((K156*M156)-(K156*M156*N156/100))*O156/100),2)</f>
      </c>
      <c r="Q156" s="261"/>
      <c r="R156" s="261"/>
      <c r="S156" s="81"/>
      <c r="T156" s="209"/>
      <c r="U156" s="210"/>
    </row>
    <row r="157" spans="1:21" ht="15">
      <c r="A157" s="76">
        <v>137</v>
      </c>
      <c r="B157" s="76">
        <v>99990008655921</v>
      </c>
      <c r="C157" s="77">
        <v>510642</v>
      </c>
      <c r="D157" s="78" t="s">
        <v>221</v>
      </c>
      <c r="E157" s="79"/>
      <c r="F157" s="77"/>
      <c r="G157" s="92">
        <v>0</v>
      </c>
      <c r="H157" s="80" t="s">
        <v>55</v>
      </c>
      <c r="I157" s="80"/>
      <c r="J157" s="79">
        <v>0</v>
      </c>
      <c r="K157" s="256">
        <v>20</v>
      </c>
      <c r="L157" s="257"/>
      <c r="M157" s="258">
        <v>0.36</v>
      </c>
      <c r="N157" s="259">
        <v>0</v>
      </c>
      <c r="O157" s="259">
        <v>0</v>
      </c>
      <c r="P157" s="260">
        <f>ROUND(((K157*M157)-(K157*M157*N157/100))+(((K157*M157)-(K157*M157*N157/100))*O157/100),2)</f>
      </c>
      <c r="Q157" s="261"/>
      <c r="R157" s="261"/>
      <c r="S157" s="81"/>
      <c r="T157" s="209"/>
      <c r="U157" s="210"/>
    </row>
    <row r="158" spans="1:21" ht="15">
      <c r="A158" s="76">
        <v>138</v>
      </c>
      <c r="B158" s="76">
        <v>99990008188077</v>
      </c>
      <c r="C158" s="77">
        <v>591652</v>
      </c>
      <c r="D158" s="78" t="s">
        <v>222</v>
      </c>
      <c r="E158" s="79"/>
      <c r="F158" s="77"/>
      <c r="G158" s="92">
        <v>0</v>
      </c>
      <c r="H158" s="80" t="s">
        <v>69</v>
      </c>
      <c r="I158" s="80"/>
      <c r="J158" s="79">
        <v>0</v>
      </c>
      <c r="K158" s="256">
        <v>1</v>
      </c>
      <c r="L158" s="257"/>
      <c r="M158" s="258">
        <v>96.74</v>
      </c>
      <c r="N158" s="259">
        <v>0</v>
      </c>
      <c r="O158" s="259">
        <v>0</v>
      </c>
      <c r="P158" s="260">
        <f>ROUND(((K158*M158)-(K158*M158*N158/100))+(((K158*M158)-(K158*M158*N158/100))*O158/100),2)</f>
      </c>
      <c r="Q158" s="261"/>
      <c r="R158" s="261"/>
      <c r="S158" s="81"/>
      <c r="T158" s="209"/>
      <c r="U158" s="210"/>
    </row>
    <row r="159" spans="1:21" ht="15">
      <c r="A159" s="76">
        <v>139</v>
      </c>
      <c r="B159" s="76">
        <v>99990008188085</v>
      </c>
      <c r="C159" s="77">
        <v>591669</v>
      </c>
      <c r="D159" s="78" t="s">
        <v>223</v>
      </c>
      <c r="E159" s="79"/>
      <c r="F159" s="77"/>
      <c r="G159" s="92">
        <v>0</v>
      </c>
      <c r="H159" s="80" t="s">
        <v>69</v>
      </c>
      <c r="I159" s="80"/>
      <c r="J159" s="79">
        <v>0</v>
      </c>
      <c r="K159" s="256">
        <v>1</v>
      </c>
      <c r="L159" s="257"/>
      <c r="M159" s="258">
        <v>75.62</v>
      </c>
      <c r="N159" s="259">
        <v>0</v>
      </c>
      <c r="O159" s="259">
        <v>0</v>
      </c>
      <c r="P159" s="260">
        <f>ROUND(((K159*M159)-(K159*M159*N159/100))+(((K159*M159)-(K159*M159*N159/100))*O159/100),2)</f>
      </c>
      <c r="Q159" s="261"/>
      <c r="R159" s="261"/>
      <c r="S159" s="81"/>
      <c r="T159" s="209"/>
      <c r="U159" s="210"/>
    </row>
    <row r="160" spans="1:21" ht="15">
      <c r="A160" s="76">
        <v>140</v>
      </c>
      <c r="B160" s="76">
        <v>99990008656110</v>
      </c>
      <c r="C160" s="77">
        <v>232940</v>
      </c>
      <c r="D160" s="78" t="s">
        <v>224</v>
      </c>
      <c r="E160" s="79"/>
      <c r="F160" s="77"/>
      <c r="G160" s="92">
        <v>0</v>
      </c>
      <c r="H160" s="80" t="s">
        <v>55</v>
      </c>
      <c r="I160" s="80"/>
      <c r="J160" s="79">
        <v>0</v>
      </c>
      <c r="K160" s="256">
        <v>200</v>
      </c>
      <c r="L160" s="257"/>
      <c r="M160" s="258">
        <v>0.23</v>
      </c>
      <c r="N160" s="259">
        <v>0</v>
      </c>
      <c r="O160" s="259">
        <v>0</v>
      </c>
      <c r="P160" s="260">
        <f>ROUND(((K160*M160)-(K160*M160*N160/100))+(((K160*M160)-(K160*M160*N160/100))*O160/100),2)</f>
      </c>
      <c r="Q160" s="261"/>
      <c r="R160" s="261"/>
      <c r="S160" s="81"/>
      <c r="T160" s="209"/>
      <c r="U160" s="210"/>
    </row>
    <row r="161" spans="1:21" ht="15">
      <c r="A161" s="76">
        <v>141</v>
      </c>
      <c r="B161" s="76">
        <v>99990009559999</v>
      </c>
      <c r="C161" s="77">
        <v>2126258</v>
      </c>
      <c r="D161" s="78" t="s">
        <v>225</v>
      </c>
      <c r="E161" s="79"/>
      <c r="F161" s="77"/>
      <c r="G161" s="92">
        <v>0</v>
      </c>
      <c r="H161" s="80" t="s">
        <v>55</v>
      </c>
      <c r="I161" s="80"/>
      <c r="J161" s="79">
        <v>0</v>
      </c>
      <c r="K161" s="256">
        <v>1</v>
      </c>
      <c r="L161" s="257"/>
      <c r="M161" s="258">
        <v>9.91</v>
      </c>
      <c r="N161" s="259">
        <v>0</v>
      </c>
      <c r="O161" s="259">
        <v>0</v>
      </c>
      <c r="P161" s="260">
        <f>ROUND(((K161*M161)-(K161*M161*N161/100))+(((K161*M161)-(K161*M161*N161/100))*O161/100),2)</f>
      </c>
      <c r="Q161" s="261"/>
      <c r="R161" s="261"/>
      <c r="S161" s="81"/>
      <c r="T161" s="209"/>
      <c r="U161" s="210"/>
    </row>
    <row r="162" spans="1:21" ht="15">
      <c r="A162" s="76">
        <v>142</v>
      </c>
      <c r="B162" s="76">
        <v>99990009573508</v>
      </c>
      <c r="C162" s="77">
        <v>2136460</v>
      </c>
      <c r="D162" s="78" t="s">
        <v>226</v>
      </c>
      <c r="E162" s="79"/>
      <c r="F162" s="77"/>
      <c r="G162" s="92">
        <v>0</v>
      </c>
      <c r="H162" s="80" t="s">
        <v>55</v>
      </c>
      <c r="I162" s="80"/>
      <c r="J162" s="79">
        <v>0</v>
      </c>
      <c r="K162" s="256">
        <v>2</v>
      </c>
      <c r="L162" s="257"/>
      <c r="M162" s="258">
        <v>0.48</v>
      </c>
      <c r="N162" s="259">
        <v>0</v>
      </c>
      <c r="O162" s="259">
        <v>0</v>
      </c>
      <c r="P162" s="260">
        <f>ROUND(((K162*M162)-(K162*M162*N162/100))+(((K162*M162)-(K162*M162*N162/100))*O162/100),2)</f>
      </c>
      <c r="Q162" s="261"/>
      <c r="R162" s="261"/>
      <c r="S162" s="81"/>
      <c r="T162" s="209"/>
      <c r="U162" s="210"/>
    </row>
    <row r="163" spans="1:21" ht="15">
      <c r="A163" s="76">
        <v>143</v>
      </c>
      <c r="B163" s="76">
        <v>99990009573510</v>
      </c>
      <c r="C163" s="77">
        <v>2136462</v>
      </c>
      <c r="D163" s="78" t="s">
        <v>227</v>
      </c>
      <c r="E163" s="79"/>
      <c r="F163" s="77"/>
      <c r="G163" s="92">
        <v>0</v>
      </c>
      <c r="H163" s="80" t="s">
        <v>55</v>
      </c>
      <c r="I163" s="80"/>
      <c r="J163" s="79">
        <v>0</v>
      </c>
      <c r="K163" s="256">
        <v>2</v>
      </c>
      <c r="L163" s="257"/>
      <c r="M163" s="258">
        <v>0.63</v>
      </c>
      <c r="N163" s="259">
        <v>0</v>
      </c>
      <c r="O163" s="259">
        <v>0</v>
      </c>
      <c r="P163" s="260">
        <f>ROUND(((K163*M163)-(K163*M163*N163/100))+(((K163*M163)-(K163*M163*N163/100))*O163/100),2)</f>
      </c>
      <c r="Q163" s="261"/>
      <c r="R163" s="261"/>
      <c r="S163" s="81"/>
      <c r="T163" s="209"/>
      <c r="U163" s="210"/>
    </row>
    <row r="164" spans="1:21" ht="15">
      <c r="A164" s="76">
        <v>144</v>
      </c>
      <c r="B164" s="76">
        <v>99990009573507</v>
      </c>
      <c r="C164" s="77">
        <v>2136459</v>
      </c>
      <c r="D164" s="78" t="s">
        <v>228</v>
      </c>
      <c r="E164" s="79"/>
      <c r="F164" s="77"/>
      <c r="G164" s="92">
        <v>0</v>
      </c>
      <c r="H164" s="80" t="s">
        <v>55</v>
      </c>
      <c r="I164" s="80"/>
      <c r="J164" s="79">
        <v>0</v>
      </c>
      <c r="K164" s="256">
        <v>2</v>
      </c>
      <c r="L164" s="257"/>
      <c r="M164" s="258">
        <v>0.38</v>
      </c>
      <c r="N164" s="259">
        <v>0</v>
      </c>
      <c r="O164" s="259">
        <v>0</v>
      </c>
      <c r="P164" s="260">
        <f>ROUND(((K164*M164)-(K164*M164*N164/100))+(((K164*M164)-(K164*M164*N164/100))*O164/100),2)</f>
      </c>
      <c r="Q164" s="261"/>
      <c r="R164" s="261"/>
      <c r="S164" s="81"/>
      <c r="T164" s="209"/>
      <c r="U164" s="210"/>
    </row>
    <row r="165" spans="1:21" ht="15">
      <c r="A165" s="76">
        <v>145</v>
      </c>
      <c r="B165" s="76">
        <v>99990009843207</v>
      </c>
      <c r="C165" s="77">
        <v>692826</v>
      </c>
      <c r="D165" s="78" t="s">
        <v>229</v>
      </c>
      <c r="E165" s="79"/>
      <c r="F165" s="77"/>
      <c r="G165" s="92">
        <v>0</v>
      </c>
      <c r="H165" s="80" t="s">
        <v>55</v>
      </c>
      <c r="I165" s="80"/>
      <c r="J165" s="79">
        <v>0</v>
      </c>
      <c r="K165" s="256">
        <v>50</v>
      </c>
      <c r="L165" s="257"/>
      <c r="M165" s="258">
        <v>0.07</v>
      </c>
      <c r="N165" s="259">
        <v>0</v>
      </c>
      <c r="O165" s="259">
        <v>0</v>
      </c>
      <c r="P165" s="260">
        <f>ROUND(((K165*M165)-(K165*M165*N165/100))+(((K165*M165)-(K165*M165*N165/100))*O165/100),2)</f>
      </c>
      <c r="Q165" s="261" t="s">
        <v>487</v>
      </c>
      <c r="R165" s="261"/>
      <c r="S165" s="81"/>
      <c r="T165" s="209"/>
      <c r="U165" s="210"/>
    </row>
    <row r="166" spans="1:21" ht="15">
      <c r="A166" s="76">
        <v>146</v>
      </c>
      <c r="B166" s="76">
        <v>99990009694418</v>
      </c>
      <c r="C166" s="77">
        <v>692827</v>
      </c>
      <c r="D166" s="78" t="s">
        <v>230</v>
      </c>
      <c r="E166" s="79"/>
      <c r="F166" s="77"/>
      <c r="G166" s="92">
        <v>0</v>
      </c>
      <c r="H166" s="80" t="s">
        <v>55</v>
      </c>
      <c r="I166" s="80"/>
      <c r="J166" s="79">
        <v>0</v>
      </c>
      <c r="K166" s="256">
        <v>50</v>
      </c>
      <c r="L166" s="257"/>
      <c r="M166" s="258">
        <v>0.11</v>
      </c>
      <c r="N166" s="259">
        <v>0</v>
      </c>
      <c r="O166" s="259">
        <v>0</v>
      </c>
      <c r="P166" s="260">
        <f>ROUND(((K166*M166)-(K166*M166*N166/100))+(((K166*M166)-(K166*M166*N166/100))*O166/100),2)</f>
      </c>
      <c r="Q166" s="261" t="s">
        <v>487</v>
      </c>
      <c r="R166" s="261"/>
      <c r="S166" s="81"/>
      <c r="T166" s="209"/>
      <c r="U166" s="210"/>
    </row>
    <row r="167" spans="1:21" ht="15">
      <c r="A167" s="76">
        <v>147</v>
      </c>
      <c r="B167" s="76">
        <v>99990009694419</v>
      </c>
      <c r="C167" s="77">
        <v>692829</v>
      </c>
      <c r="D167" s="78" t="s">
        <v>231</v>
      </c>
      <c r="E167" s="79"/>
      <c r="F167" s="77"/>
      <c r="G167" s="92">
        <v>0</v>
      </c>
      <c r="H167" s="80" t="s">
        <v>55</v>
      </c>
      <c r="I167" s="80"/>
      <c r="J167" s="79">
        <v>0</v>
      </c>
      <c r="K167" s="256">
        <v>50</v>
      </c>
      <c r="L167" s="257"/>
      <c r="M167" s="258">
        <v>0.2</v>
      </c>
      <c r="N167" s="259">
        <v>0</v>
      </c>
      <c r="O167" s="259">
        <v>0</v>
      </c>
      <c r="P167" s="260">
        <f>ROUND(((K167*M167)-(K167*M167*N167/100))+(((K167*M167)-(K167*M167*N167/100))*O167/100),2)</f>
      </c>
      <c r="Q167" s="261" t="s">
        <v>487</v>
      </c>
      <c r="R167" s="261"/>
      <c r="S167" s="81"/>
      <c r="T167" s="209"/>
      <c r="U167" s="210"/>
    </row>
    <row r="168" spans="1:21" ht="15">
      <c r="A168" s="76">
        <v>148</v>
      </c>
      <c r="B168" s="76">
        <v>99990010763998</v>
      </c>
      <c r="C168" s="77">
        <v>692821</v>
      </c>
      <c r="D168" s="78" t="s">
        <v>232</v>
      </c>
      <c r="E168" s="79"/>
      <c r="F168" s="77"/>
      <c r="G168" s="92">
        <v>0</v>
      </c>
      <c r="H168" s="80" t="s">
        <v>55</v>
      </c>
      <c r="I168" s="80"/>
      <c r="J168" s="79">
        <v>0</v>
      </c>
      <c r="K168" s="256">
        <v>20</v>
      </c>
      <c r="L168" s="257"/>
      <c r="M168" s="258">
        <v>0.01</v>
      </c>
      <c r="N168" s="259">
        <v>0</v>
      </c>
      <c r="O168" s="259">
        <v>0</v>
      </c>
      <c r="P168" s="260">
        <f>ROUND(((K168*M168)-(K168*M168*N168/100))+(((K168*M168)-(K168*M168*N168/100))*O168/100),2)</f>
      </c>
      <c r="Q168" s="261" t="s">
        <v>487</v>
      </c>
      <c r="R168" s="261"/>
      <c r="S168" s="81"/>
      <c r="T168" s="209"/>
      <c r="U168" s="210"/>
    </row>
    <row r="169" spans="1:21" ht="15">
      <c r="A169" s="76">
        <v>149</v>
      </c>
      <c r="B169" s="76">
        <v>99990009843203</v>
      </c>
      <c r="C169" s="77">
        <v>692822</v>
      </c>
      <c r="D169" s="78" t="s">
        <v>233</v>
      </c>
      <c r="E169" s="79"/>
      <c r="F169" s="77"/>
      <c r="G169" s="92">
        <v>0</v>
      </c>
      <c r="H169" s="80" t="s">
        <v>55</v>
      </c>
      <c r="I169" s="80"/>
      <c r="J169" s="79">
        <v>0</v>
      </c>
      <c r="K169" s="256">
        <v>20</v>
      </c>
      <c r="L169" s="257"/>
      <c r="M169" s="258">
        <v>0.01</v>
      </c>
      <c r="N169" s="259">
        <v>0</v>
      </c>
      <c r="O169" s="259">
        <v>0</v>
      </c>
      <c r="P169" s="260">
        <f>ROUND(((K169*M169)-(K169*M169*N169/100))+(((K169*M169)-(K169*M169*N169/100))*O169/100),2)</f>
      </c>
      <c r="Q169" s="261" t="s">
        <v>487</v>
      </c>
      <c r="R169" s="261"/>
      <c r="S169" s="81"/>
      <c r="T169" s="209"/>
      <c r="U169" s="210"/>
    </row>
    <row r="170" spans="1:21" ht="15">
      <c r="A170" s="76">
        <v>150</v>
      </c>
      <c r="B170" s="76">
        <v>99990009843205</v>
      </c>
      <c r="C170" s="77">
        <v>692824</v>
      </c>
      <c r="D170" s="78" t="s">
        <v>234</v>
      </c>
      <c r="E170" s="79"/>
      <c r="F170" s="77"/>
      <c r="G170" s="92">
        <v>0</v>
      </c>
      <c r="H170" s="80" t="s">
        <v>55</v>
      </c>
      <c r="I170" s="80"/>
      <c r="J170" s="79">
        <v>0</v>
      </c>
      <c r="K170" s="256">
        <v>50</v>
      </c>
      <c r="L170" s="257"/>
      <c r="M170" s="258">
        <v>0.02</v>
      </c>
      <c r="N170" s="259">
        <v>0</v>
      </c>
      <c r="O170" s="259">
        <v>0</v>
      </c>
      <c r="P170" s="260">
        <f>ROUND(((K170*M170)-(K170*M170*N170/100))+(((K170*M170)-(K170*M170*N170/100))*O170/100),2)</f>
      </c>
      <c r="Q170" s="261" t="s">
        <v>487</v>
      </c>
      <c r="R170" s="261"/>
      <c r="S170" s="81"/>
      <c r="T170" s="209"/>
      <c r="U170" s="210"/>
    </row>
    <row r="171" spans="1:21" ht="15">
      <c r="A171" s="76">
        <v>151</v>
      </c>
      <c r="B171" s="76">
        <v>99990009843206</v>
      </c>
      <c r="C171" s="77">
        <v>692825</v>
      </c>
      <c r="D171" s="78" t="s">
        <v>235</v>
      </c>
      <c r="E171" s="79"/>
      <c r="F171" s="77"/>
      <c r="G171" s="92">
        <v>0</v>
      </c>
      <c r="H171" s="80" t="s">
        <v>55</v>
      </c>
      <c r="I171" s="80"/>
      <c r="J171" s="79">
        <v>0</v>
      </c>
      <c r="K171" s="256">
        <v>50</v>
      </c>
      <c r="L171" s="257"/>
      <c r="M171" s="258">
        <v>0.04</v>
      </c>
      <c r="N171" s="259">
        <v>0</v>
      </c>
      <c r="O171" s="259">
        <v>0</v>
      </c>
      <c r="P171" s="260">
        <f>ROUND(((K171*M171)-(K171*M171*N171/100))+(((K171*M171)-(K171*M171*N171/100))*O171/100),2)</f>
      </c>
      <c r="Q171" s="261" t="s">
        <v>487</v>
      </c>
      <c r="R171" s="261"/>
      <c r="S171" s="81"/>
      <c r="T171" s="209"/>
      <c r="U171" s="210"/>
    </row>
    <row r="172" spans="1:21" ht="15">
      <c r="A172" s="76">
        <v>152</v>
      </c>
      <c r="B172" s="76">
        <v>99990009559997</v>
      </c>
      <c r="C172" s="77">
        <v>2126256</v>
      </c>
      <c r="D172" s="78" t="s">
        <v>236</v>
      </c>
      <c r="E172" s="79"/>
      <c r="F172" s="77"/>
      <c r="G172" s="92">
        <v>0</v>
      </c>
      <c r="H172" s="80" t="s">
        <v>55</v>
      </c>
      <c r="I172" s="80"/>
      <c r="J172" s="79">
        <v>0</v>
      </c>
      <c r="K172" s="256">
        <v>100</v>
      </c>
      <c r="L172" s="257"/>
      <c r="M172" s="258">
        <v>0.07</v>
      </c>
      <c r="N172" s="259">
        <v>0</v>
      </c>
      <c r="O172" s="259">
        <v>0</v>
      </c>
      <c r="P172" s="260">
        <f>ROUND(((K172*M172)-(K172*M172*N172/100))+(((K172*M172)-(K172*M172*N172/100))*O172/100),2)</f>
      </c>
      <c r="Q172" s="261"/>
      <c r="R172" s="261"/>
      <c r="S172" s="81" t="s">
        <v>237</v>
      </c>
      <c r="T172" s="209"/>
      <c r="U172" s="210"/>
    </row>
    <row r="173" spans="1:21" ht="15">
      <c r="A173" s="76">
        <v>153</v>
      </c>
      <c r="B173" s="76">
        <v>99990009304583</v>
      </c>
      <c r="C173" s="77">
        <v>2089499</v>
      </c>
      <c r="D173" s="78" t="s">
        <v>238</v>
      </c>
      <c r="E173" s="79"/>
      <c r="F173" s="77"/>
      <c r="G173" s="92">
        <v>0</v>
      </c>
      <c r="H173" s="80" t="s">
        <v>55</v>
      </c>
      <c r="I173" s="80"/>
      <c r="J173" s="79">
        <v>0</v>
      </c>
      <c r="K173" s="256">
        <v>100</v>
      </c>
      <c r="L173" s="257"/>
      <c r="M173" s="258">
        <v>0.03</v>
      </c>
      <c r="N173" s="259">
        <v>0</v>
      </c>
      <c r="O173" s="259">
        <v>0</v>
      </c>
      <c r="P173" s="260">
        <f>ROUND(((K173*M173)-(K173*M173*N173/100))+(((K173*M173)-(K173*M173*N173/100))*O173/100),2)</f>
      </c>
      <c r="Q173" s="261"/>
      <c r="R173" s="261"/>
      <c r="S173" s="81" t="s">
        <v>239</v>
      </c>
      <c r="T173" s="209"/>
      <c r="U173" s="210"/>
    </row>
    <row r="174" spans="1:21" ht="15">
      <c r="A174" s="76">
        <v>154</v>
      </c>
      <c r="B174" s="76">
        <v>99990008655758</v>
      </c>
      <c r="C174" s="77">
        <v>650852</v>
      </c>
      <c r="D174" s="78" t="s">
        <v>240</v>
      </c>
      <c r="E174" s="79"/>
      <c r="F174" s="77"/>
      <c r="G174" s="92">
        <v>0</v>
      </c>
      <c r="H174" s="80" t="s">
        <v>55</v>
      </c>
      <c r="I174" s="80"/>
      <c r="J174" s="79">
        <v>0</v>
      </c>
      <c r="K174" s="256">
        <v>3</v>
      </c>
      <c r="L174" s="257"/>
      <c r="M174" s="258">
        <v>11.28</v>
      </c>
      <c r="N174" s="259">
        <v>0</v>
      </c>
      <c r="O174" s="259">
        <v>0</v>
      </c>
      <c r="P174" s="260">
        <f>ROUND(((K174*M174)-(K174*M174*N174/100))+(((K174*M174)-(K174*M174*N174/100))*O174/100),2)</f>
      </c>
      <c r="Q174" s="261"/>
      <c r="R174" s="261"/>
      <c r="S174" s="81"/>
      <c r="T174" s="209"/>
      <c r="U174" s="210"/>
    </row>
    <row r="175" spans="1:21" ht="15">
      <c r="A175" s="76">
        <v>155</v>
      </c>
      <c r="B175" s="76">
        <v>99990009304604</v>
      </c>
      <c r="C175" s="77">
        <v>2089520</v>
      </c>
      <c r="D175" s="78" t="s">
        <v>241</v>
      </c>
      <c r="E175" s="79"/>
      <c r="F175" s="77"/>
      <c r="G175" s="92">
        <v>0</v>
      </c>
      <c r="H175" s="80" t="s">
        <v>55</v>
      </c>
      <c r="I175" s="80"/>
      <c r="J175" s="79">
        <v>0</v>
      </c>
      <c r="K175" s="256">
        <v>50</v>
      </c>
      <c r="L175" s="257"/>
      <c r="M175" s="258">
        <v>0.05</v>
      </c>
      <c r="N175" s="259">
        <v>0</v>
      </c>
      <c r="O175" s="259">
        <v>0</v>
      </c>
      <c r="P175" s="260">
        <f>ROUND(((K175*M175)-(K175*M175*N175/100))+(((K175*M175)-(K175*M175*N175/100))*O175/100),2)</f>
      </c>
      <c r="Q175" s="261"/>
      <c r="R175" s="261"/>
      <c r="S175" s="81"/>
      <c r="T175" s="209"/>
      <c r="U175" s="210"/>
    </row>
    <row r="176" spans="1:21" ht="15">
      <c r="A176" s="76">
        <v>156</v>
      </c>
      <c r="B176" s="76">
        <v>99990009431244</v>
      </c>
      <c r="C176" s="77">
        <v>2110220</v>
      </c>
      <c r="D176" s="78" t="s">
        <v>242</v>
      </c>
      <c r="E176" s="79"/>
      <c r="F176" s="77"/>
      <c r="G176" s="92">
        <v>0</v>
      </c>
      <c r="H176" s="80" t="s">
        <v>55</v>
      </c>
      <c r="I176" s="80"/>
      <c r="J176" s="79">
        <v>0</v>
      </c>
      <c r="K176" s="256">
        <v>50</v>
      </c>
      <c r="L176" s="257"/>
      <c r="M176" s="258">
        <v>0.09</v>
      </c>
      <c r="N176" s="259">
        <v>0</v>
      </c>
      <c r="O176" s="259">
        <v>0</v>
      </c>
      <c r="P176" s="260">
        <f>ROUND(((K176*M176)-(K176*M176*N176/100))+(((K176*M176)-(K176*M176*N176/100))*O176/100),2)</f>
      </c>
      <c r="Q176" s="261"/>
      <c r="R176" s="261"/>
      <c r="S176" s="81"/>
      <c r="T176" s="209"/>
      <c r="U176" s="210"/>
    </row>
    <row r="177" spans="1:21" ht="15">
      <c r="A177" s="76">
        <v>157</v>
      </c>
      <c r="B177" s="76">
        <v>99990008201318</v>
      </c>
      <c r="C177" s="77">
        <v>694842</v>
      </c>
      <c r="D177" s="78" t="s">
        <v>243</v>
      </c>
      <c r="E177" s="79"/>
      <c r="F177" s="77"/>
      <c r="G177" s="92">
        <v>0</v>
      </c>
      <c r="H177" s="80" t="s">
        <v>55</v>
      </c>
      <c r="I177" s="80"/>
      <c r="J177" s="79">
        <v>0</v>
      </c>
      <c r="K177" s="256">
        <v>50</v>
      </c>
      <c r="L177" s="257"/>
      <c r="M177" s="258">
        <v>0.14</v>
      </c>
      <c r="N177" s="259">
        <v>0</v>
      </c>
      <c r="O177" s="259">
        <v>0</v>
      </c>
      <c r="P177" s="260">
        <f>ROUND(((K177*M177)-(K177*M177*N177/100))+(((K177*M177)-(K177*M177*N177/100))*O177/100),2)</f>
      </c>
      <c r="Q177" s="261"/>
      <c r="R177" s="261"/>
      <c r="S177" s="81"/>
      <c r="T177" s="209"/>
      <c r="U177" s="210"/>
    </row>
    <row r="178" spans="1:21" ht="15">
      <c r="A178" s="76">
        <v>158</v>
      </c>
      <c r="B178" s="76">
        <v>99990009304584</v>
      </c>
      <c r="C178" s="77">
        <v>2089500</v>
      </c>
      <c r="D178" s="78" t="s">
        <v>244</v>
      </c>
      <c r="E178" s="79"/>
      <c r="F178" s="77"/>
      <c r="G178" s="92">
        <v>0</v>
      </c>
      <c r="H178" s="80" t="s">
        <v>55</v>
      </c>
      <c r="I178" s="80"/>
      <c r="J178" s="79">
        <v>0</v>
      </c>
      <c r="K178" s="256">
        <v>50</v>
      </c>
      <c r="L178" s="257"/>
      <c r="M178" s="258">
        <v>0.01</v>
      </c>
      <c r="N178" s="259">
        <v>0</v>
      </c>
      <c r="O178" s="259">
        <v>0</v>
      </c>
      <c r="P178" s="260">
        <f>ROUND(((K178*M178)-(K178*M178*N178/100))+(((K178*M178)-(K178*M178*N178/100))*O178/100),2)</f>
      </c>
      <c r="Q178" s="261"/>
      <c r="R178" s="261"/>
      <c r="S178" s="81"/>
      <c r="T178" s="209"/>
      <c r="U178" s="210"/>
    </row>
    <row r="179" spans="1:21" ht="15">
      <c r="A179" s="76">
        <v>159</v>
      </c>
      <c r="B179" s="76">
        <v>99990009304623</v>
      </c>
      <c r="C179" s="77">
        <v>2089535</v>
      </c>
      <c r="D179" s="78" t="s">
        <v>245</v>
      </c>
      <c r="E179" s="79"/>
      <c r="F179" s="77"/>
      <c r="G179" s="92">
        <v>0</v>
      </c>
      <c r="H179" s="80" t="s">
        <v>55</v>
      </c>
      <c r="I179" s="80"/>
      <c r="J179" s="79">
        <v>0</v>
      </c>
      <c r="K179" s="256">
        <v>50</v>
      </c>
      <c r="L179" s="257"/>
      <c r="M179" s="258">
        <v>0.02</v>
      </c>
      <c r="N179" s="259">
        <v>0</v>
      </c>
      <c r="O179" s="259">
        <v>0</v>
      </c>
      <c r="P179" s="260">
        <f>ROUND(((K179*M179)-(K179*M179*N179/100))+(((K179*M179)-(K179*M179*N179/100))*O179/100),2)</f>
      </c>
      <c r="Q179" s="261"/>
      <c r="R179" s="261"/>
      <c r="S179" s="81"/>
      <c r="T179" s="209"/>
      <c r="U179" s="210"/>
    </row>
    <row r="180" spans="1:21" ht="15">
      <c r="A180" s="76">
        <v>160</v>
      </c>
      <c r="B180" s="76">
        <v>99990009304624</v>
      </c>
      <c r="C180" s="77">
        <v>2089536</v>
      </c>
      <c r="D180" s="78" t="s">
        <v>246</v>
      </c>
      <c r="E180" s="79"/>
      <c r="F180" s="77"/>
      <c r="G180" s="92">
        <v>0</v>
      </c>
      <c r="H180" s="80" t="s">
        <v>55</v>
      </c>
      <c r="I180" s="80"/>
      <c r="J180" s="79">
        <v>0</v>
      </c>
      <c r="K180" s="256">
        <v>50</v>
      </c>
      <c r="L180" s="257"/>
      <c r="M180" s="258">
        <v>0.03</v>
      </c>
      <c r="N180" s="259">
        <v>0</v>
      </c>
      <c r="O180" s="259">
        <v>0</v>
      </c>
      <c r="P180" s="260">
        <f>ROUND(((K180*M180)-(K180*M180*N180/100))+(((K180*M180)-(K180*M180*N180/100))*O180/100),2)</f>
      </c>
      <c r="Q180" s="261"/>
      <c r="R180" s="261"/>
      <c r="S180" s="81"/>
      <c r="T180" s="209"/>
      <c r="U180" s="210"/>
    </row>
    <row r="181" spans="1:21" ht="15">
      <c r="A181" s="76">
        <v>161</v>
      </c>
      <c r="B181" s="76">
        <v>99990009431067</v>
      </c>
      <c r="C181" s="77">
        <v>2110046</v>
      </c>
      <c r="D181" s="78" t="s">
        <v>247</v>
      </c>
      <c r="E181" s="79"/>
      <c r="F181" s="77"/>
      <c r="G181" s="92">
        <v>0</v>
      </c>
      <c r="H181" s="80" t="s">
        <v>55</v>
      </c>
      <c r="I181" s="80"/>
      <c r="J181" s="79">
        <v>0</v>
      </c>
      <c r="K181" s="256">
        <v>50</v>
      </c>
      <c r="L181" s="257"/>
      <c r="M181" s="258">
        <v>0.1</v>
      </c>
      <c r="N181" s="259">
        <v>0</v>
      </c>
      <c r="O181" s="259">
        <v>0</v>
      </c>
      <c r="P181" s="260">
        <f>ROUND(((K181*M181)-(K181*M181*N181/100))+(((K181*M181)-(K181*M181*N181/100))*O181/100),2)</f>
      </c>
      <c r="Q181" s="261"/>
      <c r="R181" s="261"/>
      <c r="S181" s="81"/>
      <c r="T181" s="209"/>
      <c r="U181" s="210"/>
    </row>
    <row r="182" spans="1:21" ht="15">
      <c r="A182" s="76">
        <v>162</v>
      </c>
      <c r="B182" s="76">
        <v>99990011442904</v>
      </c>
      <c r="C182" s="77">
        <v>695242</v>
      </c>
      <c r="D182" s="78" t="s">
        <v>248</v>
      </c>
      <c r="E182" s="79"/>
      <c r="F182" s="77"/>
      <c r="G182" s="92">
        <v>0</v>
      </c>
      <c r="H182" s="80" t="s">
        <v>55</v>
      </c>
      <c r="I182" s="80"/>
      <c r="J182" s="79">
        <v>0</v>
      </c>
      <c r="K182" s="256">
        <v>50</v>
      </c>
      <c r="L182" s="257"/>
      <c r="M182" s="258">
        <v>0.12</v>
      </c>
      <c r="N182" s="259">
        <v>0</v>
      </c>
      <c r="O182" s="259">
        <v>0</v>
      </c>
      <c r="P182" s="260">
        <f>ROUND(((K182*M182)-(K182*M182*N182/100))+(((K182*M182)-(K182*M182*N182/100))*O182/100),2)</f>
      </c>
      <c r="Q182" s="261"/>
      <c r="R182" s="261"/>
      <c r="S182" s="81"/>
      <c r="T182" s="209"/>
      <c r="U182" s="210"/>
    </row>
    <row r="183" spans="1:21" ht="15">
      <c r="A183" s="76">
        <v>163</v>
      </c>
      <c r="B183" s="76">
        <v>99990009304621</v>
      </c>
      <c r="C183" s="77">
        <v>2089533</v>
      </c>
      <c r="D183" s="78" t="s">
        <v>249</v>
      </c>
      <c r="E183" s="79"/>
      <c r="F183" s="77"/>
      <c r="G183" s="92">
        <v>0</v>
      </c>
      <c r="H183" s="80" t="s">
        <v>55</v>
      </c>
      <c r="I183" s="80"/>
      <c r="J183" s="79">
        <v>0</v>
      </c>
      <c r="K183" s="256">
        <v>50</v>
      </c>
      <c r="L183" s="257"/>
      <c r="M183" s="258">
        <v>0.01</v>
      </c>
      <c r="N183" s="259">
        <v>0</v>
      </c>
      <c r="O183" s="259">
        <v>0</v>
      </c>
      <c r="P183" s="260">
        <f>ROUND(((K183*M183)-(K183*M183*N183/100))+(((K183*M183)-(K183*M183*N183/100))*O183/100),2)</f>
      </c>
      <c r="Q183" s="261"/>
      <c r="R183" s="261"/>
      <c r="S183" s="81"/>
      <c r="T183" s="209"/>
      <c r="U183" s="210"/>
    </row>
    <row r="184" spans="1:21" ht="15">
      <c r="A184" s="76">
        <v>164</v>
      </c>
      <c r="B184" s="76">
        <v>99990008170592</v>
      </c>
      <c r="C184" s="77">
        <v>172251</v>
      </c>
      <c r="D184" s="78" t="s">
        <v>250</v>
      </c>
      <c r="E184" s="79"/>
      <c r="F184" s="77"/>
      <c r="G184" s="92">
        <v>0</v>
      </c>
      <c r="H184" s="80" t="s">
        <v>55</v>
      </c>
      <c r="I184" s="80"/>
      <c r="J184" s="79">
        <v>0</v>
      </c>
      <c r="K184" s="256">
        <v>2</v>
      </c>
      <c r="L184" s="257"/>
      <c r="M184" s="258">
        <v>0.13</v>
      </c>
      <c r="N184" s="259">
        <v>0</v>
      </c>
      <c r="O184" s="259">
        <v>0</v>
      </c>
      <c r="P184" s="260">
        <f>ROUND(((K184*M184)-(K184*M184*N184/100))+(((K184*M184)-(K184*M184*N184/100))*O184/100),2)</f>
      </c>
      <c r="Q184" s="261"/>
      <c r="R184" s="261"/>
      <c r="S184" s="81"/>
      <c r="T184" s="209"/>
      <c r="U184" s="210"/>
    </row>
    <row r="185" spans="1:21" ht="15">
      <c r="A185" s="76">
        <v>165</v>
      </c>
      <c r="B185" s="76">
        <v>99990008656489</v>
      </c>
      <c r="C185" s="77">
        <v>612035</v>
      </c>
      <c r="D185" s="78" t="s">
        <v>251</v>
      </c>
      <c r="E185" s="79"/>
      <c r="F185" s="77"/>
      <c r="G185" s="92">
        <v>0</v>
      </c>
      <c r="H185" s="80" t="s">
        <v>55</v>
      </c>
      <c r="I185" s="80"/>
      <c r="J185" s="79">
        <v>0</v>
      </c>
      <c r="K185" s="256">
        <v>1</v>
      </c>
      <c r="L185" s="257"/>
      <c r="M185" s="258">
        <v>3.81</v>
      </c>
      <c r="N185" s="259">
        <v>0</v>
      </c>
      <c r="O185" s="259">
        <v>0</v>
      </c>
      <c r="P185" s="260">
        <f>ROUND(((K185*M185)-(K185*M185*N185/100))+(((K185*M185)-(K185*M185*N185/100))*O185/100),2)</f>
      </c>
      <c r="Q185" s="261"/>
      <c r="R185" s="261"/>
      <c r="S185" s="81"/>
      <c r="T185" s="209"/>
      <c r="U185" s="210"/>
    </row>
    <row r="186" spans="1:21" ht="15">
      <c r="A186" s="76">
        <v>166</v>
      </c>
      <c r="B186" s="76">
        <v>99990010150676</v>
      </c>
      <c r="C186" s="77">
        <v>633451</v>
      </c>
      <c r="D186" s="78" t="s">
        <v>252</v>
      </c>
      <c r="E186" s="79"/>
      <c r="F186" s="77"/>
      <c r="G186" s="92">
        <v>0</v>
      </c>
      <c r="H186" s="80" t="s">
        <v>69</v>
      </c>
      <c r="I186" s="80"/>
      <c r="J186" s="79">
        <v>0</v>
      </c>
      <c r="K186" s="256">
        <v>1</v>
      </c>
      <c r="L186" s="257"/>
      <c r="M186" s="258">
        <v>40.19</v>
      </c>
      <c r="N186" s="259">
        <v>0</v>
      </c>
      <c r="O186" s="259">
        <v>0</v>
      </c>
      <c r="P186" s="260">
        <f>ROUND(((K186*M186)-(K186*M186*N186/100))+(((K186*M186)-(K186*M186*N186/100))*O186/100),2)</f>
      </c>
      <c r="Q186" s="261" t="s">
        <v>488</v>
      </c>
      <c r="R186" s="261"/>
      <c r="S186" s="81" t="s">
        <v>253</v>
      </c>
      <c r="T186" s="209"/>
      <c r="U186" s="210"/>
    </row>
    <row r="187" spans="1:21" ht="15">
      <c r="A187" s="76">
        <v>167</v>
      </c>
      <c r="B187" s="76">
        <v>99990010272019</v>
      </c>
      <c r="C187" s="77">
        <v>614616</v>
      </c>
      <c r="D187" s="78" t="s">
        <v>254</v>
      </c>
      <c r="E187" s="79"/>
      <c r="F187" s="77"/>
      <c r="G187" s="92">
        <v>0</v>
      </c>
      <c r="H187" s="80" t="s">
        <v>55</v>
      </c>
      <c r="I187" s="80"/>
      <c r="J187" s="79">
        <v>0</v>
      </c>
      <c r="K187" s="256">
        <v>50</v>
      </c>
      <c r="L187" s="257"/>
      <c r="M187" s="258">
        <v>0.1</v>
      </c>
      <c r="N187" s="259">
        <v>0</v>
      </c>
      <c r="O187" s="259">
        <v>0</v>
      </c>
      <c r="P187" s="260">
        <f>ROUND(((K187*M187)-(K187*M187*N187/100))+(((K187*M187)-(K187*M187*N187/100))*O187/100),2)</f>
      </c>
      <c r="Q187" s="261"/>
      <c r="R187" s="261"/>
      <c r="S187" s="81"/>
      <c r="T187" s="209"/>
      <c r="U187" s="210"/>
    </row>
    <row r="188" spans="1:21" ht="15">
      <c r="A188" s="76">
        <v>168</v>
      </c>
      <c r="B188" s="76">
        <v>99990009694421</v>
      </c>
      <c r="C188" s="77">
        <v>632338</v>
      </c>
      <c r="D188" s="78" t="s">
        <v>255</v>
      </c>
      <c r="E188" s="79"/>
      <c r="F188" s="77"/>
      <c r="G188" s="92">
        <v>0</v>
      </c>
      <c r="H188" s="80" t="s">
        <v>55</v>
      </c>
      <c r="I188" s="80"/>
      <c r="J188" s="79">
        <v>0</v>
      </c>
      <c r="K188" s="256">
        <v>1</v>
      </c>
      <c r="L188" s="257"/>
      <c r="M188" s="258">
        <v>5.13</v>
      </c>
      <c r="N188" s="259">
        <v>0</v>
      </c>
      <c r="O188" s="259">
        <v>0</v>
      </c>
      <c r="P188" s="260">
        <f>ROUND(((K188*M188)-(K188*M188*N188/100))+(((K188*M188)-(K188*M188*N188/100))*O188/100),2)</f>
      </c>
      <c r="Q188" s="261"/>
      <c r="R188" s="261"/>
      <c r="S188" s="81"/>
      <c r="T188" s="209"/>
      <c r="U188" s="210"/>
    </row>
    <row r="189" spans="1:21" ht="15">
      <c r="A189" s="76">
        <v>169</v>
      </c>
      <c r="B189" s="76">
        <v>99990008658202</v>
      </c>
      <c r="C189" s="77">
        <v>630254</v>
      </c>
      <c r="D189" s="78" t="s">
        <v>256</v>
      </c>
      <c r="E189" s="79"/>
      <c r="F189" s="77"/>
      <c r="G189" s="92">
        <v>0</v>
      </c>
      <c r="H189" s="80" t="s">
        <v>69</v>
      </c>
      <c r="I189" s="80"/>
      <c r="J189" s="79">
        <v>0</v>
      </c>
      <c r="K189" s="256">
        <v>2</v>
      </c>
      <c r="L189" s="257"/>
      <c r="M189" s="258">
        <v>9.95</v>
      </c>
      <c r="N189" s="259">
        <v>0</v>
      </c>
      <c r="O189" s="259">
        <v>0</v>
      </c>
      <c r="P189" s="260">
        <f>ROUND(((K189*M189)-(K189*M189*N189/100))+(((K189*M189)-(K189*M189*N189/100))*O189/100),2)</f>
      </c>
      <c r="Q189" s="261"/>
      <c r="R189" s="261"/>
      <c r="S189" s="81"/>
      <c r="T189" s="209"/>
      <c r="U189" s="210"/>
    </row>
    <row r="190" spans="1:21" ht="15">
      <c r="A190" s="76">
        <v>170</v>
      </c>
      <c r="B190" s="76">
        <v>99990010134823</v>
      </c>
      <c r="C190" s="77">
        <v>610454</v>
      </c>
      <c r="D190" s="78" t="s">
        <v>257</v>
      </c>
      <c r="E190" s="79"/>
      <c r="F190" s="77"/>
      <c r="G190" s="92">
        <v>0</v>
      </c>
      <c r="H190" s="80" t="s">
        <v>55</v>
      </c>
      <c r="I190" s="80"/>
      <c r="J190" s="79">
        <v>0</v>
      </c>
      <c r="K190" s="256">
        <v>1</v>
      </c>
      <c r="L190" s="257"/>
      <c r="M190" s="258">
        <v>1.01</v>
      </c>
      <c r="N190" s="259">
        <v>0</v>
      </c>
      <c r="O190" s="259">
        <v>0</v>
      </c>
      <c r="P190" s="260">
        <f>ROUND(((K190*M190)-(K190*M190*N190/100))+(((K190*M190)-(K190*M190*N190/100))*O190/100),2)</f>
      </c>
      <c r="Q190" s="261"/>
      <c r="R190" s="261"/>
      <c r="S190" s="81"/>
      <c r="T190" s="209"/>
      <c r="U190" s="210"/>
    </row>
    <row r="191" spans="1:21" ht="15">
      <c r="A191" s="76">
        <v>171</v>
      </c>
      <c r="B191" s="76">
        <v>99990010134822</v>
      </c>
      <c r="C191" s="77">
        <v>610453</v>
      </c>
      <c r="D191" s="78" t="s">
        <v>258</v>
      </c>
      <c r="E191" s="79"/>
      <c r="F191" s="77"/>
      <c r="G191" s="92">
        <v>0</v>
      </c>
      <c r="H191" s="80" t="s">
        <v>55</v>
      </c>
      <c r="I191" s="80"/>
      <c r="J191" s="79">
        <v>0</v>
      </c>
      <c r="K191" s="256">
        <v>1</v>
      </c>
      <c r="L191" s="257"/>
      <c r="M191" s="258">
        <v>1.33</v>
      </c>
      <c r="N191" s="259">
        <v>0</v>
      </c>
      <c r="O191" s="259">
        <v>0</v>
      </c>
      <c r="P191" s="260">
        <f>ROUND(((K191*M191)-(K191*M191*N191/100))+(((K191*M191)-(K191*M191*N191/100))*O191/100),2)</f>
      </c>
      <c r="Q191" s="261"/>
      <c r="R191" s="261"/>
      <c r="S191" s="81"/>
      <c r="T191" s="209"/>
      <c r="U191" s="210"/>
    </row>
    <row r="192" spans="1:21" ht="15">
      <c r="A192" s="76">
        <v>172</v>
      </c>
      <c r="B192" s="76">
        <v>99990009304641</v>
      </c>
      <c r="C192" s="77">
        <v>2089541</v>
      </c>
      <c r="D192" s="78" t="s">
        <v>259</v>
      </c>
      <c r="E192" s="79"/>
      <c r="F192" s="77"/>
      <c r="G192" s="92">
        <v>0</v>
      </c>
      <c r="H192" s="80" t="s">
        <v>55</v>
      </c>
      <c r="I192" s="80"/>
      <c r="J192" s="79">
        <v>0</v>
      </c>
      <c r="K192" s="256">
        <v>1</v>
      </c>
      <c r="L192" s="257"/>
      <c r="M192" s="258">
        <v>0.99</v>
      </c>
      <c r="N192" s="259">
        <v>0</v>
      </c>
      <c r="O192" s="259">
        <v>0</v>
      </c>
      <c r="P192" s="260">
        <f>ROUND(((K192*M192)-(K192*M192*N192/100))+(((K192*M192)-(K192*M192*N192/100))*O192/100),2)</f>
      </c>
      <c r="Q192" s="261"/>
      <c r="R192" s="261"/>
      <c r="S192" s="81"/>
      <c r="T192" s="209"/>
      <c r="U192" s="210"/>
    </row>
    <row r="193" spans="1:21" ht="15">
      <c r="A193" s="76">
        <v>173</v>
      </c>
      <c r="B193" s="76">
        <v>99990010171054</v>
      </c>
      <c r="C193" s="77">
        <v>614538</v>
      </c>
      <c r="D193" s="78" t="s">
        <v>260</v>
      </c>
      <c r="E193" s="79"/>
      <c r="F193" s="77"/>
      <c r="G193" s="92">
        <v>0</v>
      </c>
      <c r="H193" s="80" t="s">
        <v>69</v>
      </c>
      <c r="I193" s="80"/>
      <c r="J193" s="79">
        <v>0</v>
      </c>
      <c r="K193" s="256">
        <v>1</v>
      </c>
      <c r="L193" s="257"/>
      <c r="M193" s="258">
        <v>2.86</v>
      </c>
      <c r="N193" s="259">
        <v>0</v>
      </c>
      <c r="O193" s="259">
        <v>0</v>
      </c>
      <c r="P193" s="260">
        <f>ROUND(((K193*M193)-(K193*M193*N193/100))+(((K193*M193)-(K193*M193*N193/100))*O193/100),2)</f>
      </c>
      <c r="Q193" s="261"/>
      <c r="R193" s="261"/>
      <c r="S193" s="81"/>
      <c r="T193" s="209"/>
      <c r="U193" s="210"/>
    </row>
    <row r="194" spans="1:21" ht="15">
      <c r="A194" s="76">
        <v>174</v>
      </c>
      <c r="B194" s="76">
        <v>99990009573616</v>
      </c>
      <c r="C194" s="77">
        <v>2136565</v>
      </c>
      <c r="D194" s="78" t="s">
        <v>261</v>
      </c>
      <c r="E194" s="79"/>
      <c r="F194" s="77"/>
      <c r="G194" s="92">
        <v>0</v>
      </c>
      <c r="H194" s="80" t="s">
        <v>55</v>
      </c>
      <c r="I194" s="80"/>
      <c r="J194" s="79">
        <v>0</v>
      </c>
      <c r="K194" s="256">
        <v>10</v>
      </c>
      <c r="L194" s="257"/>
      <c r="M194" s="258">
        <v>0.35</v>
      </c>
      <c r="N194" s="259">
        <v>0</v>
      </c>
      <c r="O194" s="259">
        <v>0</v>
      </c>
      <c r="P194" s="260">
        <f>ROUND(((K194*M194)-(K194*M194*N194/100))+(((K194*M194)-(K194*M194*N194/100))*O194/100),2)</f>
      </c>
      <c r="Q194" s="261"/>
      <c r="R194" s="261"/>
      <c r="S194" s="81"/>
      <c r="T194" s="209"/>
      <c r="U194" s="210"/>
    </row>
    <row r="195" spans="1:21" ht="15">
      <c r="A195" s="76">
        <v>175</v>
      </c>
      <c r="B195" s="76">
        <v>99990008657981</v>
      </c>
      <c r="C195" s="77">
        <v>612752</v>
      </c>
      <c r="D195" s="78" t="s">
        <v>262</v>
      </c>
      <c r="E195" s="79"/>
      <c r="F195" s="77"/>
      <c r="G195" s="92">
        <v>0</v>
      </c>
      <c r="H195" s="80" t="s">
        <v>55</v>
      </c>
      <c r="I195" s="80"/>
      <c r="J195" s="79">
        <v>0</v>
      </c>
      <c r="K195" s="256">
        <v>1</v>
      </c>
      <c r="L195" s="257"/>
      <c r="M195" s="258">
        <v>1.19</v>
      </c>
      <c r="N195" s="259">
        <v>0</v>
      </c>
      <c r="O195" s="259">
        <v>0</v>
      </c>
      <c r="P195" s="260">
        <f>ROUND(((K195*M195)-(K195*M195*N195/100))+(((K195*M195)-(K195*M195*N195/100))*O195/100),2)</f>
      </c>
      <c r="Q195" s="261"/>
      <c r="R195" s="261"/>
      <c r="S195" s="81"/>
      <c r="T195" s="209"/>
      <c r="U195" s="210"/>
    </row>
    <row r="196" spans="1:21" ht="15">
      <c r="A196" s="76">
        <v>176</v>
      </c>
      <c r="B196" s="76">
        <v>99990008656386</v>
      </c>
      <c r="C196" s="77">
        <v>611287</v>
      </c>
      <c r="D196" s="78" t="s">
        <v>263</v>
      </c>
      <c r="E196" s="79"/>
      <c r="F196" s="77"/>
      <c r="G196" s="92">
        <v>0</v>
      </c>
      <c r="H196" s="80" t="s">
        <v>69</v>
      </c>
      <c r="I196" s="80"/>
      <c r="J196" s="79">
        <v>0</v>
      </c>
      <c r="K196" s="256">
        <v>1</v>
      </c>
      <c r="L196" s="257"/>
      <c r="M196" s="258">
        <v>19.06</v>
      </c>
      <c r="N196" s="259">
        <v>0</v>
      </c>
      <c r="O196" s="259">
        <v>0</v>
      </c>
      <c r="P196" s="260">
        <f>ROUND(((K196*M196)-(K196*M196*N196/100))+(((K196*M196)-(K196*M196*N196/100))*O196/100),2)</f>
      </c>
      <c r="Q196" s="261"/>
      <c r="R196" s="261"/>
      <c r="S196" s="81"/>
      <c r="T196" s="209"/>
      <c r="U196" s="210"/>
    </row>
    <row r="197" spans="1:21" ht="15">
      <c r="A197" s="76">
        <v>177</v>
      </c>
      <c r="B197" s="76">
        <v>99990008656442</v>
      </c>
      <c r="C197" s="77">
        <v>611727</v>
      </c>
      <c r="D197" s="78" t="s">
        <v>264</v>
      </c>
      <c r="E197" s="79"/>
      <c r="F197" s="77"/>
      <c r="G197" s="92">
        <v>0</v>
      </c>
      <c r="H197" s="80" t="s">
        <v>98</v>
      </c>
      <c r="I197" s="80"/>
      <c r="J197" s="79">
        <v>0</v>
      </c>
      <c r="K197" s="256">
        <v>1</v>
      </c>
      <c r="L197" s="257"/>
      <c r="M197" s="258">
        <v>9.25</v>
      </c>
      <c r="N197" s="259">
        <v>0</v>
      </c>
      <c r="O197" s="259">
        <v>0</v>
      </c>
      <c r="P197" s="260">
        <f>ROUND(((K197*M197)-(K197*M197*N197/100))+(((K197*M197)-(K197*M197*N197/100))*O197/100),2)</f>
      </c>
      <c r="Q197" s="261" t="s">
        <v>471</v>
      </c>
      <c r="R197" s="261"/>
      <c r="S197" s="81"/>
      <c r="T197" s="209"/>
      <c r="U197" s="210"/>
    </row>
    <row r="198" spans="1:21" ht="15">
      <c r="A198" s="76">
        <v>178</v>
      </c>
      <c r="B198" s="76">
        <v>99990010658536</v>
      </c>
      <c r="C198" s="77">
        <v>617132</v>
      </c>
      <c r="D198" s="78" t="s">
        <v>265</v>
      </c>
      <c r="E198" s="79"/>
      <c r="F198" s="77"/>
      <c r="G198" s="92">
        <v>0</v>
      </c>
      <c r="H198" s="80" t="s">
        <v>69</v>
      </c>
      <c r="I198" s="80"/>
      <c r="J198" s="79">
        <v>0</v>
      </c>
      <c r="K198" s="256">
        <v>1</v>
      </c>
      <c r="L198" s="257"/>
      <c r="M198" s="258">
        <v>47.28</v>
      </c>
      <c r="N198" s="259">
        <v>0</v>
      </c>
      <c r="O198" s="259">
        <v>0</v>
      </c>
      <c r="P198" s="260">
        <f>ROUND(((K198*M198)-(K198*M198*N198/100))+(((K198*M198)-(K198*M198*N198/100))*O198/100),2)</f>
      </c>
      <c r="Q198" s="261"/>
      <c r="R198" s="261"/>
      <c r="S198" s="81"/>
      <c r="T198" s="209"/>
      <c r="U198" s="210"/>
    </row>
    <row r="199" spans="1:21" ht="15">
      <c r="A199" s="76">
        <v>179</v>
      </c>
      <c r="B199" s="76">
        <v>99990010080530</v>
      </c>
      <c r="C199" s="77" t="s">
        <v>266</v>
      </c>
      <c r="D199" s="78" t="s">
        <v>267</v>
      </c>
      <c r="E199" s="79"/>
      <c r="F199" s="77"/>
      <c r="G199" s="92">
        <v>0</v>
      </c>
      <c r="H199" s="80" t="s">
        <v>113</v>
      </c>
      <c r="I199" s="80"/>
      <c r="J199" s="79">
        <v>0</v>
      </c>
      <c r="K199" s="256">
        <v>1</v>
      </c>
      <c r="L199" s="257"/>
      <c r="M199" s="258">
        <v>1.79</v>
      </c>
      <c r="N199" s="259">
        <v>0</v>
      </c>
      <c r="O199" s="259">
        <v>0</v>
      </c>
      <c r="P199" s="260">
        <f>ROUND(((K199*M199)-(K199*M199*N199/100))+(((K199*M199)-(K199*M199*N199/100))*O199/100),2)</f>
      </c>
      <c r="Q199" s="261"/>
      <c r="R199" s="261"/>
      <c r="S199" s="81"/>
      <c r="T199" s="209"/>
      <c r="U199" s="210"/>
    </row>
    <row r="200" spans="1:21" ht="15">
      <c r="A200" s="76">
        <v>180</v>
      </c>
      <c r="B200" s="76">
        <v>99990008656432</v>
      </c>
      <c r="C200" s="77">
        <v>611691</v>
      </c>
      <c r="D200" s="78" t="s">
        <v>268</v>
      </c>
      <c r="E200" s="79"/>
      <c r="F200" s="77"/>
      <c r="G200" s="92">
        <v>0</v>
      </c>
      <c r="H200" s="80" t="s">
        <v>98</v>
      </c>
      <c r="I200" s="80"/>
      <c r="J200" s="79">
        <v>0</v>
      </c>
      <c r="K200" s="256">
        <v>1</v>
      </c>
      <c r="L200" s="257"/>
      <c r="M200" s="258">
        <v>1.32</v>
      </c>
      <c r="N200" s="259">
        <v>0</v>
      </c>
      <c r="O200" s="259">
        <v>0</v>
      </c>
      <c r="P200" s="260">
        <f>ROUND(((K200*M200)-(K200*M200*N200/100))+(((K200*M200)-(K200*M200*N200/100))*O200/100),2)</f>
      </c>
      <c r="Q200" s="261"/>
      <c r="R200" s="261"/>
      <c r="S200" s="81"/>
      <c r="T200" s="209"/>
      <c r="U200" s="210"/>
    </row>
    <row r="201" spans="1:21" ht="15">
      <c r="A201" s="76">
        <v>181</v>
      </c>
      <c r="B201" s="76">
        <v>99990008656435</v>
      </c>
      <c r="C201" s="77">
        <v>611711</v>
      </c>
      <c r="D201" s="78" t="s">
        <v>269</v>
      </c>
      <c r="E201" s="79"/>
      <c r="F201" s="77"/>
      <c r="G201" s="92">
        <v>0</v>
      </c>
      <c r="H201" s="80" t="s">
        <v>98</v>
      </c>
      <c r="I201" s="80"/>
      <c r="J201" s="79">
        <v>0</v>
      </c>
      <c r="K201" s="256">
        <v>1</v>
      </c>
      <c r="L201" s="257"/>
      <c r="M201" s="258">
        <v>1.56</v>
      </c>
      <c r="N201" s="259">
        <v>0</v>
      </c>
      <c r="O201" s="259">
        <v>0</v>
      </c>
      <c r="P201" s="260">
        <f>ROUND(((K201*M201)-(K201*M201*N201/100))+(((K201*M201)-(K201*M201*N201/100))*O201/100),2)</f>
      </c>
      <c r="Q201" s="261"/>
      <c r="R201" s="261"/>
      <c r="S201" s="81"/>
      <c r="T201" s="209"/>
      <c r="U201" s="210"/>
    </row>
    <row r="202" spans="1:21" ht="15">
      <c r="A202" s="76">
        <v>182</v>
      </c>
      <c r="B202" s="76">
        <v>99990008656431</v>
      </c>
      <c r="C202" s="77">
        <v>611687</v>
      </c>
      <c r="D202" s="78" t="s">
        <v>270</v>
      </c>
      <c r="E202" s="79"/>
      <c r="F202" s="77"/>
      <c r="G202" s="92">
        <v>0</v>
      </c>
      <c r="H202" s="80" t="s">
        <v>98</v>
      </c>
      <c r="I202" s="80"/>
      <c r="J202" s="79">
        <v>0</v>
      </c>
      <c r="K202" s="256">
        <v>1</v>
      </c>
      <c r="L202" s="257"/>
      <c r="M202" s="258">
        <v>1.56</v>
      </c>
      <c r="N202" s="259">
        <v>0</v>
      </c>
      <c r="O202" s="259">
        <v>0</v>
      </c>
      <c r="P202" s="260">
        <f>ROUND(((K202*M202)-(K202*M202*N202/100))+(((K202*M202)-(K202*M202*N202/100))*O202/100),2)</f>
      </c>
      <c r="Q202" s="261"/>
      <c r="R202" s="261"/>
      <c r="S202" s="81"/>
      <c r="T202" s="209"/>
      <c r="U202" s="210"/>
    </row>
    <row r="203" spans="1:21" ht="15">
      <c r="A203" s="76">
        <v>183</v>
      </c>
      <c r="B203" s="76">
        <v>99990008656421</v>
      </c>
      <c r="C203" s="77">
        <v>611659</v>
      </c>
      <c r="D203" s="78" t="s">
        <v>271</v>
      </c>
      <c r="E203" s="79"/>
      <c r="F203" s="77"/>
      <c r="G203" s="92">
        <v>0</v>
      </c>
      <c r="H203" s="80" t="s">
        <v>98</v>
      </c>
      <c r="I203" s="80"/>
      <c r="J203" s="79">
        <v>0</v>
      </c>
      <c r="K203" s="256">
        <v>2</v>
      </c>
      <c r="L203" s="257"/>
      <c r="M203" s="258">
        <v>11.41</v>
      </c>
      <c r="N203" s="259">
        <v>0</v>
      </c>
      <c r="O203" s="259">
        <v>0</v>
      </c>
      <c r="P203" s="260">
        <f>ROUND(((K203*M203)-(K203*M203*N203/100))+(((K203*M203)-(K203*M203*N203/100))*O203/100),2)</f>
      </c>
      <c r="Q203" s="261" t="s">
        <v>471</v>
      </c>
      <c r="R203" s="261"/>
      <c r="S203" s="81"/>
      <c r="T203" s="209"/>
      <c r="U203" s="210"/>
    </row>
    <row r="204" spans="1:21" ht="15">
      <c r="A204" s="76">
        <v>184</v>
      </c>
      <c r="B204" s="76">
        <v>99990008656474</v>
      </c>
      <c r="C204" s="77">
        <v>611834</v>
      </c>
      <c r="D204" s="78" t="s">
        <v>272</v>
      </c>
      <c r="E204" s="79"/>
      <c r="F204" s="77"/>
      <c r="G204" s="92">
        <v>0</v>
      </c>
      <c r="H204" s="80" t="s">
        <v>98</v>
      </c>
      <c r="I204" s="80"/>
      <c r="J204" s="79">
        <v>0</v>
      </c>
      <c r="K204" s="256">
        <v>1</v>
      </c>
      <c r="L204" s="257"/>
      <c r="M204" s="258">
        <v>3.39</v>
      </c>
      <c r="N204" s="259">
        <v>0</v>
      </c>
      <c r="O204" s="259">
        <v>0</v>
      </c>
      <c r="P204" s="260">
        <f>ROUND(((K204*M204)-(K204*M204*N204/100))+(((K204*M204)-(K204*M204*N204/100))*O204/100),2)</f>
      </c>
      <c r="Q204" s="261"/>
      <c r="R204" s="261"/>
      <c r="S204" s="81"/>
      <c r="T204" s="209"/>
      <c r="U204" s="210"/>
    </row>
    <row r="205" spans="1:21" ht="15">
      <c r="A205" s="76">
        <v>185</v>
      </c>
      <c r="B205" s="76">
        <v>99990008656462</v>
      </c>
      <c r="C205" s="77">
        <v>611802</v>
      </c>
      <c r="D205" s="78" t="s">
        <v>273</v>
      </c>
      <c r="E205" s="79"/>
      <c r="F205" s="77"/>
      <c r="G205" s="92">
        <v>0</v>
      </c>
      <c r="H205" s="80" t="s">
        <v>98</v>
      </c>
      <c r="I205" s="80"/>
      <c r="J205" s="79">
        <v>0</v>
      </c>
      <c r="K205" s="256">
        <v>1</v>
      </c>
      <c r="L205" s="257"/>
      <c r="M205" s="258">
        <v>1.86</v>
      </c>
      <c r="N205" s="259">
        <v>0</v>
      </c>
      <c r="O205" s="259">
        <v>0</v>
      </c>
      <c r="P205" s="260">
        <f>ROUND(((K205*M205)-(K205*M205*N205/100))+(((K205*M205)-(K205*M205*N205/100))*O205/100),2)</f>
      </c>
      <c r="Q205" s="261"/>
      <c r="R205" s="261"/>
      <c r="S205" s="81"/>
      <c r="T205" s="209"/>
      <c r="U205" s="210"/>
    </row>
    <row r="206" spans="1:21" ht="15">
      <c r="A206" s="76">
        <v>186</v>
      </c>
      <c r="B206" s="76">
        <v>99990008656463</v>
      </c>
      <c r="C206" s="77">
        <v>611803</v>
      </c>
      <c r="D206" s="78" t="s">
        <v>274</v>
      </c>
      <c r="E206" s="79"/>
      <c r="F206" s="77"/>
      <c r="G206" s="92">
        <v>0</v>
      </c>
      <c r="H206" s="80" t="s">
        <v>98</v>
      </c>
      <c r="I206" s="80"/>
      <c r="J206" s="79">
        <v>0</v>
      </c>
      <c r="K206" s="256">
        <v>1</v>
      </c>
      <c r="L206" s="257"/>
      <c r="M206" s="258">
        <v>2.66</v>
      </c>
      <c r="N206" s="259">
        <v>0</v>
      </c>
      <c r="O206" s="259">
        <v>0</v>
      </c>
      <c r="P206" s="260">
        <f>ROUND(((K206*M206)-(K206*M206*N206/100))+(((K206*M206)-(K206*M206*N206/100))*O206/100),2)</f>
      </c>
      <c r="Q206" s="261"/>
      <c r="R206" s="261"/>
      <c r="S206" s="81"/>
      <c r="T206" s="209"/>
      <c r="U206" s="210"/>
    </row>
    <row r="207" spans="1:21" ht="15">
      <c r="A207" s="76">
        <v>187</v>
      </c>
      <c r="B207" s="76">
        <v>99990008656461</v>
      </c>
      <c r="C207" s="77">
        <v>611801</v>
      </c>
      <c r="D207" s="78" t="s">
        <v>275</v>
      </c>
      <c r="E207" s="79"/>
      <c r="F207" s="77"/>
      <c r="G207" s="92">
        <v>0</v>
      </c>
      <c r="H207" s="80" t="s">
        <v>55</v>
      </c>
      <c r="I207" s="80"/>
      <c r="J207" s="79">
        <v>0</v>
      </c>
      <c r="K207" s="256">
        <v>1</v>
      </c>
      <c r="L207" s="257"/>
      <c r="M207" s="258">
        <v>1.86</v>
      </c>
      <c r="N207" s="259">
        <v>0</v>
      </c>
      <c r="O207" s="259">
        <v>0</v>
      </c>
      <c r="P207" s="260">
        <f>ROUND(((K207*M207)-(K207*M207*N207/100))+(((K207*M207)-(K207*M207*N207/100))*O207/100),2)</f>
      </c>
      <c r="Q207" s="261"/>
      <c r="R207" s="261"/>
      <c r="S207" s="81"/>
      <c r="T207" s="209"/>
      <c r="U207" s="210"/>
    </row>
    <row r="208" spans="1:21" ht="15">
      <c r="A208" s="76">
        <v>188</v>
      </c>
      <c r="B208" s="76">
        <v>99990008656464</v>
      </c>
      <c r="C208" s="77">
        <v>611804</v>
      </c>
      <c r="D208" s="78" t="s">
        <v>276</v>
      </c>
      <c r="E208" s="79"/>
      <c r="F208" s="77"/>
      <c r="G208" s="92">
        <v>0</v>
      </c>
      <c r="H208" s="80" t="s">
        <v>98</v>
      </c>
      <c r="I208" s="80"/>
      <c r="J208" s="79">
        <v>0</v>
      </c>
      <c r="K208" s="256">
        <v>1</v>
      </c>
      <c r="L208" s="257"/>
      <c r="M208" s="258">
        <v>2.78</v>
      </c>
      <c r="N208" s="259">
        <v>0</v>
      </c>
      <c r="O208" s="259">
        <v>0</v>
      </c>
      <c r="P208" s="260">
        <f>ROUND(((K208*M208)-(K208*M208*N208/100))+(((K208*M208)-(K208*M208*N208/100))*O208/100),2)</f>
      </c>
      <c r="Q208" s="261"/>
      <c r="R208" s="261"/>
      <c r="S208" s="81"/>
      <c r="T208" s="209"/>
      <c r="U208" s="210"/>
    </row>
    <row r="209" spans="1:21" ht="15">
      <c r="A209" s="76">
        <v>189</v>
      </c>
      <c r="B209" s="76">
        <v>99990008656470</v>
      </c>
      <c r="C209" s="77">
        <v>611823</v>
      </c>
      <c r="D209" s="78" t="s">
        <v>277</v>
      </c>
      <c r="E209" s="79"/>
      <c r="F209" s="77"/>
      <c r="G209" s="92">
        <v>0</v>
      </c>
      <c r="H209" s="80" t="s">
        <v>98</v>
      </c>
      <c r="I209" s="80"/>
      <c r="J209" s="79">
        <v>0</v>
      </c>
      <c r="K209" s="256">
        <v>1</v>
      </c>
      <c r="L209" s="257"/>
      <c r="M209" s="258">
        <v>2.66</v>
      </c>
      <c r="N209" s="259">
        <v>0</v>
      </c>
      <c r="O209" s="259">
        <v>0</v>
      </c>
      <c r="P209" s="260">
        <f>ROUND(((K209*M209)-(K209*M209*N209/100))+(((K209*M209)-(K209*M209*N209/100))*O209/100),2)</f>
      </c>
      <c r="Q209" s="261"/>
      <c r="R209" s="261"/>
      <c r="S209" s="81"/>
      <c r="T209" s="209"/>
      <c r="U209" s="210"/>
    </row>
    <row r="210" spans="1:21" ht="15">
      <c r="A210" s="76">
        <v>190</v>
      </c>
      <c r="B210" s="76">
        <v>99990008656471</v>
      </c>
      <c r="C210" s="77">
        <v>611824</v>
      </c>
      <c r="D210" s="78" t="s">
        <v>278</v>
      </c>
      <c r="E210" s="79"/>
      <c r="F210" s="77"/>
      <c r="G210" s="92">
        <v>0</v>
      </c>
      <c r="H210" s="80" t="s">
        <v>98</v>
      </c>
      <c r="I210" s="80"/>
      <c r="J210" s="79">
        <v>0</v>
      </c>
      <c r="K210" s="256">
        <v>1</v>
      </c>
      <c r="L210" s="257"/>
      <c r="M210" s="258">
        <v>2.99</v>
      </c>
      <c r="N210" s="259">
        <v>0</v>
      </c>
      <c r="O210" s="259">
        <v>0</v>
      </c>
      <c r="P210" s="260">
        <f>ROUND(((K210*M210)-(K210*M210*N210/100))+(((K210*M210)-(K210*M210*N210/100))*O210/100),2)</f>
      </c>
      <c r="Q210" s="261"/>
      <c r="R210" s="261"/>
      <c r="S210" s="81"/>
      <c r="T210" s="209"/>
      <c r="U210" s="210"/>
    </row>
    <row r="211" spans="1:21" ht="15">
      <c r="A211" s="76">
        <v>191</v>
      </c>
      <c r="B211" s="76">
        <v>99990008658140</v>
      </c>
      <c r="C211" s="77">
        <v>614762</v>
      </c>
      <c r="D211" s="78" t="s">
        <v>279</v>
      </c>
      <c r="E211" s="79"/>
      <c r="F211" s="77"/>
      <c r="G211" s="92">
        <v>0</v>
      </c>
      <c r="H211" s="80" t="s">
        <v>137</v>
      </c>
      <c r="I211" s="80"/>
      <c r="J211" s="79">
        <v>0</v>
      </c>
      <c r="K211" s="256">
        <v>20</v>
      </c>
      <c r="L211" s="257"/>
      <c r="M211" s="258">
        <v>0.09</v>
      </c>
      <c r="N211" s="259">
        <v>0</v>
      </c>
      <c r="O211" s="259">
        <v>0</v>
      </c>
      <c r="P211" s="260">
        <f>ROUND(((K211*M211)-(K211*M211*N211/100))+(((K211*M211)-(K211*M211*N211/100))*O211/100),2)</f>
      </c>
      <c r="Q211" s="261"/>
      <c r="R211" s="261"/>
      <c r="S211" s="81"/>
      <c r="T211" s="209"/>
      <c r="U211" s="210"/>
    </row>
    <row r="212" spans="1:21" ht="15">
      <c r="A212" s="76">
        <v>192</v>
      </c>
      <c r="B212" s="76">
        <v>99990008656478</v>
      </c>
      <c r="C212" s="77">
        <v>611844</v>
      </c>
      <c r="D212" s="78" t="s">
        <v>280</v>
      </c>
      <c r="E212" s="79"/>
      <c r="F212" s="77"/>
      <c r="G212" s="92">
        <v>0</v>
      </c>
      <c r="H212" s="80" t="s">
        <v>98</v>
      </c>
      <c r="I212" s="80"/>
      <c r="J212" s="79">
        <v>0</v>
      </c>
      <c r="K212" s="256">
        <v>1</v>
      </c>
      <c r="L212" s="257"/>
      <c r="M212" s="258">
        <v>4.18</v>
      </c>
      <c r="N212" s="259">
        <v>0</v>
      </c>
      <c r="O212" s="259">
        <v>0</v>
      </c>
      <c r="P212" s="260">
        <f>ROUND(((K212*M212)-(K212*M212*N212/100))+(((K212*M212)-(K212*M212*N212/100))*O212/100),2)</f>
      </c>
      <c r="Q212" s="261"/>
      <c r="R212" s="261"/>
      <c r="S212" s="81"/>
      <c r="T212" s="209"/>
      <c r="U212" s="210"/>
    </row>
    <row r="213" spans="1:21" ht="15">
      <c r="A213" s="76">
        <v>193</v>
      </c>
      <c r="B213" s="76">
        <v>99990009631009</v>
      </c>
      <c r="C213" s="77">
        <v>613250</v>
      </c>
      <c r="D213" s="78" t="s">
        <v>281</v>
      </c>
      <c r="E213" s="79"/>
      <c r="F213" s="77"/>
      <c r="G213" s="92">
        <v>0</v>
      </c>
      <c r="H213" s="80" t="s">
        <v>55</v>
      </c>
      <c r="I213" s="80"/>
      <c r="J213" s="79">
        <v>0</v>
      </c>
      <c r="K213" s="256">
        <v>3</v>
      </c>
      <c r="L213" s="257"/>
      <c r="M213" s="258">
        <v>3.43</v>
      </c>
      <c r="N213" s="259">
        <v>0</v>
      </c>
      <c r="O213" s="259">
        <v>0</v>
      </c>
      <c r="P213" s="260">
        <f>ROUND(((K213*M213)-(K213*M213*N213/100))+(((K213*M213)-(K213*M213*N213/100))*O213/100),2)</f>
      </c>
      <c r="Q213" s="261"/>
      <c r="R213" s="261"/>
      <c r="S213" s="81"/>
      <c r="T213" s="209"/>
      <c r="U213" s="210"/>
    </row>
    <row r="214" spans="1:21" ht="15">
      <c r="A214" s="76">
        <v>194</v>
      </c>
      <c r="B214" s="76">
        <v>99990008656520</v>
      </c>
      <c r="C214" s="77">
        <v>612274</v>
      </c>
      <c r="D214" s="78" t="s">
        <v>282</v>
      </c>
      <c r="E214" s="79"/>
      <c r="F214" s="77"/>
      <c r="G214" s="92">
        <v>0</v>
      </c>
      <c r="H214" s="80" t="s">
        <v>55</v>
      </c>
      <c r="I214" s="80"/>
      <c r="J214" s="79">
        <v>0</v>
      </c>
      <c r="K214" s="256">
        <v>1</v>
      </c>
      <c r="L214" s="257"/>
      <c r="M214" s="258">
        <v>0.51</v>
      </c>
      <c r="N214" s="259">
        <v>0</v>
      </c>
      <c r="O214" s="259">
        <v>0</v>
      </c>
      <c r="P214" s="260">
        <f>ROUND(((K214*M214)-(K214*M214*N214/100))+(((K214*M214)-(K214*M214*N214/100))*O214/100),2)</f>
      </c>
      <c r="Q214" s="261"/>
      <c r="R214" s="261"/>
      <c r="S214" s="81"/>
      <c r="T214" s="209"/>
      <c r="U214" s="210"/>
    </row>
    <row r="215" spans="1:21" ht="15">
      <c r="A215" s="76">
        <v>195</v>
      </c>
      <c r="B215" s="76">
        <v>99990008656500</v>
      </c>
      <c r="C215" s="77">
        <v>612205</v>
      </c>
      <c r="D215" s="78" t="s">
        <v>283</v>
      </c>
      <c r="E215" s="79"/>
      <c r="F215" s="77"/>
      <c r="G215" s="92">
        <v>0</v>
      </c>
      <c r="H215" s="80" t="s">
        <v>55</v>
      </c>
      <c r="I215" s="80"/>
      <c r="J215" s="79">
        <v>0</v>
      </c>
      <c r="K215" s="256">
        <v>1</v>
      </c>
      <c r="L215" s="257"/>
      <c r="M215" s="258">
        <v>1.14</v>
      </c>
      <c r="N215" s="259">
        <v>0</v>
      </c>
      <c r="O215" s="259">
        <v>0</v>
      </c>
      <c r="P215" s="260">
        <f>ROUND(((K215*M215)-(K215*M215*N215/100))+(((K215*M215)-(K215*M215*N215/100))*O215/100),2)</f>
      </c>
      <c r="Q215" s="261"/>
      <c r="R215" s="261"/>
      <c r="S215" s="81"/>
      <c r="T215" s="209"/>
      <c r="U215" s="210"/>
    </row>
    <row r="216" spans="1:21" ht="15">
      <c r="A216" s="76">
        <v>196</v>
      </c>
      <c r="B216" s="76">
        <v>99990010101210</v>
      </c>
      <c r="C216" s="77">
        <v>612208</v>
      </c>
      <c r="D216" s="78" t="s">
        <v>284</v>
      </c>
      <c r="E216" s="79"/>
      <c r="F216" s="77"/>
      <c r="G216" s="92">
        <v>0</v>
      </c>
      <c r="H216" s="80" t="s">
        <v>55</v>
      </c>
      <c r="I216" s="80"/>
      <c r="J216" s="79">
        <v>0</v>
      </c>
      <c r="K216" s="256">
        <v>1</v>
      </c>
      <c r="L216" s="257"/>
      <c r="M216" s="258">
        <v>1.64</v>
      </c>
      <c r="N216" s="259">
        <v>0</v>
      </c>
      <c r="O216" s="259">
        <v>0</v>
      </c>
      <c r="P216" s="260">
        <f>ROUND(((K216*M216)-(K216*M216*N216/100))+(((K216*M216)-(K216*M216*N216/100))*O216/100),2)</f>
      </c>
      <c r="Q216" s="261"/>
      <c r="R216" s="261"/>
      <c r="S216" s="81"/>
      <c r="T216" s="209"/>
      <c r="U216" s="210"/>
    </row>
    <row r="217" spans="1:21" ht="15">
      <c r="A217" s="76">
        <v>197</v>
      </c>
      <c r="B217" s="76">
        <v>99990009556003</v>
      </c>
      <c r="C217" s="77">
        <v>2125124</v>
      </c>
      <c r="D217" s="78" t="s">
        <v>285</v>
      </c>
      <c r="E217" s="79"/>
      <c r="F217" s="77"/>
      <c r="G217" s="92">
        <v>0</v>
      </c>
      <c r="H217" s="80" t="s">
        <v>55</v>
      </c>
      <c r="I217" s="80"/>
      <c r="J217" s="79">
        <v>0</v>
      </c>
      <c r="K217" s="256">
        <v>1</v>
      </c>
      <c r="L217" s="257"/>
      <c r="M217" s="258">
        <v>3.81</v>
      </c>
      <c r="N217" s="259">
        <v>0</v>
      </c>
      <c r="O217" s="259">
        <v>0</v>
      </c>
      <c r="P217" s="260">
        <f>ROUND(((K217*M217)-(K217*M217*N217/100))+(((K217*M217)-(K217*M217*N217/100))*O217/100),2)</f>
      </c>
      <c r="Q217" s="261"/>
      <c r="R217" s="261"/>
      <c r="S217" s="81"/>
      <c r="T217" s="209"/>
      <c r="U217" s="210"/>
    </row>
    <row r="218" spans="1:21" ht="15">
      <c r="A218" s="76">
        <v>198</v>
      </c>
      <c r="B218" s="76">
        <v>99990010178011</v>
      </c>
      <c r="C218" s="77">
        <v>610243</v>
      </c>
      <c r="D218" s="78" t="s">
        <v>286</v>
      </c>
      <c r="E218" s="79"/>
      <c r="F218" s="77"/>
      <c r="G218" s="92">
        <v>0</v>
      </c>
      <c r="H218" s="80" t="s">
        <v>55</v>
      </c>
      <c r="I218" s="80"/>
      <c r="J218" s="79">
        <v>0</v>
      </c>
      <c r="K218" s="256">
        <v>1</v>
      </c>
      <c r="L218" s="257"/>
      <c r="M218" s="258">
        <v>0.49</v>
      </c>
      <c r="N218" s="259">
        <v>0</v>
      </c>
      <c r="O218" s="259">
        <v>0</v>
      </c>
      <c r="P218" s="260">
        <f>ROUND(((K218*M218)-(K218*M218*N218/100))+(((K218*M218)-(K218*M218*N218/100))*O218/100),2)</f>
      </c>
      <c r="Q218" s="261"/>
      <c r="R218" s="261"/>
      <c r="S218" s="81"/>
      <c r="T218" s="209"/>
      <c r="U218" s="210"/>
    </row>
    <row r="219" spans="1:21" ht="15">
      <c r="A219" s="76">
        <v>199</v>
      </c>
      <c r="B219" s="76">
        <v>99990011633504</v>
      </c>
      <c r="C219" s="77">
        <v>610245</v>
      </c>
      <c r="D219" s="78" t="s">
        <v>287</v>
      </c>
      <c r="E219" s="79"/>
      <c r="F219" s="77"/>
      <c r="G219" s="92">
        <v>0</v>
      </c>
      <c r="H219" s="80" t="s">
        <v>55</v>
      </c>
      <c r="I219" s="80"/>
      <c r="J219" s="79">
        <v>0</v>
      </c>
      <c r="K219" s="256">
        <v>1</v>
      </c>
      <c r="L219" s="257"/>
      <c r="M219" s="258">
        <v>0.49</v>
      </c>
      <c r="N219" s="259">
        <v>0</v>
      </c>
      <c r="O219" s="259">
        <v>0</v>
      </c>
      <c r="P219" s="260">
        <f>ROUND(((K219*M219)-(K219*M219*N219/100))+(((K219*M219)-(K219*M219*N219/100))*O219/100),2)</f>
      </c>
      <c r="Q219" s="261"/>
      <c r="R219" s="261"/>
      <c r="S219" s="81"/>
      <c r="T219" s="209"/>
      <c r="U219" s="210"/>
    </row>
    <row r="220" spans="1:21" ht="15">
      <c r="A220" s="76">
        <v>200</v>
      </c>
      <c r="B220" s="76">
        <v>99990009813378</v>
      </c>
      <c r="C220" s="77">
        <v>610246</v>
      </c>
      <c r="D220" s="78" t="s">
        <v>288</v>
      </c>
      <c r="E220" s="79"/>
      <c r="F220" s="77"/>
      <c r="G220" s="92">
        <v>0</v>
      </c>
      <c r="H220" s="80" t="s">
        <v>55</v>
      </c>
      <c r="I220" s="80"/>
      <c r="J220" s="79">
        <v>0</v>
      </c>
      <c r="K220" s="256">
        <v>2</v>
      </c>
      <c r="L220" s="257"/>
      <c r="M220" s="258">
        <v>0.49</v>
      </c>
      <c r="N220" s="259">
        <v>0</v>
      </c>
      <c r="O220" s="259">
        <v>0</v>
      </c>
      <c r="P220" s="260">
        <f>ROUND(((K220*M220)-(K220*M220*N220/100))+(((K220*M220)-(K220*M220*N220/100))*O220/100),2)</f>
      </c>
      <c r="Q220" s="261"/>
      <c r="R220" s="261"/>
      <c r="S220" s="81"/>
      <c r="T220" s="209"/>
      <c r="U220" s="210"/>
    </row>
    <row r="221" spans="1:21" ht="15">
      <c r="A221" s="76">
        <v>201</v>
      </c>
      <c r="B221" s="76">
        <v>99990010185168</v>
      </c>
      <c r="C221" s="77">
        <v>610247</v>
      </c>
      <c r="D221" s="78" t="s">
        <v>289</v>
      </c>
      <c r="E221" s="79"/>
      <c r="F221" s="77"/>
      <c r="G221" s="92">
        <v>0</v>
      </c>
      <c r="H221" s="80" t="s">
        <v>55</v>
      </c>
      <c r="I221" s="80"/>
      <c r="J221" s="79">
        <v>0</v>
      </c>
      <c r="K221" s="256">
        <v>2</v>
      </c>
      <c r="L221" s="257"/>
      <c r="M221" s="258">
        <v>0.49</v>
      </c>
      <c r="N221" s="259">
        <v>0</v>
      </c>
      <c r="O221" s="259">
        <v>0</v>
      </c>
      <c r="P221" s="260">
        <f>ROUND(((K221*M221)-(K221*M221*N221/100))+(((K221*M221)-(K221*M221*N221/100))*O221/100),2)</f>
      </c>
      <c r="Q221" s="261"/>
      <c r="R221" s="261"/>
      <c r="S221" s="81"/>
      <c r="T221" s="209"/>
      <c r="U221" s="210"/>
    </row>
    <row r="222" spans="1:21" ht="15">
      <c r="A222" s="76">
        <v>202</v>
      </c>
      <c r="B222" s="76">
        <v>99990009573584</v>
      </c>
      <c r="C222" s="77">
        <v>2136534</v>
      </c>
      <c r="D222" s="78" t="s">
        <v>290</v>
      </c>
      <c r="E222" s="79"/>
      <c r="F222" s="77"/>
      <c r="G222" s="92">
        <v>0</v>
      </c>
      <c r="H222" s="80" t="s">
        <v>55</v>
      </c>
      <c r="I222" s="80"/>
      <c r="J222" s="79">
        <v>0</v>
      </c>
      <c r="K222" s="256">
        <v>1</v>
      </c>
      <c r="L222" s="257"/>
      <c r="M222" s="258">
        <v>0.49</v>
      </c>
      <c r="N222" s="259">
        <v>0</v>
      </c>
      <c r="O222" s="259">
        <v>0</v>
      </c>
      <c r="P222" s="260">
        <f>ROUND(((K222*M222)-(K222*M222*N222/100))+(((K222*M222)-(K222*M222*N222/100))*O222/100),2)</f>
      </c>
      <c r="Q222" s="261"/>
      <c r="R222" s="261"/>
      <c r="S222" s="81"/>
      <c r="T222" s="209"/>
      <c r="U222" s="210"/>
    </row>
    <row r="223" spans="1:21" ht="15">
      <c r="A223" s="76">
        <v>203</v>
      </c>
      <c r="B223" s="76">
        <v>99990009573586</v>
      </c>
      <c r="C223" s="77">
        <v>2136536</v>
      </c>
      <c r="D223" s="78" t="s">
        <v>291</v>
      </c>
      <c r="E223" s="79"/>
      <c r="F223" s="77"/>
      <c r="G223" s="92">
        <v>0</v>
      </c>
      <c r="H223" s="80" t="s">
        <v>55</v>
      </c>
      <c r="I223" s="80"/>
      <c r="J223" s="79">
        <v>0</v>
      </c>
      <c r="K223" s="256">
        <v>2</v>
      </c>
      <c r="L223" s="257"/>
      <c r="M223" s="258">
        <v>0.69</v>
      </c>
      <c r="N223" s="259">
        <v>0</v>
      </c>
      <c r="O223" s="259">
        <v>0</v>
      </c>
      <c r="P223" s="260">
        <f>ROUND(((K223*M223)-(K223*M223*N223/100))+(((K223*M223)-(K223*M223*N223/100))*O223/100),2)</f>
      </c>
      <c r="Q223" s="261"/>
      <c r="R223" s="261"/>
      <c r="S223" s="81"/>
      <c r="T223" s="209"/>
      <c r="U223" s="210"/>
    </row>
    <row r="224" spans="1:21" ht="15">
      <c r="A224" s="76">
        <v>204</v>
      </c>
      <c r="B224" s="76">
        <v>99990009813379</v>
      </c>
      <c r="C224" s="77">
        <v>610255</v>
      </c>
      <c r="D224" s="78" t="s">
        <v>292</v>
      </c>
      <c r="E224" s="79"/>
      <c r="F224" s="77"/>
      <c r="G224" s="92">
        <v>0</v>
      </c>
      <c r="H224" s="80" t="s">
        <v>55</v>
      </c>
      <c r="I224" s="80"/>
      <c r="J224" s="79">
        <v>0</v>
      </c>
      <c r="K224" s="256">
        <v>2</v>
      </c>
      <c r="L224" s="257"/>
      <c r="M224" s="258">
        <v>0.88</v>
      </c>
      <c r="N224" s="259">
        <v>0</v>
      </c>
      <c r="O224" s="259">
        <v>0</v>
      </c>
      <c r="P224" s="260">
        <f>ROUND(((K224*M224)-(K224*M224*N224/100))+(((K224*M224)-(K224*M224*N224/100))*O224/100),2)</f>
      </c>
      <c r="Q224" s="261"/>
      <c r="R224" s="261"/>
      <c r="S224" s="81"/>
      <c r="T224" s="209"/>
      <c r="U224" s="210"/>
    </row>
    <row r="225" spans="1:21" ht="15">
      <c r="A225" s="76">
        <v>205</v>
      </c>
      <c r="B225" s="76">
        <v>99990009573587</v>
      </c>
      <c r="C225" s="77">
        <v>2136537</v>
      </c>
      <c r="D225" s="78" t="s">
        <v>293</v>
      </c>
      <c r="E225" s="79"/>
      <c r="F225" s="77"/>
      <c r="G225" s="92">
        <v>0</v>
      </c>
      <c r="H225" s="80" t="s">
        <v>55</v>
      </c>
      <c r="I225" s="80"/>
      <c r="J225" s="79">
        <v>0</v>
      </c>
      <c r="K225" s="256">
        <v>4</v>
      </c>
      <c r="L225" s="257"/>
      <c r="M225" s="258">
        <v>0.89</v>
      </c>
      <c r="N225" s="259">
        <v>0</v>
      </c>
      <c r="O225" s="259">
        <v>0</v>
      </c>
      <c r="P225" s="260">
        <f>ROUND(((K225*M225)-(K225*M225*N225/100))+(((K225*M225)-(K225*M225*N225/100))*O225/100),2)</f>
      </c>
      <c r="Q225" s="261"/>
      <c r="R225" s="261"/>
      <c r="S225" s="81"/>
      <c r="T225" s="209"/>
      <c r="U225" s="210"/>
    </row>
    <row r="226" spans="1:21" ht="15">
      <c r="A226" s="76">
        <v>206</v>
      </c>
      <c r="B226" s="76">
        <v>99990011109019</v>
      </c>
      <c r="C226" s="77">
        <v>610259</v>
      </c>
      <c r="D226" s="78" t="s">
        <v>294</v>
      </c>
      <c r="E226" s="79"/>
      <c r="F226" s="77"/>
      <c r="G226" s="92">
        <v>0</v>
      </c>
      <c r="H226" s="80" t="s">
        <v>55</v>
      </c>
      <c r="I226" s="80"/>
      <c r="J226" s="79">
        <v>0</v>
      </c>
      <c r="K226" s="256">
        <v>1</v>
      </c>
      <c r="L226" s="257"/>
      <c r="M226" s="258">
        <v>1.33</v>
      </c>
      <c r="N226" s="259">
        <v>0</v>
      </c>
      <c r="O226" s="259">
        <v>0</v>
      </c>
      <c r="P226" s="260">
        <f>ROUND(((K226*M226)-(K226*M226*N226/100))+(((K226*M226)-(K226*M226*N226/100))*O226/100),2)</f>
      </c>
      <c r="Q226" s="261"/>
      <c r="R226" s="261"/>
      <c r="S226" s="81"/>
      <c r="T226" s="209"/>
      <c r="U226" s="210"/>
    </row>
    <row r="227" spans="1:21" ht="15">
      <c r="A227" s="76">
        <v>207</v>
      </c>
      <c r="B227" s="76">
        <v>99990011013633</v>
      </c>
      <c r="C227" s="77">
        <v>610262</v>
      </c>
      <c r="D227" s="78" t="s">
        <v>295</v>
      </c>
      <c r="E227" s="79"/>
      <c r="F227" s="77"/>
      <c r="G227" s="92">
        <v>0</v>
      </c>
      <c r="H227" s="80" t="s">
        <v>55</v>
      </c>
      <c r="I227" s="80"/>
      <c r="J227" s="79">
        <v>0</v>
      </c>
      <c r="K227" s="256">
        <v>2</v>
      </c>
      <c r="L227" s="257"/>
      <c r="M227" s="258">
        <v>1.87</v>
      </c>
      <c r="N227" s="259">
        <v>0</v>
      </c>
      <c r="O227" s="259">
        <v>0</v>
      </c>
      <c r="P227" s="260">
        <f>ROUND(((K227*M227)-(K227*M227*N227/100))+(((K227*M227)-(K227*M227*N227/100))*O227/100),2)</f>
      </c>
      <c r="Q227" s="261"/>
      <c r="R227" s="261"/>
      <c r="S227" s="81"/>
      <c r="T227" s="209"/>
      <c r="U227" s="210"/>
    </row>
    <row r="228" spans="1:21" ht="15">
      <c r="A228" s="76">
        <v>208</v>
      </c>
      <c r="B228" s="76">
        <v>99990011135900</v>
      </c>
      <c r="C228" s="77">
        <v>610241</v>
      </c>
      <c r="D228" s="78" t="s">
        <v>296</v>
      </c>
      <c r="E228" s="79"/>
      <c r="F228" s="77"/>
      <c r="G228" s="92">
        <v>0</v>
      </c>
      <c r="H228" s="80" t="s">
        <v>55</v>
      </c>
      <c r="I228" s="80"/>
      <c r="J228" s="79">
        <v>0</v>
      </c>
      <c r="K228" s="256">
        <v>1</v>
      </c>
      <c r="L228" s="257"/>
      <c r="M228" s="258">
        <v>0.24</v>
      </c>
      <c r="N228" s="259">
        <v>0</v>
      </c>
      <c r="O228" s="259">
        <v>0</v>
      </c>
      <c r="P228" s="260">
        <f>ROUND(((K228*M228)-(K228*M228*N228/100))+(((K228*M228)-(K228*M228*N228/100))*O228/100),2)</f>
      </c>
      <c r="Q228" s="261"/>
      <c r="R228" s="261"/>
      <c r="S228" s="81"/>
      <c r="T228" s="209"/>
      <c r="U228" s="210"/>
    </row>
    <row r="229" spans="1:21" ht="15">
      <c r="A229" s="76">
        <v>209</v>
      </c>
      <c r="B229" s="76">
        <v>99990010004259</v>
      </c>
      <c r="C229" s="77">
        <v>610110</v>
      </c>
      <c r="D229" s="78" t="s">
        <v>297</v>
      </c>
      <c r="E229" s="79"/>
      <c r="F229" s="77"/>
      <c r="G229" s="92">
        <v>0</v>
      </c>
      <c r="H229" s="80" t="s">
        <v>69</v>
      </c>
      <c r="I229" s="80"/>
      <c r="J229" s="79">
        <v>0</v>
      </c>
      <c r="K229" s="256">
        <v>1</v>
      </c>
      <c r="L229" s="257"/>
      <c r="M229" s="258">
        <v>9.98</v>
      </c>
      <c r="N229" s="259">
        <v>0</v>
      </c>
      <c r="O229" s="259">
        <v>0</v>
      </c>
      <c r="P229" s="260">
        <f>ROUND(((K229*M229)-(K229*M229*N229/100))+(((K229*M229)-(K229*M229*N229/100))*O229/100),2)</f>
      </c>
      <c r="Q229" s="261"/>
      <c r="R229" s="261"/>
      <c r="S229" s="81"/>
      <c r="T229" s="209"/>
      <c r="U229" s="210"/>
    </row>
    <row r="230" spans="1:21" ht="15">
      <c r="A230" s="76">
        <v>210</v>
      </c>
      <c r="B230" s="76">
        <v>99990008656227</v>
      </c>
      <c r="C230" s="77">
        <v>591174</v>
      </c>
      <c r="D230" s="78" t="s">
        <v>298</v>
      </c>
      <c r="E230" s="79"/>
      <c r="F230" s="77"/>
      <c r="G230" s="92">
        <v>0</v>
      </c>
      <c r="H230" s="80" t="s">
        <v>55</v>
      </c>
      <c r="I230" s="80"/>
      <c r="J230" s="79">
        <v>0</v>
      </c>
      <c r="K230" s="256">
        <v>5</v>
      </c>
      <c r="L230" s="257"/>
      <c r="M230" s="258">
        <v>1.33</v>
      </c>
      <c r="N230" s="259">
        <v>0</v>
      </c>
      <c r="O230" s="259">
        <v>0</v>
      </c>
      <c r="P230" s="260">
        <f>ROUND(((K230*M230)-(K230*M230*N230/100))+(((K230*M230)-(K230*M230*N230/100))*O230/100),2)</f>
      </c>
      <c r="Q230" s="261" t="s">
        <v>489</v>
      </c>
      <c r="R230" s="261"/>
      <c r="S230" s="81"/>
      <c r="T230" s="209"/>
      <c r="U230" s="210"/>
    </row>
    <row r="231" spans="1:21" ht="15">
      <c r="A231" s="76">
        <v>211</v>
      </c>
      <c r="B231" s="76">
        <v>99990009813263</v>
      </c>
      <c r="C231" s="77">
        <v>591177</v>
      </c>
      <c r="D231" s="78" t="s">
        <v>299</v>
      </c>
      <c r="E231" s="79"/>
      <c r="F231" s="77"/>
      <c r="G231" s="92">
        <v>0</v>
      </c>
      <c r="H231" s="80" t="s">
        <v>55</v>
      </c>
      <c r="I231" s="80"/>
      <c r="J231" s="79">
        <v>0</v>
      </c>
      <c r="K231" s="256">
        <v>5</v>
      </c>
      <c r="L231" s="257"/>
      <c r="M231" s="258">
        <v>0.41</v>
      </c>
      <c r="N231" s="259">
        <v>0</v>
      </c>
      <c r="O231" s="259">
        <v>0</v>
      </c>
      <c r="P231" s="260">
        <f>ROUND(((K231*M231)-(K231*M231*N231/100))+(((K231*M231)-(K231*M231*N231/100))*O231/100),2)</f>
      </c>
      <c r="Q231" s="261"/>
      <c r="R231" s="261"/>
      <c r="S231" s="81"/>
      <c r="T231" s="209"/>
      <c r="U231" s="210"/>
    </row>
    <row r="232" spans="1:21" ht="15">
      <c r="A232" s="76">
        <v>212</v>
      </c>
      <c r="B232" s="76">
        <v>99990008658169</v>
      </c>
      <c r="C232" s="77">
        <v>617017</v>
      </c>
      <c r="D232" s="78" t="s">
        <v>300</v>
      </c>
      <c r="E232" s="79"/>
      <c r="F232" s="77"/>
      <c r="G232" s="92">
        <v>0</v>
      </c>
      <c r="H232" s="80" t="s">
        <v>55</v>
      </c>
      <c r="I232" s="80"/>
      <c r="J232" s="79">
        <v>0</v>
      </c>
      <c r="K232" s="256">
        <v>5</v>
      </c>
      <c r="L232" s="257"/>
      <c r="M232" s="258">
        <v>1.47</v>
      </c>
      <c r="N232" s="259">
        <v>0</v>
      </c>
      <c r="O232" s="259">
        <v>0</v>
      </c>
      <c r="P232" s="260">
        <f>ROUND(((K232*M232)-(K232*M232*N232/100))+(((K232*M232)-(K232*M232*N232/100))*O232/100),2)</f>
      </c>
      <c r="Q232" s="261"/>
      <c r="R232" s="261"/>
      <c r="S232" s="81"/>
      <c r="T232" s="209"/>
      <c r="U232" s="210"/>
    </row>
    <row r="233" spans="1:21" ht="15">
      <c r="A233" s="76">
        <v>213</v>
      </c>
      <c r="B233" s="76">
        <v>99990009669823</v>
      </c>
      <c r="C233" s="77">
        <v>613777</v>
      </c>
      <c r="D233" s="78" t="s">
        <v>301</v>
      </c>
      <c r="E233" s="79"/>
      <c r="F233" s="77"/>
      <c r="G233" s="92">
        <v>0</v>
      </c>
      <c r="H233" s="80" t="s">
        <v>55</v>
      </c>
      <c r="I233" s="80"/>
      <c r="J233" s="79">
        <v>0</v>
      </c>
      <c r="K233" s="256">
        <v>1</v>
      </c>
      <c r="L233" s="257"/>
      <c r="M233" s="258">
        <v>57.5</v>
      </c>
      <c r="N233" s="259">
        <v>0</v>
      </c>
      <c r="O233" s="259">
        <v>0</v>
      </c>
      <c r="P233" s="260">
        <f>ROUND(((K233*M233)-(K233*M233*N233/100))+(((K233*M233)-(K233*M233*N233/100))*O233/100),2)</f>
      </c>
      <c r="Q233" s="261"/>
      <c r="R233" s="261"/>
      <c r="S233" s="81"/>
      <c r="T233" s="209"/>
      <c r="U233" s="210"/>
    </row>
    <row r="234" spans="1:21" ht="15">
      <c r="A234" s="76">
        <v>214</v>
      </c>
      <c r="B234" s="76">
        <v>99990009869782</v>
      </c>
      <c r="C234" s="77" t="s">
        <v>302</v>
      </c>
      <c r="D234" s="78" t="s">
        <v>303</v>
      </c>
      <c r="E234" s="79"/>
      <c r="F234" s="77"/>
      <c r="G234" s="92">
        <v>0</v>
      </c>
      <c r="H234" s="80" t="s">
        <v>55</v>
      </c>
      <c r="I234" s="80"/>
      <c r="J234" s="79">
        <v>0</v>
      </c>
      <c r="K234" s="256">
        <v>4</v>
      </c>
      <c r="L234" s="257"/>
      <c r="M234" s="258">
        <v>2.92</v>
      </c>
      <c r="N234" s="259">
        <v>0</v>
      </c>
      <c r="O234" s="259">
        <v>0</v>
      </c>
      <c r="P234" s="260">
        <f>ROUND(((K234*M234)-(K234*M234*N234/100))+(((K234*M234)-(K234*M234*N234/100))*O234/100),2)</f>
      </c>
      <c r="Q234" s="261"/>
      <c r="R234" s="261"/>
      <c r="S234" s="81"/>
      <c r="T234" s="209"/>
      <c r="U234" s="210"/>
    </row>
    <row r="235" spans="1:21" ht="15">
      <c r="A235" s="76">
        <v>215</v>
      </c>
      <c r="B235" s="76">
        <v>99990008658174</v>
      </c>
      <c r="C235" s="77">
        <v>617176</v>
      </c>
      <c r="D235" s="78" t="s">
        <v>304</v>
      </c>
      <c r="E235" s="79"/>
      <c r="F235" s="77"/>
      <c r="G235" s="92">
        <v>0</v>
      </c>
      <c r="H235" s="80" t="s">
        <v>55</v>
      </c>
      <c r="I235" s="80"/>
      <c r="J235" s="79">
        <v>0</v>
      </c>
      <c r="K235" s="256">
        <v>4</v>
      </c>
      <c r="L235" s="257"/>
      <c r="M235" s="258">
        <v>4.35</v>
      </c>
      <c r="N235" s="259">
        <v>0</v>
      </c>
      <c r="O235" s="259">
        <v>0</v>
      </c>
      <c r="P235" s="260">
        <f>ROUND(((K235*M235)-(K235*M235*N235/100))+(((K235*M235)-(K235*M235*N235/100))*O235/100),2)</f>
      </c>
      <c r="Q235" s="261"/>
      <c r="R235" s="261"/>
      <c r="S235" s="81"/>
      <c r="T235" s="209"/>
      <c r="U235" s="210"/>
    </row>
    <row r="236" spans="1:21" ht="15">
      <c r="A236" s="76">
        <v>216</v>
      </c>
      <c r="B236" s="76">
        <v>99990008658172</v>
      </c>
      <c r="C236" s="77">
        <v>617166</v>
      </c>
      <c r="D236" s="78" t="s">
        <v>305</v>
      </c>
      <c r="E236" s="79"/>
      <c r="F236" s="77"/>
      <c r="G236" s="92">
        <v>0</v>
      </c>
      <c r="H236" s="80" t="s">
        <v>55</v>
      </c>
      <c r="I236" s="80"/>
      <c r="J236" s="79">
        <v>0</v>
      </c>
      <c r="K236" s="256">
        <v>4</v>
      </c>
      <c r="L236" s="257"/>
      <c r="M236" s="258">
        <v>3.18</v>
      </c>
      <c r="N236" s="259">
        <v>0</v>
      </c>
      <c r="O236" s="259">
        <v>0</v>
      </c>
      <c r="P236" s="260">
        <f>ROUND(((K236*M236)-(K236*M236*N236/100))+(((K236*M236)-(K236*M236*N236/100))*O236/100),2)</f>
      </c>
      <c r="Q236" s="261"/>
      <c r="R236" s="261"/>
      <c r="S236" s="81"/>
      <c r="T236" s="209"/>
      <c r="U236" s="210"/>
    </row>
    <row r="237" spans="1:21" ht="15">
      <c r="A237" s="76">
        <v>217</v>
      </c>
      <c r="B237" s="76">
        <v>99990008658173</v>
      </c>
      <c r="C237" s="77">
        <v>617168</v>
      </c>
      <c r="D237" s="78" t="s">
        <v>306</v>
      </c>
      <c r="E237" s="79"/>
      <c r="F237" s="77"/>
      <c r="G237" s="92">
        <v>0</v>
      </c>
      <c r="H237" s="80" t="s">
        <v>55</v>
      </c>
      <c r="I237" s="80"/>
      <c r="J237" s="79">
        <v>0</v>
      </c>
      <c r="K237" s="256">
        <v>4</v>
      </c>
      <c r="L237" s="257"/>
      <c r="M237" s="258">
        <v>4.73</v>
      </c>
      <c r="N237" s="259">
        <v>0</v>
      </c>
      <c r="O237" s="259">
        <v>0</v>
      </c>
      <c r="P237" s="260">
        <f>ROUND(((K237*M237)-(K237*M237*N237/100))+(((K237*M237)-(K237*M237*N237/100))*O237/100),2)</f>
      </c>
      <c r="Q237" s="261"/>
      <c r="R237" s="261"/>
      <c r="S237" s="81"/>
      <c r="T237" s="209"/>
      <c r="U237" s="210"/>
    </row>
    <row r="238" spans="1:21" ht="15">
      <c r="A238" s="76">
        <v>218</v>
      </c>
      <c r="B238" s="76">
        <v>99990008656396</v>
      </c>
      <c r="C238" s="77">
        <v>611332</v>
      </c>
      <c r="D238" s="78" t="s">
        <v>307</v>
      </c>
      <c r="E238" s="79"/>
      <c r="F238" s="77"/>
      <c r="G238" s="92">
        <v>0</v>
      </c>
      <c r="H238" s="80" t="s">
        <v>55</v>
      </c>
      <c r="I238" s="80"/>
      <c r="J238" s="79">
        <v>0</v>
      </c>
      <c r="K238" s="256">
        <v>1</v>
      </c>
      <c r="L238" s="257"/>
      <c r="M238" s="258">
        <v>1.4</v>
      </c>
      <c r="N238" s="259">
        <v>0</v>
      </c>
      <c r="O238" s="259">
        <v>0</v>
      </c>
      <c r="P238" s="260">
        <f>ROUND(((K238*M238)-(K238*M238*N238/100))+(((K238*M238)-(K238*M238*N238/100))*O238/100),2)</f>
      </c>
      <c r="Q238" s="261"/>
      <c r="R238" s="261"/>
      <c r="S238" s="81"/>
      <c r="T238" s="209"/>
      <c r="U238" s="210"/>
    </row>
    <row r="239" spans="1:21" ht="15">
      <c r="A239" s="76">
        <v>219</v>
      </c>
      <c r="B239" s="76">
        <v>99990009631000</v>
      </c>
      <c r="C239" s="77">
        <v>611279</v>
      </c>
      <c r="D239" s="78" t="s">
        <v>308</v>
      </c>
      <c r="E239" s="79"/>
      <c r="F239" s="77"/>
      <c r="G239" s="92">
        <v>0</v>
      </c>
      <c r="H239" s="80" t="s">
        <v>55</v>
      </c>
      <c r="I239" s="80"/>
      <c r="J239" s="79">
        <v>0</v>
      </c>
      <c r="K239" s="256">
        <v>2</v>
      </c>
      <c r="L239" s="257"/>
      <c r="M239" s="258">
        <v>0.11</v>
      </c>
      <c r="N239" s="259">
        <v>0</v>
      </c>
      <c r="O239" s="259">
        <v>0</v>
      </c>
      <c r="P239" s="260">
        <f>ROUND(((K239*M239)-(K239*M239*N239/100))+(((K239*M239)-(K239*M239*N239/100))*O239/100),2)</f>
      </c>
      <c r="Q239" s="261" t="s">
        <v>490</v>
      </c>
      <c r="R239" s="261"/>
      <c r="S239" s="81"/>
      <c r="T239" s="209"/>
      <c r="U239" s="210"/>
    </row>
    <row r="240" spans="1:21" ht="15">
      <c r="A240" s="76">
        <v>220</v>
      </c>
      <c r="B240" s="76">
        <v>99990008656372</v>
      </c>
      <c r="C240" s="77">
        <v>611249</v>
      </c>
      <c r="D240" s="78" t="s">
        <v>309</v>
      </c>
      <c r="E240" s="79"/>
      <c r="F240" s="77"/>
      <c r="G240" s="92">
        <v>0</v>
      </c>
      <c r="H240" s="80" t="s">
        <v>55</v>
      </c>
      <c r="I240" s="80"/>
      <c r="J240" s="79">
        <v>0</v>
      </c>
      <c r="K240" s="256">
        <v>2</v>
      </c>
      <c r="L240" s="257"/>
      <c r="M240" s="258">
        <v>0</v>
      </c>
      <c r="N240" s="259">
        <v>0</v>
      </c>
      <c r="O240" s="259">
        <v>0</v>
      </c>
      <c r="P240" s="260">
        <f>ROUND(((K240*M240)-(K240*M240*N240/100))+(((K240*M240)-(K240*M240*N240/100))*O240/100),2)</f>
      </c>
      <c r="Q240" s="261" t="s">
        <v>491</v>
      </c>
      <c r="R240" s="261"/>
      <c r="S240" s="81"/>
      <c r="T240" s="209"/>
      <c r="U240" s="210"/>
    </row>
    <row r="241" spans="1:21" ht="15">
      <c r="A241" s="76">
        <v>221</v>
      </c>
      <c r="B241" s="76">
        <v>99990010763986</v>
      </c>
      <c r="C241" s="77">
        <v>611052</v>
      </c>
      <c r="D241" s="78" t="s">
        <v>310</v>
      </c>
      <c r="E241" s="79"/>
      <c r="F241" s="77"/>
      <c r="G241" s="92">
        <v>0</v>
      </c>
      <c r="H241" s="80" t="s">
        <v>55</v>
      </c>
      <c r="I241" s="80"/>
      <c r="J241" s="79">
        <v>0</v>
      </c>
      <c r="K241" s="256">
        <v>1</v>
      </c>
      <c r="L241" s="257"/>
      <c r="M241" s="258">
        <v>5.72</v>
      </c>
      <c r="N241" s="259">
        <v>0</v>
      </c>
      <c r="O241" s="259">
        <v>0</v>
      </c>
      <c r="P241" s="260">
        <f>ROUND(((K241*M241)-(K241*M241*N241/100))+(((K241*M241)-(K241*M241*N241/100))*O241/100),2)</f>
      </c>
      <c r="Q241" s="261"/>
      <c r="R241" s="261"/>
      <c r="S241" s="81"/>
      <c r="T241" s="209"/>
      <c r="U241" s="210"/>
    </row>
    <row r="242" spans="1:21" ht="15">
      <c r="A242" s="76">
        <v>222</v>
      </c>
      <c r="B242" s="76">
        <v>99990009837938</v>
      </c>
      <c r="C242" s="77">
        <v>611055</v>
      </c>
      <c r="D242" s="78" t="s">
        <v>311</v>
      </c>
      <c r="E242" s="79"/>
      <c r="F242" s="77"/>
      <c r="G242" s="92">
        <v>0</v>
      </c>
      <c r="H242" s="80" t="s">
        <v>55</v>
      </c>
      <c r="I242" s="80"/>
      <c r="J242" s="79">
        <v>0</v>
      </c>
      <c r="K242" s="256">
        <v>1</v>
      </c>
      <c r="L242" s="257"/>
      <c r="M242" s="258">
        <v>4.19</v>
      </c>
      <c r="N242" s="259">
        <v>0</v>
      </c>
      <c r="O242" s="259">
        <v>0</v>
      </c>
      <c r="P242" s="260">
        <f>ROUND(((K242*M242)-(K242*M242*N242/100))+(((K242*M242)-(K242*M242*N242/100))*O242/100),2)</f>
      </c>
      <c r="Q242" s="261"/>
      <c r="R242" s="261"/>
      <c r="S242" s="81"/>
      <c r="T242" s="209"/>
      <c r="U242" s="210"/>
    </row>
    <row r="243" spans="1:21" ht="15">
      <c r="A243" s="76">
        <v>223</v>
      </c>
      <c r="B243" s="76">
        <v>99990008656241</v>
      </c>
      <c r="C243" s="77">
        <v>610552</v>
      </c>
      <c r="D243" s="78" t="s">
        <v>312</v>
      </c>
      <c r="E243" s="79"/>
      <c r="F243" s="77"/>
      <c r="G243" s="92">
        <v>0</v>
      </c>
      <c r="H243" s="80" t="s">
        <v>55</v>
      </c>
      <c r="I243" s="80"/>
      <c r="J243" s="79">
        <v>0</v>
      </c>
      <c r="K243" s="256">
        <v>1</v>
      </c>
      <c r="L243" s="257"/>
      <c r="M243" s="258">
        <v>0.43</v>
      </c>
      <c r="N243" s="259">
        <v>0</v>
      </c>
      <c r="O243" s="259">
        <v>0</v>
      </c>
      <c r="P243" s="260">
        <f>ROUND(((K243*M243)-(K243*M243*N243/100))+(((K243*M243)-(K243*M243*N243/100))*O243/100),2)</f>
      </c>
      <c r="Q243" s="261"/>
      <c r="R243" s="261"/>
      <c r="S243" s="81"/>
      <c r="T243" s="209"/>
      <c r="U243" s="210"/>
    </row>
    <row r="244" spans="1:21" ht="15">
      <c r="A244" s="76">
        <v>224</v>
      </c>
      <c r="B244" s="76">
        <v>99990009556011</v>
      </c>
      <c r="C244" s="77">
        <v>2125132</v>
      </c>
      <c r="D244" s="78" t="s">
        <v>313</v>
      </c>
      <c r="E244" s="79"/>
      <c r="F244" s="77"/>
      <c r="G244" s="92">
        <v>0</v>
      </c>
      <c r="H244" s="80" t="s">
        <v>55</v>
      </c>
      <c r="I244" s="80"/>
      <c r="J244" s="79">
        <v>0</v>
      </c>
      <c r="K244" s="256">
        <v>1</v>
      </c>
      <c r="L244" s="257"/>
      <c r="M244" s="258">
        <v>3.11</v>
      </c>
      <c r="N244" s="259">
        <v>0</v>
      </c>
      <c r="O244" s="259">
        <v>0</v>
      </c>
      <c r="P244" s="260">
        <f>ROUND(((K244*M244)-(K244*M244*N244/100))+(((K244*M244)-(K244*M244*N244/100))*O244/100),2)</f>
      </c>
      <c r="Q244" s="261"/>
      <c r="R244" s="261"/>
      <c r="S244" s="81"/>
      <c r="T244" s="209"/>
      <c r="U244" s="210"/>
    </row>
    <row r="245" spans="1:21" ht="15">
      <c r="A245" s="76">
        <v>225</v>
      </c>
      <c r="B245" s="76">
        <v>99990009556015</v>
      </c>
      <c r="C245" s="77">
        <v>2125136</v>
      </c>
      <c r="D245" s="78" t="s">
        <v>314</v>
      </c>
      <c r="E245" s="79"/>
      <c r="F245" s="77"/>
      <c r="G245" s="92">
        <v>0</v>
      </c>
      <c r="H245" s="80" t="s">
        <v>55</v>
      </c>
      <c r="I245" s="80"/>
      <c r="J245" s="79">
        <v>0</v>
      </c>
      <c r="K245" s="256">
        <v>1</v>
      </c>
      <c r="L245" s="257"/>
      <c r="M245" s="258">
        <v>4</v>
      </c>
      <c r="N245" s="259">
        <v>0</v>
      </c>
      <c r="O245" s="259">
        <v>0</v>
      </c>
      <c r="P245" s="260">
        <f>ROUND(((K245*M245)-(K245*M245*N245/100))+(((K245*M245)-(K245*M245*N245/100))*O245/100),2)</f>
      </c>
      <c r="Q245" s="261"/>
      <c r="R245" s="261"/>
      <c r="S245" s="81"/>
      <c r="T245" s="209"/>
      <c r="U245" s="210"/>
    </row>
    <row r="246" spans="1:21" ht="15">
      <c r="A246" s="76">
        <v>226</v>
      </c>
      <c r="B246" s="76">
        <v>99990009556017</v>
      </c>
      <c r="C246" s="77">
        <v>2125138</v>
      </c>
      <c r="D246" s="78" t="s">
        <v>315</v>
      </c>
      <c r="E246" s="79"/>
      <c r="F246" s="77"/>
      <c r="G246" s="92">
        <v>0</v>
      </c>
      <c r="H246" s="80" t="s">
        <v>55</v>
      </c>
      <c r="I246" s="80"/>
      <c r="J246" s="79">
        <v>0</v>
      </c>
      <c r="K246" s="256">
        <v>1</v>
      </c>
      <c r="L246" s="257"/>
      <c r="M246" s="258">
        <v>4.29</v>
      </c>
      <c r="N246" s="259">
        <v>0</v>
      </c>
      <c r="O246" s="259">
        <v>0</v>
      </c>
      <c r="P246" s="260">
        <f>ROUND(((K246*M246)-(K246*M246*N246/100))+(((K246*M246)-(K246*M246*N246/100))*O246/100),2)</f>
      </c>
      <c r="Q246" s="261"/>
      <c r="R246" s="261"/>
      <c r="S246" s="81"/>
      <c r="T246" s="209"/>
      <c r="U246" s="210"/>
    </row>
    <row r="247" spans="1:21" ht="15">
      <c r="A247" s="76">
        <v>227</v>
      </c>
      <c r="B247" s="76">
        <v>99990009556018</v>
      </c>
      <c r="C247" s="77">
        <v>2125139</v>
      </c>
      <c r="D247" s="78" t="s">
        <v>316</v>
      </c>
      <c r="E247" s="79"/>
      <c r="F247" s="77"/>
      <c r="G247" s="92">
        <v>0</v>
      </c>
      <c r="H247" s="80" t="s">
        <v>55</v>
      </c>
      <c r="I247" s="80"/>
      <c r="J247" s="79">
        <v>0</v>
      </c>
      <c r="K247" s="256">
        <v>1</v>
      </c>
      <c r="L247" s="257"/>
      <c r="M247" s="258">
        <v>4.96</v>
      </c>
      <c r="N247" s="259">
        <v>0</v>
      </c>
      <c r="O247" s="259">
        <v>0</v>
      </c>
      <c r="P247" s="260">
        <f>ROUND(((K247*M247)-(K247*M247*N247/100))+(((K247*M247)-(K247*M247*N247/100))*O247/100),2)</f>
      </c>
      <c r="Q247" s="261"/>
      <c r="R247" s="261"/>
      <c r="S247" s="81"/>
      <c r="T247" s="209"/>
      <c r="U247" s="210"/>
    </row>
    <row r="248" spans="1:21" ht="15">
      <c r="A248" s="76">
        <v>228</v>
      </c>
      <c r="B248" s="76">
        <v>99990008656393</v>
      </c>
      <c r="C248" s="77">
        <v>611307</v>
      </c>
      <c r="D248" s="78" t="s">
        <v>317</v>
      </c>
      <c r="E248" s="79"/>
      <c r="F248" s="77"/>
      <c r="G248" s="92">
        <v>0</v>
      </c>
      <c r="H248" s="80" t="s">
        <v>55</v>
      </c>
      <c r="I248" s="80"/>
      <c r="J248" s="79">
        <v>0</v>
      </c>
      <c r="K248" s="256">
        <v>1</v>
      </c>
      <c r="L248" s="257"/>
      <c r="M248" s="258">
        <v>8.58</v>
      </c>
      <c r="N248" s="259">
        <v>0</v>
      </c>
      <c r="O248" s="259">
        <v>0</v>
      </c>
      <c r="P248" s="260">
        <f>ROUND(((K248*M248)-(K248*M248*N248/100))+(((K248*M248)-(K248*M248*N248/100))*O248/100),2)</f>
      </c>
      <c r="Q248" s="261"/>
      <c r="R248" s="261"/>
      <c r="S248" s="81"/>
      <c r="T248" s="209"/>
      <c r="U248" s="210"/>
    </row>
    <row r="249" spans="1:21" ht="15">
      <c r="A249" s="76">
        <v>229</v>
      </c>
      <c r="B249" s="76">
        <v>99990009647176</v>
      </c>
      <c r="C249" s="77">
        <v>751707</v>
      </c>
      <c r="D249" s="78" t="s">
        <v>318</v>
      </c>
      <c r="E249" s="79"/>
      <c r="F249" s="77"/>
      <c r="G249" s="92">
        <v>0</v>
      </c>
      <c r="H249" s="80" t="s">
        <v>55</v>
      </c>
      <c r="I249" s="80"/>
      <c r="J249" s="79">
        <v>0</v>
      </c>
      <c r="K249" s="256">
        <v>3</v>
      </c>
      <c r="L249" s="257"/>
      <c r="M249" s="258">
        <v>26.21</v>
      </c>
      <c r="N249" s="259">
        <v>0</v>
      </c>
      <c r="O249" s="259">
        <v>0</v>
      </c>
      <c r="P249" s="260">
        <f>ROUND(((K249*M249)-(K249*M249*N249/100))+(((K249*M249)-(K249*M249*N249/100))*O249/100),2)</f>
      </c>
      <c r="Q249" s="261"/>
      <c r="R249" s="261"/>
      <c r="S249" s="81"/>
      <c r="T249" s="209"/>
      <c r="U249" s="210"/>
    </row>
    <row r="250" spans="1:21" ht="15">
      <c r="A250" s="76">
        <v>230</v>
      </c>
      <c r="B250" s="76">
        <v>99990009638829</v>
      </c>
      <c r="C250" s="77">
        <v>751702</v>
      </c>
      <c r="D250" s="78" t="s">
        <v>319</v>
      </c>
      <c r="E250" s="79"/>
      <c r="F250" s="77"/>
      <c r="G250" s="92">
        <v>0</v>
      </c>
      <c r="H250" s="80" t="s">
        <v>55</v>
      </c>
      <c r="I250" s="80"/>
      <c r="J250" s="79">
        <v>0</v>
      </c>
      <c r="K250" s="256">
        <v>6</v>
      </c>
      <c r="L250" s="257"/>
      <c r="M250" s="258">
        <v>26.21</v>
      </c>
      <c r="N250" s="259">
        <v>0</v>
      </c>
      <c r="O250" s="259">
        <v>0</v>
      </c>
      <c r="P250" s="260">
        <f>ROUND(((K250*M250)-(K250*M250*N250/100))+(((K250*M250)-(K250*M250*N250/100))*O250/100),2)</f>
      </c>
      <c r="Q250" s="261"/>
      <c r="R250" s="261"/>
      <c r="S250" s="81"/>
      <c r="T250" s="209"/>
      <c r="U250" s="210"/>
    </row>
    <row r="251" spans="1:21" ht="15">
      <c r="A251" s="76">
        <v>231</v>
      </c>
      <c r="B251" s="76">
        <v>99990008205115</v>
      </c>
      <c r="C251" s="77">
        <v>750752</v>
      </c>
      <c r="D251" s="78" t="s">
        <v>320</v>
      </c>
      <c r="E251" s="79"/>
      <c r="F251" s="77"/>
      <c r="G251" s="92">
        <v>0</v>
      </c>
      <c r="H251" s="80" t="s">
        <v>55</v>
      </c>
      <c r="I251" s="80"/>
      <c r="J251" s="79">
        <v>0</v>
      </c>
      <c r="K251" s="256">
        <v>2</v>
      </c>
      <c r="L251" s="257"/>
      <c r="M251" s="258">
        <v>30.98</v>
      </c>
      <c r="N251" s="259">
        <v>0</v>
      </c>
      <c r="O251" s="259">
        <v>0</v>
      </c>
      <c r="P251" s="260">
        <f>ROUND(((K251*M251)-(K251*M251*N251/100))+(((K251*M251)-(K251*M251*N251/100))*O251/100),2)</f>
      </c>
      <c r="Q251" s="261"/>
      <c r="R251" s="261"/>
      <c r="S251" s="81"/>
      <c r="T251" s="209"/>
      <c r="U251" s="210"/>
    </row>
    <row r="252" spans="1:21" ht="15">
      <c r="A252" s="76">
        <v>232</v>
      </c>
      <c r="B252" s="76">
        <v>99990008205110</v>
      </c>
      <c r="C252" s="77">
        <v>750737</v>
      </c>
      <c r="D252" s="78" t="s">
        <v>321</v>
      </c>
      <c r="E252" s="79"/>
      <c r="F252" s="77"/>
      <c r="G252" s="92">
        <v>0</v>
      </c>
      <c r="H252" s="80" t="s">
        <v>55</v>
      </c>
      <c r="I252" s="80"/>
      <c r="J252" s="79">
        <v>0</v>
      </c>
      <c r="K252" s="256">
        <v>3</v>
      </c>
      <c r="L252" s="257"/>
      <c r="M252" s="258">
        <v>30.98</v>
      </c>
      <c r="N252" s="259">
        <v>0</v>
      </c>
      <c r="O252" s="259">
        <v>0</v>
      </c>
      <c r="P252" s="260">
        <f>ROUND(((K252*M252)-(K252*M252*N252/100))+(((K252*M252)-(K252*M252*N252/100))*O252/100),2)</f>
      </c>
      <c r="Q252" s="261"/>
      <c r="R252" s="261"/>
      <c r="S252" s="81"/>
      <c r="T252" s="209"/>
      <c r="U252" s="210"/>
    </row>
    <row r="253" spans="1:21" ht="15">
      <c r="A253" s="76"/>
      <c r="B253" s="76"/>
      <c r="C253" s="77"/>
      <c r="D253" s="78"/>
      <c r="E253" s="79"/>
      <c r="F253" s="77"/>
      <c r="G253" s="92"/>
      <c r="H253" s="77"/>
      <c r="I253" s="77"/>
      <c r="J253" s="79"/>
      <c r="K253" s="262"/>
      <c r="L253" s="263"/>
      <c r="M253" s="264" t="s">
        <v>322</v>
      </c>
      <c r="N253" s="265"/>
      <c r="O253" s="265"/>
      <c r="P253" s="260">
        <f>SUM(P21:P252)</f>
      </c>
      <c r="Q253" s="266"/>
      <c r="R253" s="266"/>
      <c r="S253" s="81"/>
      <c r="T253" s="209"/>
      <c r="U253" s="210"/>
    </row>
    <row r="254" spans="1:21" ht="15" hidden="1">
      <c r="A254" s="76"/>
      <c r="B254" s="76"/>
      <c r="C254" s="77"/>
      <c r="D254" s="78"/>
      <c r="E254" s="79"/>
      <c r="F254" s="77"/>
      <c r="G254" s="92"/>
      <c r="H254" s="80"/>
      <c r="I254" s="80"/>
      <c r="J254" s="79"/>
      <c r="K254" s="262"/>
      <c r="L254" s="257"/>
      <c r="M254" s="267"/>
      <c r="N254" s="268"/>
      <c r="O254" s="268"/>
      <c r="P254" s="260"/>
      <c r="Q254" s="261"/>
      <c r="R254" s="261"/>
      <c r="S254" s="81"/>
      <c r="T254" s="209"/>
      <c r="U254" s="210"/>
    </row>
    <row r="255" spans="1:21" ht="15">
      <c r="A255" s="6"/>
      <c r="B255" s="211"/>
      <c r="C255" s="212"/>
      <c r="D255" s="212"/>
      <c r="E255" s="212"/>
      <c r="F255" s="212"/>
      <c r="G255" s="212"/>
      <c r="H255" s="213"/>
      <c r="I255" s="213"/>
      <c r="J255" s="213"/>
      <c r="K255" s="213"/>
      <c r="L255" s="37"/>
      <c r="M255" s="37"/>
      <c r="N255" s="213"/>
      <c r="O255" s="213"/>
      <c r="P255" s="213"/>
      <c r="Q255" s="213"/>
      <c r="R255" s="213"/>
      <c r="S255" s="213"/>
      <c r="T255" s="151"/>
      <c r="U255" s="214"/>
    </row>
    <row r="256" spans="1:21" ht="12.75" customHeight="1">
      <c r="A256" s="195" t="s">
        <v>39</v>
      </c>
      <c r="B256" s="195"/>
      <c r="C256" s="195" t="s">
        <v>323</v>
      </c>
      <c r="D256" s="195"/>
      <c r="E256" s="195"/>
      <c r="F256" s="195"/>
      <c r="G256" s="195"/>
      <c r="H256" s="195"/>
      <c r="I256" s="195"/>
      <c r="J256" s="195"/>
      <c r="K256" s="197"/>
      <c r="L256" s="197" t="s">
        <v>324</v>
      </c>
      <c r="M256" s="197"/>
      <c r="N256" s="197" t="s">
        <v>48</v>
      </c>
      <c r="O256" s="197" t="s">
        <v>49</v>
      </c>
      <c r="P256" s="197" t="s">
        <v>325</v>
      </c>
      <c r="Q256" s="197" t="s">
        <v>51</v>
      </c>
      <c r="R256" s="197"/>
      <c r="S256" s="197"/>
      <c r="T256" s="197"/>
      <c r="U256" s="198"/>
    </row>
    <row r="257" spans="1:21" ht="15">
      <c r="A257" s="215">
        <v>1</v>
      </c>
      <c r="B257" s="215"/>
      <c r="C257" s="216" t="s">
        <v>326</v>
      </c>
      <c r="D257" s="217" t="s">
        <v>326</v>
      </c>
      <c r="E257" s="217" t="s">
        <v>326</v>
      </c>
      <c r="F257" s="217" t="s">
        <v>326</v>
      </c>
      <c r="G257" s="217" t="s">
        <v>326</v>
      </c>
      <c r="H257" s="217" t="s">
        <v>326</v>
      </c>
      <c r="I257" s="217" t="s">
        <v>326</v>
      </c>
      <c r="J257" s="217" t="s">
        <v>326</v>
      </c>
      <c r="K257" s="218" t="s">
        <v>326</v>
      </c>
      <c r="L257" s="219"/>
      <c r="M257" s="220">
        <v>0</v>
      </c>
      <c r="N257" s="220">
        <v>0</v>
      </c>
      <c r="O257" s="221">
        <v>0</v>
      </c>
      <c r="P257" s="222">
        <f>ROUND((M257-(M257*N257/100)+((M257-(M257*N257/100))*O257/100)),2)</f>
      </c>
      <c r="Q257" s="223"/>
      <c r="R257" s="224"/>
      <c r="S257" s="224"/>
      <c r="T257" s="224"/>
      <c r="U257" s="225"/>
    </row>
    <row r="258" spans="1:21" ht="15">
      <c r="A258" s="215">
        <v>2</v>
      </c>
      <c r="B258" s="215"/>
      <c r="C258" s="216" t="s">
        <v>327</v>
      </c>
      <c r="D258" s="217" t="s">
        <v>327</v>
      </c>
      <c r="E258" s="217" t="s">
        <v>327</v>
      </c>
      <c r="F258" s="217" t="s">
        <v>327</v>
      </c>
      <c r="G258" s="217" t="s">
        <v>327</v>
      </c>
      <c r="H258" s="217" t="s">
        <v>327</v>
      </c>
      <c r="I258" s="217" t="s">
        <v>327</v>
      </c>
      <c r="J258" s="217" t="s">
        <v>327</v>
      </c>
      <c r="K258" s="218" t="s">
        <v>327</v>
      </c>
      <c r="L258" s="219"/>
      <c r="M258" s="220">
        <v>0</v>
      </c>
      <c r="N258" s="220">
        <v>0</v>
      </c>
      <c r="O258" s="221">
        <v>0</v>
      </c>
      <c r="P258" s="222">
        <f>ROUND((M258-(M258*N258/100)+((M258-(M258*N258/100))*O258/100)),2)</f>
      </c>
      <c r="Q258" s="223"/>
      <c r="R258" s="224"/>
      <c r="S258" s="224"/>
      <c r="T258" s="224"/>
      <c r="U258" s="225" t="s">
        <v>328</v>
      </c>
    </row>
    <row r="259" spans="1:21" ht="15">
      <c r="A259" s="215">
        <v>3</v>
      </c>
      <c r="B259" s="215"/>
      <c r="C259" s="216"/>
      <c r="D259" s="217"/>
      <c r="E259" s="217"/>
      <c r="F259" s="217"/>
      <c r="G259" s="217"/>
      <c r="H259" s="217"/>
      <c r="I259" s="217"/>
      <c r="J259" s="217"/>
      <c r="K259" s="218"/>
      <c r="L259" s="219"/>
      <c r="M259" s="220">
        <v>0</v>
      </c>
      <c r="N259" s="220">
        <v>0</v>
      </c>
      <c r="O259" s="221">
        <v>0</v>
      </c>
      <c r="P259" s="222">
        <f>ROUND((M259-(M259*N259/100)+((M259-(M259*N259/100))*O259/100)),2)</f>
      </c>
      <c r="Q259" s="223"/>
      <c r="R259" s="224"/>
      <c r="S259" s="224"/>
      <c r="T259" s="224"/>
      <c r="U259" s="225"/>
    </row>
    <row r="260" spans="1:21" ht="15">
      <c r="A260" s="215">
        <v>4</v>
      </c>
      <c r="B260" s="215"/>
      <c r="C260" s="216"/>
      <c r="D260" s="217"/>
      <c r="E260" s="217"/>
      <c r="F260" s="217"/>
      <c r="G260" s="217"/>
      <c r="H260" s="217"/>
      <c r="I260" s="217"/>
      <c r="J260" s="217"/>
      <c r="K260" s="218"/>
      <c r="L260" s="219"/>
      <c r="M260" s="220">
        <v>0</v>
      </c>
      <c r="N260" s="220">
        <v>0</v>
      </c>
      <c r="O260" s="221">
        <v>0</v>
      </c>
      <c r="P260" s="222">
        <f>ROUND((M260-(M260*N260/100)+((M260-(M260*N260/100))*O260/100)),2)</f>
      </c>
      <c r="Q260" s="223"/>
      <c r="R260" s="224"/>
      <c r="S260" s="224"/>
      <c r="T260" s="224"/>
      <c r="U260" s="225"/>
    </row>
    <row r="261" spans="1:21" ht="15.75" customHeight="1">
      <c r="A261" s="226"/>
      <c r="B261" s="226"/>
      <c r="C261" s="227"/>
      <c r="D261" s="227"/>
      <c r="E261" s="227"/>
      <c r="F261" s="227"/>
      <c r="G261" s="227"/>
      <c r="H261" s="163"/>
      <c r="I261" s="163"/>
      <c r="J261" s="163"/>
      <c r="K261" s="228"/>
      <c r="L261" s="139" t="s">
        <v>322</v>
      </c>
      <c r="M261" s="140" t="s">
        <v>322</v>
      </c>
      <c r="N261" s="141"/>
      <c r="O261" s="141"/>
      <c r="P261" s="229">
        <f>SUM(SubItemTotal)</f>
      </c>
      <c r="Q261" s="163"/>
      <c r="R261" s="163"/>
      <c r="S261" s="163"/>
      <c r="T261" s="151"/>
      <c r="U261" s="214"/>
    </row>
    <row r="262" spans="1:21" ht="30" customHeight="1">
      <c r="A262" s="226"/>
      <c r="B262" s="226"/>
      <c r="C262" s="227"/>
      <c r="D262" s="227"/>
      <c r="E262" s="227"/>
      <c r="F262" s="227"/>
      <c r="G262" s="227"/>
      <c r="H262" s="163"/>
      <c r="I262" s="163"/>
      <c r="J262" s="163"/>
      <c r="K262" s="230"/>
      <c r="L262" s="142" t="s">
        <v>329</v>
      </c>
      <c r="M262" s="142" t="s">
        <v>329</v>
      </c>
      <c r="N262" s="141"/>
      <c r="O262" s="141"/>
      <c r="P262" s="231">
        <f>SUM(P257:P261)</f>
      </c>
      <c r="Q262" s="163"/>
      <c r="R262" s="163"/>
      <c r="S262" s="163"/>
      <c r="T262" s="151"/>
      <c r="U262" s="214"/>
    </row>
    <row r="263" spans="1:21" ht="30" customHeight="1" hidden="1">
      <c r="A263" s="232">
        <v>0</v>
      </c>
      <c r="B263" s="232">
        <v>0</v>
      </c>
      <c r="C263" s="233">
        <v>0</v>
      </c>
      <c r="D263" s="227"/>
      <c r="E263" s="227"/>
      <c r="F263" s="234">
        <v>0</v>
      </c>
      <c r="G263" s="227"/>
      <c r="H263" s="227"/>
      <c r="I263" s="227"/>
      <c r="K263" s="235"/>
      <c r="L263" s="227"/>
      <c r="M263" s="236"/>
      <c r="O263" s="227"/>
      <c r="P263" s="237"/>
      <c r="Q263" s="238"/>
      <c r="R263" s="237"/>
      <c r="S263" s="239"/>
      <c r="T263" s="151"/>
      <c r="U263" s="214"/>
    </row>
    <row r="264" spans="1:21" ht="30" customHeight="1">
      <c r="A264" s="232"/>
      <c r="B264" s="232"/>
      <c r="C264" s="233"/>
      <c r="D264" s="227"/>
      <c r="E264" s="227"/>
      <c r="F264" s="234"/>
      <c r="G264" s="227"/>
      <c r="H264" s="227"/>
      <c r="I264" s="227"/>
      <c r="K264" s="235"/>
      <c r="L264" s="227"/>
      <c r="M264" s="236"/>
      <c r="O264" s="227"/>
      <c r="P264" s="237"/>
      <c r="Q264" s="238"/>
      <c r="R264" s="237"/>
      <c r="S264" s="239"/>
      <c r="T264" s="151"/>
      <c r="U264" s="214"/>
    </row>
    <row r="265" spans="1:21" ht="30" customHeight="1">
      <c r="A265" s="240" t="s">
        <v>330</v>
      </c>
      <c r="B265" s="240"/>
      <c r="C265" s="240"/>
      <c r="D265" s="240"/>
      <c r="E265" s="227"/>
      <c r="F265" s="241" t="s">
        <v>331</v>
      </c>
      <c r="G265" s="241"/>
      <c r="H265" s="241"/>
      <c r="I265" s="241"/>
      <c r="J265" s="241"/>
      <c r="K265" s="241"/>
      <c r="L265" s="241"/>
      <c r="M265" s="241"/>
      <c r="N265" s="241"/>
      <c r="O265" s="241"/>
      <c r="P265" s="241"/>
      <c r="Q265" s="241"/>
      <c r="R265" s="241"/>
      <c r="S265" s="241"/>
      <c r="T265" s="151"/>
      <c r="U265" s="214"/>
    </row>
    <row r="266" spans="1:21" ht="18.75" customHeight="1">
      <c r="A266" s="240" t="s">
        <v>332</v>
      </c>
      <c r="B266" s="240"/>
      <c r="C266" s="240"/>
      <c r="D266" s="240"/>
      <c r="E266" s="227"/>
      <c r="F266" s="241"/>
      <c r="G266" s="241"/>
      <c r="H266" s="241"/>
      <c r="I266" s="241"/>
      <c r="J266" s="241"/>
      <c r="K266" s="241"/>
      <c r="L266" s="241"/>
      <c r="M266" s="241"/>
      <c r="N266" s="241"/>
      <c r="O266" s="241"/>
      <c r="P266" s="241"/>
      <c r="Q266" s="241"/>
      <c r="R266" s="241"/>
      <c r="S266" s="241"/>
      <c r="T266" s="151"/>
      <c r="U266" s="214"/>
    </row>
    <row r="267" spans="1:21" ht="15.75" customHeight="1">
      <c r="A267" s="240" t="s">
        <v>51</v>
      </c>
      <c r="B267" s="240"/>
      <c r="C267" s="240"/>
      <c r="D267" s="240"/>
      <c r="E267" s="242"/>
      <c r="F267" s="243"/>
      <c r="G267" s="243"/>
      <c r="H267" s="243"/>
      <c r="I267" s="243"/>
      <c r="J267" s="243"/>
      <c r="K267" s="243"/>
      <c r="L267" s="243"/>
      <c r="M267" s="243"/>
      <c r="N267" s="243"/>
      <c r="O267" s="243"/>
      <c r="P267" s="243"/>
      <c r="Q267" s="243"/>
      <c r="R267" s="243"/>
      <c r="S267" s="243"/>
      <c r="T267" s="244"/>
      <c r="U267" s="245"/>
    </row>
    <row r="268" spans="1:21" ht="15.75" customHeight="1">
      <c r="A268" s="226"/>
      <c r="B268" s="226"/>
      <c r="C268" s="226"/>
      <c r="D268" s="151"/>
      <c r="E268" s="151"/>
      <c r="F268" s="151"/>
      <c r="G268" s="151"/>
      <c r="H268" s="227"/>
      <c r="I268" s="227"/>
      <c r="J268" s="227"/>
      <c r="K268" s="227"/>
      <c r="L268" s="227"/>
      <c r="M268" s="227"/>
      <c r="N268" s="227"/>
      <c r="O268" s="227"/>
      <c r="P268" s="227"/>
      <c r="Q268" s="227"/>
      <c r="R268" s="227"/>
      <c r="S268" s="227"/>
      <c r="T268" s="151"/>
      <c r="U268" s="214"/>
    </row>
    <row r="269" spans="1:21" ht="15" customHeight="1">
      <c r="A269" s="195" t="s">
        <v>333</v>
      </c>
      <c r="B269" s="195"/>
      <c r="C269" s="195"/>
      <c r="D269" s="195"/>
      <c r="E269" s="195"/>
      <c r="F269" s="195"/>
      <c r="G269" s="195"/>
      <c r="H269" s="195"/>
      <c r="I269" s="195"/>
      <c r="J269" s="195"/>
      <c r="K269" s="195"/>
      <c r="L269" s="195"/>
      <c r="M269" s="195"/>
      <c r="N269" s="195"/>
      <c r="O269" s="195"/>
      <c r="P269" s="195"/>
      <c r="Q269" s="195"/>
      <c r="R269" s="195"/>
      <c r="S269" s="195"/>
      <c r="T269" s="195"/>
      <c r="U269" s="198"/>
    </row>
    <row r="270" spans="1:21" ht="12.75" customHeight="1">
      <c r="A270" s="246" t="s">
        <v>334</v>
      </c>
      <c r="B270" s="246"/>
      <c r="C270" s="246"/>
      <c r="D270" s="246"/>
      <c r="E270" s="246"/>
      <c r="F270" s="246"/>
      <c r="G270" s="246"/>
      <c r="H270" s="246"/>
      <c r="I270" s="246"/>
      <c r="J270" s="246"/>
      <c r="K270" s="246"/>
      <c r="L270" s="246"/>
      <c r="M270" s="246"/>
      <c r="N270" s="246"/>
      <c r="O270" s="246"/>
      <c r="P270" s="246"/>
      <c r="Q270" s="246"/>
      <c r="R270" s="246"/>
      <c r="S270" s="246"/>
      <c r="T270" s="246"/>
      <c r="U270" s="247"/>
    </row>
    <row r="271" spans="1:21" ht="12.75" customHeight="1">
      <c r="A271" s="246" t="s">
        <v>335</v>
      </c>
      <c r="B271" s="246"/>
      <c r="C271" s="246"/>
      <c r="D271" s="246"/>
      <c r="E271" s="246"/>
      <c r="F271" s="246"/>
      <c r="G271" s="246"/>
      <c r="H271" s="246"/>
      <c r="I271" s="246"/>
      <c r="J271" s="246"/>
      <c r="K271" s="246"/>
      <c r="L271" s="246"/>
      <c r="M271" s="246"/>
      <c r="N271" s="246"/>
      <c r="O271" s="246"/>
      <c r="P271" s="246"/>
      <c r="Q271" s="246"/>
      <c r="R271" s="246"/>
      <c r="S271" s="246"/>
      <c r="T271" s="246"/>
      <c r="U271" s="247"/>
    </row>
    <row r="272" spans="1:21" ht="7.5" customHeight="1">
      <c r="A272" s="248"/>
      <c r="B272" s="248"/>
      <c r="C272" s="248"/>
      <c r="D272" s="248"/>
      <c r="E272" s="248"/>
      <c r="F272" s="248"/>
      <c r="G272" s="248"/>
      <c r="H272" s="248"/>
      <c r="I272" s="248"/>
      <c r="J272" s="248"/>
      <c r="K272" s="248"/>
      <c r="L272" s="248"/>
      <c r="M272" s="248"/>
      <c r="N272" s="248"/>
      <c r="O272" s="248"/>
      <c r="P272" s="248"/>
      <c r="Q272" s="248"/>
      <c r="R272" s="248"/>
      <c r="S272" s="248"/>
      <c r="T272" s="248"/>
      <c r="U272" s="249"/>
    </row>
    <row r="273" spans="1:21" ht="12.75" customHeight="1">
      <c r="A273" s="250" t="s">
        <v>336</v>
      </c>
      <c r="B273" s="250"/>
      <c r="C273" s="250"/>
      <c r="D273" s="250"/>
      <c r="E273" s="250"/>
      <c r="F273" s="250"/>
      <c r="G273" s="250"/>
      <c r="H273" s="250"/>
      <c r="I273" s="250"/>
      <c r="J273" s="250"/>
      <c r="K273" s="250"/>
      <c r="L273" s="250"/>
      <c r="M273" s="250"/>
      <c r="N273" s="250"/>
      <c r="O273" s="250"/>
      <c r="P273" s="250"/>
      <c r="Q273" s="250"/>
      <c r="R273" s="250"/>
      <c r="S273" s="250"/>
      <c r="T273" s="250"/>
      <c r="U273" s="251"/>
    </row>
    <row r="274" spans="1:21" ht="12.75" customHeight="1">
      <c r="A274" s="250" t="s">
        <v>337</v>
      </c>
      <c r="B274" s="250"/>
      <c r="C274" s="250"/>
      <c r="D274" s="250"/>
      <c r="E274" s="250"/>
      <c r="F274" s="250"/>
      <c r="G274" s="250"/>
      <c r="H274" s="250"/>
      <c r="I274" s="250"/>
      <c r="J274" s="250"/>
      <c r="K274" s="250"/>
      <c r="L274" s="250"/>
      <c r="M274" s="250"/>
      <c r="N274" s="250"/>
      <c r="O274" s="250"/>
      <c r="P274" s="250"/>
      <c r="Q274" s="250"/>
      <c r="R274" s="250"/>
      <c r="S274" s="250"/>
      <c r="T274" s="250"/>
      <c r="U274" s="251"/>
    </row>
    <row r="275" spans="1:21" ht="12.75" customHeight="1">
      <c r="A275" s="250" t="s">
        <v>338</v>
      </c>
      <c r="B275" s="250"/>
      <c r="C275" s="250"/>
      <c r="D275" s="250"/>
      <c r="E275" s="250"/>
      <c r="F275" s="250"/>
      <c r="G275" s="250"/>
      <c r="H275" s="250"/>
      <c r="I275" s="250"/>
      <c r="J275" s="250"/>
      <c r="K275" s="250"/>
      <c r="L275" s="250"/>
      <c r="M275" s="250"/>
      <c r="N275" s="250"/>
      <c r="O275" s="250"/>
      <c r="P275" s="250"/>
      <c r="Q275" s="250"/>
      <c r="R275" s="250"/>
      <c r="S275" s="250"/>
      <c r="T275" s="250"/>
      <c r="U275" s="251"/>
    </row>
    <row r="276" spans="1:21" ht="7.5" customHeight="1">
      <c r="A276" s="250"/>
      <c r="B276" s="250"/>
      <c r="C276" s="250"/>
      <c r="D276" s="250"/>
      <c r="E276" s="250"/>
      <c r="F276" s="250"/>
      <c r="G276" s="250"/>
      <c r="H276" s="250"/>
      <c r="I276" s="250"/>
      <c r="J276" s="250"/>
      <c r="K276" s="250"/>
      <c r="L276" s="250"/>
      <c r="M276" s="250"/>
      <c r="N276" s="250"/>
      <c r="O276" s="250"/>
      <c r="P276" s="250"/>
      <c r="Q276" s="250"/>
      <c r="R276" s="250"/>
      <c r="S276" s="250"/>
      <c r="T276" s="250"/>
      <c r="U276" s="251"/>
    </row>
    <row r="277" spans="1:21" ht="12.75" customHeight="1">
      <c r="A277" s="252" t="s">
        <v>339</v>
      </c>
      <c r="B277" s="252"/>
      <c r="C277" s="252"/>
      <c r="D277" s="252"/>
      <c r="E277" s="252"/>
      <c r="F277" s="252"/>
      <c r="G277" s="252"/>
      <c r="H277" s="252"/>
      <c r="I277" s="252"/>
      <c r="J277" s="252"/>
      <c r="K277" s="252"/>
      <c r="L277" s="252"/>
      <c r="M277" s="252"/>
      <c r="N277" s="252"/>
      <c r="O277" s="252"/>
      <c r="P277" s="252"/>
      <c r="Q277" s="252"/>
      <c r="R277" s="252"/>
      <c r="S277" s="252"/>
      <c r="T277" s="252"/>
      <c r="U277" s="253"/>
    </row>
    <row r="278" spans="1:21" ht="12.75" customHeight="1">
      <c r="A278" s="254" t="s">
        <v>340</v>
      </c>
      <c r="B278" s="254"/>
      <c r="C278" s="254"/>
      <c r="D278" s="254"/>
      <c r="E278" s="254"/>
      <c r="F278" s="254"/>
      <c r="G278" s="254"/>
      <c r="H278" s="254"/>
      <c r="I278" s="254"/>
      <c r="J278" s="254"/>
      <c r="K278" s="254"/>
      <c r="L278" s="254"/>
      <c r="M278" s="254"/>
      <c r="N278" s="254"/>
      <c r="O278" s="254"/>
      <c r="P278" s="254"/>
      <c r="Q278" s="254"/>
      <c r="R278" s="254"/>
      <c r="S278" s="254"/>
      <c r="T278" s="254"/>
      <c r="U278" s="255"/>
    </row>
    <row r="279" spans="1:21" ht="12.75" customHeight="1">
      <c r="A279" s="254" t="s">
        <v>341</v>
      </c>
      <c r="B279" s="254"/>
      <c r="C279" s="254"/>
      <c r="D279" s="254"/>
      <c r="E279" s="254"/>
      <c r="F279" s="254"/>
      <c r="G279" s="254"/>
      <c r="H279" s="254"/>
      <c r="I279" s="254"/>
      <c r="J279" s="254"/>
      <c r="K279" s="254"/>
      <c r="L279" s="254"/>
      <c r="M279" s="254"/>
      <c r="N279" s="254"/>
      <c r="O279" s="254"/>
      <c r="P279" s="254"/>
      <c r="Q279" s="254"/>
      <c r="R279" s="254"/>
      <c r="S279" s="254"/>
      <c r="T279" s="254"/>
      <c r="U279" s="255"/>
    </row>
    <row r="280" spans="1:21" ht="12.75" customHeight="1">
      <c r="A280" s="250" t="s">
        <v>342</v>
      </c>
      <c r="B280" s="250"/>
      <c r="C280" s="250"/>
      <c r="D280" s="250"/>
      <c r="E280" s="250"/>
      <c r="F280" s="250"/>
      <c r="G280" s="250"/>
      <c r="H280" s="250"/>
      <c r="I280" s="250"/>
      <c r="J280" s="250"/>
      <c r="K280" s="250"/>
      <c r="L280" s="250"/>
      <c r="M280" s="250"/>
      <c r="N280" s="250"/>
      <c r="O280" s="250"/>
      <c r="P280" s="250"/>
      <c r="Q280" s="250"/>
      <c r="R280" s="250"/>
      <c r="S280" s="250"/>
      <c r="T280" s="250"/>
      <c r="U280" s="251"/>
    </row>
    <row r="281" spans="1:21" ht="12.75" customHeight="1">
      <c r="A281" s="254" t="s">
        <v>343</v>
      </c>
      <c r="B281" s="254"/>
      <c r="C281" s="254"/>
      <c r="D281" s="254"/>
      <c r="E281" s="254"/>
      <c r="F281" s="254"/>
      <c r="G281" s="254"/>
      <c r="H281" s="254"/>
      <c r="I281" s="254"/>
      <c r="J281" s="254"/>
      <c r="K281" s="254"/>
      <c r="L281" s="254"/>
      <c r="M281" s="254"/>
      <c r="N281" s="254"/>
      <c r="O281" s="254"/>
      <c r="P281" s="254"/>
      <c r="Q281" s="254"/>
      <c r="R281" s="254"/>
      <c r="S281" s="254"/>
      <c r="T281" s="254"/>
      <c r="U281" s="255"/>
    </row>
    <row r="282" spans="1:21" ht="12.75" customHeight="1">
      <c r="A282" s="254" t="s">
        <v>344</v>
      </c>
      <c r="B282" s="254"/>
      <c r="C282" s="254"/>
      <c r="D282" s="254"/>
      <c r="E282" s="254"/>
      <c r="F282" s="254"/>
      <c r="G282" s="254"/>
      <c r="H282" s="254"/>
      <c r="I282" s="254"/>
      <c r="J282" s="254"/>
      <c r="K282" s="254"/>
      <c r="L282" s="254"/>
      <c r="M282" s="254"/>
      <c r="N282" s="254"/>
      <c r="O282" s="254"/>
      <c r="P282" s="254"/>
      <c r="Q282" s="254"/>
      <c r="R282" s="254"/>
      <c r="S282" s="254"/>
      <c r="T282" s="254"/>
      <c r="U282" s="255"/>
    </row>
    <row r="283" spans="1:21" ht="12" customHeight="1">
      <c r="A283" s="254" t="s">
        <v>345</v>
      </c>
      <c r="B283" s="254"/>
      <c r="C283" s="254"/>
      <c r="D283" s="254"/>
      <c r="E283" s="254"/>
      <c r="F283" s="254"/>
      <c r="G283" s="254"/>
      <c r="H283" s="254"/>
      <c r="I283" s="254"/>
      <c r="J283" s="254"/>
      <c r="K283" s="254"/>
      <c r="L283" s="254"/>
      <c r="M283" s="254"/>
      <c r="N283" s="254"/>
      <c r="O283" s="254"/>
      <c r="P283" s="254"/>
      <c r="Q283" s="254"/>
      <c r="R283" s="254"/>
      <c r="S283" s="254"/>
      <c r="T283" s="254"/>
      <c r="U283" s="251"/>
    </row>
    <row r="284" spans="1:21" ht="12.75" customHeight="1">
      <c r="A284" s="252" t="s">
        <v>346</v>
      </c>
      <c r="B284" s="252"/>
      <c r="C284" s="252"/>
      <c r="D284" s="252"/>
      <c r="E284" s="252"/>
      <c r="F284" s="252"/>
      <c r="G284" s="252"/>
      <c r="H284" s="252"/>
      <c r="I284" s="252"/>
      <c r="J284" s="252"/>
      <c r="K284" s="252"/>
      <c r="L284" s="252"/>
      <c r="M284" s="252"/>
      <c r="N284" s="252"/>
      <c r="O284" s="252"/>
      <c r="P284" s="252"/>
      <c r="Q284" s="252"/>
      <c r="R284" s="252"/>
      <c r="S284" s="252"/>
      <c r="T284" s="252"/>
      <c r="U284" s="253"/>
    </row>
    <row r="285" spans="1:21" ht="12.75" customHeight="1">
      <c r="A285" s="250" t="s">
        <v>347</v>
      </c>
      <c r="B285" s="250"/>
      <c r="C285" s="250"/>
      <c r="D285" s="250"/>
      <c r="E285" s="250"/>
      <c r="F285" s="250"/>
      <c r="G285" s="250"/>
      <c r="H285" s="250"/>
      <c r="I285" s="250"/>
      <c r="J285" s="250"/>
      <c r="K285" s="250"/>
      <c r="L285" s="250"/>
      <c r="M285" s="250"/>
      <c r="N285" s="250"/>
      <c r="O285" s="250"/>
      <c r="P285" s="250"/>
      <c r="Q285" s="250"/>
      <c r="R285" s="250"/>
      <c r="S285" s="250"/>
      <c r="T285" s="250"/>
      <c r="U285" s="251"/>
    </row>
    <row r="286" spans="1:21" ht="12.75" customHeight="1">
      <c r="A286" s="250" t="s">
        <v>348</v>
      </c>
      <c r="B286" s="250"/>
      <c r="C286" s="250"/>
      <c r="D286" s="250"/>
      <c r="E286" s="250"/>
      <c r="F286" s="250"/>
      <c r="G286" s="250"/>
      <c r="H286" s="250"/>
      <c r="I286" s="250"/>
      <c r="J286" s="250"/>
      <c r="K286" s="250"/>
      <c r="L286" s="250"/>
      <c r="M286" s="250"/>
      <c r="N286" s="250"/>
      <c r="O286" s="250"/>
      <c r="P286" s="250"/>
      <c r="Q286" s="250"/>
      <c r="R286" s="250"/>
      <c r="S286" s="250"/>
      <c r="T286" s="250"/>
      <c r="U286" s="251"/>
    </row>
    <row r="287" spans="1:21" ht="12.75" customHeight="1">
      <c r="A287" s="250" t="s">
        <v>349</v>
      </c>
      <c r="B287" s="250"/>
      <c r="C287" s="250"/>
      <c r="D287" s="250"/>
      <c r="E287" s="250"/>
      <c r="F287" s="250"/>
      <c r="G287" s="250"/>
      <c r="H287" s="250"/>
      <c r="I287" s="250"/>
      <c r="J287" s="250"/>
      <c r="K287" s="250"/>
      <c r="L287" s="250"/>
      <c r="M287" s="250"/>
      <c r="N287" s="250"/>
      <c r="O287" s="250"/>
      <c r="P287" s="250"/>
      <c r="Q287" s="250"/>
      <c r="R287" s="250"/>
      <c r="S287" s="250"/>
      <c r="T287" s="250"/>
      <c r="U287" s="251"/>
    </row>
    <row r="288" spans="1:21" ht="12" customHeight="1">
      <c r="A288" s="250" t="s">
        <v>350</v>
      </c>
      <c r="B288" s="250"/>
      <c r="C288" s="250"/>
      <c r="D288" s="250"/>
      <c r="E288" s="250"/>
      <c r="F288" s="250"/>
      <c r="G288" s="250"/>
      <c r="H288" s="250"/>
      <c r="I288" s="250"/>
      <c r="J288" s="250"/>
      <c r="K288" s="250"/>
      <c r="L288" s="250"/>
      <c r="M288" s="250"/>
      <c r="N288" s="250"/>
      <c r="O288" s="250"/>
      <c r="P288" s="250"/>
      <c r="Q288" s="250"/>
      <c r="R288" s="250"/>
      <c r="S288" s="250"/>
      <c r="T288" s="250"/>
      <c r="U288" s="251"/>
    </row>
    <row r="289" spans="1:21" ht="7.5" customHeight="1">
      <c r="A289" s="250"/>
      <c r="B289" s="250"/>
      <c r="C289" s="250"/>
      <c r="D289" s="250"/>
      <c r="E289" s="250"/>
      <c r="F289" s="250"/>
      <c r="G289" s="250"/>
      <c r="H289" s="250"/>
      <c r="I289" s="250"/>
      <c r="J289" s="250"/>
      <c r="K289" s="250"/>
      <c r="L289" s="250"/>
      <c r="M289" s="250"/>
      <c r="N289" s="250"/>
      <c r="O289" s="250"/>
      <c r="P289" s="250"/>
      <c r="Q289" s="250"/>
      <c r="R289" s="250"/>
      <c r="S289" s="250"/>
      <c r="T289" s="250"/>
      <c r="U289" s="251"/>
    </row>
    <row r="290" spans="1:21" ht="12.75" customHeight="1">
      <c r="A290" s="252" t="s">
        <v>351</v>
      </c>
      <c r="B290" s="252"/>
      <c r="C290" s="252"/>
      <c r="D290" s="252"/>
      <c r="E290" s="252"/>
      <c r="F290" s="252"/>
      <c r="G290" s="252"/>
      <c r="H290" s="252"/>
      <c r="I290" s="252"/>
      <c r="J290" s="252"/>
      <c r="K290" s="252"/>
      <c r="L290" s="252"/>
      <c r="M290" s="252"/>
      <c r="N290" s="252"/>
      <c r="O290" s="252"/>
      <c r="P290" s="252"/>
      <c r="Q290" s="252"/>
      <c r="R290" s="252"/>
      <c r="S290" s="252"/>
      <c r="T290" s="252"/>
      <c r="U290" s="253"/>
    </row>
    <row r="291" spans="1:21" ht="12" customHeight="1">
      <c r="A291" s="252" t="s">
        <v>352</v>
      </c>
      <c r="B291" s="252"/>
      <c r="C291" s="252"/>
      <c r="D291" s="252"/>
      <c r="E291" s="252"/>
      <c r="F291" s="252"/>
      <c r="G291" s="252"/>
      <c r="H291" s="252"/>
      <c r="I291" s="252"/>
      <c r="J291" s="252"/>
      <c r="K291" s="252"/>
      <c r="L291" s="252"/>
      <c r="M291" s="252"/>
      <c r="N291" s="252"/>
      <c r="O291" s="252"/>
      <c r="P291" s="252"/>
      <c r="Q291" s="252"/>
      <c r="R291" s="252"/>
      <c r="S291" s="252"/>
      <c r="T291" s="252"/>
      <c r="U291" s="253"/>
    </row>
    <row r="292" spans="1:21" ht="12.75" customHeight="1">
      <c r="A292" s="254"/>
      <c r="B292" s="254"/>
      <c r="C292" s="254"/>
      <c r="D292" s="254"/>
      <c r="E292" s="254"/>
      <c r="F292" s="254"/>
      <c r="G292" s="254"/>
      <c r="H292" s="254"/>
      <c r="I292" s="254"/>
      <c r="J292" s="254"/>
      <c r="K292" s="254"/>
      <c r="L292" s="254"/>
      <c r="M292" s="254"/>
      <c r="N292" s="254"/>
      <c r="O292" s="254"/>
      <c r="P292" s="254"/>
      <c r="Q292" s="254"/>
      <c r="R292" s="254"/>
      <c r="S292" s="254"/>
      <c r="T292" s="254"/>
      <c r="U292" s="255"/>
    </row>
  </sheetData>
  <sheetProtection algorithmName="SHA-512" hashValue="ODqT77mCG23VcwiQyppH0w+qR1OA7/71DW3oJ47wj0lmvo0Edc4Vh03cv3sJUdViK6n7Maq+y5QMRO6jFYp5uQ==" saltValue="7NzSwiPgZgXo3fGKVuNMfw==" spinCount="100000" sheet="1" objects="1" scenarios="1"/>
  <mergeCells count="90">
    <mergeCell ref="A280:T280"/>
    <mergeCell ref="A269:T269"/>
    <mergeCell ref="A270:T270"/>
    <mergeCell ref="A292:T292"/>
    <mergeCell ref="A281:T281"/>
    <mergeCell ref="A282:T282"/>
    <mergeCell ref="A283:T283"/>
    <mergeCell ref="A284:T284"/>
    <mergeCell ref="A285:T285"/>
    <mergeCell ref="A286:T286"/>
    <mergeCell ref="A287:T287"/>
    <mergeCell ref="A288:T288"/>
    <mergeCell ref="A289:T289"/>
    <mergeCell ref="A290:T290"/>
    <mergeCell ref="A291:T291"/>
    <mergeCell ref="A277:T277"/>
    <mergeCell ref="A278:T278"/>
    <mergeCell ref="A279:T279"/>
    <mergeCell ref="A274:T274"/>
    <mergeCell ref="A275:T275"/>
    <mergeCell ref="A276:T276"/>
    <mergeCell ref="A271:T271"/>
    <mergeCell ref="A273:T273"/>
    <mergeCell ref="A267:D267"/>
    <mergeCell ref="Q260:T260"/>
    <mergeCell ref="L261:M261"/>
    <mergeCell ref="N261:O261"/>
    <mergeCell ref="L262:M262"/>
    <mergeCell ref="N262:O262"/>
    <mergeCell ref="F266:S266"/>
    <mergeCell ref="F265:S265"/>
    <mergeCell ref="A266:D266"/>
    <mergeCell ref="A265:D265"/>
    <mergeCell ref="F267:S267"/>
    <mergeCell ref="Q257:T257"/>
    <mergeCell ref="Q258:T258"/>
    <mergeCell ref="Q259:T259"/>
    <mergeCell ref="D19:E19"/>
    <mergeCell ref="L19:M19"/>
    <mergeCell ref="Q19:R19"/>
    <mergeCell ref="S19:T19"/>
    <mergeCell ref="C256:H256"/>
    <mergeCell ref="L256:M256"/>
    <mergeCell ref="Q256:T256"/>
    <mergeCell ref="M14:N14"/>
    <mergeCell ref="A15:C15"/>
    <mergeCell ref="D15:J15"/>
    <mergeCell ref="M15:N15"/>
    <mergeCell ref="A16:C16"/>
    <mergeCell ref="D16:J16"/>
    <mergeCell ref="M16:N16"/>
    <mergeCell ref="C10:E10"/>
    <mergeCell ref="C11:G11"/>
    <mergeCell ref="E18:F18"/>
    <mergeCell ref="H18:L18"/>
    <mergeCell ref="A14:C14"/>
    <mergeCell ref="D14:J14"/>
    <mergeCell ref="A17:C17"/>
    <mergeCell ref="D17:J17"/>
    <mergeCell ref="M12:N12"/>
    <mergeCell ref="O12:Q12"/>
    <mergeCell ref="A13:C13"/>
    <mergeCell ref="D13:J13"/>
    <mergeCell ref="M13:N13"/>
    <mergeCell ref="O13:R13"/>
    <mergeCell ref="A12:D12"/>
    <mergeCell ref="M1:T1"/>
    <mergeCell ref="A3:E3"/>
    <mergeCell ref="A4:G4"/>
    <mergeCell ref="M4:N4"/>
    <mergeCell ref="O4:Q4"/>
    <mergeCell ref="M5:N5"/>
    <mergeCell ref="O5:Q5"/>
    <mergeCell ref="O10:P10"/>
    <mergeCell ref="M6:N6"/>
    <mergeCell ref="O6:Q6"/>
    <mergeCell ref="M7:N7"/>
    <mergeCell ref="O7:R7"/>
    <mergeCell ref="M8:N8"/>
    <mergeCell ref="O8:P8"/>
    <mergeCell ref="N9:Q9"/>
    <mergeCell ref="A5:G5"/>
    <mergeCell ref="A6:G6"/>
    <mergeCell ref="A7:G7"/>
    <mergeCell ref="A8:G8"/>
    <mergeCell ref="A9:G9"/>
    <mergeCell ref="C257:K257"/>
    <mergeCell ref="C258:K258"/>
    <mergeCell ref="C259:K259"/>
    <mergeCell ref="C260:K260"/>
  </mergeCells>
  <dataValidations count="1180">
    <dataValidation type="whole" allowBlank="1" showInputMessage="1" showErrorMessage="1" sqref="Q11">
      <formula1>1</formula1>
      <formula2>100</formula2>
    </dataValidation>
    <dataValidation type="list" allowBlank="1" showInputMessage="1" showErrorMessage="1" sqref="O11">
      <formula1>"Credit, Cash"</formula1>
    </dataValidation>
    <dataValidation type="decimal" allowBlank="1" showInputMessage="1" showErrorMessage="1" sqref="N20:O20">
      <formula1>0</formula1>
      <formula2>100</formula2>
    </dataValidation>
    <dataValidation type="decimal" operator="greaterThanOrEqual" allowBlank="1" showInputMessage="1" showErrorMessage="1" sqref="K20:L20">
      <formula1>0</formula1>
    </dataValidation>
    <dataValidation type="decimal" allowBlank="1" showInputMessage="1" showErrorMessage="1" sqref="O16">
      <formula1>0</formula1>
      <formula2>100</formula2>
    </dataValidation>
    <dataValidation type="decimal" allowBlank="1" showInputMessage="1" showErrorMessage="1" sqref="O15">
      <formula1>0</formula1>
      <formula2>100</formula2>
    </dataValidation>
    <dataValidation allowBlank="1" showInputMessage="1" showErrorMessage="1" sqref="P23"/>
    <dataValidation allowBlank="1" showInputMessage="1" showErrorMessage="1" sqref="P24"/>
    <dataValidation allowBlank="1" showInputMessage="1" showErrorMessage="1" sqref="P25"/>
    <dataValidation allowBlank="1" showInputMessage="1" showErrorMessage="1" sqref="P26"/>
    <dataValidation type="list" allowBlank="1" showInputMessage="1" showErrorMessage="1" sqref="H21">
      <formula1>'MasterData'!$B$1:$B$14</formula1>
    </dataValidation>
    <dataValidation type="list" allowBlank="1" showInputMessage="1" showErrorMessage="1" sqref="I21">
      <formula1>'MasterData'!$E$1:$E$10</formula1>
    </dataValidation>
    <dataValidation type="decimal" operator="greaterThanOrEqual" allowBlank="1" showInputMessage="1" showErrorMessage="1" sqref="K21">
      <formula1>0</formula1>
    </dataValidation>
    <dataValidation type="decimal" allowBlank="1" showInputMessage="1" showErrorMessage="1" sqref="N21">
      <formula1>0</formula1>
      <formula2>100</formula2>
    </dataValidation>
    <dataValidation type="decimal" allowBlank="1" showInputMessage="1" showErrorMessage="1" sqref="O21">
      <formula1>0</formula1>
      <formula2>100</formula2>
    </dataValidation>
    <dataValidation type="list" allowBlank="1" showInputMessage="1" showErrorMessage="1" sqref="H22">
      <formula1>'MasterData'!$B$1:$B$14</formula1>
    </dataValidation>
    <dataValidation type="list" allowBlank="1" showInputMessage="1" showErrorMessage="1" sqref="I22">
      <formula1>'MasterData'!$E$11:$E$20</formula1>
    </dataValidation>
    <dataValidation type="decimal" operator="greaterThanOrEqual" allowBlank="1" showInputMessage="1" showErrorMessage="1" sqref="K22">
      <formula1>0</formula1>
    </dataValidation>
    <dataValidation type="decimal" allowBlank="1" showInputMessage="1" showErrorMessage="1" sqref="N22">
      <formula1>0</formula1>
      <formula2>100</formula2>
    </dataValidation>
    <dataValidation type="decimal" allowBlank="1" showInputMessage="1" showErrorMessage="1" sqref="O22">
      <formula1>0</formula1>
      <formula2>100</formula2>
    </dataValidation>
    <dataValidation type="list" allowBlank="1" showInputMessage="1" showErrorMessage="1" sqref="H23">
      <formula1>'MasterData'!$B$1:$B$14</formula1>
    </dataValidation>
    <dataValidation type="list" allowBlank="1" showInputMessage="1" showErrorMessage="1" sqref="I23">
      <formula1>'MasterData'!$E$21:$E$30</formula1>
    </dataValidation>
    <dataValidation type="decimal" operator="greaterThanOrEqual" allowBlank="1" showInputMessage="1" showErrorMessage="1" sqref="K23">
      <formula1>0</formula1>
    </dataValidation>
    <dataValidation type="decimal" allowBlank="1" showInputMessage="1" showErrorMessage="1" sqref="N23">
      <formula1>0</formula1>
      <formula2>100</formula2>
    </dataValidation>
    <dataValidation type="decimal" allowBlank="1" showInputMessage="1" showErrorMessage="1" sqref="O23">
      <formula1>0</formula1>
      <formula2>100</formula2>
    </dataValidation>
    <dataValidation type="list" allowBlank="1" showInputMessage="1" showErrorMessage="1" sqref="H24">
      <formula1>'MasterData'!$B$1:$B$14</formula1>
    </dataValidation>
    <dataValidation type="list" allowBlank="1" showInputMessage="1" showErrorMessage="1" sqref="I24">
      <formula1>'MasterData'!$E$31:$E$40</formula1>
    </dataValidation>
    <dataValidation type="decimal" operator="greaterThanOrEqual" allowBlank="1" showInputMessage="1" showErrorMessage="1" sqref="K24">
      <formula1>0</formula1>
    </dataValidation>
    <dataValidation type="decimal" allowBlank="1" showInputMessage="1" showErrorMessage="1" sqref="N24">
      <formula1>0</formula1>
      <formula2>100</formula2>
    </dataValidation>
    <dataValidation type="decimal" allowBlank="1" showInputMessage="1" showErrorMessage="1" sqref="O24">
      <formula1>0</formula1>
      <formula2>100</formula2>
    </dataValidation>
    <dataValidation type="list" allowBlank="1" showInputMessage="1" showErrorMessage="1" sqref="H25">
      <formula1>'MasterData'!$B$1:$B$14</formula1>
    </dataValidation>
    <dataValidation type="list" allowBlank="1" showInputMessage="1" showErrorMessage="1" sqref="I25">
      <formula1>'MasterData'!$E$41:$E$50</formula1>
    </dataValidation>
    <dataValidation type="decimal" operator="greaterThanOrEqual" allowBlank="1" showInputMessage="1" showErrorMessage="1" sqref="K25">
      <formula1>0</formula1>
    </dataValidation>
    <dataValidation type="decimal" allowBlank="1" showInputMessage="1" showErrorMessage="1" sqref="N25">
      <formula1>0</formula1>
      <formula2>100</formula2>
    </dataValidation>
    <dataValidation type="decimal" allowBlank="1" showInputMessage="1" showErrorMessage="1" sqref="O25">
      <formula1>0</formula1>
      <formula2>100</formula2>
    </dataValidation>
    <dataValidation type="list" allowBlank="1" showInputMessage="1" showErrorMessage="1" sqref="H26">
      <formula1>'MasterData'!$B$1:$B$14</formula1>
    </dataValidation>
    <dataValidation type="list" allowBlank="1" showInputMessage="1" showErrorMessage="1" sqref="I26">
      <formula1>'MasterData'!$E$51:$E$60</formula1>
    </dataValidation>
    <dataValidation type="decimal" operator="greaterThanOrEqual" allowBlank="1" showInputMessage="1" showErrorMessage="1" sqref="K26">
      <formula1>0</formula1>
    </dataValidation>
    <dataValidation type="decimal" allowBlank="1" showInputMessage="1" showErrorMessage="1" sqref="N26">
      <formula1>0</formula1>
      <formula2>100</formula2>
    </dataValidation>
    <dataValidation type="decimal" allowBlank="1" showInputMessage="1" showErrorMessage="1" sqref="O26">
      <formula1>0</formula1>
      <formula2>100</formula2>
    </dataValidation>
    <dataValidation type="list" allowBlank="1" showInputMessage="1" showErrorMessage="1" sqref="H27">
      <formula1>'MasterData'!$B$1:$B$14</formula1>
    </dataValidation>
    <dataValidation type="list" allowBlank="1" showInputMessage="1" showErrorMessage="1" sqref="I27">
      <formula1>'MasterData'!$E$61:$E$70</formula1>
    </dataValidation>
    <dataValidation type="decimal" operator="greaterThanOrEqual" allowBlank="1" showInputMessage="1" showErrorMessage="1" sqref="K27">
      <formula1>0</formula1>
    </dataValidation>
    <dataValidation type="decimal" allowBlank="1" showInputMessage="1" showErrorMessage="1" sqref="N27">
      <formula1>0</formula1>
      <formula2>100</formula2>
    </dataValidation>
    <dataValidation type="decimal" allowBlank="1" showInputMessage="1" showErrorMessage="1" sqref="O27">
      <formula1>0</formula1>
      <formula2>100</formula2>
    </dataValidation>
    <dataValidation type="list" allowBlank="1" showInputMessage="1" showErrorMessage="1" sqref="H28">
      <formula1>'MasterData'!$B$1:$B$14</formula1>
    </dataValidation>
    <dataValidation type="list" allowBlank="1" showInputMessage="1" showErrorMessage="1" sqref="I28">
      <formula1>'MasterData'!$E$71:$E$80</formula1>
    </dataValidation>
    <dataValidation type="decimal" operator="greaterThanOrEqual" allowBlank="1" showInputMessage="1" showErrorMessage="1" sqref="K28">
      <formula1>0</formula1>
    </dataValidation>
    <dataValidation type="decimal" allowBlank="1" showInputMessage="1" showErrorMessage="1" sqref="N28">
      <formula1>0</formula1>
      <formula2>100</formula2>
    </dataValidation>
    <dataValidation type="decimal" allowBlank="1" showInputMessage="1" showErrorMessage="1" sqref="O28">
      <formula1>0</formula1>
      <formula2>100</formula2>
    </dataValidation>
    <dataValidation type="list" allowBlank="1" showInputMessage="1" showErrorMessage="1" sqref="H29">
      <formula1>'MasterData'!$B$1:$B$14</formula1>
    </dataValidation>
    <dataValidation type="list" allowBlank="1" showInputMessage="1" showErrorMessage="1" sqref="I29">
      <formula1>'MasterData'!$E$81:$E$90</formula1>
    </dataValidation>
    <dataValidation type="decimal" operator="greaterThanOrEqual" allowBlank="1" showInputMessage="1" showErrorMessage="1" sqref="K29">
      <formula1>0</formula1>
    </dataValidation>
    <dataValidation type="decimal" allowBlank="1" showInputMessage="1" showErrorMessage="1" sqref="N29">
      <formula1>0</formula1>
      <formula2>100</formula2>
    </dataValidation>
    <dataValidation type="decimal" allowBlank="1" showInputMessage="1" showErrorMessage="1" sqref="O29">
      <formula1>0</formula1>
      <formula2>100</formula2>
    </dataValidation>
    <dataValidation type="list" allowBlank="1" showInputMessage="1" showErrorMessage="1" sqref="H30">
      <formula1>'MasterData'!$B$1:$B$14</formula1>
    </dataValidation>
    <dataValidation type="list" allowBlank="1" showInputMessage="1" showErrorMessage="1" sqref="I30">
      <formula1>'MasterData'!$E$91:$E$100</formula1>
    </dataValidation>
    <dataValidation type="decimal" operator="greaterThanOrEqual" allowBlank="1" showInputMessage="1" showErrorMessage="1" sqref="K30">
      <formula1>0</formula1>
    </dataValidation>
    <dataValidation type="decimal" allowBlank="1" showInputMessage="1" showErrorMessage="1" sqref="N30">
      <formula1>0</formula1>
      <formula2>100</formula2>
    </dataValidation>
    <dataValidation type="decimal" allowBlank="1" showInputMessage="1" showErrorMessage="1" sqref="O30">
      <formula1>0</formula1>
      <formula2>100</formula2>
    </dataValidation>
    <dataValidation type="list" allowBlank="1" showInputMessage="1" showErrorMessage="1" sqref="H31">
      <formula1>'MasterData'!$B$1:$B$14</formula1>
    </dataValidation>
    <dataValidation type="list" allowBlank="1" showInputMessage="1" showErrorMessage="1" sqref="I31">
      <formula1>'MasterData'!$E$101:$E$110</formula1>
    </dataValidation>
    <dataValidation type="decimal" operator="greaterThanOrEqual" allowBlank="1" showInputMessage="1" showErrorMessage="1" sqref="K31">
      <formula1>0</formula1>
    </dataValidation>
    <dataValidation type="decimal" allowBlank="1" showInputMessage="1" showErrorMessage="1" sqref="N31">
      <formula1>0</formula1>
      <formula2>100</formula2>
    </dataValidation>
    <dataValidation type="decimal" allowBlank="1" showInputMessage="1" showErrorMessage="1" sqref="O31">
      <formula1>0</formula1>
      <formula2>100</formula2>
    </dataValidation>
    <dataValidation type="list" allowBlank="1" showInputMessage="1" showErrorMessage="1" sqref="H32">
      <formula1>'MasterData'!$B$1:$B$14</formula1>
    </dataValidation>
    <dataValidation type="list" allowBlank="1" showInputMessage="1" showErrorMessage="1" sqref="I32">
      <formula1>'MasterData'!$E$111:$E$120</formula1>
    </dataValidation>
    <dataValidation type="decimal" operator="greaterThanOrEqual" allowBlank="1" showInputMessage="1" showErrorMessage="1" sqref="K32">
      <formula1>0</formula1>
    </dataValidation>
    <dataValidation type="decimal" allowBlank="1" showInputMessage="1" showErrorMessage="1" sqref="N32">
      <formula1>0</formula1>
      <formula2>100</formula2>
    </dataValidation>
    <dataValidation type="decimal" allowBlank="1" showInputMessage="1" showErrorMessage="1" sqref="O32">
      <formula1>0</formula1>
      <formula2>100</formula2>
    </dataValidation>
    <dataValidation type="list" allowBlank="1" showInputMessage="1" showErrorMessage="1" sqref="H33">
      <formula1>'MasterData'!$B$1:$B$14</formula1>
    </dataValidation>
    <dataValidation type="list" allowBlank="1" showInputMessage="1" showErrorMessage="1" sqref="I33">
      <formula1>'MasterData'!$E$121:$E$130</formula1>
    </dataValidation>
    <dataValidation type="decimal" operator="greaterThanOrEqual" allowBlank="1" showInputMessage="1" showErrorMessage="1" sqref="K33">
      <formula1>0</formula1>
    </dataValidation>
    <dataValidation type="decimal" allowBlank="1" showInputMessage="1" showErrorMessage="1" sqref="N33">
      <formula1>0</formula1>
      <formula2>100</formula2>
    </dataValidation>
    <dataValidation type="decimal" allowBlank="1" showInputMessage="1" showErrorMessage="1" sqref="O33">
      <formula1>0</formula1>
      <formula2>100</formula2>
    </dataValidation>
    <dataValidation type="list" allowBlank="1" showInputMessage="1" showErrorMessage="1" sqref="H34">
      <formula1>'MasterData'!$B$1:$B$14</formula1>
    </dataValidation>
    <dataValidation type="list" allowBlank="1" showInputMessage="1" showErrorMessage="1" sqref="I34">
      <formula1>'MasterData'!$E$131:$E$140</formula1>
    </dataValidation>
    <dataValidation type="decimal" operator="greaterThanOrEqual" allowBlank="1" showInputMessage="1" showErrorMessage="1" sqref="K34">
      <formula1>0</formula1>
    </dataValidation>
    <dataValidation type="decimal" allowBlank="1" showInputMessage="1" showErrorMessage="1" sqref="N34">
      <formula1>0</formula1>
      <formula2>100</formula2>
    </dataValidation>
    <dataValidation type="decimal" allowBlank="1" showInputMessage="1" showErrorMessage="1" sqref="O34">
      <formula1>0</formula1>
      <formula2>100</formula2>
    </dataValidation>
    <dataValidation type="list" allowBlank="1" showInputMessage="1" showErrorMessage="1" sqref="H35">
      <formula1>'MasterData'!$B$1:$B$14</formula1>
    </dataValidation>
    <dataValidation type="list" allowBlank="1" showInputMessage="1" showErrorMessage="1" sqref="I35">
      <formula1>'MasterData'!$E$141:$E$150</formula1>
    </dataValidation>
    <dataValidation type="decimal" operator="greaterThanOrEqual" allowBlank="1" showInputMessage="1" showErrorMessage="1" sqref="K35">
      <formula1>0</formula1>
    </dataValidation>
    <dataValidation type="decimal" allowBlank="1" showInputMessage="1" showErrorMessage="1" sqref="N35">
      <formula1>0</formula1>
      <formula2>100</formula2>
    </dataValidation>
    <dataValidation type="decimal" allowBlank="1" showInputMessage="1" showErrorMessage="1" sqref="O35">
      <formula1>0</formula1>
      <formula2>100</formula2>
    </dataValidation>
    <dataValidation type="list" allowBlank="1" showInputMessage="1" showErrorMessage="1" sqref="H36">
      <formula1>'MasterData'!$B$1:$B$14</formula1>
    </dataValidation>
    <dataValidation type="list" allowBlank="1" showInputMessage="1" showErrorMessage="1" sqref="I36">
      <formula1>'MasterData'!$E$151:$E$160</formula1>
    </dataValidation>
    <dataValidation type="decimal" operator="greaterThanOrEqual" allowBlank="1" showInputMessage="1" showErrorMessage="1" sqref="K36">
      <formula1>0</formula1>
    </dataValidation>
    <dataValidation type="decimal" allowBlank="1" showInputMessage="1" showErrorMessage="1" sqref="N36">
      <formula1>0</formula1>
      <formula2>100</formula2>
    </dataValidation>
    <dataValidation type="decimal" allowBlank="1" showInputMessage="1" showErrorMessage="1" sqref="O36">
      <formula1>0</formula1>
      <formula2>100</formula2>
    </dataValidation>
    <dataValidation type="list" allowBlank="1" showInputMessage="1" showErrorMessage="1" sqref="H37">
      <formula1>'MasterData'!$B$1:$B$14</formula1>
    </dataValidation>
    <dataValidation type="list" allowBlank="1" showInputMessage="1" showErrorMessage="1" sqref="I37">
      <formula1>'MasterData'!$E$161:$E$170</formula1>
    </dataValidation>
    <dataValidation type="decimal" operator="greaterThanOrEqual" allowBlank="1" showInputMessage="1" showErrorMessage="1" sqref="K37">
      <formula1>0</formula1>
    </dataValidation>
    <dataValidation type="decimal" allowBlank="1" showInputMessage="1" showErrorMessage="1" sqref="N37">
      <formula1>0</formula1>
      <formula2>100</formula2>
    </dataValidation>
    <dataValidation type="decimal" allowBlank="1" showInputMessage="1" showErrorMessage="1" sqref="O37">
      <formula1>0</formula1>
      <formula2>100</formula2>
    </dataValidation>
    <dataValidation type="list" allowBlank="1" showInputMessage="1" showErrorMessage="1" sqref="H38">
      <formula1>'MasterData'!$B$1:$B$14</formula1>
    </dataValidation>
    <dataValidation type="list" allowBlank="1" showInputMessage="1" showErrorMessage="1" sqref="I38">
      <formula1>'MasterData'!$E$171:$E$180</formula1>
    </dataValidation>
    <dataValidation type="decimal" operator="greaterThanOrEqual" allowBlank="1" showInputMessage="1" showErrorMessage="1" sqref="K38">
      <formula1>0</formula1>
    </dataValidation>
    <dataValidation type="decimal" allowBlank="1" showInputMessage="1" showErrorMessage="1" sqref="N38">
      <formula1>0</formula1>
      <formula2>100</formula2>
    </dataValidation>
    <dataValidation type="decimal" allowBlank="1" showInputMessage="1" showErrorMessage="1" sqref="O38">
      <formula1>0</formula1>
      <formula2>100</formula2>
    </dataValidation>
    <dataValidation type="list" allowBlank="1" showInputMessage="1" showErrorMessage="1" sqref="H39">
      <formula1>'MasterData'!$B$1:$B$14</formula1>
    </dataValidation>
    <dataValidation type="list" allowBlank="1" showInputMessage="1" showErrorMessage="1" sqref="I39">
      <formula1>'MasterData'!$E$181:$E$190</formula1>
    </dataValidation>
    <dataValidation type="decimal" operator="greaterThanOrEqual" allowBlank="1" showInputMessage="1" showErrorMessage="1" sqref="K39">
      <formula1>0</formula1>
    </dataValidation>
    <dataValidation type="decimal" allowBlank="1" showInputMessage="1" showErrorMessage="1" sqref="N39">
      <formula1>0</formula1>
      <formula2>100</formula2>
    </dataValidation>
    <dataValidation type="decimal" allowBlank="1" showInputMessage="1" showErrorMessage="1" sqref="O39">
      <formula1>0</formula1>
      <formula2>100</formula2>
    </dataValidation>
    <dataValidation type="list" allowBlank="1" showInputMessage="1" showErrorMessage="1" sqref="H40">
      <formula1>'MasterData'!$B$1:$B$14</formula1>
    </dataValidation>
    <dataValidation type="list" allowBlank="1" showInputMessage="1" showErrorMessage="1" sqref="I40">
      <formula1>'MasterData'!$E$191:$E$200</formula1>
    </dataValidation>
    <dataValidation type="decimal" operator="greaterThanOrEqual" allowBlank="1" showInputMessage="1" showErrorMessage="1" sqref="K40">
      <formula1>0</formula1>
    </dataValidation>
    <dataValidation type="decimal" allowBlank="1" showInputMessage="1" showErrorMessage="1" sqref="N40">
      <formula1>0</formula1>
      <formula2>100</formula2>
    </dataValidation>
    <dataValidation type="decimal" allowBlank="1" showInputMessage="1" showErrorMessage="1" sqref="O40">
      <formula1>0</formula1>
      <formula2>100</formula2>
    </dataValidation>
    <dataValidation type="list" allowBlank="1" showInputMessage="1" showErrorMessage="1" sqref="H41">
      <formula1>'MasterData'!$B$1:$B$14</formula1>
    </dataValidation>
    <dataValidation type="list" allowBlank="1" showInputMessage="1" showErrorMessage="1" sqref="I41">
      <formula1>'MasterData'!$E$201:$E$210</formula1>
    </dataValidation>
    <dataValidation type="decimal" operator="greaterThanOrEqual" allowBlank="1" showInputMessage="1" showErrorMessage="1" sqref="K41">
      <formula1>0</formula1>
    </dataValidation>
    <dataValidation type="decimal" allowBlank="1" showInputMessage="1" showErrorMessage="1" sqref="N41">
      <formula1>0</formula1>
      <formula2>100</formula2>
    </dataValidation>
    <dataValidation type="decimal" allowBlank="1" showInputMessage="1" showErrorMessage="1" sqref="O41">
      <formula1>0</formula1>
      <formula2>100</formula2>
    </dataValidation>
    <dataValidation type="list" allowBlank="1" showInputMessage="1" showErrorMessage="1" sqref="H42">
      <formula1>'MasterData'!$B$1:$B$14</formula1>
    </dataValidation>
    <dataValidation type="list" allowBlank="1" showInputMessage="1" showErrorMessage="1" sqref="I42">
      <formula1>'MasterData'!$E$211:$E$220</formula1>
    </dataValidation>
    <dataValidation type="decimal" operator="greaterThanOrEqual" allowBlank="1" showInputMessage="1" showErrorMessage="1" sqref="K42">
      <formula1>0</formula1>
    </dataValidation>
    <dataValidation type="decimal" allowBlank="1" showInputMessage="1" showErrorMessage="1" sqref="N42">
      <formula1>0</formula1>
      <formula2>100</formula2>
    </dataValidation>
    <dataValidation type="decimal" allowBlank="1" showInputMessage="1" showErrorMessage="1" sqref="O42">
      <formula1>0</formula1>
      <formula2>100</formula2>
    </dataValidation>
    <dataValidation type="list" allowBlank="1" showInputMessage="1" showErrorMessage="1" sqref="H43">
      <formula1>'MasterData'!$B$1:$B$14</formula1>
    </dataValidation>
    <dataValidation type="list" allowBlank="1" showInputMessage="1" showErrorMessage="1" sqref="I43">
      <formula1>'MasterData'!$E$221:$E$230</formula1>
    </dataValidation>
    <dataValidation type="decimal" operator="greaterThanOrEqual" allowBlank="1" showInputMessage="1" showErrorMessage="1" sqref="K43">
      <formula1>0</formula1>
    </dataValidation>
    <dataValidation type="decimal" allowBlank="1" showInputMessage="1" showErrorMessage="1" sqref="N43">
      <formula1>0</formula1>
      <formula2>100</formula2>
    </dataValidation>
    <dataValidation type="decimal" allowBlank="1" showInputMessage="1" showErrorMessage="1" sqref="O43">
      <formula1>0</formula1>
      <formula2>100</formula2>
    </dataValidation>
    <dataValidation type="list" allowBlank="1" showInputMessage="1" showErrorMessage="1" sqref="H44">
      <formula1>'MasterData'!$B$1:$B$14</formula1>
    </dataValidation>
    <dataValidation type="list" allowBlank="1" showInputMessage="1" showErrorMessage="1" sqref="I44">
      <formula1>'MasterData'!$E$231:$E$240</formula1>
    </dataValidation>
    <dataValidation type="decimal" operator="greaterThanOrEqual" allowBlank="1" showInputMessage="1" showErrorMessage="1" sqref="K44">
      <formula1>0</formula1>
    </dataValidation>
    <dataValidation type="decimal" allowBlank="1" showInputMessage="1" showErrorMessage="1" sqref="N44">
      <formula1>0</formula1>
      <formula2>100</formula2>
    </dataValidation>
    <dataValidation type="decimal" allowBlank="1" showInputMessage="1" showErrorMessage="1" sqref="O44">
      <formula1>0</formula1>
      <formula2>100</formula2>
    </dataValidation>
    <dataValidation type="list" allowBlank="1" showInputMessage="1" showErrorMessage="1" sqref="H45">
      <formula1>'MasterData'!$B$1:$B$14</formula1>
    </dataValidation>
    <dataValidation type="list" allowBlank="1" showInputMessage="1" showErrorMessage="1" sqref="I45">
      <formula1>'MasterData'!$E$241:$E$250</formula1>
    </dataValidation>
    <dataValidation type="decimal" operator="greaterThanOrEqual" allowBlank="1" showInputMessage="1" showErrorMessage="1" sqref="K45">
      <formula1>0</formula1>
    </dataValidation>
    <dataValidation type="decimal" allowBlank="1" showInputMessage="1" showErrorMessage="1" sqref="N45">
      <formula1>0</formula1>
      <formula2>100</formula2>
    </dataValidation>
    <dataValidation type="decimal" allowBlank="1" showInputMessage="1" showErrorMessage="1" sqref="O45">
      <formula1>0</formula1>
      <formula2>100</formula2>
    </dataValidation>
    <dataValidation type="list" allowBlank="1" showInputMessage="1" showErrorMessage="1" sqref="H46">
      <formula1>'MasterData'!$B$1:$B$14</formula1>
    </dataValidation>
    <dataValidation type="list" allowBlank="1" showInputMessage="1" showErrorMessage="1" sqref="I46">
      <formula1>'MasterData'!$E$251:$E$260</formula1>
    </dataValidation>
    <dataValidation type="decimal" operator="greaterThanOrEqual" allowBlank="1" showInputMessage="1" showErrorMessage="1" sqref="K46">
      <formula1>0</formula1>
    </dataValidation>
    <dataValidation type="decimal" allowBlank="1" showInputMessage="1" showErrorMessage="1" sqref="N46">
      <formula1>0</formula1>
      <formula2>100</formula2>
    </dataValidation>
    <dataValidation type="decimal" allowBlank="1" showInputMessage="1" showErrorMessage="1" sqref="O46">
      <formula1>0</formula1>
      <formula2>100</formula2>
    </dataValidation>
    <dataValidation type="list" allowBlank="1" showInputMessage="1" showErrorMessage="1" sqref="H47">
      <formula1>'MasterData'!$B$1:$B$14</formula1>
    </dataValidation>
    <dataValidation type="list" allowBlank="1" showInputMessage="1" showErrorMessage="1" sqref="I47">
      <formula1>'MasterData'!$E$261:$E$270</formula1>
    </dataValidation>
    <dataValidation type="decimal" operator="greaterThanOrEqual" allowBlank="1" showInputMessage="1" showErrorMessage="1" sqref="K47">
      <formula1>0</formula1>
    </dataValidation>
    <dataValidation type="decimal" allowBlank="1" showInputMessage="1" showErrorMessage="1" sqref="N47">
      <formula1>0</formula1>
      <formula2>100</formula2>
    </dataValidation>
    <dataValidation type="decimal" allowBlank="1" showInputMessage="1" showErrorMessage="1" sqref="O47">
      <formula1>0</formula1>
      <formula2>100</formula2>
    </dataValidation>
    <dataValidation type="list" allowBlank="1" showInputMessage="1" showErrorMessage="1" sqref="H48">
      <formula1>'MasterData'!$B$1:$B$14</formula1>
    </dataValidation>
    <dataValidation type="list" allowBlank="1" showInputMessage="1" showErrorMessage="1" sqref="I48">
      <formula1>'MasterData'!$E$271:$E$280</formula1>
    </dataValidation>
    <dataValidation type="decimal" operator="greaterThanOrEqual" allowBlank="1" showInputMessage="1" showErrorMessage="1" sqref="K48">
      <formula1>0</formula1>
    </dataValidation>
    <dataValidation type="decimal" allowBlank="1" showInputMessage="1" showErrorMessage="1" sqref="N48">
      <formula1>0</formula1>
      <formula2>100</formula2>
    </dataValidation>
    <dataValidation type="decimal" allowBlank="1" showInputMessage="1" showErrorMessage="1" sqref="O48">
      <formula1>0</formula1>
      <formula2>100</formula2>
    </dataValidation>
    <dataValidation type="list" allowBlank="1" showInputMessage="1" showErrorMessage="1" sqref="H49">
      <formula1>'MasterData'!$B$1:$B$14</formula1>
    </dataValidation>
    <dataValidation type="list" allowBlank="1" showInputMessage="1" showErrorMessage="1" sqref="I49">
      <formula1>'MasterData'!$E$281:$E$290</formula1>
    </dataValidation>
    <dataValidation type="decimal" operator="greaterThanOrEqual" allowBlank="1" showInputMessage="1" showErrorMessage="1" sqref="K49">
      <formula1>0</formula1>
    </dataValidation>
    <dataValidation type="decimal" allowBlank="1" showInputMessage="1" showErrorMessage="1" sqref="N49">
      <formula1>0</formula1>
      <formula2>100</formula2>
    </dataValidation>
    <dataValidation type="decimal" allowBlank="1" showInputMessage="1" showErrorMessage="1" sqref="O49">
      <formula1>0</formula1>
      <formula2>100</formula2>
    </dataValidation>
    <dataValidation type="list" allowBlank="1" showInputMessage="1" showErrorMessage="1" sqref="H50">
      <formula1>'MasterData'!$B$1:$B$14</formula1>
    </dataValidation>
    <dataValidation type="list" allowBlank="1" showInputMessage="1" showErrorMessage="1" sqref="I50">
      <formula1>'MasterData'!$E$291:$E$300</formula1>
    </dataValidation>
    <dataValidation type="decimal" operator="greaterThanOrEqual" allowBlank="1" showInputMessage="1" showErrorMessage="1" sqref="K50">
      <formula1>0</formula1>
    </dataValidation>
    <dataValidation type="decimal" allowBlank="1" showInputMessage="1" showErrorMessage="1" sqref="N50">
      <formula1>0</formula1>
      <formula2>100</formula2>
    </dataValidation>
    <dataValidation type="decimal" allowBlank="1" showInputMessage="1" showErrorMessage="1" sqref="O50">
      <formula1>0</formula1>
      <formula2>100</formula2>
    </dataValidation>
    <dataValidation type="list" allowBlank="1" showInputMessage="1" showErrorMessage="1" sqref="H51">
      <formula1>'MasterData'!$B$1:$B$14</formula1>
    </dataValidation>
    <dataValidation type="list" allowBlank="1" showInputMessage="1" showErrorMessage="1" sqref="I51">
      <formula1>'MasterData'!$E$301:$E$310</formula1>
    </dataValidation>
    <dataValidation type="decimal" operator="greaterThanOrEqual" allowBlank="1" showInputMessage="1" showErrorMessage="1" sqref="K51">
      <formula1>0</formula1>
    </dataValidation>
    <dataValidation type="decimal" allowBlank="1" showInputMessage="1" showErrorMessage="1" sqref="N51">
      <formula1>0</formula1>
      <formula2>100</formula2>
    </dataValidation>
    <dataValidation type="decimal" allowBlank="1" showInputMessage="1" showErrorMessage="1" sqref="O51">
      <formula1>0</formula1>
      <formula2>100</formula2>
    </dataValidation>
    <dataValidation type="list" allowBlank="1" showInputMessage="1" showErrorMessage="1" sqref="H52">
      <formula1>'MasterData'!$B$1:$B$14</formula1>
    </dataValidation>
    <dataValidation type="list" allowBlank="1" showInputMessage="1" showErrorMessage="1" sqref="I52">
      <formula1>'MasterData'!$E$311:$E$320</formula1>
    </dataValidation>
    <dataValidation type="decimal" operator="greaterThanOrEqual" allowBlank="1" showInputMessage="1" showErrorMessage="1" sqref="K52">
      <formula1>0</formula1>
    </dataValidation>
    <dataValidation type="decimal" allowBlank="1" showInputMessage="1" showErrorMessage="1" sqref="N52">
      <formula1>0</formula1>
      <formula2>100</formula2>
    </dataValidation>
    <dataValidation type="decimal" allowBlank="1" showInputMessage="1" showErrorMessage="1" sqref="O52">
      <formula1>0</formula1>
      <formula2>100</formula2>
    </dataValidation>
    <dataValidation type="list" allowBlank="1" showInputMessage="1" showErrorMessage="1" sqref="H53">
      <formula1>'MasterData'!$B$1:$B$14</formula1>
    </dataValidation>
    <dataValidation type="list" allowBlank="1" showInputMessage="1" showErrorMessage="1" sqref="I53">
      <formula1>'MasterData'!$E$321:$E$330</formula1>
    </dataValidation>
    <dataValidation type="decimal" operator="greaterThanOrEqual" allowBlank="1" showInputMessage="1" showErrorMessage="1" sqref="K53">
      <formula1>0</formula1>
    </dataValidation>
    <dataValidation type="decimal" allowBlank="1" showInputMessage="1" showErrorMessage="1" sqref="N53">
      <formula1>0</formula1>
      <formula2>100</formula2>
    </dataValidation>
    <dataValidation type="decimal" allowBlank="1" showInputMessage="1" showErrorMessage="1" sqref="O53">
      <formula1>0</formula1>
      <formula2>100</formula2>
    </dataValidation>
    <dataValidation type="list" allowBlank="1" showInputMessage="1" showErrorMessage="1" sqref="H54">
      <formula1>'MasterData'!$B$1:$B$14</formula1>
    </dataValidation>
    <dataValidation type="list" allowBlank="1" showInputMessage="1" showErrorMessage="1" sqref="I54">
      <formula1>'MasterData'!$E$331:$E$340</formula1>
    </dataValidation>
    <dataValidation type="decimal" operator="greaterThanOrEqual" allowBlank="1" showInputMessage="1" showErrorMessage="1" sqref="K54">
      <formula1>0</formula1>
    </dataValidation>
    <dataValidation type="decimal" allowBlank="1" showInputMessage="1" showErrorMessage="1" sqref="N54">
      <formula1>0</formula1>
      <formula2>100</formula2>
    </dataValidation>
    <dataValidation type="decimal" allowBlank="1" showInputMessage="1" showErrorMessage="1" sqref="O54">
      <formula1>0</formula1>
      <formula2>100</formula2>
    </dataValidation>
    <dataValidation type="list" allowBlank="1" showInputMessage="1" showErrorMessage="1" sqref="H55">
      <formula1>'MasterData'!$B$1:$B$14</formula1>
    </dataValidation>
    <dataValidation type="list" allowBlank="1" showInputMessage="1" showErrorMessage="1" sqref="I55">
      <formula1>'MasterData'!$E$341:$E$350</formula1>
    </dataValidation>
    <dataValidation type="decimal" operator="greaterThanOrEqual" allowBlank="1" showInputMessage="1" showErrorMessage="1" sqref="K55">
      <formula1>0</formula1>
    </dataValidation>
    <dataValidation type="decimal" allowBlank="1" showInputMessage="1" showErrorMessage="1" sqref="N55">
      <formula1>0</formula1>
      <formula2>100</formula2>
    </dataValidation>
    <dataValidation type="decimal" allowBlank="1" showInputMessage="1" showErrorMessage="1" sqref="O55">
      <formula1>0</formula1>
      <formula2>100</formula2>
    </dataValidation>
    <dataValidation type="list" allowBlank="1" showInputMessage="1" showErrorMessage="1" sqref="H56">
      <formula1>'MasterData'!$B$1:$B$14</formula1>
    </dataValidation>
    <dataValidation type="list" allowBlank="1" showInputMessage="1" showErrorMessage="1" sqref="I56">
      <formula1>'MasterData'!$E$351:$E$360</formula1>
    </dataValidation>
    <dataValidation type="decimal" operator="greaterThanOrEqual" allowBlank="1" showInputMessage="1" showErrorMessage="1" sqref="K56">
      <formula1>0</formula1>
    </dataValidation>
    <dataValidation type="decimal" allowBlank="1" showInputMessage="1" showErrorMessage="1" sqref="N56">
      <formula1>0</formula1>
      <formula2>100</formula2>
    </dataValidation>
    <dataValidation type="decimal" allowBlank="1" showInputMessage="1" showErrorMessage="1" sqref="O56">
      <formula1>0</formula1>
      <formula2>100</formula2>
    </dataValidation>
    <dataValidation type="list" allowBlank="1" showInputMessage="1" showErrorMessage="1" sqref="H57">
      <formula1>'MasterData'!$B$1:$B$14</formula1>
    </dataValidation>
    <dataValidation type="list" allowBlank="1" showInputMessage="1" showErrorMessage="1" sqref="I57">
      <formula1>'MasterData'!$E$361:$E$370</formula1>
    </dataValidation>
    <dataValidation type="decimal" operator="greaterThanOrEqual" allowBlank="1" showInputMessage="1" showErrorMessage="1" sqref="K57">
      <formula1>0</formula1>
    </dataValidation>
    <dataValidation type="decimal" allowBlank="1" showInputMessage="1" showErrorMessage="1" sqref="N57">
      <formula1>0</formula1>
      <formula2>100</formula2>
    </dataValidation>
    <dataValidation type="decimal" allowBlank="1" showInputMessage="1" showErrorMessage="1" sqref="O57">
      <formula1>0</formula1>
      <formula2>100</formula2>
    </dataValidation>
    <dataValidation type="list" allowBlank="1" showInputMessage="1" showErrorMessage="1" sqref="H58">
      <formula1>'MasterData'!$B$1:$B$14</formula1>
    </dataValidation>
    <dataValidation type="list" allowBlank="1" showInputMessage="1" showErrorMessage="1" sqref="I58">
      <formula1>'MasterData'!$E$371:$E$380</formula1>
    </dataValidation>
    <dataValidation type="decimal" operator="greaterThanOrEqual" allowBlank="1" showInputMessage="1" showErrorMessage="1" sqref="K58">
      <formula1>0</formula1>
    </dataValidation>
    <dataValidation type="decimal" allowBlank="1" showInputMessage="1" showErrorMessage="1" sqref="N58">
      <formula1>0</formula1>
      <formula2>100</formula2>
    </dataValidation>
    <dataValidation type="decimal" allowBlank="1" showInputMessage="1" showErrorMessage="1" sqref="O58">
      <formula1>0</formula1>
      <formula2>100</formula2>
    </dataValidation>
    <dataValidation type="list" allowBlank="1" showInputMessage="1" showErrorMessage="1" sqref="H59">
      <formula1>'MasterData'!$B$1:$B$14</formula1>
    </dataValidation>
    <dataValidation type="list" allowBlank="1" showInputMessage="1" showErrorMessage="1" sqref="I59">
      <formula1>'MasterData'!$E$381:$E$390</formula1>
    </dataValidation>
    <dataValidation type="decimal" operator="greaterThanOrEqual" allowBlank="1" showInputMessage="1" showErrorMessage="1" sqref="K59">
      <formula1>0</formula1>
    </dataValidation>
    <dataValidation type="decimal" allowBlank="1" showInputMessage="1" showErrorMessage="1" sqref="N59">
      <formula1>0</formula1>
      <formula2>100</formula2>
    </dataValidation>
    <dataValidation type="decimal" allowBlank="1" showInputMessage="1" showErrorMessage="1" sqref="O59">
      <formula1>0</formula1>
      <formula2>100</formula2>
    </dataValidation>
    <dataValidation type="list" allowBlank="1" showInputMessage="1" showErrorMessage="1" sqref="H60">
      <formula1>'MasterData'!$B$1:$B$14</formula1>
    </dataValidation>
    <dataValidation type="list" allowBlank="1" showInputMessage="1" showErrorMessage="1" sqref="I60">
      <formula1>'MasterData'!$E$391:$E$400</formula1>
    </dataValidation>
    <dataValidation type="decimal" operator="greaterThanOrEqual" allowBlank="1" showInputMessage="1" showErrorMessage="1" sqref="K60">
      <formula1>0</formula1>
    </dataValidation>
    <dataValidation type="decimal" allowBlank="1" showInputMessage="1" showErrorMessage="1" sqref="N60">
      <formula1>0</formula1>
      <formula2>100</formula2>
    </dataValidation>
    <dataValidation type="decimal" allowBlank="1" showInputMessage="1" showErrorMessage="1" sqref="O60">
      <formula1>0</formula1>
      <formula2>100</formula2>
    </dataValidation>
    <dataValidation type="list" allowBlank="1" showInputMessage="1" showErrorMessage="1" sqref="H61">
      <formula1>'MasterData'!$B$1:$B$14</formula1>
    </dataValidation>
    <dataValidation type="list" allowBlank="1" showInputMessage="1" showErrorMessage="1" sqref="I61">
      <formula1>'MasterData'!$E$401:$E$410</formula1>
    </dataValidation>
    <dataValidation type="decimal" operator="greaterThanOrEqual" allowBlank="1" showInputMessage="1" showErrorMessage="1" sqref="K61">
      <formula1>0</formula1>
    </dataValidation>
    <dataValidation type="decimal" allowBlank="1" showInputMessage="1" showErrorMessage="1" sqref="N61">
      <formula1>0</formula1>
      <formula2>100</formula2>
    </dataValidation>
    <dataValidation type="decimal" allowBlank="1" showInputMessage="1" showErrorMessage="1" sqref="O61">
      <formula1>0</formula1>
      <formula2>100</formula2>
    </dataValidation>
    <dataValidation type="list" allowBlank="1" showInputMessage="1" showErrorMessage="1" sqref="H62">
      <formula1>'MasterData'!$B$1:$B$14</formula1>
    </dataValidation>
    <dataValidation type="list" allowBlank="1" showInputMessage="1" showErrorMessage="1" sqref="I62">
      <formula1>'MasterData'!$E$411:$E$420</formula1>
    </dataValidation>
    <dataValidation type="decimal" operator="greaterThanOrEqual" allowBlank="1" showInputMessage="1" showErrorMessage="1" sqref="K62">
      <formula1>0</formula1>
    </dataValidation>
    <dataValidation type="decimal" allowBlank="1" showInputMessage="1" showErrorMessage="1" sqref="N62">
      <formula1>0</formula1>
      <formula2>100</formula2>
    </dataValidation>
    <dataValidation type="decimal" allowBlank="1" showInputMessage="1" showErrorMessage="1" sqref="O62">
      <formula1>0</formula1>
      <formula2>100</formula2>
    </dataValidation>
    <dataValidation type="list" allowBlank="1" showInputMessage="1" showErrorMessage="1" sqref="H63">
      <formula1>'MasterData'!$B$1:$B$14</formula1>
    </dataValidation>
    <dataValidation type="list" allowBlank="1" showInputMessage="1" showErrorMessage="1" sqref="I63">
      <formula1>'MasterData'!$E$421:$E$430</formula1>
    </dataValidation>
    <dataValidation type="decimal" operator="greaterThanOrEqual" allowBlank="1" showInputMessage="1" showErrorMessage="1" sqref="K63">
      <formula1>0</formula1>
    </dataValidation>
    <dataValidation type="decimal" allowBlank="1" showInputMessage="1" showErrorMessage="1" sqref="N63">
      <formula1>0</formula1>
      <formula2>100</formula2>
    </dataValidation>
    <dataValidation type="decimal" allowBlank="1" showInputMessage="1" showErrorMessage="1" sqref="O63">
      <formula1>0</formula1>
      <formula2>100</formula2>
    </dataValidation>
    <dataValidation type="list" allowBlank="1" showInputMessage="1" showErrorMessage="1" sqref="H64">
      <formula1>'MasterData'!$B$1:$B$14</formula1>
    </dataValidation>
    <dataValidation type="list" allowBlank="1" showInputMessage="1" showErrorMessage="1" sqref="I64">
      <formula1>'MasterData'!$E$431:$E$440</formula1>
    </dataValidation>
    <dataValidation type="decimal" operator="greaterThanOrEqual" allowBlank="1" showInputMessage="1" showErrorMessage="1" sqref="K64">
      <formula1>0</formula1>
    </dataValidation>
    <dataValidation type="decimal" allowBlank="1" showInputMessage="1" showErrorMessage="1" sqref="N64">
      <formula1>0</formula1>
      <formula2>100</formula2>
    </dataValidation>
    <dataValidation type="decimal" allowBlank="1" showInputMessage="1" showErrorMessage="1" sqref="O64">
      <formula1>0</formula1>
      <formula2>100</formula2>
    </dataValidation>
    <dataValidation type="list" allowBlank="1" showInputMessage="1" showErrorMessage="1" sqref="H65">
      <formula1>'MasterData'!$B$1:$B$14</formula1>
    </dataValidation>
    <dataValidation type="list" allowBlank="1" showInputMessage="1" showErrorMessage="1" sqref="I65">
      <formula1>'MasterData'!$E$441:$E$450</formula1>
    </dataValidation>
    <dataValidation type="decimal" operator="greaterThanOrEqual" allowBlank="1" showInputMessage="1" showErrorMessage="1" sqref="K65">
      <formula1>0</formula1>
    </dataValidation>
    <dataValidation type="decimal" allowBlank="1" showInputMessage="1" showErrorMessage="1" sqref="N65">
      <formula1>0</formula1>
      <formula2>100</formula2>
    </dataValidation>
    <dataValidation type="decimal" allowBlank="1" showInputMessage="1" showErrorMessage="1" sqref="O65">
      <formula1>0</formula1>
      <formula2>100</formula2>
    </dataValidation>
    <dataValidation type="list" allowBlank="1" showInputMessage="1" showErrorMessage="1" sqref="H66">
      <formula1>'MasterData'!$B$1:$B$14</formula1>
    </dataValidation>
    <dataValidation type="list" allowBlank="1" showInputMessage="1" showErrorMessage="1" sqref="I66">
      <formula1>'MasterData'!$E$451:$E$460</formula1>
    </dataValidation>
    <dataValidation type="decimal" operator="greaterThanOrEqual" allowBlank="1" showInputMessage="1" showErrorMessage="1" sqref="K66">
      <formula1>0</formula1>
    </dataValidation>
    <dataValidation type="decimal" allowBlank="1" showInputMessage="1" showErrorMessage="1" sqref="N66">
      <formula1>0</formula1>
      <formula2>100</formula2>
    </dataValidation>
    <dataValidation type="decimal" allowBlank="1" showInputMessage="1" showErrorMessage="1" sqref="O66">
      <formula1>0</formula1>
      <formula2>100</formula2>
    </dataValidation>
    <dataValidation type="list" allowBlank="1" showInputMessage="1" showErrorMessage="1" sqref="H67">
      <formula1>'MasterData'!$B$1:$B$14</formula1>
    </dataValidation>
    <dataValidation type="list" allowBlank="1" showInputMessage="1" showErrorMessage="1" sqref="I67">
      <formula1>'MasterData'!$E$461:$E$470</formula1>
    </dataValidation>
    <dataValidation type="decimal" operator="greaterThanOrEqual" allowBlank="1" showInputMessage="1" showErrorMessage="1" sqref="K67">
      <formula1>0</formula1>
    </dataValidation>
    <dataValidation type="decimal" allowBlank="1" showInputMessage="1" showErrorMessage="1" sqref="N67">
      <formula1>0</formula1>
      <formula2>100</formula2>
    </dataValidation>
    <dataValidation type="decimal" allowBlank="1" showInputMessage="1" showErrorMessage="1" sqref="O67">
      <formula1>0</formula1>
      <formula2>100</formula2>
    </dataValidation>
    <dataValidation type="list" allowBlank="1" showInputMessage="1" showErrorMessage="1" sqref="H68">
      <formula1>'MasterData'!$B$1:$B$14</formula1>
    </dataValidation>
    <dataValidation type="list" allowBlank="1" showInputMessage="1" showErrorMessage="1" sqref="I68">
      <formula1>'MasterData'!$E$471:$E$480</formula1>
    </dataValidation>
    <dataValidation type="decimal" operator="greaterThanOrEqual" allowBlank="1" showInputMessage="1" showErrorMessage="1" sqref="K68">
      <formula1>0</formula1>
    </dataValidation>
    <dataValidation type="decimal" allowBlank="1" showInputMessage="1" showErrorMessage="1" sqref="N68">
      <formula1>0</formula1>
      <formula2>100</formula2>
    </dataValidation>
    <dataValidation type="decimal" allowBlank="1" showInputMessage="1" showErrorMessage="1" sqref="O68">
      <formula1>0</formula1>
      <formula2>100</formula2>
    </dataValidation>
    <dataValidation type="list" allowBlank="1" showInputMessage="1" showErrorMessage="1" sqref="H69">
      <formula1>'MasterData'!$B$1:$B$14</formula1>
    </dataValidation>
    <dataValidation type="list" allowBlank="1" showInputMessage="1" showErrorMessage="1" sqref="I69">
      <formula1>'MasterData'!$E$481:$E$490</formula1>
    </dataValidation>
    <dataValidation type="decimal" operator="greaterThanOrEqual" allowBlank="1" showInputMessage="1" showErrorMessage="1" sqref="K69">
      <formula1>0</formula1>
    </dataValidation>
    <dataValidation type="decimal" allowBlank="1" showInputMessage="1" showErrorMessage="1" sqref="N69">
      <formula1>0</formula1>
      <formula2>100</formula2>
    </dataValidation>
    <dataValidation type="decimal" allowBlank="1" showInputMessage="1" showErrorMessage="1" sqref="O69">
      <formula1>0</formula1>
      <formula2>100</formula2>
    </dataValidation>
    <dataValidation type="list" allowBlank="1" showInputMessage="1" showErrorMessage="1" sqref="H70">
      <formula1>'MasterData'!$B$1:$B$14</formula1>
    </dataValidation>
    <dataValidation type="list" allowBlank="1" showInputMessage="1" showErrorMessage="1" sqref="I70">
      <formula1>'MasterData'!$E$491:$E$500</formula1>
    </dataValidation>
    <dataValidation type="decimal" operator="greaterThanOrEqual" allowBlank="1" showInputMessage="1" showErrorMessage="1" sqref="K70">
      <formula1>0</formula1>
    </dataValidation>
    <dataValidation type="decimal" allowBlank="1" showInputMessage="1" showErrorMessage="1" sqref="N70">
      <formula1>0</formula1>
      <formula2>100</formula2>
    </dataValidation>
    <dataValidation type="decimal" allowBlank="1" showInputMessage="1" showErrorMessage="1" sqref="O70">
      <formula1>0</formula1>
      <formula2>100</formula2>
    </dataValidation>
    <dataValidation type="list" allowBlank="1" showInputMessage="1" showErrorMessage="1" sqref="H71">
      <formula1>'MasterData'!$B$1:$B$14</formula1>
    </dataValidation>
    <dataValidation type="list" allowBlank="1" showInputMessage="1" showErrorMessage="1" sqref="I71">
      <formula1>'MasterData'!$E$501:$E$510</formula1>
    </dataValidation>
    <dataValidation type="decimal" operator="greaterThanOrEqual" allowBlank="1" showInputMessage="1" showErrorMessage="1" sqref="K71">
      <formula1>0</formula1>
    </dataValidation>
    <dataValidation type="decimal" allowBlank="1" showInputMessage="1" showErrorMessage="1" sqref="N71">
      <formula1>0</formula1>
      <formula2>100</formula2>
    </dataValidation>
    <dataValidation type="decimal" allowBlank="1" showInputMessage="1" showErrorMessage="1" sqref="O71">
      <formula1>0</formula1>
      <formula2>100</formula2>
    </dataValidation>
    <dataValidation type="list" allowBlank="1" showInputMessage="1" showErrorMessage="1" sqref="H72">
      <formula1>'MasterData'!$B$1:$B$14</formula1>
    </dataValidation>
    <dataValidation type="list" allowBlank="1" showInputMessage="1" showErrorMessage="1" sqref="I72">
      <formula1>'MasterData'!$E$511:$E$520</formula1>
    </dataValidation>
    <dataValidation type="decimal" operator="greaterThanOrEqual" allowBlank="1" showInputMessage="1" showErrorMessage="1" sqref="K72">
      <formula1>0</formula1>
    </dataValidation>
    <dataValidation type="decimal" allowBlank="1" showInputMessage="1" showErrorMessage="1" sqref="N72">
      <formula1>0</formula1>
      <formula2>100</formula2>
    </dataValidation>
    <dataValidation type="decimal" allowBlank="1" showInputMessage="1" showErrorMessage="1" sqref="O72">
      <formula1>0</formula1>
      <formula2>100</formula2>
    </dataValidation>
    <dataValidation type="list" allowBlank="1" showInputMessage="1" showErrorMessage="1" sqref="H73">
      <formula1>'MasterData'!$B$1:$B$14</formula1>
    </dataValidation>
    <dataValidation type="list" allowBlank="1" showInputMessage="1" showErrorMessage="1" sqref="I73">
      <formula1>'MasterData'!$E$521:$E$530</formula1>
    </dataValidation>
    <dataValidation type="decimal" operator="greaterThanOrEqual" allowBlank="1" showInputMessage="1" showErrorMessage="1" sqref="K73">
      <formula1>0</formula1>
    </dataValidation>
    <dataValidation type="decimal" allowBlank="1" showInputMessage="1" showErrorMessage="1" sqref="N73">
      <formula1>0</formula1>
      <formula2>100</formula2>
    </dataValidation>
    <dataValidation type="decimal" allowBlank="1" showInputMessage="1" showErrorMessage="1" sqref="O73">
      <formula1>0</formula1>
      <formula2>100</formula2>
    </dataValidation>
    <dataValidation type="list" allowBlank="1" showInputMessage="1" showErrorMessage="1" sqref="H74">
      <formula1>'MasterData'!$B$1:$B$14</formula1>
    </dataValidation>
    <dataValidation type="list" allowBlank="1" showInputMessage="1" showErrorMessage="1" sqref="I74">
      <formula1>'MasterData'!$E$531:$E$540</formula1>
    </dataValidation>
    <dataValidation type="decimal" operator="greaterThanOrEqual" allowBlank="1" showInputMessage="1" showErrorMessage="1" sqref="K74">
      <formula1>0</formula1>
    </dataValidation>
    <dataValidation type="decimal" allowBlank="1" showInputMessage="1" showErrorMessage="1" sqref="N74">
      <formula1>0</formula1>
      <formula2>100</formula2>
    </dataValidation>
    <dataValidation type="decimal" allowBlank="1" showInputMessage="1" showErrorMessage="1" sqref="O74">
      <formula1>0</formula1>
      <formula2>100</formula2>
    </dataValidation>
    <dataValidation type="list" allowBlank="1" showInputMessage="1" showErrorMessage="1" sqref="H75">
      <formula1>'MasterData'!$B$1:$B$14</formula1>
    </dataValidation>
    <dataValidation type="list" allowBlank="1" showInputMessage="1" showErrorMessage="1" sqref="I75">
      <formula1>'MasterData'!$E$541:$E$550</formula1>
    </dataValidation>
    <dataValidation type="decimal" operator="greaterThanOrEqual" allowBlank="1" showInputMessage="1" showErrorMessage="1" sqref="K75">
      <formula1>0</formula1>
    </dataValidation>
    <dataValidation type="decimal" allowBlank="1" showInputMessage="1" showErrorMessage="1" sqref="N75">
      <formula1>0</formula1>
      <formula2>100</formula2>
    </dataValidation>
    <dataValidation type="decimal" allowBlank="1" showInputMessage="1" showErrorMessage="1" sqref="O75">
      <formula1>0</formula1>
      <formula2>100</formula2>
    </dataValidation>
    <dataValidation type="list" allowBlank="1" showInputMessage="1" showErrorMessage="1" sqref="H76">
      <formula1>'MasterData'!$B$1:$B$14</formula1>
    </dataValidation>
    <dataValidation type="list" allowBlank="1" showInputMessage="1" showErrorMessage="1" sqref="I76">
      <formula1>'MasterData'!$E$551:$E$560</formula1>
    </dataValidation>
    <dataValidation type="decimal" operator="greaterThanOrEqual" allowBlank="1" showInputMessage="1" showErrorMessage="1" sqref="K76">
      <formula1>0</formula1>
    </dataValidation>
    <dataValidation type="decimal" allowBlank="1" showInputMessage="1" showErrorMessage="1" sqref="N76">
      <formula1>0</formula1>
      <formula2>100</formula2>
    </dataValidation>
    <dataValidation type="decimal" allowBlank="1" showInputMessage="1" showErrorMessage="1" sqref="O76">
      <formula1>0</formula1>
      <formula2>100</formula2>
    </dataValidation>
    <dataValidation type="list" allowBlank="1" showInputMessage="1" showErrorMessage="1" sqref="H77">
      <formula1>'MasterData'!$B$1:$B$14</formula1>
    </dataValidation>
    <dataValidation type="list" allowBlank="1" showInputMessage="1" showErrorMessage="1" sqref="I77">
      <formula1>'MasterData'!$E$561:$E$570</formula1>
    </dataValidation>
    <dataValidation type="decimal" operator="greaterThanOrEqual" allowBlank="1" showInputMessage="1" showErrorMessage="1" sqref="K77">
      <formula1>0</formula1>
    </dataValidation>
    <dataValidation type="decimal" allowBlank="1" showInputMessage="1" showErrorMessage="1" sqref="N77">
      <formula1>0</formula1>
      <formula2>100</formula2>
    </dataValidation>
    <dataValidation type="decimal" allowBlank="1" showInputMessage="1" showErrorMessage="1" sqref="O77">
      <formula1>0</formula1>
      <formula2>100</formula2>
    </dataValidation>
    <dataValidation type="list" allowBlank="1" showInputMessage="1" showErrorMessage="1" sqref="H78">
      <formula1>'MasterData'!$B$1:$B$14</formula1>
    </dataValidation>
    <dataValidation type="list" allowBlank="1" showInputMessage="1" showErrorMessage="1" sqref="I78">
      <formula1>'MasterData'!$E$571:$E$580</formula1>
    </dataValidation>
    <dataValidation type="decimal" operator="greaterThanOrEqual" allowBlank="1" showInputMessage="1" showErrorMessage="1" sqref="K78">
      <formula1>0</formula1>
    </dataValidation>
    <dataValidation type="decimal" allowBlank="1" showInputMessage="1" showErrorMessage="1" sqref="N78">
      <formula1>0</formula1>
      <formula2>100</formula2>
    </dataValidation>
    <dataValidation type="decimal" allowBlank="1" showInputMessage="1" showErrorMessage="1" sqref="O78">
      <formula1>0</formula1>
      <formula2>100</formula2>
    </dataValidation>
    <dataValidation type="list" allowBlank="1" showInputMessage="1" showErrorMessage="1" sqref="H79">
      <formula1>'MasterData'!$B$1:$B$14</formula1>
    </dataValidation>
    <dataValidation type="list" allowBlank="1" showInputMessage="1" showErrorMessage="1" sqref="I79">
      <formula1>'MasterData'!$E$581:$E$590</formula1>
    </dataValidation>
    <dataValidation type="decimal" operator="greaterThanOrEqual" allowBlank="1" showInputMessage="1" showErrorMessage="1" sqref="K79">
      <formula1>0</formula1>
    </dataValidation>
    <dataValidation type="decimal" allowBlank="1" showInputMessage="1" showErrorMessage="1" sqref="N79">
      <formula1>0</formula1>
      <formula2>100</formula2>
    </dataValidation>
    <dataValidation type="decimal" allowBlank="1" showInputMessage="1" showErrorMessage="1" sqref="O79">
      <formula1>0</formula1>
      <formula2>100</formula2>
    </dataValidation>
    <dataValidation type="list" allowBlank="1" showInputMessage="1" showErrorMessage="1" sqref="H80">
      <formula1>'MasterData'!$B$1:$B$14</formula1>
    </dataValidation>
    <dataValidation type="list" allowBlank="1" showInputMessage="1" showErrorMessage="1" sqref="I80">
      <formula1>'MasterData'!$E$591:$E$600</formula1>
    </dataValidation>
    <dataValidation type="decimal" operator="greaterThanOrEqual" allowBlank="1" showInputMessage="1" showErrorMessage="1" sqref="K80">
      <formula1>0</formula1>
    </dataValidation>
    <dataValidation type="decimal" allowBlank="1" showInputMessage="1" showErrorMessage="1" sqref="N80">
      <formula1>0</formula1>
      <formula2>100</formula2>
    </dataValidation>
    <dataValidation type="decimal" allowBlank="1" showInputMessage="1" showErrorMessage="1" sqref="O80">
      <formula1>0</formula1>
      <formula2>100</formula2>
    </dataValidation>
    <dataValidation type="list" allowBlank="1" showInputMessage="1" showErrorMessage="1" sqref="H81">
      <formula1>'MasterData'!$B$1:$B$14</formula1>
    </dataValidation>
    <dataValidation type="list" allowBlank="1" showInputMessage="1" showErrorMessage="1" sqref="I81">
      <formula1>'MasterData'!$E$601:$E$610</formula1>
    </dataValidation>
    <dataValidation type="decimal" operator="greaterThanOrEqual" allowBlank="1" showInputMessage="1" showErrorMessage="1" sqref="K81">
      <formula1>0</formula1>
    </dataValidation>
    <dataValidation type="decimal" allowBlank="1" showInputMessage="1" showErrorMessage="1" sqref="N81">
      <formula1>0</formula1>
      <formula2>100</formula2>
    </dataValidation>
    <dataValidation type="decimal" allowBlank="1" showInputMessage="1" showErrorMessage="1" sqref="O81">
      <formula1>0</formula1>
      <formula2>100</formula2>
    </dataValidation>
    <dataValidation type="list" allowBlank="1" showInputMessage="1" showErrorMessage="1" sqref="H82">
      <formula1>'MasterData'!$B$1:$B$14</formula1>
    </dataValidation>
    <dataValidation type="list" allowBlank="1" showInputMessage="1" showErrorMessage="1" sqref="I82">
      <formula1>'MasterData'!$E$611:$E$620</formula1>
    </dataValidation>
    <dataValidation type="decimal" operator="greaterThanOrEqual" allowBlank="1" showInputMessage="1" showErrorMessage="1" sqref="K82">
      <formula1>0</formula1>
    </dataValidation>
    <dataValidation type="decimal" allowBlank="1" showInputMessage="1" showErrorMessage="1" sqref="N82">
      <formula1>0</formula1>
      <formula2>100</formula2>
    </dataValidation>
    <dataValidation type="decimal" allowBlank="1" showInputMessage="1" showErrorMessage="1" sqref="O82">
      <formula1>0</formula1>
      <formula2>100</formula2>
    </dataValidation>
    <dataValidation type="list" allowBlank="1" showInputMessage="1" showErrorMessage="1" sqref="H83">
      <formula1>'MasterData'!$B$1:$B$14</formula1>
    </dataValidation>
    <dataValidation type="list" allowBlank="1" showInputMessage="1" showErrorMessage="1" sqref="I83">
      <formula1>'MasterData'!$E$621:$E$630</formula1>
    </dataValidation>
    <dataValidation type="decimal" operator="greaterThanOrEqual" allowBlank="1" showInputMessage="1" showErrorMessage="1" sqref="K83">
      <formula1>0</formula1>
    </dataValidation>
    <dataValidation type="decimal" allowBlank="1" showInputMessage="1" showErrorMessage="1" sqref="N83">
      <formula1>0</formula1>
      <formula2>100</formula2>
    </dataValidation>
    <dataValidation type="decimal" allowBlank="1" showInputMessage="1" showErrorMessage="1" sqref="O83">
      <formula1>0</formula1>
      <formula2>100</formula2>
    </dataValidation>
    <dataValidation type="list" allowBlank="1" showInputMessage="1" showErrorMessage="1" sqref="H84">
      <formula1>'MasterData'!$B$1:$B$14</formula1>
    </dataValidation>
    <dataValidation type="list" allowBlank="1" showInputMessage="1" showErrorMessage="1" sqref="I84">
      <formula1>'MasterData'!$E$631:$E$640</formula1>
    </dataValidation>
    <dataValidation type="decimal" operator="greaterThanOrEqual" allowBlank="1" showInputMessage="1" showErrorMessage="1" sqref="K84">
      <formula1>0</formula1>
    </dataValidation>
    <dataValidation type="decimal" allowBlank="1" showInputMessage="1" showErrorMessage="1" sqref="N84">
      <formula1>0</formula1>
      <formula2>100</formula2>
    </dataValidation>
    <dataValidation type="decimal" allowBlank="1" showInputMessage="1" showErrorMessage="1" sqref="O84">
      <formula1>0</formula1>
      <formula2>100</formula2>
    </dataValidation>
    <dataValidation type="list" allowBlank="1" showInputMessage="1" showErrorMessage="1" sqref="H85">
      <formula1>'MasterData'!$B$1:$B$14</formula1>
    </dataValidation>
    <dataValidation type="list" allowBlank="1" showInputMessage="1" showErrorMessage="1" sqref="I85">
      <formula1>'MasterData'!$E$641:$E$650</formula1>
    </dataValidation>
    <dataValidation type="decimal" operator="greaterThanOrEqual" allowBlank="1" showInputMessage="1" showErrorMessage="1" sqref="K85">
      <formula1>0</formula1>
    </dataValidation>
    <dataValidation type="decimal" allowBlank="1" showInputMessage="1" showErrorMessage="1" sqref="N85">
      <formula1>0</formula1>
      <formula2>100</formula2>
    </dataValidation>
    <dataValidation type="decimal" allowBlank="1" showInputMessage="1" showErrorMessage="1" sqref="O85">
      <formula1>0</formula1>
      <formula2>100</formula2>
    </dataValidation>
    <dataValidation type="list" allowBlank="1" showInputMessage="1" showErrorMessage="1" sqref="H86">
      <formula1>'MasterData'!$B$1:$B$14</formula1>
    </dataValidation>
    <dataValidation type="list" allowBlank="1" showInputMessage="1" showErrorMessage="1" sqref="I86">
      <formula1>'MasterData'!$E$651:$E$660</formula1>
    </dataValidation>
    <dataValidation type="decimal" operator="greaterThanOrEqual" allowBlank="1" showInputMessage="1" showErrorMessage="1" sqref="K86">
      <formula1>0</formula1>
    </dataValidation>
    <dataValidation type="decimal" allowBlank="1" showInputMessage="1" showErrorMessage="1" sqref="N86">
      <formula1>0</formula1>
      <formula2>100</formula2>
    </dataValidation>
    <dataValidation type="decimal" allowBlank="1" showInputMessage="1" showErrorMessage="1" sqref="O86">
      <formula1>0</formula1>
      <formula2>100</formula2>
    </dataValidation>
    <dataValidation type="list" allowBlank="1" showInputMessage="1" showErrorMessage="1" sqref="H87">
      <formula1>'MasterData'!$B$1:$B$14</formula1>
    </dataValidation>
    <dataValidation type="list" allowBlank="1" showInputMessage="1" showErrorMessage="1" sqref="I87">
      <formula1>'MasterData'!$E$661:$E$670</formula1>
    </dataValidation>
    <dataValidation type="decimal" operator="greaterThanOrEqual" allowBlank="1" showInputMessage="1" showErrorMessage="1" sqref="K87">
      <formula1>0</formula1>
    </dataValidation>
    <dataValidation type="decimal" allowBlank="1" showInputMessage="1" showErrorMessage="1" sqref="N87">
      <formula1>0</formula1>
      <formula2>100</formula2>
    </dataValidation>
    <dataValidation type="decimal" allowBlank="1" showInputMessage="1" showErrorMessage="1" sqref="O87">
      <formula1>0</formula1>
      <formula2>100</formula2>
    </dataValidation>
    <dataValidation type="list" allowBlank="1" showInputMessage="1" showErrorMessage="1" sqref="H88">
      <formula1>'MasterData'!$B$1:$B$14</formula1>
    </dataValidation>
    <dataValidation type="list" allowBlank="1" showInputMessage="1" showErrorMessage="1" sqref="I88">
      <formula1>'MasterData'!$E$671:$E$680</formula1>
    </dataValidation>
    <dataValidation type="decimal" operator="greaterThanOrEqual" allowBlank="1" showInputMessage="1" showErrorMessage="1" sqref="K88">
      <formula1>0</formula1>
    </dataValidation>
    <dataValidation type="decimal" allowBlank="1" showInputMessage="1" showErrorMessage="1" sqref="N88">
      <formula1>0</formula1>
      <formula2>100</formula2>
    </dataValidation>
    <dataValidation type="decimal" allowBlank="1" showInputMessage="1" showErrorMessage="1" sqref="O88">
      <formula1>0</formula1>
      <formula2>100</formula2>
    </dataValidation>
    <dataValidation type="list" allowBlank="1" showInputMessage="1" showErrorMessage="1" sqref="H89">
      <formula1>'MasterData'!$B$1:$B$14</formula1>
    </dataValidation>
    <dataValidation type="list" allowBlank="1" showInputMessage="1" showErrorMessage="1" sqref="I89">
      <formula1>'MasterData'!$E$681:$E$690</formula1>
    </dataValidation>
    <dataValidation type="decimal" operator="greaterThanOrEqual" allowBlank="1" showInputMessage="1" showErrorMessage="1" sqref="K89">
      <formula1>0</formula1>
    </dataValidation>
    <dataValidation type="decimal" allowBlank="1" showInputMessage="1" showErrorMessage="1" sqref="N89">
      <formula1>0</formula1>
      <formula2>100</formula2>
    </dataValidation>
    <dataValidation type="decimal" allowBlank="1" showInputMessage="1" showErrorMessage="1" sqref="O89">
      <formula1>0</formula1>
      <formula2>100</formula2>
    </dataValidation>
    <dataValidation type="list" allowBlank="1" showInputMessage="1" showErrorMessage="1" sqref="H90">
      <formula1>'MasterData'!$B$1:$B$14</formula1>
    </dataValidation>
    <dataValidation type="list" allowBlank="1" showInputMessage="1" showErrorMessage="1" sqref="I90">
      <formula1>'MasterData'!$E$691:$E$700</formula1>
    </dataValidation>
    <dataValidation type="decimal" operator="greaterThanOrEqual" allowBlank="1" showInputMessage="1" showErrorMessage="1" sqref="K90">
      <formula1>0</formula1>
    </dataValidation>
    <dataValidation type="decimal" allowBlank="1" showInputMessage="1" showErrorMessage="1" sqref="N90">
      <formula1>0</formula1>
      <formula2>100</formula2>
    </dataValidation>
    <dataValidation type="decimal" allowBlank="1" showInputMessage="1" showErrorMessage="1" sqref="O90">
      <formula1>0</formula1>
      <formula2>100</formula2>
    </dataValidation>
    <dataValidation type="list" allowBlank="1" showInputMessage="1" showErrorMessage="1" sqref="H91">
      <formula1>'MasterData'!$B$1:$B$14</formula1>
    </dataValidation>
    <dataValidation type="list" allowBlank="1" showInputMessage="1" showErrorMessage="1" sqref="I91">
      <formula1>'MasterData'!$E$701:$E$710</formula1>
    </dataValidation>
    <dataValidation type="decimal" operator="greaterThanOrEqual" allowBlank="1" showInputMessage="1" showErrorMessage="1" sqref="K91">
      <formula1>0</formula1>
    </dataValidation>
    <dataValidation type="decimal" allowBlank="1" showInputMessage="1" showErrorMessage="1" sqref="N91">
      <formula1>0</formula1>
      <formula2>100</formula2>
    </dataValidation>
    <dataValidation type="decimal" allowBlank="1" showInputMessage="1" showErrorMessage="1" sqref="O91">
      <formula1>0</formula1>
      <formula2>100</formula2>
    </dataValidation>
    <dataValidation type="list" allowBlank="1" showInputMessage="1" showErrorMessage="1" sqref="H92">
      <formula1>'MasterData'!$B$1:$B$14</formula1>
    </dataValidation>
    <dataValidation type="list" allowBlank="1" showInputMessage="1" showErrorMessage="1" sqref="I92">
      <formula1>'MasterData'!$E$711:$E$720</formula1>
    </dataValidation>
    <dataValidation type="decimal" operator="greaterThanOrEqual" allowBlank="1" showInputMessage="1" showErrorMessage="1" sqref="K92">
      <formula1>0</formula1>
    </dataValidation>
    <dataValidation type="decimal" allowBlank="1" showInputMessage="1" showErrorMessage="1" sqref="N92">
      <formula1>0</formula1>
      <formula2>100</formula2>
    </dataValidation>
    <dataValidation type="decimal" allowBlank="1" showInputMessage="1" showErrorMessage="1" sqref="O92">
      <formula1>0</formula1>
      <formula2>100</formula2>
    </dataValidation>
    <dataValidation type="list" allowBlank="1" showInputMessage="1" showErrorMessage="1" sqref="H93">
      <formula1>'MasterData'!$B$1:$B$14</formula1>
    </dataValidation>
    <dataValidation type="list" allowBlank="1" showInputMessage="1" showErrorMessage="1" sqref="I93">
      <formula1>'MasterData'!$E$721:$E$730</formula1>
    </dataValidation>
    <dataValidation type="decimal" operator="greaterThanOrEqual" allowBlank="1" showInputMessage="1" showErrorMessage="1" sqref="K93">
      <formula1>0</formula1>
    </dataValidation>
    <dataValidation type="decimal" allowBlank="1" showInputMessage="1" showErrorMessage="1" sqref="N93">
      <formula1>0</formula1>
      <formula2>100</formula2>
    </dataValidation>
    <dataValidation type="decimal" allowBlank="1" showInputMessage="1" showErrorMessage="1" sqref="O93">
      <formula1>0</formula1>
      <formula2>100</formula2>
    </dataValidation>
    <dataValidation type="list" allowBlank="1" showInputMessage="1" showErrorMessage="1" sqref="H94">
      <formula1>'MasterData'!$B$1:$B$14</formula1>
    </dataValidation>
    <dataValidation type="list" allowBlank="1" showInputMessage="1" showErrorMessage="1" sqref="I94">
      <formula1>'MasterData'!$E$731:$E$740</formula1>
    </dataValidation>
    <dataValidation type="decimal" operator="greaterThanOrEqual" allowBlank="1" showInputMessage="1" showErrorMessage="1" sqref="K94">
      <formula1>0</formula1>
    </dataValidation>
    <dataValidation type="decimal" allowBlank="1" showInputMessage="1" showErrorMessage="1" sqref="N94">
      <formula1>0</formula1>
      <formula2>100</formula2>
    </dataValidation>
    <dataValidation type="decimal" allowBlank="1" showInputMessage="1" showErrorMessage="1" sqref="O94">
      <formula1>0</formula1>
      <formula2>100</formula2>
    </dataValidation>
    <dataValidation type="list" allowBlank="1" showInputMessage="1" showErrorMessage="1" sqref="H95">
      <formula1>'MasterData'!$B$1:$B$14</formula1>
    </dataValidation>
    <dataValidation type="list" allowBlank="1" showInputMessage="1" showErrorMessage="1" sqref="I95">
      <formula1>'MasterData'!$E$741:$E$750</formula1>
    </dataValidation>
    <dataValidation type="decimal" operator="greaterThanOrEqual" allowBlank="1" showInputMessage="1" showErrorMessage="1" sqref="K95">
      <formula1>0</formula1>
    </dataValidation>
    <dataValidation type="decimal" allowBlank="1" showInputMessage="1" showErrorMessage="1" sqref="N95">
      <formula1>0</formula1>
      <formula2>100</formula2>
    </dataValidation>
    <dataValidation type="decimal" allowBlank="1" showInputMessage="1" showErrorMessage="1" sqref="O95">
      <formula1>0</formula1>
      <formula2>100</formula2>
    </dataValidation>
    <dataValidation type="list" allowBlank="1" showInputMessage="1" showErrorMessage="1" sqref="H96">
      <formula1>'MasterData'!$B$1:$B$14</formula1>
    </dataValidation>
    <dataValidation type="list" allowBlank="1" showInputMessage="1" showErrorMessage="1" sqref="I96">
      <formula1>'MasterData'!$E$751:$E$760</formula1>
    </dataValidation>
    <dataValidation type="decimal" operator="greaterThanOrEqual" allowBlank="1" showInputMessage="1" showErrorMessage="1" sqref="K96">
      <formula1>0</formula1>
    </dataValidation>
    <dataValidation type="decimal" allowBlank="1" showInputMessage="1" showErrorMessage="1" sqref="N96">
      <formula1>0</formula1>
      <formula2>100</formula2>
    </dataValidation>
    <dataValidation type="decimal" allowBlank="1" showInputMessage="1" showErrorMessage="1" sqref="O96">
      <formula1>0</formula1>
      <formula2>100</formula2>
    </dataValidation>
    <dataValidation type="list" allowBlank="1" showInputMessage="1" showErrorMessage="1" sqref="H97">
      <formula1>'MasterData'!$B$1:$B$14</formula1>
    </dataValidation>
    <dataValidation type="list" allowBlank="1" showInputMessage="1" showErrorMessage="1" sqref="I97">
      <formula1>'MasterData'!$E$761:$E$770</formula1>
    </dataValidation>
    <dataValidation type="decimal" operator="greaterThanOrEqual" allowBlank="1" showInputMessage="1" showErrorMessage="1" sqref="K97">
      <formula1>0</formula1>
    </dataValidation>
    <dataValidation type="decimal" allowBlank="1" showInputMessage="1" showErrorMessage="1" sqref="N97">
      <formula1>0</formula1>
      <formula2>100</formula2>
    </dataValidation>
    <dataValidation type="decimal" allowBlank="1" showInputMessage="1" showErrorMessage="1" sqref="O97">
      <formula1>0</formula1>
      <formula2>100</formula2>
    </dataValidation>
    <dataValidation type="list" allowBlank="1" showInputMessage="1" showErrorMessage="1" sqref="H98">
      <formula1>'MasterData'!$B$1:$B$14</formula1>
    </dataValidation>
    <dataValidation type="list" allowBlank="1" showInputMessage="1" showErrorMessage="1" sqref="I98">
      <formula1>'MasterData'!$E$771:$E$780</formula1>
    </dataValidation>
    <dataValidation type="decimal" operator="greaterThanOrEqual" allowBlank="1" showInputMessage="1" showErrorMessage="1" sqref="K98">
      <formula1>0</formula1>
    </dataValidation>
    <dataValidation type="decimal" allowBlank="1" showInputMessage="1" showErrorMessage="1" sqref="N98">
      <formula1>0</formula1>
      <formula2>100</formula2>
    </dataValidation>
    <dataValidation type="decimal" allowBlank="1" showInputMessage="1" showErrorMessage="1" sqref="O98">
      <formula1>0</formula1>
      <formula2>100</formula2>
    </dataValidation>
    <dataValidation type="list" allowBlank="1" showInputMessage="1" showErrorMessage="1" sqref="H99">
      <formula1>'MasterData'!$B$1:$B$14</formula1>
    </dataValidation>
    <dataValidation type="list" allowBlank="1" showInputMessage="1" showErrorMessage="1" sqref="I99">
      <formula1>'MasterData'!$E$781:$E$790</formula1>
    </dataValidation>
    <dataValidation type="decimal" operator="greaterThanOrEqual" allowBlank="1" showInputMessage="1" showErrorMessage="1" sqref="K99">
      <formula1>0</formula1>
    </dataValidation>
    <dataValidation type="decimal" allowBlank="1" showInputMessage="1" showErrorMessage="1" sqref="N99">
      <formula1>0</formula1>
      <formula2>100</formula2>
    </dataValidation>
    <dataValidation type="decimal" allowBlank="1" showInputMessage="1" showErrorMessage="1" sqref="O99">
      <formula1>0</formula1>
      <formula2>100</formula2>
    </dataValidation>
    <dataValidation type="list" allowBlank="1" showInputMessage="1" showErrorMessage="1" sqref="H100">
      <formula1>'MasterData'!$B$1:$B$14</formula1>
    </dataValidation>
    <dataValidation type="list" allowBlank="1" showInputMessage="1" showErrorMessage="1" sqref="I100">
      <formula1>'MasterData'!$E$791:$E$800</formula1>
    </dataValidation>
    <dataValidation type="decimal" operator="greaterThanOrEqual" allowBlank="1" showInputMessage="1" showErrorMessage="1" sqref="K100">
      <formula1>0</formula1>
    </dataValidation>
    <dataValidation type="decimal" allowBlank="1" showInputMessage="1" showErrorMessage="1" sqref="N100">
      <formula1>0</formula1>
      <formula2>100</formula2>
    </dataValidation>
    <dataValidation type="decimal" allowBlank="1" showInputMessage="1" showErrorMessage="1" sqref="O100">
      <formula1>0</formula1>
      <formula2>100</formula2>
    </dataValidation>
    <dataValidation type="list" allowBlank="1" showInputMessage="1" showErrorMessage="1" sqref="H101">
      <formula1>'MasterData'!$B$1:$B$14</formula1>
    </dataValidation>
    <dataValidation type="list" allowBlank="1" showInputMessage="1" showErrorMessage="1" sqref="I101">
      <formula1>'MasterData'!$E$801:$E$810</formula1>
    </dataValidation>
    <dataValidation type="decimal" operator="greaterThanOrEqual" allowBlank="1" showInputMessage="1" showErrorMessage="1" sqref="K101">
      <formula1>0</formula1>
    </dataValidation>
    <dataValidation type="decimal" allowBlank="1" showInputMessage="1" showErrorMessage="1" sqref="N101">
      <formula1>0</formula1>
      <formula2>100</formula2>
    </dataValidation>
    <dataValidation type="decimal" allowBlank="1" showInputMessage="1" showErrorMessage="1" sqref="O101">
      <formula1>0</formula1>
      <formula2>100</formula2>
    </dataValidation>
    <dataValidation type="list" allowBlank="1" showInputMessage="1" showErrorMessage="1" sqref="H102">
      <formula1>'MasterData'!$B$1:$B$14</formula1>
    </dataValidation>
    <dataValidation type="list" allowBlank="1" showInputMessage="1" showErrorMessage="1" sqref="I102">
      <formula1>'MasterData'!$E$811:$E$820</formula1>
    </dataValidation>
    <dataValidation type="decimal" operator="greaterThanOrEqual" allowBlank="1" showInputMessage="1" showErrorMessage="1" sqref="K102">
      <formula1>0</formula1>
    </dataValidation>
    <dataValidation type="decimal" allowBlank="1" showInputMessage="1" showErrorMessage="1" sqref="N102">
      <formula1>0</formula1>
      <formula2>100</formula2>
    </dataValidation>
    <dataValidation type="decimal" allowBlank="1" showInputMessage="1" showErrorMessage="1" sqref="O102">
      <formula1>0</formula1>
      <formula2>100</formula2>
    </dataValidation>
    <dataValidation type="list" allowBlank="1" showInputMessage="1" showErrorMessage="1" sqref="H103">
      <formula1>'MasterData'!$B$1:$B$14</formula1>
    </dataValidation>
    <dataValidation type="list" allowBlank="1" showInputMessage="1" showErrorMessage="1" sqref="I103">
      <formula1>'MasterData'!$E$821:$E$830</formula1>
    </dataValidation>
    <dataValidation type="decimal" operator="greaterThanOrEqual" allowBlank="1" showInputMessage="1" showErrorMessage="1" sqref="K103">
      <formula1>0</formula1>
    </dataValidation>
    <dataValidation type="decimal" allowBlank="1" showInputMessage="1" showErrorMessage="1" sqref="N103">
      <formula1>0</formula1>
      <formula2>100</formula2>
    </dataValidation>
    <dataValidation type="decimal" allowBlank="1" showInputMessage="1" showErrorMessage="1" sqref="O103">
      <formula1>0</formula1>
      <formula2>100</formula2>
    </dataValidation>
    <dataValidation type="list" allowBlank="1" showInputMessage="1" showErrorMessage="1" sqref="H104">
      <formula1>'MasterData'!$B$1:$B$14</formula1>
    </dataValidation>
    <dataValidation type="list" allowBlank="1" showInputMessage="1" showErrorMessage="1" sqref="I104">
      <formula1>'MasterData'!$E$831:$E$840</formula1>
    </dataValidation>
    <dataValidation type="decimal" operator="greaterThanOrEqual" allowBlank="1" showInputMessage="1" showErrorMessage="1" sqref="K104">
      <formula1>0</formula1>
    </dataValidation>
    <dataValidation type="decimal" allowBlank="1" showInputMessage="1" showErrorMessage="1" sqref="N104">
      <formula1>0</formula1>
      <formula2>100</formula2>
    </dataValidation>
    <dataValidation type="decimal" allowBlank="1" showInputMessage="1" showErrorMessage="1" sqref="O104">
      <formula1>0</formula1>
      <formula2>100</formula2>
    </dataValidation>
    <dataValidation type="list" allowBlank="1" showInputMessage="1" showErrorMessage="1" sqref="H105">
      <formula1>'MasterData'!$B$1:$B$14</formula1>
    </dataValidation>
    <dataValidation type="list" allowBlank="1" showInputMessage="1" showErrorMessage="1" sqref="I105">
      <formula1>'MasterData'!$E$841:$E$850</formula1>
    </dataValidation>
    <dataValidation type="decimal" operator="greaterThanOrEqual" allowBlank="1" showInputMessage="1" showErrorMessage="1" sqref="K105">
      <formula1>0</formula1>
    </dataValidation>
    <dataValidation type="decimal" allowBlank="1" showInputMessage="1" showErrorMessage="1" sqref="N105">
      <formula1>0</formula1>
      <formula2>100</formula2>
    </dataValidation>
    <dataValidation type="decimal" allowBlank="1" showInputMessage="1" showErrorMessage="1" sqref="O105">
      <formula1>0</formula1>
      <formula2>100</formula2>
    </dataValidation>
    <dataValidation type="list" allowBlank="1" showInputMessage="1" showErrorMessage="1" sqref="H106">
      <formula1>'MasterData'!$B$1:$B$14</formula1>
    </dataValidation>
    <dataValidation type="list" allowBlank="1" showInputMessage="1" showErrorMessage="1" sqref="I106">
      <formula1>'MasterData'!$E$851:$E$860</formula1>
    </dataValidation>
    <dataValidation type="decimal" operator="greaterThanOrEqual" allowBlank="1" showInputMessage="1" showErrorMessage="1" sqref="K106">
      <formula1>0</formula1>
    </dataValidation>
    <dataValidation type="decimal" allowBlank="1" showInputMessage="1" showErrorMessage="1" sqref="N106">
      <formula1>0</formula1>
      <formula2>100</formula2>
    </dataValidation>
    <dataValidation type="decimal" allowBlank="1" showInputMessage="1" showErrorMessage="1" sqref="O106">
      <formula1>0</formula1>
      <formula2>100</formula2>
    </dataValidation>
    <dataValidation type="list" allowBlank="1" showInputMessage="1" showErrorMessage="1" sqref="H107">
      <formula1>'MasterData'!$B$1:$B$14</formula1>
    </dataValidation>
    <dataValidation type="list" allowBlank="1" showInputMessage="1" showErrorMessage="1" sqref="I107">
      <formula1>'MasterData'!$E$861:$E$870</formula1>
    </dataValidation>
    <dataValidation type="decimal" operator="greaterThanOrEqual" allowBlank="1" showInputMessage="1" showErrorMessage="1" sqref="K107">
      <formula1>0</formula1>
    </dataValidation>
    <dataValidation type="decimal" allowBlank="1" showInputMessage="1" showErrorMessage="1" sqref="N107">
      <formula1>0</formula1>
      <formula2>100</formula2>
    </dataValidation>
    <dataValidation type="decimal" allowBlank="1" showInputMessage="1" showErrorMessage="1" sqref="O107">
      <formula1>0</formula1>
      <formula2>100</formula2>
    </dataValidation>
    <dataValidation type="list" allowBlank="1" showInputMessage="1" showErrorMessage="1" sqref="H108">
      <formula1>'MasterData'!$B$1:$B$14</formula1>
    </dataValidation>
    <dataValidation type="list" allowBlank="1" showInputMessage="1" showErrorMessage="1" sqref="I108">
      <formula1>'MasterData'!$E$871:$E$880</formula1>
    </dataValidation>
    <dataValidation type="decimal" operator="greaterThanOrEqual" allowBlank="1" showInputMessage="1" showErrorMessage="1" sqref="K108">
      <formula1>0</formula1>
    </dataValidation>
    <dataValidation type="decimal" allowBlank="1" showInputMessage="1" showErrorMessage="1" sqref="N108">
      <formula1>0</formula1>
      <formula2>100</formula2>
    </dataValidation>
    <dataValidation type="decimal" allowBlank="1" showInputMessage="1" showErrorMessage="1" sqref="O108">
      <formula1>0</formula1>
      <formula2>100</formula2>
    </dataValidation>
    <dataValidation type="list" allowBlank="1" showInputMessage="1" showErrorMessage="1" sqref="H109">
      <formula1>'MasterData'!$B$1:$B$14</formula1>
    </dataValidation>
    <dataValidation type="list" allowBlank="1" showInputMessage="1" showErrorMessage="1" sqref="I109">
      <formula1>'MasterData'!$E$881:$E$890</formula1>
    </dataValidation>
    <dataValidation type="decimal" operator="greaterThanOrEqual" allowBlank="1" showInputMessage="1" showErrorMessage="1" sqref="K109">
      <formula1>0</formula1>
    </dataValidation>
    <dataValidation type="decimal" allowBlank="1" showInputMessage="1" showErrorMessage="1" sqref="N109">
      <formula1>0</formula1>
      <formula2>100</formula2>
    </dataValidation>
    <dataValidation type="decimal" allowBlank="1" showInputMessage="1" showErrorMessage="1" sqref="O109">
      <formula1>0</formula1>
      <formula2>100</formula2>
    </dataValidation>
    <dataValidation type="list" allowBlank="1" showInputMessage="1" showErrorMessage="1" sqref="H110">
      <formula1>'MasterData'!$B$1:$B$14</formula1>
    </dataValidation>
    <dataValidation type="list" allowBlank="1" showInputMessage="1" showErrorMessage="1" sqref="I110">
      <formula1>'MasterData'!$E$891:$E$900</formula1>
    </dataValidation>
    <dataValidation type="decimal" operator="greaterThanOrEqual" allowBlank="1" showInputMessage="1" showErrorMessage="1" sqref="K110">
      <formula1>0</formula1>
    </dataValidation>
    <dataValidation type="decimal" allowBlank="1" showInputMessage="1" showErrorMessage="1" sqref="N110">
      <formula1>0</formula1>
      <formula2>100</formula2>
    </dataValidation>
    <dataValidation type="decimal" allowBlank="1" showInputMessage="1" showErrorMessage="1" sqref="O110">
      <formula1>0</formula1>
      <formula2>100</formula2>
    </dataValidation>
    <dataValidation type="list" allowBlank="1" showInputMessage="1" showErrorMessage="1" sqref="H111">
      <formula1>'MasterData'!$B$1:$B$14</formula1>
    </dataValidation>
    <dataValidation type="list" allowBlank="1" showInputMessage="1" showErrorMessage="1" sqref="I111">
      <formula1>'MasterData'!$E$901:$E$910</formula1>
    </dataValidation>
    <dataValidation type="decimal" operator="greaterThanOrEqual" allowBlank="1" showInputMessage="1" showErrorMessage="1" sqref="K111">
      <formula1>0</formula1>
    </dataValidation>
    <dataValidation type="decimal" allowBlank="1" showInputMessage="1" showErrorMessage="1" sqref="N111">
      <formula1>0</formula1>
      <formula2>100</formula2>
    </dataValidation>
    <dataValidation type="decimal" allowBlank="1" showInputMessage="1" showErrorMessage="1" sqref="O111">
      <formula1>0</formula1>
      <formula2>100</formula2>
    </dataValidation>
    <dataValidation type="list" allowBlank="1" showInputMessage="1" showErrorMessage="1" sqref="H112">
      <formula1>'MasterData'!$B$1:$B$14</formula1>
    </dataValidation>
    <dataValidation type="list" allowBlank="1" showInputMessage="1" showErrorMessage="1" sqref="I112">
      <formula1>'MasterData'!$E$911:$E$920</formula1>
    </dataValidation>
    <dataValidation type="decimal" operator="greaterThanOrEqual" allowBlank="1" showInputMessage="1" showErrorMessage="1" sqref="K112">
      <formula1>0</formula1>
    </dataValidation>
    <dataValidation type="decimal" allowBlank="1" showInputMessage="1" showErrorMessage="1" sqref="N112">
      <formula1>0</formula1>
      <formula2>100</formula2>
    </dataValidation>
    <dataValidation type="decimal" allowBlank="1" showInputMessage="1" showErrorMessage="1" sqref="O112">
      <formula1>0</formula1>
      <formula2>100</formula2>
    </dataValidation>
    <dataValidation type="list" allowBlank="1" showInputMessage="1" showErrorMessage="1" sqref="H113">
      <formula1>'MasterData'!$B$1:$B$14</formula1>
    </dataValidation>
    <dataValidation type="list" allowBlank="1" showInputMessage="1" showErrorMessage="1" sqref="I113">
      <formula1>'MasterData'!$E$921:$E$930</formula1>
    </dataValidation>
    <dataValidation type="decimal" operator="greaterThanOrEqual" allowBlank="1" showInputMessage="1" showErrorMessage="1" sqref="K113">
      <formula1>0</formula1>
    </dataValidation>
    <dataValidation type="decimal" allowBlank="1" showInputMessage="1" showErrorMessage="1" sqref="N113">
      <formula1>0</formula1>
      <formula2>100</formula2>
    </dataValidation>
    <dataValidation type="decimal" allowBlank="1" showInputMessage="1" showErrorMessage="1" sqref="O113">
      <formula1>0</formula1>
      <formula2>100</formula2>
    </dataValidation>
    <dataValidation type="list" allowBlank="1" showInputMessage="1" showErrorMessage="1" sqref="H114">
      <formula1>'MasterData'!$B$1:$B$14</formula1>
    </dataValidation>
    <dataValidation type="list" allowBlank="1" showInputMessage="1" showErrorMessage="1" sqref="I114">
      <formula1>'MasterData'!$E$931:$E$940</formula1>
    </dataValidation>
    <dataValidation type="decimal" operator="greaterThanOrEqual" allowBlank="1" showInputMessage="1" showErrorMessage="1" sqref="K114">
      <formula1>0</formula1>
    </dataValidation>
    <dataValidation type="decimal" allowBlank="1" showInputMessage="1" showErrorMessage="1" sqref="N114">
      <formula1>0</formula1>
      <formula2>100</formula2>
    </dataValidation>
    <dataValidation type="decimal" allowBlank="1" showInputMessage="1" showErrorMessage="1" sqref="O114">
      <formula1>0</formula1>
      <formula2>100</formula2>
    </dataValidation>
    <dataValidation type="list" allowBlank="1" showInputMessage="1" showErrorMessage="1" sqref="H115">
      <formula1>'MasterData'!$B$1:$B$14</formula1>
    </dataValidation>
    <dataValidation type="list" allowBlank="1" showInputMessage="1" showErrorMessage="1" sqref="I115">
      <formula1>'MasterData'!$E$941:$E$950</formula1>
    </dataValidation>
    <dataValidation type="decimal" operator="greaterThanOrEqual" allowBlank="1" showInputMessage="1" showErrorMessage="1" sqref="K115">
      <formula1>0</formula1>
    </dataValidation>
    <dataValidation type="decimal" allowBlank="1" showInputMessage="1" showErrorMessage="1" sqref="N115">
      <formula1>0</formula1>
      <formula2>100</formula2>
    </dataValidation>
    <dataValidation type="decimal" allowBlank="1" showInputMessage="1" showErrorMessage="1" sqref="O115">
      <formula1>0</formula1>
      <formula2>100</formula2>
    </dataValidation>
    <dataValidation type="list" allowBlank="1" showInputMessage="1" showErrorMessage="1" sqref="H116">
      <formula1>'MasterData'!$B$1:$B$14</formula1>
    </dataValidation>
    <dataValidation type="list" allowBlank="1" showInputMessage="1" showErrorMessage="1" sqref="I116">
      <formula1>'MasterData'!$E$951:$E$960</formula1>
    </dataValidation>
    <dataValidation type="decimal" operator="greaterThanOrEqual" allowBlank="1" showInputMessage="1" showErrorMessage="1" sqref="K116">
      <formula1>0</formula1>
    </dataValidation>
    <dataValidation type="decimal" allowBlank="1" showInputMessage="1" showErrorMessage="1" sqref="N116">
      <formula1>0</formula1>
      <formula2>100</formula2>
    </dataValidation>
    <dataValidation type="decimal" allowBlank="1" showInputMessage="1" showErrorMessage="1" sqref="O116">
      <formula1>0</formula1>
      <formula2>100</formula2>
    </dataValidation>
    <dataValidation type="list" allowBlank="1" showInputMessage="1" showErrorMessage="1" sqref="H117">
      <formula1>'MasterData'!$B$1:$B$14</formula1>
    </dataValidation>
    <dataValidation type="list" allowBlank="1" showInputMessage="1" showErrorMessage="1" sqref="I117">
      <formula1>'MasterData'!$E$961:$E$970</formula1>
    </dataValidation>
    <dataValidation type="decimal" operator="greaterThanOrEqual" allowBlank="1" showInputMessage="1" showErrorMessage="1" sqref="K117">
      <formula1>0</formula1>
    </dataValidation>
    <dataValidation type="decimal" allowBlank="1" showInputMessage="1" showErrorMessage="1" sqref="N117">
      <formula1>0</formula1>
      <formula2>100</formula2>
    </dataValidation>
    <dataValidation type="decimal" allowBlank="1" showInputMessage="1" showErrorMessage="1" sqref="O117">
      <formula1>0</formula1>
      <formula2>100</formula2>
    </dataValidation>
    <dataValidation type="list" allowBlank="1" showInputMessage="1" showErrorMessage="1" sqref="H118">
      <formula1>'MasterData'!$B$1:$B$14</formula1>
    </dataValidation>
    <dataValidation type="list" allowBlank="1" showInputMessage="1" showErrorMessage="1" sqref="I118">
      <formula1>'MasterData'!$E$971:$E$980</formula1>
    </dataValidation>
    <dataValidation type="decimal" operator="greaterThanOrEqual" allowBlank="1" showInputMessage="1" showErrorMessage="1" sqref="K118">
      <formula1>0</formula1>
    </dataValidation>
    <dataValidation type="decimal" allowBlank="1" showInputMessage="1" showErrorMessage="1" sqref="N118">
      <formula1>0</formula1>
      <formula2>100</formula2>
    </dataValidation>
    <dataValidation type="decimal" allowBlank="1" showInputMessage="1" showErrorMessage="1" sqref="O118">
      <formula1>0</formula1>
      <formula2>100</formula2>
    </dataValidation>
    <dataValidation type="list" allowBlank="1" showInputMessage="1" showErrorMessage="1" sqref="H119">
      <formula1>'MasterData'!$B$1:$B$14</formula1>
    </dataValidation>
    <dataValidation type="list" allowBlank="1" showInputMessage="1" showErrorMessage="1" sqref="I119">
      <formula1>'MasterData'!$E$981:$E$990</formula1>
    </dataValidation>
    <dataValidation type="decimal" operator="greaterThanOrEqual" allowBlank="1" showInputMessage="1" showErrorMessage="1" sqref="K119">
      <formula1>0</formula1>
    </dataValidation>
    <dataValidation type="decimal" allowBlank="1" showInputMessage="1" showErrorMessage="1" sqref="N119">
      <formula1>0</formula1>
      <formula2>100</formula2>
    </dataValidation>
    <dataValidation type="decimal" allowBlank="1" showInputMessage="1" showErrorMessage="1" sqref="O119">
      <formula1>0</formula1>
      <formula2>100</formula2>
    </dataValidation>
    <dataValidation type="list" allowBlank="1" showInputMessage="1" showErrorMessage="1" sqref="H120">
      <formula1>'MasterData'!$B$1:$B$14</formula1>
    </dataValidation>
    <dataValidation type="list" allowBlank="1" showInputMessage="1" showErrorMessage="1" sqref="I120">
      <formula1>'MasterData'!$E$991:$E$1000</formula1>
    </dataValidation>
    <dataValidation type="decimal" operator="greaterThanOrEqual" allowBlank="1" showInputMessage="1" showErrorMessage="1" sqref="K120">
      <formula1>0</formula1>
    </dataValidation>
    <dataValidation type="decimal" allowBlank="1" showInputMessage="1" showErrorMessage="1" sqref="N120">
      <formula1>0</formula1>
      <formula2>100</formula2>
    </dataValidation>
    <dataValidation type="decimal" allowBlank="1" showInputMessage="1" showErrorMessage="1" sqref="O120">
      <formula1>0</formula1>
      <formula2>100</formula2>
    </dataValidation>
    <dataValidation type="list" allowBlank="1" showInputMessage="1" showErrorMessage="1" sqref="H121">
      <formula1>'MasterData'!$B$1:$B$14</formula1>
    </dataValidation>
    <dataValidation type="list" allowBlank="1" showInputMessage="1" showErrorMessage="1" sqref="I121">
      <formula1>'MasterData'!$E$1001:$E$1010</formula1>
    </dataValidation>
    <dataValidation type="decimal" operator="greaterThanOrEqual" allowBlank="1" showInputMessage="1" showErrorMessage="1" sqref="K121">
      <formula1>0</formula1>
    </dataValidation>
    <dataValidation type="decimal" allowBlank="1" showInputMessage="1" showErrorMessage="1" sqref="N121">
      <formula1>0</formula1>
      <formula2>100</formula2>
    </dataValidation>
    <dataValidation type="decimal" allowBlank="1" showInputMessage="1" showErrorMessage="1" sqref="O121">
      <formula1>0</formula1>
      <formula2>100</formula2>
    </dataValidation>
    <dataValidation type="list" allowBlank="1" showInputMessage="1" showErrorMessage="1" sqref="H122">
      <formula1>'MasterData'!$B$1:$B$14</formula1>
    </dataValidation>
    <dataValidation type="list" allowBlank="1" showInputMessage="1" showErrorMessage="1" sqref="I122">
      <formula1>'MasterData'!$E$1011:$E$1020</formula1>
    </dataValidation>
    <dataValidation type="decimal" operator="greaterThanOrEqual" allowBlank="1" showInputMessage="1" showErrorMessage="1" sqref="K122">
      <formula1>0</formula1>
    </dataValidation>
    <dataValidation type="decimal" allowBlank="1" showInputMessage="1" showErrorMessage="1" sqref="N122">
      <formula1>0</formula1>
      <formula2>100</formula2>
    </dataValidation>
    <dataValidation type="decimal" allowBlank="1" showInputMessage="1" showErrorMessage="1" sqref="O122">
      <formula1>0</formula1>
      <formula2>100</formula2>
    </dataValidation>
    <dataValidation type="list" allowBlank="1" showInputMessage="1" showErrorMessage="1" sqref="H123">
      <formula1>'MasterData'!$B$1:$B$14</formula1>
    </dataValidation>
    <dataValidation type="list" allowBlank="1" showInputMessage="1" showErrorMessage="1" sqref="I123">
      <formula1>'MasterData'!$E$1021:$E$1030</formula1>
    </dataValidation>
    <dataValidation type="decimal" operator="greaterThanOrEqual" allowBlank="1" showInputMessage="1" showErrorMessage="1" sqref="K123">
      <formula1>0</formula1>
    </dataValidation>
    <dataValidation type="decimal" allowBlank="1" showInputMessage="1" showErrorMessage="1" sqref="N123">
      <formula1>0</formula1>
      <formula2>100</formula2>
    </dataValidation>
    <dataValidation type="decimal" allowBlank="1" showInputMessage="1" showErrorMessage="1" sqref="O123">
      <formula1>0</formula1>
      <formula2>100</formula2>
    </dataValidation>
    <dataValidation type="list" allowBlank="1" showInputMessage="1" showErrorMessage="1" sqref="H124">
      <formula1>'MasterData'!$B$1:$B$14</formula1>
    </dataValidation>
    <dataValidation type="list" allowBlank="1" showInputMessage="1" showErrorMessage="1" sqref="I124">
      <formula1>'MasterData'!$E$1031:$E$1040</formula1>
    </dataValidation>
    <dataValidation type="decimal" operator="greaterThanOrEqual" allowBlank="1" showInputMessage="1" showErrorMessage="1" sqref="K124">
      <formula1>0</formula1>
    </dataValidation>
    <dataValidation type="decimal" allowBlank="1" showInputMessage="1" showErrorMessage="1" sqref="N124">
      <formula1>0</formula1>
      <formula2>100</formula2>
    </dataValidation>
    <dataValidation type="decimal" allowBlank="1" showInputMessage="1" showErrorMessage="1" sqref="O124">
      <formula1>0</formula1>
      <formula2>100</formula2>
    </dataValidation>
    <dataValidation type="list" allowBlank="1" showInputMessage="1" showErrorMessage="1" sqref="H125">
      <formula1>'MasterData'!$B$1:$B$14</formula1>
    </dataValidation>
    <dataValidation type="list" allowBlank="1" showInputMessage="1" showErrorMessage="1" sqref="I125">
      <formula1>'MasterData'!$E$1041:$E$1050</formula1>
    </dataValidation>
    <dataValidation type="decimal" operator="greaterThanOrEqual" allowBlank="1" showInputMessage="1" showErrorMessage="1" sqref="K125">
      <formula1>0</formula1>
    </dataValidation>
    <dataValidation type="decimal" allowBlank="1" showInputMessage="1" showErrorMessage="1" sqref="N125">
      <formula1>0</formula1>
      <formula2>100</formula2>
    </dataValidation>
    <dataValidation type="decimal" allowBlank="1" showInputMessage="1" showErrorMessage="1" sqref="O125">
      <formula1>0</formula1>
      <formula2>100</formula2>
    </dataValidation>
    <dataValidation type="list" allowBlank="1" showInputMessage="1" showErrorMessage="1" sqref="H126">
      <formula1>'MasterData'!$B$1:$B$14</formula1>
    </dataValidation>
    <dataValidation type="list" allowBlank="1" showInputMessage="1" showErrorMessage="1" sqref="I126">
      <formula1>'MasterData'!$E$1051:$E$1060</formula1>
    </dataValidation>
    <dataValidation type="decimal" operator="greaterThanOrEqual" allowBlank="1" showInputMessage="1" showErrorMessage="1" sqref="K126">
      <formula1>0</formula1>
    </dataValidation>
    <dataValidation type="decimal" allowBlank="1" showInputMessage="1" showErrorMessage="1" sqref="N126">
      <formula1>0</formula1>
      <formula2>100</formula2>
    </dataValidation>
    <dataValidation type="decimal" allowBlank="1" showInputMessage="1" showErrorMessage="1" sqref="O126">
      <formula1>0</formula1>
      <formula2>100</formula2>
    </dataValidation>
    <dataValidation type="list" allowBlank="1" showInputMessage="1" showErrorMessage="1" sqref="H127">
      <formula1>'MasterData'!$B$1:$B$14</formula1>
    </dataValidation>
    <dataValidation type="list" allowBlank="1" showInputMessage="1" showErrorMessage="1" sqref="I127">
      <formula1>'MasterData'!$E$1061:$E$1070</formula1>
    </dataValidation>
    <dataValidation type="decimal" operator="greaterThanOrEqual" allowBlank="1" showInputMessage="1" showErrorMessage="1" sqref="K127">
      <formula1>0</formula1>
    </dataValidation>
    <dataValidation type="decimal" allowBlank="1" showInputMessage="1" showErrorMessage="1" sqref="N127">
      <formula1>0</formula1>
      <formula2>100</formula2>
    </dataValidation>
    <dataValidation type="decimal" allowBlank="1" showInputMessage="1" showErrorMessage="1" sqref="O127">
      <formula1>0</formula1>
      <formula2>100</formula2>
    </dataValidation>
    <dataValidation type="list" allowBlank="1" showInputMessage="1" showErrorMessage="1" sqref="H128">
      <formula1>'MasterData'!$B$1:$B$14</formula1>
    </dataValidation>
    <dataValidation type="list" allowBlank="1" showInputMessage="1" showErrorMessage="1" sqref="I128">
      <formula1>'MasterData'!$E$1071:$E$1080</formula1>
    </dataValidation>
    <dataValidation type="decimal" operator="greaterThanOrEqual" allowBlank="1" showInputMessage="1" showErrorMessage="1" sqref="K128">
      <formula1>0</formula1>
    </dataValidation>
    <dataValidation type="decimal" allowBlank="1" showInputMessage="1" showErrorMessage="1" sqref="N128">
      <formula1>0</formula1>
      <formula2>100</formula2>
    </dataValidation>
    <dataValidation type="decimal" allowBlank="1" showInputMessage="1" showErrorMessage="1" sqref="O128">
      <formula1>0</formula1>
      <formula2>100</formula2>
    </dataValidation>
    <dataValidation type="list" allowBlank="1" showInputMessage="1" showErrorMessage="1" sqref="H129">
      <formula1>'MasterData'!$B$1:$B$14</formula1>
    </dataValidation>
    <dataValidation type="list" allowBlank="1" showInputMessage="1" showErrorMessage="1" sqref="I129">
      <formula1>'MasterData'!$E$1081:$E$1090</formula1>
    </dataValidation>
    <dataValidation type="decimal" operator="greaterThanOrEqual" allowBlank="1" showInputMessage="1" showErrorMessage="1" sqref="K129">
      <formula1>0</formula1>
    </dataValidation>
    <dataValidation type="decimal" allowBlank="1" showInputMessage="1" showErrorMessage="1" sqref="N129">
      <formula1>0</formula1>
      <formula2>100</formula2>
    </dataValidation>
    <dataValidation type="decimal" allowBlank="1" showInputMessage="1" showErrorMessage="1" sqref="O129">
      <formula1>0</formula1>
      <formula2>100</formula2>
    </dataValidation>
    <dataValidation type="list" allowBlank="1" showInputMessage="1" showErrorMessage="1" sqref="H130">
      <formula1>'MasterData'!$B$1:$B$14</formula1>
    </dataValidation>
    <dataValidation type="list" allowBlank="1" showInputMessage="1" showErrorMessage="1" sqref="I130">
      <formula1>'MasterData'!$E$1091:$E$1100</formula1>
    </dataValidation>
    <dataValidation type="decimal" operator="greaterThanOrEqual" allowBlank="1" showInputMessage="1" showErrorMessage="1" sqref="K130">
      <formula1>0</formula1>
    </dataValidation>
    <dataValidation type="decimal" allowBlank="1" showInputMessage="1" showErrorMessage="1" sqref="N130">
      <formula1>0</formula1>
      <formula2>100</formula2>
    </dataValidation>
    <dataValidation type="decimal" allowBlank="1" showInputMessage="1" showErrorMessage="1" sqref="O130">
      <formula1>0</formula1>
      <formula2>100</formula2>
    </dataValidation>
    <dataValidation type="list" allowBlank="1" showInputMessage="1" showErrorMessage="1" sqref="H131">
      <formula1>'MasterData'!$B$1:$B$14</formula1>
    </dataValidation>
    <dataValidation type="list" allowBlank="1" showInputMessage="1" showErrorMessage="1" sqref="I131">
      <formula1>'MasterData'!$E$1101:$E$1110</formula1>
    </dataValidation>
    <dataValidation type="decimal" operator="greaterThanOrEqual" allowBlank="1" showInputMessage="1" showErrorMessage="1" sqref="K131">
      <formula1>0</formula1>
    </dataValidation>
    <dataValidation type="decimal" allowBlank="1" showInputMessage="1" showErrorMessage="1" sqref="N131">
      <formula1>0</formula1>
      <formula2>100</formula2>
    </dataValidation>
    <dataValidation type="decimal" allowBlank="1" showInputMessage="1" showErrorMessage="1" sqref="O131">
      <formula1>0</formula1>
      <formula2>100</formula2>
    </dataValidation>
    <dataValidation type="list" allowBlank="1" showInputMessage="1" showErrorMessage="1" sqref="H132">
      <formula1>'MasterData'!$B$1:$B$14</formula1>
    </dataValidation>
    <dataValidation type="list" allowBlank="1" showInputMessage="1" showErrorMessage="1" sqref="I132">
      <formula1>'MasterData'!$E$1111:$E$1120</formula1>
    </dataValidation>
    <dataValidation type="decimal" operator="greaterThanOrEqual" allowBlank="1" showInputMessage="1" showErrorMessage="1" sqref="K132">
      <formula1>0</formula1>
    </dataValidation>
    <dataValidation type="decimal" allowBlank="1" showInputMessage="1" showErrorMessage="1" sqref="N132">
      <formula1>0</formula1>
      <formula2>100</formula2>
    </dataValidation>
    <dataValidation type="decimal" allowBlank="1" showInputMessage="1" showErrorMessage="1" sqref="O132">
      <formula1>0</formula1>
      <formula2>100</formula2>
    </dataValidation>
    <dataValidation type="list" allowBlank="1" showInputMessage="1" showErrorMessage="1" sqref="H133">
      <formula1>'MasterData'!$B$1:$B$14</formula1>
    </dataValidation>
    <dataValidation type="list" allowBlank="1" showInputMessage="1" showErrorMessage="1" sqref="I133">
      <formula1>'MasterData'!$E$1121:$E$1130</formula1>
    </dataValidation>
    <dataValidation type="decimal" operator="greaterThanOrEqual" allowBlank="1" showInputMessage="1" showErrorMessage="1" sqref="K133">
      <formula1>0</formula1>
    </dataValidation>
    <dataValidation type="decimal" allowBlank="1" showInputMessage="1" showErrorMessage="1" sqref="N133">
      <formula1>0</formula1>
      <formula2>100</formula2>
    </dataValidation>
    <dataValidation type="decimal" allowBlank="1" showInputMessage="1" showErrorMessage="1" sqref="O133">
      <formula1>0</formula1>
      <formula2>100</formula2>
    </dataValidation>
    <dataValidation type="list" allowBlank="1" showInputMessage="1" showErrorMessage="1" sqref="H134">
      <formula1>'MasterData'!$B$1:$B$14</formula1>
    </dataValidation>
    <dataValidation type="list" allowBlank="1" showInputMessage="1" showErrorMessage="1" sqref="I134">
      <formula1>'MasterData'!$E$1131:$E$1140</formula1>
    </dataValidation>
    <dataValidation type="decimal" operator="greaterThanOrEqual" allowBlank="1" showInputMessage="1" showErrorMessage="1" sqref="K134">
      <formula1>0</formula1>
    </dataValidation>
    <dataValidation type="decimal" allowBlank="1" showInputMessage="1" showErrorMessage="1" sqref="N134">
      <formula1>0</formula1>
      <formula2>100</formula2>
    </dataValidation>
    <dataValidation type="decimal" allowBlank="1" showInputMessage="1" showErrorMessage="1" sqref="O134">
      <formula1>0</formula1>
      <formula2>100</formula2>
    </dataValidation>
    <dataValidation type="list" allowBlank="1" showInputMessage="1" showErrorMessage="1" sqref="H135">
      <formula1>'MasterData'!$B$1:$B$14</formula1>
    </dataValidation>
    <dataValidation type="list" allowBlank="1" showInputMessage="1" showErrorMessage="1" sqref="I135">
      <formula1>'MasterData'!$E$1141:$E$1150</formula1>
    </dataValidation>
    <dataValidation type="decimal" operator="greaterThanOrEqual" allowBlank="1" showInputMessage="1" showErrorMessage="1" sqref="K135">
      <formula1>0</formula1>
    </dataValidation>
    <dataValidation type="decimal" allowBlank="1" showInputMessage="1" showErrorMessage="1" sqref="N135">
      <formula1>0</formula1>
      <formula2>100</formula2>
    </dataValidation>
    <dataValidation type="decimal" allowBlank="1" showInputMessage="1" showErrorMessage="1" sqref="O135">
      <formula1>0</formula1>
      <formula2>100</formula2>
    </dataValidation>
    <dataValidation type="list" allowBlank="1" showInputMessage="1" showErrorMessage="1" sqref="H136">
      <formula1>'MasterData'!$B$1:$B$14</formula1>
    </dataValidation>
    <dataValidation type="list" allowBlank="1" showInputMessage="1" showErrorMessage="1" sqref="I136">
      <formula1>'MasterData'!$E$1151:$E$1160</formula1>
    </dataValidation>
    <dataValidation type="decimal" operator="greaterThanOrEqual" allowBlank="1" showInputMessage="1" showErrorMessage="1" sqref="K136">
      <formula1>0</formula1>
    </dataValidation>
    <dataValidation type="decimal" allowBlank="1" showInputMessage="1" showErrorMessage="1" sqref="N136">
      <formula1>0</formula1>
      <formula2>100</formula2>
    </dataValidation>
    <dataValidation type="decimal" allowBlank="1" showInputMessage="1" showErrorMessage="1" sqref="O136">
      <formula1>0</formula1>
      <formula2>100</formula2>
    </dataValidation>
    <dataValidation type="list" allowBlank="1" showInputMessage="1" showErrorMessage="1" sqref="H137">
      <formula1>'MasterData'!$B$1:$B$14</formula1>
    </dataValidation>
    <dataValidation type="list" allowBlank="1" showInputMessage="1" showErrorMessage="1" sqref="I137">
      <formula1>'MasterData'!$E$1161:$E$1170</formula1>
    </dataValidation>
    <dataValidation type="decimal" operator="greaterThanOrEqual" allowBlank="1" showInputMessage="1" showErrorMessage="1" sqref="K137">
      <formula1>0</formula1>
    </dataValidation>
    <dataValidation type="decimal" allowBlank="1" showInputMessage="1" showErrorMessage="1" sqref="N137">
      <formula1>0</formula1>
      <formula2>100</formula2>
    </dataValidation>
    <dataValidation type="decimal" allowBlank="1" showInputMessage="1" showErrorMessage="1" sqref="O137">
      <formula1>0</formula1>
      <formula2>100</formula2>
    </dataValidation>
    <dataValidation type="list" allowBlank="1" showInputMessage="1" showErrorMessage="1" sqref="H138">
      <formula1>'MasterData'!$B$1:$B$14</formula1>
    </dataValidation>
    <dataValidation type="list" allowBlank="1" showInputMessage="1" showErrorMessage="1" sqref="I138">
      <formula1>'MasterData'!$E$1171:$E$1180</formula1>
    </dataValidation>
    <dataValidation type="decimal" operator="greaterThanOrEqual" allowBlank="1" showInputMessage="1" showErrorMessage="1" sqref="K138">
      <formula1>0</formula1>
    </dataValidation>
    <dataValidation type="decimal" allowBlank="1" showInputMessage="1" showErrorMessage="1" sqref="N138">
      <formula1>0</formula1>
      <formula2>100</formula2>
    </dataValidation>
    <dataValidation type="decimal" allowBlank="1" showInputMessage="1" showErrorMessage="1" sqref="O138">
      <formula1>0</formula1>
      <formula2>100</formula2>
    </dataValidation>
    <dataValidation type="list" allowBlank="1" showInputMessage="1" showErrorMessage="1" sqref="H139">
      <formula1>'MasterData'!$B$1:$B$14</formula1>
    </dataValidation>
    <dataValidation type="list" allowBlank="1" showInputMessage="1" showErrorMessage="1" sqref="I139">
      <formula1>'MasterData'!$E$1181:$E$1190</formula1>
    </dataValidation>
    <dataValidation type="decimal" operator="greaterThanOrEqual" allowBlank="1" showInputMessage="1" showErrorMessage="1" sqref="K139">
      <formula1>0</formula1>
    </dataValidation>
    <dataValidation type="decimal" allowBlank="1" showInputMessage="1" showErrorMessage="1" sqref="N139">
      <formula1>0</formula1>
      <formula2>100</formula2>
    </dataValidation>
    <dataValidation type="decimal" allowBlank="1" showInputMessage="1" showErrorMessage="1" sqref="O139">
      <formula1>0</formula1>
      <formula2>100</formula2>
    </dataValidation>
    <dataValidation type="list" allowBlank="1" showInputMessage="1" showErrorMessage="1" sqref="H140">
      <formula1>'MasterData'!$B$1:$B$14</formula1>
    </dataValidation>
    <dataValidation type="list" allowBlank="1" showInputMessage="1" showErrorMessage="1" sqref="I140">
      <formula1>'MasterData'!$E$1191:$E$1200</formula1>
    </dataValidation>
    <dataValidation type="decimal" operator="greaterThanOrEqual" allowBlank="1" showInputMessage="1" showErrorMessage="1" sqref="K140">
      <formula1>0</formula1>
    </dataValidation>
    <dataValidation type="decimal" allowBlank="1" showInputMessage="1" showErrorMessage="1" sqref="N140">
      <formula1>0</formula1>
      <formula2>100</formula2>
    </dataValidation>
    <dataValidation type="decimal" allowBlank="1" showInputMessage="1" showErrorMessage="1" sqref="O140">
      <formula1>0</formula1>
      <formula2>100</formula2>
    </dataValidation>
    <dataValidation type="list" allowBlank="1" showInputMessage="1" showErrorMessage="1" sqref="H141">
      <formula1>'MasterData'!$B$1:$B$14</formula1>
    </dataValidation>
    <dataValidation type="list" allowBlank="1" showInputMessage="1" showErrorMessage="1" sqref="I141">
      <formula1>'MasterData'!$E$1201:$E$1210</formula1>
    </dataValidation>
    <dataValidation type="decimal" operator="greaterThanOrEqual" allowBlank="1" showInputMessage="1" showErrorMessage="1" sqref="K141">
      <formula1>0</formula1>
    </dataValidation>
    <dataValidation type="decimal" allowBlank="1" showInputMessage="1" showErrorMessage="1" sqref="N141">
      <formula1>0</formula1>
      <formula2>100</formula2>
    </dataValidation>
    <dataValidation type="decimal" allowBlank="1" showInputMessage="1" showErrorMessage="1" sqref="O141">
      <formula1>0</formula1>
      <formula2>100</formula2>
    </dataValidation>
    <dataValidation type="list" allowBlank="1" showInputMessage="1" showErrorMessage="1" sqref="H142">
      <formula1>'MasterData'!$B$1:$B$14</formula1>
    </dataValidation>
    <dataValidation type="list" allowBlank="1" showInputMessage="1" showErrorMessage="1" sqref="I142">
      <formula1>'MasterData'!$E$1211:$E$1220</formula1>
    </dataValidation>
    <dataValidation type="decimal" operator="greaterThanOrEqual" allowBlank="1" showInputMessage="1" showErrorMessage="1" sqref="K142">
      <formula1>0</formula1>
    </dataValidation>
    <dataValidation type="decimal" allowBlank="1" showInputMessage="1" showErrorMessage="1" sqref="N142">
      <formula1>0</formula1>
      <formula2>100</formula2>
    </dataValidation>
    <dataValidation type="decimal" allowBlank="1" showInputMessage="1" showErrorMessage="1" sqref="O142">
      <formula1>0</formula1>
      <formula2>100</formula2>
    </dataValidation>
    <dataValidation type="list" allowBlank="1" showInputMessage="1" showErrorMessage="1" sqref="H143">
      <formula1>'MasterData'!$B$1:$B$14</formula1>
    </dataValidation>
    <dataValidation type="list" allowBlank="1" showInputMessage="1" showErrorMessage="1" sqref="I143">
      <formula1>'MasterData'!$E$1221:$E$1230</formula1>
    </dataValidation>
    <dataValidation type="decimal" operator="greaterThanOrEqual" allowBlank="1" showInputMessage="1" showErrorMessage="1" sqref="K143">
      <formula1>0</formula1>
    </dataValidation>
    <dataValidation type="decimal" allowBlank="1" showInputMessage="1" showErrorMessage="1" sqref="N143">
      <formula1>0</formula1>
      <formula2>100</formula2>
    </dataValidation>
    <dataValidation type="decimal" allowBlank="1" showInputMessage="1" showErrorMessage="1" sqref="O143">
      <formula1>0</formula1>
      <formula2>100</formula2>
    </dataValidation>
    <dataValidation type="list" allowBlank="1" showInputMessage="1" showErrorMessage="1" sqref="H144">
      <formula1>'MasterData'!$B$1:$B$14</formula1>
    </dataValidation>
    <dataValidation type="list" allowBlank="1" showInputMessage="1" showErrorMessage="1" sqref="I144">
      <formula1>'MasterData'!$E$1231:$E$1240</formula1>
    </dataValidation>
    <dataValidation type="decimal" operator="greaterThanOrEqual" allowBlank="1" showInputMessage="1" showErrorMessage="1" sqref="K144">
      <formula1>0</formula1>
    </dataValidation>
    <dataValidation type="decimal" allowBlank="1" showInputMessage="1" showErrorMessage="1" sqref="N144">
      <formula1>0</formula1>
      <formula2>100</formula2>
    </dataValidation>
    <dataValidation type="decimal" allowBlank="1" showInputMessage="1" showErrorMessage="1" sqref="O144">
      <formula1>0</formula1>
      <formula2>100</formula2>
    </dataValidation>
    <dataValidation type="list" allowBlank="1" showInputMessage="1" showErrorMessage="1" sqref="H145">
      <formula1>'MasterData'!$B$1:$B$14</formula1>
    </dataValidation>
    <dataValidation type="list" allowBlank="1" showInputMessage="1" showErrorMessage="1" sqref="I145">
      <formula1>'MasterData'!$E$1241:$E$1250</formula1>
    </dataValidation>
    <dataValidation type="decimal" operator="greaterThanOrEqual" allowBlank="1" showInputMessage="1" showErrorMessage="1" sqref="K145">
      <formula1>0</formula1>
    </dataValidation>
    <dataValidation type="decimal" allowBlank="1" showInputMessage="1" showErrorMessage="1" sqref="N145">
      <formula1>0</formula1>
      <formula2>100</formula2>
    </dataValidation>
    <dataValidation type="decimal" allowBlank="1" showInputMessage="1" showErrorMessage="1" sqref="O145">
      <formula1>0</formula1>
      <formula2>100</formula2>
    </dataValidation>
    <dataValidation type="list" allowBlank="1" showInputMessage="1" showErrorMessage="1" sqref="H146">
      <formula1>'MasterData'!$B$1:$B$14</formula1>
    </dataValidation>
    <dataValidation type="list" allowBlank="1" showInputMessage="1" showErrorMessage="1" sqref="I146">
      <formula1>'MasterData'!$E$1251:$E$1260</formula1>
    </dataValidation>
    <dataValidation type="decimal" operator="greaterThanOrEqual" allowBlank="1" showInputMessage="1" showErrorMessage="1" sqref="K146">
      <formula1>0</formula1>
    </dataValidation>
    <dataValidation type="decimal" allowBlank="1" showInputMessage="1" showErrorMessage="1" sqref="N146">
      <formula1>0</formula1>
      <formula2>100</formula2>
    </dataValidation>
    <dataValidation type="decimal" allowBlank="1" showInputMessage="1" showErrorMessage="1" sqref="O146">
      <formula1>0</formula1>
      <formula2>100</formula2>
    </dataValidation>
    <dataValidation type="list" allowBlank="1" showInputMessage="1" showErrorMessage="1" sqref="H147">
      <formula1>'MasterData'!$B$1:$B$14</formula1>
    </dataValidation>
    <dataValidation type="list" allowBlank="1" showInputMessage="1" showErrorMessage="1" sqref="I147">
      <formula1>'MasterData'!$E$1261:$E$1270</formula1>
    </dataValidation>
    <dataValidation type="decimal" operator="greaterThanOrEqual" allowBlank="1" showInputMessage="1" showErrorMessage="1" sqref="K147">
      <formula1>0</formula1>
    </dataValidation>
    <dataValidation type="decimal" allowBlank="1" showInputMessage="1" showErrorMessage="1" sqref="N147">
      <formula1>0</formula1>
      <formula2>100</formula2>
    </dataValidation>
    <dataValidation type="decimal" allowBlank="1" showInputMessage="1" showErrorMessage="1" sqref="O147">
      <formula1>0</formula1>
      <formula2>100</formula2>
    </dataValidation>
    <dataValidation type="list" allowBlank="1" showInputMessage="1" showErrorMessage="1" sqref="H148">
      <formula1>'MasterData'!$B$1:$B$14</formula1>
    </dataValidation>
    <dataValidation type="list" allowBlank="1" showInputMessage="1" showErrorMessage="1" sqref="I148">
      <formula1>'MasterData'!$E$1271:$E$1280</formula1>
    </dataValidation>
    <dataValidation type="decimal" operator="greaterThanOrEqual" allowBlank="1" showInputMessage="1" showErrorMessage="1" sqref="K148">
      <formula1>0</formula1>
    </dataValidation>
    <dataValidation type="decimal" allowBlank="1" showInputMessage="1" showErrorMessage="1" sqref="N148">
      <formula1>0</formula1>
      <formula2>100</formula2>
    </dataValidation>
    <dataValidation type="decimal" allowBlank="1" showInputMessage="1" showErrorMessage="1" sqref="O148">
      <formula1>0</formula1>
      <formula2>100</formula2>
    </dataValidation>
    <dataValidation type="list" allowBlank="1" showInputMessage="1" showErrorMessage="1" sqref="H149">
      <formula1>'MasterData'!$B$1:$B$14</formula1>
    </dataValidation>
    <dataValidation type="list" allowBlank="1" showInputMessage="1" showErrorMessage="1" sqref="I149">
      <formula1>'MasterData'!$E$1281:$E$1290</formula1>
    </dataValidation>
    <dataValidation type="decimal" operator="greaterThanOrEqual" allowBlank="1" showInputMessage="1" showErrorMessage="1" sqref="K149">
      <formula1>0</formula1>
    </dataValidation>
    <dataValidation type="decimal" allowBlank="1" showInputMessage="1" showErrorMessage="1" sqref="N149">
      <formula1>0</formula1>
      <formula2>100</formula2>
    </dataValidation>
    <dataValidation type="decimal" allowBlank="1" showInputMessage="1" showErrorMessage="1" sqref="O149">
      <formula1>0</formula1>
      <formula2>100</formula2>
    </dataValidation>
    <dataValidation type="list" allowBlank="1" showInputMessage="1" showErrorMessage="1" sqref="H150">
      <formula1>'MasterData'!$B$1:$B$14</formula1>
    </dataValidation>
    <dataValidation type="list" allowBlank="1" showInputMessage="1" showErrorMessage="1" sqref="I150">
      <formula1>'MasterData'!$E$1291:$E$1300</formula1>
    </dataValidation>
    <dataValidation type="decimal" operator="greaterThanOrEqual" allowBlank="1" showInputMessage="1" showErrorMessage="1" sqref="K150">
      <formula1>0</formula1>
    </dataValidation>
    <dataValidation type="decimal" allowBlank="1" showInputMessage="1" showErrorMessage="1" sqref="N150">
      <formula1>0</formula1>
      <formula2>100</formula2>
    </dataValidation>
    <dataValidation type="decimal" allowBlank="1" showInputMessage="1" showErrorMessage="1" sqref="O150">
      <formula1>0</formula1>
      <formula2>100</formula2>
    </dataValidation>
    <dataValidation type="list" allowBlank="1" showInputMessage="1" showErrorMessage="1" sqref="H151">
      <formula1>'MasterData'!$B$1:$B$14</formula1>
    </dataValidation>
    <dataValidation type="list" allowBlank="1" showInputMessage="1" showErrorMessage="1" sqref="I151">
      <formula1>'MasterData'!$E$1301:$E$1310</formula1>
    </dataValidation>
    <dataValidation type="decimal" operator="greaterThanOrEqual" allowBlank="1" showInputMessage="1" showErrorMessage="1" sqref="K151">
      <formula1>0</formula1>
    </dataValidation>
    <dataValidation type="decimal" allowBlank="1" showInputMessage="1" showErrorMessage="1" sqref="N151">
      <formula1>0</formula1>
      <formula2>100</formula2>
    </dataValidation>
    <dataValidation type="decimal" allowBlank="1" showInputMessage="1" showErrorMessage="1" sqref="O151">
      <formula1>0</formula1>
      <formula2>100</formula2>
    </dataValidation>
    <dataValidation type="list" allowBlank="1" showInputMessage="1" showErrorMessage="1" sqref="H152">
      <formula1>'MasterData'!$B$1:$B$14</formula1>
    </dataValidation>
    <dataValidation type="list" allowBlank="1" showInputMessage="1" showErrorMessage="1" sqref="I152">
      <formula1>'MasterData'!$E$1311:$E$1320</formula1>
    </dataValidation>
    <dataValidation type="decimal" operator="greaterThanOrEqual" allowBlank="1" showInputMessage="1" showErrorMessage="1" sqref="K152">
      <formula1>0</formula1>
    </dataValidation>
    <dataValidation type="decimal" allowBlank="1" showInputMessage="1" showErrorMessage="1" sqref="N152">
      <formula1>0</formula1>
      <formula2>100</formula2>
    </dataValidation>
    <dataValidation type="decimal" allowBlank="1" showInputMessage="1" showErrorMessage="1" sqref="O152">
      <formula1>0</formula1>
      <formula2>100</formula2>
    </dataValidation>
    <dataValidation type="list" allowBlank="1" showInputMessage="1" showErrorMessage="1" sqref="H153">
      <formula1>'MasterData'!$B$1:$B$14</formula1>
    </dataValidation>
    <dataValidation type="list" allowBlank="1" showInputMessage="1" showErrorMessage="1" sqref="I153">
      <formula1>'MasterData'!$E$1321:$E$1330</formula1>
    </dataValidation>
    <dataValidation type="decimal" operator="greaterThanOrEqual" allowBlank="1" showInputMessage="1" showErrorMessage="1" sqref="K153">
      <formula1>0</formula1>
    </dataValidation>
    <dataValidation type="decimal" allowBlank="1" showInputMessage="1" showErrorMessage="1" sqref="N153">
      <formula1>0</formula1>
      <formula2>100</formula2>
    </dataValidation>
    <dataValidation type="decimal" allowBlank="1" showInputMessage="1" showErrorMessage="1" sqref="O153">
      <formula1>0</formula1>
      <formula2>100</formula2>
    </dataValidation>
    <dataValidation type="list" allowBlank="1" showInputMessage="1" showErrorMessage="1" sqref="H154">
      <formula1>'MasterData'!$B$1:$B$14</formula1>
    </dataValidation>
    <dataValidation type="list" allowBlank="1" showInputMessage="1" showErrorMessage="1" sqref="I154">
      <formula1>'MasterData'!$E$1331:$E$1340</formula1>
    </dataValidation>
    <dataValidation type="decimal" operator="greaterThanOrEqual" allowBlank="1" showInputMessage="1" showErrorMessage="1" sqref="K154">
      <formula1>0</formula1>
    </dataValidation>
    <dataValidation type="decimal" allowBlank="1" showInputMessage="1" showErrorMessage="1" sqref="N154">
      <formula1>0</formula1>
      <formula2>100</formula2>
    </dataValidation>
    <dataValidation type="decimal" allowBlank="1" showInputMessage="1" showErrorMessage="1" sqref="O154">
      <formula1>0</formula1>
      <formula2>100</formula2>
    </dataValidation>
    <dataValidation type="list" allowBlank="1" showInputMessage="1" showErrorMessage="1" sqref="H155">
      <formula1>'MasterData'!$B$1:$B$14</formula1>
    </dataValidation>
    <dataValidation type="list" allowBlank="1" showInputMessage="1" showErrorMessage="1" sqref="I155">
      <formula1>'MasterData'!$E$1341:$E$1350</formula1>
    </dataValidation>
    <dataValidation type="decimal" operator="greaterThanOrEqual" allowBlank="1" showInputMessage="1" showErrorMessage="1" sqref="K155">
      <formula1>0</formula1>
    </dataValidation>
    <dataValidation type="decimal" allowBlank="1" showInputMessage="1" showErrorMessage="1" sqref="N155">
      <formula1>0</formula1>
      <formula2>100</formula2>
    </dataValidation>
    <dataValidation type="decimal" allowBlank="1" showInputMessage="1" showErrorMessage="1" sqref="O155">
      <formula1>0</formula1>
      <formula2>100</formula2>
    </dataValidation>
    <dataValidation type="list" allowBlank="1" showInputMessage="1" showErrorMessage="1" sqref="H156">
      <formula1>'MasterData'!$B$1:$B$14</formula1>
    </dataValidation>
    <dataValidation type="list" allowBlank="1" showInputMessage="1" showErrorMessage="1" sqref="I156">
      <formula1>'MasterData'!$E$1351:$E$1360</formula1>
    </dataValidation>
    <dataValidation type="decimal" operator="greaterThanOrEqual" allowBlank="1" showInputMessage="1" showErrorMessage="1" sqref="K156">
      <formula1>0</formula1>
    </dataValidation>
    <dataValidation type="decimal" allowBlank="1" showInputMessage="1" showErrorMessage="1" sqref="N156">
      <formula1>0</formula1>
      <formula2>100</formula2>
    </dataValidation>
    <dataValidation type="decimal" allowBlank="1" showInputMessage="1" showErrorMessage="1" sqref="O156">
      <formula1>0</formula1>
      <formula2>100</formula2>
    </dataValidation>
    <dataValidation type="list" allowBlank="1" showInputMessage="1" showErrorMessage="1" sqref="H157">
      <formula1>'MasterData'!$B$1:$B$14</formula1>
    </dataValidation>
    <dataValidation type="list" allowBlank="1" showInputMessage="1" showErrorMessage="1" sqref="I157">
      <formula1>'MasterData'!$E$1361:$E$1370</formula1>
    </dataValidation>
    <dataValidation type="decimal" operator="greaterThanOrEqual" allowBlank="1" showInputMessage="1" showErrorMessage="1" sqref="K157">
      <formula1>0</formula1>
    </dataValidation>
    <dataValidation type="decimal" allowBlank="1" showInputMessage="1" showErrorMessage="1" sqref="N157">
      <formula1>0</formula1>
      <formula2>100</formula2>
    </dataValidation>
    <dataValidation type="decimal" allowBlank="1" showInputMessage="1" showErrorMessage="1" sqref="O157">
      <formula1>0</formula1>
      <formula2>100</formula2>
    </dataValidation>
    <dataValidation type="list" allowBlank="1" showInputMessage="1" showErrorMessage="1" sqref="H158">
      <formula1>'MasterData'!$B$1:$B$14</formula1>
    </dataValidation>
    <dataValidation type="list" allowBlank="1" showInputMessage="1" showErrorMessage="1" sqref="I158">
      <formula1>'MasterData'!$E$1371:$E$1380</formula1>
    </dataValidation>
    <dataValidation type="decimal" operator="greaterThanOrEqual" allowBlank="1" showInputMessage="1" showErrorMessage="1" sqref="K158">
      <formula1>0</formula1>
    </dataValidation>
    <dataValidation type="decimal" allowBlank="1" showInputMessage="1" showErrorMessage="1" sqref="N158">
      <formula1>0</formula1>
      <formula2>100</formula2>
    </dataValidation>
    <dataValidation type="decimal" allowBlank="1" showInputMessage="1" showErrorMessage="1" sqref="O158">
      <formula1>0</formula1>
      <formula2>100</formula2>
    </dataValidation>
    <dataValidation type="list" allowBlank="1" showInputMessage="1" showErrorMessage="1" sqref="H159">
      <formula1>'MasterData'!$B$1:$B$14</formula1>
    </dataValidation>
    <dataValidation type="list" allowBlank="1" showInputMessage="1" showErrorMessage="1" sqref="I159">
      <formula1>'MasterData'!$E$1381:$E$1390</formula1>
    </dataValidation>
    <dataValidation type="decimal" operator="greaterThanOrEqual" allowBlank="1" showInputMessage="1" showErrorMessage="1" sqref="K159">
      <formula1>0</formula1>
    </dataValidation>
    <dataValidation type="decimal" allowBlank="1" showInputMessage="1" showErrorMessage="1" sqref="N159">
      <formula1>0</formula1>
      <formula2>100</formula2>
    </dataValidation>
    <dataValidation type="decimal" allowBlank="1" showInputMessage="1" showErrorMessage="1" sqref="O159">
      <formula1>0</formula1>
      <formula2>100</formula2>
    </dataValidation>
    <dataValidation type="list" allowBlank="1" showInputMessage="1" showErrorMessage="1" sqref="H160">
      <formula1>'MasterData'!$B$1:$B$14</formula1>
    </dataValidation>
    <dataValidation type="list" allowBlank="1" showInputMessage="1" showErrorMessage="1" sqref="I160">
      <formula1>'MasterData'!$E$1391:$E$1400</formula1>
    </dataValidation>
    <dataValidation type="decimal" operator="greaterThanOrEqual" allowBlank="1" showInputMessage="1" showErrorMessage="1" sqref="K160">
      <formula1>0</formula1>
    </dataValidation>
    <dataValidation type="decimal" allowBlank="1" showInputMessage="1" showErrorMessage="1" sqref="N160">
      <formula1>0</formula1>
      <formula2>100</formula2>
    </dataValidation>
    <dataValidation type="decimal" allowBlank="1" showInputMessage="1" showErrorMessage="1" sqref="O160">
      <formula1>0</formula1>
      <formula2>100</formula2>
    </dataValidation>
    <dataValidation type="list" allowBlank="1" showInputMessage="1" showErrorMessage="1" sqref="H161">
      <formula1>'MasterData'!$B$1:$B$14</formula1>
    </dataValidation>
    <dataValidation type="list" allowBlank="1" showInputMessage="1" showErrorMessage="1" sqref="I161">
      <formula1>'MasterData'!$E$1401:$E$1410</formula1>
    </dataValidation>
    <dataValidation type="decimal" operator="greaterThanOrEqual" allowBlank="1" showInputMessage="1" showErrorMessage="1" sqref="K161">
      <formula1>0</formula1>
    </dataValidation>
    <dataValidation type="decimal" allowBlank="1" showInputMessage="1" showErrorMessage="1" sqref="N161">
      <formula1>0</formula1>
      <formula2>100</formula2>
    </dataValidation>
    <dataValidation type="decimal" allowBlank="1" showInputMessage="1" showErrorMessage="1" sqref="O161">
      <formula1>0</formula1>
      <formula2>100</formula2>
    </dataValidation>
    <dataValidation type="list" allowBlank="1" showInputMessage="1" showErrorMessage="1" sqref="H162">
      <formula1>'MasterData'!$B$1:$B$14</formula1>
    </dataValidation>
    <dataValidation type="list" allowBlank="1" showInputMessage="1" showErrorMessage="1" sqref="I162">
      <formula1>'MasterData'!$E$1411:$E$1420</formula1>
    </dataValidation>
    <dataValidation type="decimal" operator="greaterThanOrEqual" allowBlank="1" showInputMessage="1" showErrorMessage="1" sqref="K162">
      <formula1>0</formula1>
    </dataValidation>
    <dataValidation type="decimal" allowBlank="1" showInputMessage="1" showErrorMessage="1" sqref="N162">
      <formula1>0</formula1>
      <formula2>100</formula2>
    </dataValidation>
    <dataValidation type="decimal" allowBlank="1" showInputMessage="1" showErrorMessage="1" sqref="O162">
      <formula1>0</formula1>
      <formula2>100</formula2>
    </dataValidation>
    <dataValidation type="list" allowBlank="1" showInputMessage="1" showErrorMessage="1" sqref="H163">
      <formula1>'MasterData'!$B$1:$B$14</formula1>
    </dataValidation>
    <dataValidation type="list" allowBlank="1" showInputMessage="1" showErrorMessage="1" sqref="I163">
      <formula1>'MasterData'!$E$1421:$E$1430</formula1>
    </dataValidation>
    <dataValidation type="decimal" operator="greaterThanOrEqual" allowBlank="1" showInputMessage="1" showErrorMessage="1" sqref="K163">
      <formula1>0</formula1>
    </dataValidation>
    <dataValidation type="decimal" allowBlank="1" showInputMessage="1" showErrorMessage="1" sqref="N163">
      <formula1>0</formula1>
      <formula2>100</formula2>
    </dataValidation>
    <dataValidation type="decimal" allowBlank="1" showInputMessage="1" showErrorMessage="1" sqref="O163">
      <formula1>0</formula1>
      <formula2>100</formula2>
    </dataValidation>
    <dataValidation type="list" allowBlank="1" showInputMessage="1" showErrorMessage="1" sqref="H164">
      <formula1>'MasterData'!$B$1:$B$14</formula1>
    </dataValidation>
    <dataValidation type="list" allowBlank="1" showInputMessage="1" showErrorMessage="1" sqref="I164">
      <formula1>'MasterData'!$E$1431:$E$1440</formula1>
    </dataValidation>
    <dataValidation type="decimal" operator="greaterThanOrEqual" allowBlank="1" showInputMessage="1" showErrorMessage="1" sqref="K164">
      <formula1>0</formula1>
    </dataValidation>
    <dataValidation type="decimal" allowBlank="1" showInputMessage="1" showErrorMessage="1" sqref="N164">
      <formula1>0</formula1>
      <formula2>100</formula2>
    </dataValidation>
    <dataValidation type="decimal" allowBlank="1" showInputMessage="1" showErrorMessage="1" sqref="O164">
      <formula1>0</formula1>
      <formula2>100</formula2>
    </dataValidation>
    <dataValidation type="list" allowBlank="1" showInputMessage="1" showErrorMessage="1" sqref="H165">
      <formula1>'MasterData'!$B$1:$B$14</formula1>
    </dataValidation>
    <dataValidation type="list" allowBlank="1" showInputMessage="1" showErrorMessage="1" sqref="I165">
      <formula1>'MasterData'!$E$1441:$E$1450</formula1>
    </dataValidation>
    <dataValidation type="decimal" operator="greaterThanOrEqual" allowBlank="1" showInputMessage="1" showErrorMessage="1" sqref="K165">
      <formula1>0</formula1>
    </dataValidation>
    <dataValidation type="decimal" allowBlank="1" showInputMessage="1" showErrorMessage="1" sqref="N165">
      <formula1>0</formula1>
      <formula2>100</formula2>
    </dataValidation>
    <dataValidation type="decimal" allowBlank="1" showInputMessage="1" showErrorMessage="1" sqref="O165">
      <formula1>0</formula1>
      <formula2>100</formula2>
    </dataValidation>
    <dataValidation type="list" allowBlank="1" showInputMessage="1" showErrorMessage="1" sqref="H166">
      <formula1>'MasterData'!$B$1:$B$14</formula1>
    </dataValidation>
    <dataValidation type="list" allowBlank="1" showInputMessage="1" showErrorMessage="1" sqref="I166">
      <formula1>'MasterData'!$E$1451:$E$1460</formula1>
    </dataValidation>
    <dataValidation type="decimal" operator="greaterThanOrEqual" allowBlank="1" showInputMessage="1" showErrorMessage="1" sqref="K166">
      <formula1>0</formula1>
    </dataValidation>
    <dataValidation type="decimal" allowBlank="1" showInputMessage="1" showErrorMessage="1" sqref="N166">
      <formula1>0</formula1>
      <formula2>100</formula2>
    </dataValidation>
    <dataValidation type="decimal" allowBlank="1" showInputMessage="1" showErrorMessage="1" sqref="O166">
      <formula1>0</formula1>
      <formula2>100</formula2>
    </dataValidation>
    <dataValidation type="list" allowBlank="1" showInputMessage="1" showErrorMessage="1" sqref="H167">
      <formula1>'MasterData'!$B$1:$B$14</formula1>
    </dataValidation>
    <dataValidation type="list" allowBlank="1" showInputMessage="1" showErrorMessage="1" sqref="I167">
      <formula1>'MasterData'!$E$1461:$E$1470</formula1>
    </dataValidation>
    <dataValidation type="decimal" operator="greaterThanOrEqual" allowBlank="1" showInputMessage="1" showErrorMessage="1" sqref="K167">
      <formula1>0</formula1>
    </dataValidation>
    <dataValidation type="decimal" allowBlank="1" showInputMessage="1" showErrorMessage="1" sqref="N167">
      <formula1>0</formula1>
      <formula2>100</formula2>
    </dataValidation>
    <dataValidation type="decimal" allowBlank="1" showInputMessage="1" showErrorMessage="1" sqref="O167">
      <formula1>0</formula1>
      <formula2>100</formula2>
    </dataValidation>
    <dataValidation type="list" allowBlank="1" showInputMessage="1" showErrorMessage="1" sqref="H168">
      <formula1>'MasterData'!$B$1:$B$14</formula1>
    </dataValidation>
    <dataValidation type="list" allowBlank="1" showInputMessage="1" showErrorMessage="1" sqref="I168">
      <formula1>'MasterData'!$E$1471:$E$1480</formula1>
    </dataValidation>
    <dataValidation type="decimal" operator="greaterThanOrEqual" allowBlank="1" showInputMessage="1" showErrorMessage="1" sqref="K168">
      <formula1>0</formula1>
    </dataValidation>
    <dataValidation type="decimal" allowBlank="1" showInputMessage="1" showErrorMessage="1" sqref="N168">
      <formula1>0</formula1>
      <formula2>100</formula2>
    </dataValidation>
    <dataValidation type="decimal" allowBlank="1" showInputMessage="1" showErrorMessage="1" sqref="O168">
      <formula1>0</formula1>
      <formula2>100</formula2>
    </dataValidation>
    <dataValidation type="list" allowBlank="1" showInputMessage="1" showErrorMessage="1" sqref="H169">
      <formula1>'MasterData'!$B$1:$B$14</formula1>
    </dataValidation>
    <dataValidation type="list" allowBlank="1" showInputMessage="1" showErrorMessage="1" sqref="I169">
      <formula1>'MasterData'!$E$1481:$E$1490</formula1>
    </dataValidation>
    <dataValidation type="decimal" operator="greaterThanOrEqual" allowBlank="1" showInputMessage="1" showErrorMessage="1" sqref="K169">
      <formula1>0</formula1>
    </dataValidation>
    <dataValidation type="decimal" allowBlank="1" showInputMessage="1" showErrorMessage="1" sqref="N169">
      <formula1>0</formula1>
      <formula2>100</formula2>
    </dataValidation>
    <dataValidation type="decimal" allowBlank="1" showInputMessage="1" showErrorMessage="1" sqref="O169">
      <formula1>0</formula1>
      <formula2>100</formula2>
    </dataValidation>
    <dataValidation type="list" allowBlank="1" showInputMessage="1" showErrorMessage="1" sqref="H170">
      <formula1>'MasterData'!$B$1:$B$14</formula1>
    </dataValidation>
    <dataValidation type="list" allowBlank="1" showInputMessage="1" showErrorMessage="1" sqref="I170">
      <formula1>'MasterData'!$E$1491:$E$1500</formula1>
    </dataValidation>
    <dataValidation type="decimal" operator="greaterThanOrEqual" allowBlank="1" showInputMessage="1" showErrorMessage="1" sqref="K170">
      <formula1>0</formula1>
    </dataValidation>
    <dataValidation type="decimal" allowBlank="1" showInputMessage="1" showErrorMessage="1" sqref="N170">
      <formula1>0</formula1>
      <formula2>100</formula2>
    </dataValidation>
    <dataValidation type="decimal" allowBlank="1" showInputMessage="1" showErrorMessage="1" sqref="O170">
      <formula1>0</formula1>
      <formula2>100</formula2>
    </dataValidation>
    <dataValidation type="list" allowBlank="1" showInputMessage="1" showErrorMessage="1" sqref="H171">
      <formula1>'MasterData'!$B$1:$B$14</formula1>
    </dataValidation>
    <dataValidation type="list" allowBlank="1" showInputMessage="1" showErrorMessage="1" sqref="I171">
      <formula1>'MasterData'!$E$1501:$E$1510</formula1>
    </dataValidation>
    <dataValidation type="decimal" operator="greaterThanOrEqual" allowBlank="1" showInputMessage="1" showErrorMessage="1" sqref="K171">
      <formula1>0</formula1>
    </dataValidation>
    <dataValidation type="decimal" allowBlank="1" showInputMessage="1" showErrorMessage="1" sqref="N171">
      <formula1>0</formula1>
      <formula2>100</formula2>
    </dataValidation>
    <dataValidation type="decimal" allowBlank="1" showInputMessage="1" showErrorMessage="1" sqref="O171">
      <formula1>0</formula1>
      <formula2>100</formula2>
    </dataValidation>
    <dataValidation type="list" allowBlank="1" showInputMessage="1" showErrorMessage="1" sqref="H172">
      <formula1>'MasterData'!$B$1:$B$14</formula1>
    </dataValidation>
    <dataValidation type="list" allowBlank="1" showInputMessage="1" showErrorMessage="1" sqref="I172">
      <formula1>'MasterData'!$E$1511:$E$1520</formula1>
    </dataValidation>
    <dataValidation type="decimal" operator="greaterThanOrEqual" allowBlank="1" showInputMessage="1" showErrorMessage="1" sqref="K172">
      <formula1>0</formula1>
    </dataValidation>
    <dataValidation type="decimal" allowBlank="1" showInputMessage="1" showErrorMessage="1" sqref="N172">
      <formula1>0</formula1>
      <formula2>100</formula2>
    </dataValidation>
    <dataValidation type="decimal" allowBlank="1" showInputMessage="1" showErrorMessage="1" sqref="O172">
      <formula1>0</formula1>
      <formula2>100</formula2>
    </dataValidation>
    <dataValidation type="list" allowBlank="1" showInputMessage="1" showErrorMessage="1" sqref="H173">
      <formula1>'MasterData'!$B$1:$B$14</formula1>
    </dataValidation>
    <dataValidation type="list" allowBlank="1" showInputMessage="1" showErrorMessage="1" sqref="I173">
      <formula1>'MasterData'!$E$1521:$E$1530</formula1>
    </dataValidation>
    <dataValidation type="decimal" operator="greaterThanOrEqual" allowBlank="1" showInputMessage="1" showErrorMessage="1" sqref="K173">
      <formula1>0</formula1>
    </dataValidation>
    <dataValidation type="decimal" allowBlank="1" showInputMessage="1" showErrorMessage="1" sqref="N173">
      <formula1>0</formula1>
      <formula2>100</formula2>
    </dataValidation>
    <dataValidation type="decimal" allowBlank="1" showInputMessage="1" showErrorMessage="1" sqref="O173">
      <formula1>0</formula1>
      <formula2>100</formula2>
    </dataValidation>
    <dataValidation type="list" allowBlank="1" showInputMessage="1" showErrorMessage="1" sqref="H174">
      <formula1>'MasterData'!$B$1:$B$14</formula1>
    </dataValidation>
    <dataValidation type="list" allowBlank="1" showInputMessage="1" showErrorMessage="1" sqref="I174">
      <formula1>'MasterData'!$E$1531:$E$1540</formula1>
    </dataValidation>
    <dataValidation type="decimal" operator="greaterThanOrEqual" allowBlank="1" showInputMessage="1" showErrorMessage="1" sqref="K174">
      <formula1>0</formula1>
    </dataValidation>
    <dataValidation type="decimal" allowBlank="1" showInputMessage="1" showErrorMessage="1" sqref="N174">
      <formula1>0</formula1>
      <formula2>100</formula2>
    </dataValidation>
    <dataValidation type="decimal" allowBlank="1" showInputMessage="1" showErrorMessage="1" sqref="O174">
      <formula1>0</formula1>
      <formula2>100</formula2>
    </dataValidation>
    <dataValidation type="list" allowBlank="1" showInputMessage="1" showErrorMessage="1" sqref="H175">
      <formula1>'MasterData'!$B$1:$B$14</formula1>
    </dataValidation>
    <dataValidation type="list" allowBlank="1" showInputMessage="1" showErrorMessage="1" sqref="I175">
      <formula1>'MasterData'!$E$1541:$E$1550</formula1>
    </dataValidation>
    <dataValidation type="decimal" operator="greaterThanOrEqual" allowBlank="1" showInputMessage="1" showErrorMessage="1" sqref="K175">
      <formula1>0</formula1>
    </dataValidation>
    <dataValidation type="decimal" allowBlank="1" showInputMessage="1" showErrorMessage="1" sqref="N175">
      <formula1>0</formula1>
      <formula2>100</formula2>
    </dataValidation>
    <dataValidation type="decimal" allowBlank="1" showInputMessage="1" showErrorMessage="1" sqref="O175">
      <formula1>0</formula1>
      <formula2>100</formula2>
    </dataValidation>
    <dataValidation type="list" allowBlank="1" showInputMessage="1" showErrorMessage="1" sqref="H176">
      <formula1>'MasterData'!$B$1:$B$14</formula1>
    </dataValidation>
    <dataValidation type="list" allowBlank="1" showInputMessage="1" showErrorMessage="1" sqref="I176">
      <formula1>'MasterData'!$E$1551:$E$1560</formula1>
    </dataValidation>
    <dataValidation type="decimal" operator="greaterThanOrEqual" allowBlank="1" showInputMessage="1" showErrorMessage="1" sqref="K176">
      <formula1>0</formula1>
    </dataValidation>
    <dataValidation type="decimal" allowBlank="1" showInputMessage="1" showErrorMessage="1" sqref="N176">
      <formula1>0</formula1>
      <formula2>100</formula2>
    </dataValidation>
    <dataValidation type="decimal" allowBlank="1" showInputMessage="1" showErrorMessage="1" sqref="O176">
      <formula1>0</formula1>
      <formula2>100</formula2>
    </dataValidation>
    <dataValidation type="list" allowBlank="1" showInputMessage="1" showErrorMessage="1" sqref="H177">
      <formula1>'MasterData'!$B$1:$B$14</formula1>
    </dataValidation>
    <dataValidation type="list" allowBlank="1" showInputMessage="1" showErrorMessage="1" sqref="I177">
      <formula1>'MasterData'!$E$1561:$E$1570</formula1>
    </dataValidation>
    <dataValidation type="decimal" operator="greaterThanOrEqual" allowBlank="1" showInputMessage="1" showErrorMessage="1" sqref="K177">
      <formula1>0</formula1>
    </dataValidation>
    <dataValidation type="decimal" allowBlank="1" showInputMessage="1" showErrorMessage="1" sqref="N177">
      <formula1>0</formula1>
      <formula2>100</formula2>
    </dataValidation>
    <dataValidation type="decimal" allowBlank="1" showInputMessage="1" showErrorMessage="1" sqref="O177">
      <formula1>0</formula1>
      <formula2>100</formula2>
    </dataValidation>
    <dataValidation type="list" allowBlank="1" showInputMessage="1" showErrorMessage="1" sqref="H178">
      <formula1>'MasterData'!$B$1:$B$14</formula1>
    </dataValidation>
    <dataValidation type="list" allowBlank="1" showInputMessage="1" showErrorMessage="1" sqref="I178">
      <formula1>'MasterData'!$E$1571:$E$1580</formula1>
    </dataValidation>
    <dataValidation type="decimal" operator="greaterThanOrEqual" allowBlank="1" showInputMessage="1" showErrorMessage="1" sqref="K178">
      <formula1>0</formula1>
    </dataValidation>
    <dataValidation type="decimal" allowBlank="1" showInputMessage="1" showErrorMessage="1" sqref="N178">
      <formula1>0</formula1>
      <formula2>100</formula2>
    </dataValidation>
    <dataValidation type="decimal" allowBlank="1" showInputMessage="1" showErrorMessage="1" sqref="O178">
      <formula1>0</formula1>
      <formula2>100</formula2>
    </dataValidation>
    <dataValidation type="list" allowBlank="1" showInputMessage="1" showErrorMessage="1" sqref="H179">
      <formula1>'MasterData'!$B$1:$B$14</formula1>
    </dataValidation>
    <dataValidation type="list" allowBlank="1" showInputMessage="1" showErrorMessage="1" sqref="I179">
      <formula1>'MasterData'!$E$1581:$E$1590</formula1>
    </dataValidation>
    <dataValidation type="decimal" operator="greaterThanOrEqual" allowBlank="1" showInputMessage="1" showErrorMessage="1" sqref="K179">
      <formula1>0</formula1>
    </dataValidation>
    <dataValidation type="decimal" allowBlank="1" showInputMessage="1" showErrorMessage="1" sqref="N179">
      <formula1>0</formula1>
      <formula2>100</formula2>
    </dataValidation>
    <dataValidation type="decimal" allowBlank="1" showInputMessage="1" showErrorMessage="1" sqref="O179">
      <formula1>0</formula1>
      <formula2>100</formula2>
    </dataValidation>
    <dataValidation type="list" allowBlank="1" showInputMessage="1" showErrorMessage="1" sqref="H180">
      <formula1>'MasterData'!$B$1:$B$14</formula1>
    </dataValidation>
    <dataValidation type="list" allowBlank="1" showInputMessage="1" showErrorMessage="1" sqref="I180">
      <formula1>'MasterData'!$E$1591:$E$1600</formula1>
    </dataValidation>
    <dataValidation type="decimal" operator="greaterThanOrEqual" allowBlank="1" showInputMessage="1" showErrorMessage="1" sqref="K180">
      <formula1>0</formula1>
    </dataValidation>
    <dataValidation type="decimal" allowBlank="1" showInputMessage="1" showErrorMessage="1" sqref="N180">
      <formula1>0</formula1>
      <formula2>100</formula2>
    </dataValidation>
    <dataValidation type="decimal" allowBlank="1" showInputMessage="1" showErrorMessage="1" sqref="O180">
      <formula1>0</formula1>
      <formula2>100</formula2>
    </dataValidation>
    <dataValidation type="list" allowBlank="1" showInputMessage="1" showErrorMessage="1" sqref="H181">
      <formula1>'MasterData'!$B$1:$B$14</formula1>
    </dataValidation>
    <dataValidation type="list" allowBlank="1" showInputMessage="1" showErrorMessage="1" sqref="I181">
      <formula1>'MasterData'!$E$1601:$E$1610</formula1>
    </dataValidation>
    <dataValidation type="decimal" operator="greaterThanOrEqual" allowBlank="1" showInputMessage="1" showErrorMessage="1" sqref="K181">
      <formula1>0</formula1>
    </dataValidation>
    <dataValidation type="decimal" allowBlank="1" showInputMessage="1" showErrorMessage="1" sqref="N181">
      <formula1>0</formula1>
      <formula2>100</formula2>
    </dataValidation>
    <dataValidation type="decimal" allowBlank="1" showInputMessage="1" showErrorMessage="1" sqref="O181">
      <formula1>0</formula1>
      <formula2>100</formula2>
    </dataValidation>
    <dataValidation type="list" allowBlank="1" showInputMessage="1" showErrorMessage="1" sqref="H182">
      <formula1>'MasterData'!$B$1:$B$14</formula1>
    </dataValidation>
    <dataValidation type="list" allowBlank="1" showInputMessage="1" showErrorMessage="1" sqref="I182">
      <formula1>'MasterData'!$E$1611:$E$1620</formula1>
    </dataValidation>
    <dataValidation type="decimal" operator="greaterThanOrEqual" allowBlank="1" showInputMessage="1" showErrorMessage="1" sqref="K182">
      <formula1>0</formula1>
    </dataValidation>
    <dataValidation type="decimal" allowBlank="1" showInputMessage="1" showErrorMessage="1" sqref="N182">
      <formula1>0</formula1>
      <formula2>100</formula2>
    </dataValidation>
    <dataValidation type="decimal" allowBlank="1" showInputMessage="1" showErrorMessage="1" sqref="O182">
      <formula1>0</formula1>
      <formula2>100</formula2>
    </dataValidation>
    <dataValidation type="list" allowBlank="1" showInputMessage="1" showErrorMessage="1" sqref="H183">
      <formula1>'MasterData'!$B$1:$B$14</formula1>
    </dataValidation>
    <dataValidation type="list" allowBlank="1" showInputMessage="1" showErrorMessage="1" sqref="I183">
      <formula1>'MasterData'!$E$1621:$E$1630</formula1>
    </dataValidation>
    <dataValidation type="decimal" operator="greaterThanOrEqual" allowBlank="1" showInputMessage="1" showErrorMessage="1" sqref="K183">
      <formula1>0</formula1>
    </dataValidation>
    <dataValidation type="decimal" allowBlank="1" showInputMessage="1" showErrorMessage="1" sqref="N183">
      <formula1>0</formula1>
      <formula2>100</formula2>
    </dataValidation>
    <dataValidation type="decimal" allowBlank="1" showInputMessage="1" showErrorMessage="1" sqref="O183">
      <formula1>0</formula1>
      <formula2>100</formula2>
    </dataValidation>
    <dataValidation type="list" allowBlank="1" showInputMessage="1" showErrorMessage="1" sqref="H184">
      <formula1>'MasterData'!$B$1:$B$14</formula1>
    </dataValidation>
    <dataValidation type="list" allowBlank="1" showInputMessage="1" showErrorMessage="1" sqref="I184">
      <formula1>'MasterData'!$E$1631:$E$1640</formula1>
    </dataValidation>
    <dataValidation type="decimal" operator="greaterThanOrEqual" allowBlank="1" showInputMessage="1" showErrorMessage="1" sqref="K184">
      <formula1>0</formula1>
    </dataValidation>
    <dataValidation type="decimal" allowBlank="1" showInputMessage="1" showErrorMessage="1" sqref="N184">
      <formula1>0</formula1>
      <formula2>100</formula2>
    </dataValidation>
    <dataValidation type="decimal" allowBlank="1" showInputMessage="1" showErrorMessage="1" sqref="O184">
      <formula1>0</formula1>
      <formula2>100</formula2>
    </dataValidation>
    <dataValidation type="list" allowBlank="1" showInputMessage="1" showErrorMessage="1" sqref="H185">
      <formula1>'MasterData'!$B$1:$B$14</formula1>
    </dataValidation>
    <dataValidation type="list" allowBlank="1" showInputMessage="1" showErrorMessage="1" sqref="I185">
      <formula1>'MasterData'!$E$1641:$E$1650</formula1>
    </dataValidation>
    <dataValidation type="decimal" operator="greaterThanOrEqual" allowBlank="1" showInputMessage="1" showErrorMessage="1" sqref="K185">
      <formula1>0</formula1>
    </dataValidation>
    <dataValidation type="decimal" allowBlank="1" showInputMessage="1" showErrorMessage="1" sqref="N185">
      <formula1>0</formula1>
      <formula2>100</formula2>
    </dataValidation>
    <dataValidation type="decimal" allowBlank="1" showInputMessage="1" showErrorMessage="1" sqref="O185">
      <formula1>0</formula1>
      <formula2>100</formula2>
    </dataValidation>
    <dataValidation type="list" allowBlank="1" showInputMessage="1" showErrorMessage="1" sqref="H186">
      <formula1>'MasterData'!$B$1:$B$14</formula1>
    </dataValidation>
    <dataValidation type="list" allowBlank="1" showInputMessage="1" showErrorMessage="1" sqref="I186">
      <formula1>'MasterData'!$E$1651:$E$1660</formula1>
    </dataValidation>
    <dataValidation type="decimal" operator="greaterThanOrEqual" allowBlank="1" showInputMessage="1" showErrorMessage="1" sqref="K186">
      <formula1>0</formula1>
    </dataValidation>
    <dataValidation type="decimal" allowBlank="1" showInputMessage="1" showErrorMessage="1" sqref="N186">
      <formula1>0</formula1>
      <formula2>100</formula2>
    </dataValidation>
    <dataValidation type="decimal" allowBlank="1" showInputMessage="1" showErrorMessage="1" sqref="O186">
      <formula1>0</formula1>
      <formula2>100</formula2>
    </dataValidation>
    <dataValidation type="list" allowBlank="1" showInputMessage="1" showErrorMessage="1" sqref="H187">
      <formula1>'MasterData'!$B$1:$B$14</formula1>
    </dataValidation>
    <dataValidation type="list" allowBlank="1" showInputMessage="1" showErrorMessage="1" sqref="I187">
      <formula1>'MasterData'!$E$1661:$E$1670</formula1>
    </dataValidation>
    <dataValidation type="decimal" operator="greaterThanOrEqual" allowBlank="1" showInputMessage="1" showErrorMessage="1" sqref="K187">
      <formula1>0</formula1>
    </dataValidation>
    <dataValidation type="decimal" allowBlank="1" showInputMessage="1" showErrorMessage="1" sqref="N187">
      <formula1>0</formula1>
      <formula2>100</formula2>
    </dataValidation>
    <dataValidation type="decimal" allowBlank="1" showInputMessage="1" showErrorMessage="1" sqref="O187">
      <formula1>0</formula1>
      <formula2>100</formula2>
    </dataValidation>
    <dataValidation type="list" allowBlank="1" showInputMessage="1" showErrorMessage="1" sqref="H188">
      <formula1>'MasterData'!$B$1:$B$14</formula1>
    </dataValidation>
    <dataValidation type="list" allowBlank="1" showInputMessage="1" showErrorMessage="1" sqref="I188">
      <formula1>'MasterData'!$E$1671:$E$1680</formula1>
    </dataValidation>
    <dataValidation type="decimal" operator="greaterThanOrEqual" allowBlank="1" showInputMessage="1" showErrorMessage="1" sqref="K188">
      <formula1>0</formula1>
    </dataValidation>
    <dataValidation type="decimal" allowBlank="1" showInputMessage="1" showErrorMessage="1" sqref="N188">
      <formula1>0</formula1>
      <formula2>100</formula2>
    </dataValidation>
    <dataValidation type="decimal" allowBlank="1" showInputMessage="1" showErrorMessage="1" sqref="O188">
      <formula1>0</formula1>
      <formula2>100</formula2>
    </dataValidation>
    <dataValidation type="list" allowBlank="1" showInputMessage="1" showErrorMessage="1" sqref="H189">
      <formula1>'MasterData'!$B$1:$B$14</formula1>
    </dataValidation>
    <dataValidation type="list" allowBlank="1" showInputMessage="1" showErrorMessage="1" sqref="I189">
      <formula1>'MasterData'!$E$1681:$E$1690</formula1>
    </dataValidation>
    <dataValidation type="decimal" operator="greaterThanOrEqual" allowBlank="1" showInputMessage="1" showErrorMessage="1" sqref="K189">
      <formula1>0</formula1>
    </dataValidation>
    <dataValidation type="decimal" allowBlank="1" showInputMessage="1" showErrorMessage="1" sqref="N189">
      <formula1>0</formula1>
      <formula2>100</formula2>
    </dataValidation>
    <dataValidation type="decimal" allowBlank="1" showInputMessage="1" showErrorMessage="1" sqref="O189">
      <formula1>0</formula1>
      <formula2>100</formula2>
    </dataValidation>
    <dataValidation type="list" allowBlank="1" showInputMessage="1" showErrorMessage="1" sqref="H190">
      <formula1>'MasterData'!$B$1:$B$14</formula1>
    </dataValidation>
    <dataValidation type="list" allowBlank="1" showInputMessage="1" showErrorMessage="1" sqref="I190">
      <formula1>'MasterData'!$E$1691:$E$1700</formula1>
    </dataValidation>
    <dataValidation type="decimal" operator="greaterThanOrEqual" allowBlank="1" showInputMessage="1" showErrorMessage="1" sqref="K190">
      <formula1>0</formula1>
    </dataValidation>
    <dataValidation type="decimal" allowBlank="1" showInputMessage="1" showErrorMessage="1" sqref="N190">
      <formula1>0</formula1>
      <formula2>100</formula2>
    </dataValidation>
    <dataValidation type="decimal" allowBlank="1" showInputMessage="1" showErrorMessage="1" sqref="O190">
      <formula1>0</formula1>
      <formula2>100</formula2>
    </dataValidation>
    <dataValidation type="list" allowBlank="1" showInputMessage="1" showErrorMessage="1" sqref="H191">
      <formula1>'MasterData'!$B$1:$B$14</formula1>
    </dataValidation>
    <dataValidation type="list" allowBlank="1" showInputMessage="1" showErrorMessage="1" sqref="I191">
      <formula1>'MasterData'!$E$1701:$E$1710</formula1>
    </dataValidation>
    <dataValidation type="decimal" operator="greaterThanOrEqual" allowBlank="1" showInputMessage="1" showErrorMessage="1" sqref="K191">
      <formula1>0</formula1>
    </dataValidation>
    <dataValidation type="decimal" allowBlank="1" showInputMessage="1" showErrorMessage="1" sqref="N191">
      <formula1>0</formula1>
      <formula2>100</formula2>
    </dataValidation>
    <dataValidation type="decimal" allowBlank="1" showInputMessage="1" showErrorMessage="1" sqref="O191">
      <formula1>0</formula1>
      <formula2>100</formula2>
    </dataValidation>
    <dataValidation type="list" allowBlank="1" showInputMessage="1" showErrorMessage="1" sqref="H192">
      <formula1>'MasterData'!$B$1:$B$14</formula1>
    </dataValidation>
    <dataValidation type="list" allowBlank="1" showInputMessage="1" showErrorMessage="1" sqref="I192">
      <formula1>'MasterData'!$E$1711:$E$1720</formula1>
    </dataValidation>
    <dataValidation type="decimal" operator="greaterThanOrEqual" allowBlank="1" showInputMessage="1" showErrorMessage="1" sqref="K192">
      <formula1>0</formula1>
    </dataValidation>
    <dataValidation type="decimal" allowBlank="1" showInputMessage="1" showErrorMessage="1" sqref="N192">
      <formula1>0</formula1>
      <formula2>100</formula2>
    </dataValidation>
    <dataValidation type="decimal" allowBlank="1" showInputMessage="1" showErrorMessage="1" sqref="O192">
      <formula1>0</formula1>
      <formula2>100</formula2>
    </dataValidation>
    <dataValidation type="list" allowBlank="1" showInputMessage="1" showErrorMessage="1" sqref="H193">
      <formula1>'MasterData'!$B$1:$B$14</formula1>
    </dataValidation>
    <dataValidation type="list" allowBlank="1" showInputMessage="1" showErrorMessage="1" sqref="I193">
      <formula1>'MasterData'!$E$1721:$E$1730</formula1>
    </dataValidation>
    <dataValidation type="decimal" operator="greaterThanOrEqual" allowBlank="1" showInputMessage="1" showErrorMessage="1" sqref="K193">
      <formula1>0</formula1>
    </dataValidation>
    <dataValidation type="decimal" allowBlank="1" showInputMessage="1" showErrorMessage="1" sqref="N193">
      <formula1>0</formula1>
      <formula2>100</formula2>
    </dataValidation>
    <dataValidation type="decimal" allowBlank="1" showInputMessage="1" showErrorMessage="1" sqref="O193">
      <formula1>0</formula1>
      <formula2>100</formula2>
    </dataValidation>
    <dataValidation type="list" allowBlank="1" showInputMessage="1" showErrorMessage="1" sqref="H194">
      <formula1>'MasterData'!$B$1:$B$14</formula1>
    </dataValidation>
    <dataValidation type="list" allowBlank="1" showInputMessage="1" showErrorMessage="1" sqref="I194">
      <formula1>'MasterData'!$E$1731:$E$1740</formula1>
    </dataValidation>
    <dataValidation type="decimal" operator="greaterThanOrEqual" allowBlank="1" showInputMessage="1" showErrorMessage="1" sqref="K194">
      <formula1>0</formula1>
    </dataValidation>
    <dataValidation type="decimal" allowBlank="1" showInputMessage="1" showErrorMessage="1" sqref="N194">
      <formula1>0</formula1>
      <formula2>100</formula2>
    </dataValidation>
    <dataValidation type="decimal" allowBlank="1" showInputMessage="1" showErrorMessage="1" sqref="O194">
      <formula1>0</formula1>
      <formula2>100</formula2>
    </dataValidation>
    <dataValidation type="list" allowBlank="1" showInputMessage="1" showErrorMessage="1" sqref="H195">
      <formula1>'MasterData'!$B$1:$B$14</formula1>
    </dataValidation>
    <dataValidation type="list" allowBlank="1" showInputMessage="1" showErrorMessage="1" sqref="I195">
      <formula1>'MasterData'!$E$1741:$E$1750</formula1>
    </dataValidation>
    <dataValidation type="decimal" operator="greaterThanOrEqual" allowBlank="1" showInputMessage="1" showErrorMessage="1" sqref="K195">
      <formula1>0</formula1>
    </dataValidation>
    <dataValidation type="decimal" allowBlank="1" showInputMessage="1" showErrorMessage="1" sqref="N195">
      <formula1>0</formula1>
      <formula2>100</formula2>
    </dataValidation>
    <dataValidation type="decimal" allowBlank="1" showInputMessage="1" showErrorMessage="1" sqref="O195">
      <formula1>0</formula1>
      <formula2>100</formula2>
    </dataValidation>
    <dataValidation type="list" allowBlank="1" showInputMessage="1" showErrorMessage="1" sqref="H196">
      <formula1>'MasterData'!$B$1:$B$14</formula1>
    </dataValidation>
    <dataValidation type="list" allowBlank="1" showInputMessage="1" showErrorMessage="1" sqref="I196">
      <formula1>'MasterData'!$E$1751:$E$1760</formula1>
    </dataValidation>
    <dataValidation type="decimal" operator="greaterThanOrEqual" allowBlank="1" showInputMessage="1" showErrorMessage="1" sqref="K196">
      <formula1>0</formula1>
    </dataValidation>
    <dataValidation type="decimal" allowBlank="1" showInputMessage="1" showErrorMessage="1" sqref="N196">
      <formula1>0</formula1>
      <formula2>100</formula2>
    </dataValidation>
    <dataValidation type="decimal" allowBlank="1" showInputMessage="1" showErrorMessage="1" sqref="O196">
      <formula1>0</formula1>
      <formula2>100</formula2>
    </dataValidation>
    <dataValidation type="list" allowBlank="1" showInputMessage="1" showErrorMessage="1" sqref="H197">
      <formula1>'MasterData'!$B$1:$B$14</formula1>
    </dataValidation>
    <dataValidation type="list" allowBlank="1" showInputMessage="1" showErrorMessage="1" sqref="I197">
      <formula1>'MasterData'!$E$1761:$E$1770</formula1>
    </dataValidation>
    <dataValidation type="decimal" operator="greaterThanOrEqual" allowBlank="1" showInputMessage="1" showErrorMessage="1" sqref="K197">
      <formula1>0</formula1>
    </dataValidation>
    <dataValidation type="decimal" allowBlank="1" showInputMessage="1" showErrorMessage="1" sqref="N197">
      <formula1>0</formula1>
      <formula2>100</formula2>
    </dataValidation>
    <dataValidation type="decimal" allowBlank="1" showInputMessage="1" showErrorMessage="1" sqref="O197">
      <formula1>0</formula1>
      <formula2>100</formula2>
    </dataValidation>
    <dataValidation type="list" allowBlank="1" showInputMessage="1" showErrorMessage="1" sqref="H198">
      <formula1>'MasterData'!$B$1:$B$14</formula1>
    </dataValidation>
    <dataValidation type="list" allowBlank="1" showInputMessage="1" showErrorMessage="1" sqref="I198">
      <formula1>'MasterData'!$E$1771:$E$1780</formula1>
    </dataValidation>
    <dataValidation type="decimal" operator="greaterThanOrEqual" allowBlank="1" showInputMessage="1" showErrorMessage="1" sqref="K198">
      <formula1>0</formula1>
    </dataValidation>
    <dataValidation type="decimal" allowBlank="1" showInputMessage="1" showErrorMessage="1" sqref="N198">
      <formula1>0</formula1>
      <formula2>100</formula2>
    </dataValidation>
    <dataValidation type="decimal" allowBlank="1" showInputMessage="1" showErrorMessage="1" sqref="O198">
      <formula1>0</formula1>
      <formula2>100</formula2>
    </dataValidation>
    <dataValidation type="list" allowBlank="1" showInputMessage="1" showErrorMessage="1" sqref="H199">
      <formula1>'MasterData'!$B$1:$B$14</formula1>
    </dataValidation>
    <dataValidation type="list" allowBlank="1" showInputMessage="1" showErrorMessage="1" sqref="I199">
      <formula1>'MasterData'!$E$1781:$E$1790</formula1>
    </dataValidation>
    <dataValidation type="decimal" operator="greaterThanOrEqual" allowBlank="1" showInputMessage="1" showErrorMessage="1" sqref="K199">
      <formula1>0</formula1>
    </dataValidation>
    <dataValidation type="decimal" allowBlank="1" showInputMessage="1" showErrorMessage="1" sqref="N199">
      <formula1>0</formula1>
      <formula2>100</formula2>
    </dataValidation>
    <dataValidation type="decimal" allowBlank="1" showInputMessage="1" showErrorMessage="1" sqref="O199">
      <formula1>0</formula1>
      <formula2>100</formula2>
    </dataValidation>
    <dataValidation type="list" allowBlank="1" showInputMessage="1" showErrorMessage="1" sqref="H200">
      <formula1>'MasterData'!$B$1:$B$14</formula1>
    </dataValidation>
    <dataValidation type="list" allowBlank="1" showInputMessage="1" showErrorMessage="1" sqref="I200">
      <formula1>'MasterData'!$E$1791:$E$1800</formula1>
    </dataValidation>
    <dataValidation type="decimal" operator="greaterThanOrEqual" allowBlank="1" showInputMessage="1" showErrorMessage="1" sqref="K200">
      <formula1>0</formula1>
    </dataValidation>
    <dataValidation type="decimal" allowBlank="1" showInputMessage="1" showErrorMessage="1" sqref="N200">
      <formula1>0</formula1>
      <formula2>100</formula2>
    </dataValidation>
    <dataValidation type="decimal" allowBlank="1" showInputMessage="1" showErrorMessage="1" sqref="O200">
      <formula1>0</formula1>
      <formula2>100</formula2>
    </dataValidation>
    <dataValidation type="list" allowBlank="1" showInputMessage="1" showErrorMessage="1" sqref="H201">
      <formula1>'MasterData'!$B$1:$B$14</formula1>
    </dataValidation>
    <dataValidation type="list" allowBlank="1" showInputMessage="1" showErrorMessage="1" sqref="I201">
      <formula1>'MasterData'!$E$1801:$E$1810</formula1>
    </dataValidation>
    <dataValidation type="decimal" operator="greaterThanOrEqual" allowBlank="1" showInputMessage="1" showErrorMessage="1" sqref="K201">
      <formula1>0</formula1>
    </dataValidation>
    <dataValidation type="decimal" allowBlank="1" showInputMessage="1" showErrorMessage="1" sqref="N201">
      <formula1>0</formula1>
      <formula2>100</formula2>
    </dataValidation>
    <dataValidation type="decimal" allowBlank="1" showInputMessage="1" showErrorMessage="1" sqref="O201">
      <formula1>0</formula1>
      <formula2>100</formula2>
    </dataValidation>
    <dataValidation type="list" allowBlank="1" showInputMessage="1" showErrorMessage="1" sqref="H202">
      <formula1>'MasterData'!$B$1:$B$14</formula1>
    </dataValidation>
    <dataValidation type="list" allowBlank="1" showInputMessage="1" showErrorMessage="1" sqref="I202">
      <formula1>'MasterData'!$E$1811:$E$1820</formula1>
    </dataValidation>
    <dataValidation type="decimal" operator="greaterThanOrEqual" allowBlank="1" showInputMessage="1" showErrorMessage="1" sqref="K202">
      <formula1>0</formula1>
    </dataValidation>
    <dataValidation type="decimal" allowBlank="1" showInputMessage="1" showErrorMessage="1" sqref="N202">
      <formula1>0</formula1>
      <formula2>100</formula2>
    </dataValidation>
    <dataValidation type="decimal" allowBlank="1" showInputMessage="1" showErrorMessage="1" sqref="O202">
      <formula1>0</formula1>
      <formula2>100</formula2>
    </dataValidation>
    <dataValidation type="list" allowBlank="1" showInputMessage="1" showErrorMessage="1" sqref="H203">
      <formula1>'MasterData'!$B$1:$B$14</formula1>
    </dataValidation>
    <dataValidation type="list" allowBlank="1" showInputMessage="1" showErrorMessage="1" sqref="I203">
      <formula1>'MasterData'!$E$1821:$E$1830</formula1>
    </dataValidation>
    <dataValidation type="decimal" operator="greaterThanOrEqual" allowBlank="1" showInputMessage="1" showErrorMessage="1" sqref="K203">
      <formula1>0</formula1>
    </dataValidation>
    <dataValidation type="decimal" allowBlank="1" showInputMessage="1" showErrorMessage="1" sqref="N203">
      <formula1>0</formula1>
      <formula2>100</formula2>
    </dataValidation>
    <dataValidation type="decimal" allowBlank="1" showInputMessage="1" showErrorMessage="1" sqref="O203">
      <formula1>0</formula1>
      <formula2>100</formula2>
    </dataValidation>
    <dataValidation type="list" allowBlank="1" showInputMessage="1" showErrorMessage="1" sqref="H204">
      <formula1>'MasterData'!$B$1:$B$14</formula1>
    </dataValidation>
    <dataValidation type="list" allowBlank="1" showInputMessage="1" showErrorMessage="1" sqref="I204">
      <formula1>'MasterData'!$E$1831:$E$1840</formula1>
    </dataValidation>
    <dataValidation type="decimal" operator="greaterThanOrEqual" allowBlank="1" showInputMessage="1" showErrorMessage="1" sqref="K204">
      <formula1>0</formula1>
    </dataValidation>
    <dataValidation type="decimal" allowBlank="1" showInputMessage="1" showErrorMessage="1" sqref="N204">
      <formula1>0</formula1>
      <formula2>100</formula2>
    </dataValidation>
    <dataValidation type="decimal" allowBlank="1" showInputMessage="1" showErrorMessage="1" sqref="O204">
      <formula1>0</formula1>
      <formula2>100</formula2>
    </dataValidation>
    <dataValidation type="list" allowBlank="1" showInputMessage="1" showErrorMessage="1" sqref="H205">
      <formula1>'MasterData'!$B$1:$B$14</formula1>
    </dataValidation>
    <dataValidation type="list" allowBlank="1" showInputMessage="1" showErrorMessage="1" sqref="I205">
      <formula1>'MasterData'!$E$1841:$E$1850</formula1>
    </dataValidation>
    <dataValidation type="decimal" operator="greaterThanOrEqual" allowBlank="1" showInputMessage="1" showErrorMessage="1" sqref="K205">
      <formula1>0</formula1>
    </dataValidation>
    <dataValidation type="decimal" allowBlank="1" showInputMessage="1" showErrorMessage="1" sqref="N205">
      <formula1>0</formula1>
      <formula2>100</formula2>
    </dataValidation>
    <dataValidation type="decimal" allowBlank="1" showInputMessage="1" showErrorMessage="1" sqref="O205">
      <formula1>0</formula1>
      <formula2>100</formula2>
    </dataValidation>
    <dataValidation type="list" allowBlank="1" showInputMessage="1" showErrorMessage="1" sqref="H206">
      <formula1>'MasterData'!$B$1:$B$14</formula1>
    </dataValidation>
    <dataValidation type="list" allowBlank="1" showInputMessage="1" showErrorMessage="1" sqref="I206">
      <formula1>'MasterData'!$E$1851:$E$1860</formula1>
    </dataValidation>
    <dataValidation type="decimal" operator="greaterThanOrEqual" allowBlank="1" showInputMessage="1" showErrorMessage="1" sqref="K206">
      <formula1>0</formula1>
    </dataValidation>
    <dataValidation type="decimal" allowBlank="1" showInputMessage="1" showErrorMessage="1" sqref="N206">
      <formula1>0</formula1>
      <formula2>100</formula2>
    </dataValidation>
    <dataValidation type="decimal" allowBlank="1" showInputMessage="1" showErrorMessage="1" sqref="O206">
      <formula1>0</formula1>
      <formula2>100</formula2>
    </dataValidation>
    <dataValidation type="list" allowBlank="1" showInputMessage="1" showErrorMessage="1" sqref="H207">
      <formula1>'MasterData'!$B$1:$B$14</formula1>
    </dataValidation>
    <dataValidation type="list" allowBlank="1" showInputMessage="1" showErrorMessage="1" sqref="I207">
      <formula1>'MasterData'!$E$1861:$E$1870</formula1>
    </dataValidation>
    <dataValidation type="decimal" operator="greaterThanOrEqual" allowBlank="1" showInputMessage="1" showErrorMessage="1" sqref="K207">
      <formula1>0</formula1>
    </dataValidation>
    <dataValidation type="decimal" allowBlank="1" showInputMessage="1" showErrorMessage="1" sqref="N207">
      <formula1>0</formula1>
      <formula2>100</formula2>
    </dataValidation>
    <dataValidation type="decimal" allowBlank="1" showInputMessage="1" showErrorMessage="1" sqref="O207">
      <formula1>0</formula1>
      <formula2>100</formula2>
    </dataValidation>
    <dataValidation type="list" allowBlank="1" showInputMessage="1" showErrorMessage="1" sqref="H208">
      <formula1>'MasterData'!$B$1:$B$14</formula1>
    </dataValidation>
    <dataValidation type="list" allowBlank="1" showInputMessage="1" showErrorMessage="1" sqref="I208">
      <formula1>'MasterData'!$E$1871:$E$1880</formula1>
    </dataValidation>
    <dataValidation type="decimal" operator="greaterThanOrEqual" allowBlank="1" showInputMessage="1" showErrorMessage="1" sqref="K208">
      <formula1>0</formula1>
    </dataValidation>
    <dataValidation type="decimal" allowBlank="1" showInputMessage="1" showErrorMessage="1" sqref="N208">
      <formula1>0</formula1>
      <formula2>100</formula2>
    </dataValidation>
    <dataValidation type="decimal" allowBlank="1" showInputMessage="1" showErrorMessage="1" sqref="O208">
      <formula1>0</formula1>
      <formula2>100</formula2>
    </dataValidation>
    <dataValidation type="list" allowBlank="1" showInputMessage="1" showErrorMessage="1" sqref="H209">
      <formula1>'MasterData'!$B$1:$B$14</formula1>
    </dataValidation>
    <dataValidation type="list" allowBlank="1" showInputMessage="1" showErrorMessage="1" sqref="I209">
      <formula1>'MasterData'!$E$1881:$E$1890</formula1>
    </dataValidation>
    <dataValidation type="decimal" operator="greaterThanOrEqual" allowBlank="1" showInputMessage="1" showErrorMessage="1" sqref="K209">
      <formula1>0</formula1>
    </dataValidation>
    <dataValidation type="decimal" allowBlank="1" showInputMessage="1" showErrorMessage="1" sqref="N209">
      <formula1>0</formula1>
      <formula2>100</formula2>
    </dataValidation>
    <dataValidation type="decimal" allowBlank="1" showInputMessage="1" showErrorMessage="1" sqref="O209">
      <formula1>0</formula1>
      <formula2>100</formula2>
    </dataValidation>
    <dataValidation type="list" allowBlank="1" showInputMessage="1" showErrorMessage="1" sqref="H210">
      <formula1>'MasterData'!$B$1:$B$14</formula1>
    </dataValidation>
    <dataValidation type="list" allowBlank="1" showInputMessage="1" showErrorMessage="1" sqref="I210">
      <formula1>'MasterData'!$E$1891:$E$1900</formula1>
    </dataValidation>
    <dataValidation type="decimal" operator="greaterThanOrEqual" allowBlank="1" showInputMessage="1" showErrorMessage="1" sqref="K210">
      <formula1>0</formula1>
    </dataValidation>
    <dataValidation type="decimal" allowBlank="1" showInputMessage="1" showErrorMessage="1" sqref="N210">
      <formula1>0</formula1>
      <formula2>100</formula2>
    </dataValidation>
    <dataValidation type="decimal" allowBlank="1" showInputMessage="1" showErrorMessage="1" sqref="O210">
      <formula1>0</formula1>
      <formula2>100</formula2>
    </dataValidation>
    <dataValidation type="list" allowBlank="1" showInputMessage="1" showErrorMessage="1" sqref="H211">
      <formula1>'MasterData'!$B$1:$B$14</formula1>
    </dataValidation>
    <dataValidation type="list" allowBlank="1" showInputMessage="1" showErrorMessage="1" sqref="I211">
      <formula1>'MasterData'!$E$1901:$E$1910</formula1>
    </dataValidation>
    <dataValidation type="decimal" operator="greaterThanOrEqual" allowBlank="1" showInputMessage="1" showErrorMessage="1" sqref="K211">
      <formula1>0</formula1>
    </dataValidation>
    <dataValidation type="decimal" allowBlank="1" showInputMessage="1" showErrorMessage="1" sqref="N211">
      <formula1>0</formula1>
      <formula2>100</formula2>
    </dataValidation>
    <dataValidation type="decimal" allowBlank="1" showInputMessage="1" showErrorMessage="1" sqref="O211">
      <formula1>0</formula1>
      <formula2>100</formula2>
    </dataValidation>
    <dataValidation type="list" allowBlank="1" showInputMessage="1" showErrorMessage="1" sqref="H212">
      <formula1>'MasterData'!$B$1:$B$14</formula1>
    </dataValidation>
    <dataValidation type="list" allowBlank="1" showInputMessage="1" showErrorMessage="1" sqref="I212">
      <formula1>'MasterData'!$E$1911:$E$1920</formula1>
    </dataValidation>
    <dataValidation type="decimal" operator="greaterThanOrEqual" allowBlank="1" showInputMessage="1" showErrorMessage="1" sqref="K212">
      <formula1>0</formula1>
    </dataValidation>
    <dataValidation type="decimal" allowBlank="1" showInputMessage="1" showErrorMessage="1" sqref="N212">
      <formula1>0</formula1>
      <formula2>100</formula2>
    </dataValidation>
    <dataValidation type="decimal" allowBlank="1" showInputMessage="1" showErrorMessage="1" sqref="O212">
      <formula1>0</formula1>
      <formula2>100</formula2>
    </dataValidation>
    <dataValidation type="list" allowBlank="1" showInputMessage="1" showErrorMessage="1" sqref="H213">
      <formula1>'MasterData'!$B$1:$B$14</formula1>
    </dataValidation>
    <dataValidation type="list" allowBlank="1" showInputMessage="1" showErrorMessage="1" sqref="I213">
      <formula1>'MasterData'!$E$1921:$E$1930</formula1>
    </dataValidation>
    <dataValidation type="decimal" operator="greaterThanOrEqual" allowBlank="1" showInputMessage="1" showErrorMessage="1" sqref="K213">
      <formula1>0</formula1>
    </dataValidation>
    <dataValidation type="decimal" allowBlank="1" showInputMessage="1" showErrorMessage="1" sqref="N213">
      <formula1>0</formula1>
      <formula2>100</formula2>
    </dataValidation>
    <dataValidation type="decimal" allowBlank="1" showInputMessage="1" showErrorMessage="1" sqref="O213">
      <formula1>0</formula1>
      <formula2>100</formula2>
    </dataValidation>
    <dataValidation type="list" allowBlank="1" showInputMessage="1" showErrorMessage="1" sqref="H214">
      <formula1>'MasterData'!$B$1:$B$14</formula1>
    </dataValidation>
    <dataValidation type="list" allowBlank="1" showInputMessage="1" showErrorMessage="1" sqref="I214">
      <formula1>'MasterData'!$E$1931:$E$1940</formula1>
    </dataValidation>
    <dataValidation type="decimal" operator="greaterThanOrEqual" allowBlank="1" showInputMessage="1" showErrorMessage="1" sqref="K214">
      <formula1>0</formula1>
    </dataValidation>
    <dataValidation type="decimal" allowBlank="1" showInputMessage="1" showErrorMessage="1" sqref="N214">
      <formula1>0</formula1>
      <formula2>100</formula2>
    </dataValidation>
    <dataValidation type="decimal" allowBlank="1" showInputMessage="1" showErrorMessage="1" sqref="O214">
      <formula1>0</formula1>
      <formula2>100</formula2>
    </dataValidation>
    <dataValidation type="list" allowBlank="1" showInputMessage="1" showErrorMessage="1" sqref="H215">
      <formula1>'MasterData'!$B$1:$B$14</formula1>
    </dataValidation>
    <dataValidation type="list" allowBlank="1" showInputMessage="1" showErrorMessage="1" sqref="I215">
      <formula1>'MasterData'!$E$1941:$E$1950</formula1>
    </dataValidation>
    <dataValidation type="decimal" operator="greaterThanOrEqual" allowBlank="1" showInputMessage="1" showErrorMessage="1" sqref="K215">
      <formula1>0</formula1>
    </dataValidation>
    <dataValidation type="decimal" allowBlank="1" showInputMessage="1" showErrorMessage="1" sqref="N215">
      <formula1>0</formula1>
      <formula2>100</formula2>
    </dataValidation>
    <dataValidation type="decimal" allowBlank="1" showInputMessage="1" showErrorMessage="1" sqref="O215">
      <formula1>0</formula1>
      <formula2>100</formula2>
    </dataValidation>
    <dataValidation type="list" allowBlank="1" showInputMessage="1" showErrorMessage="1" sqref="H216">
      <formula1>'MasterData'!$B$1:$B$14</formula1>
    </dataValidation>
    <dataValidation type="list" allowBlank="1" showInputMessage="1" showErrorMessage="1" sqref="I216">
      <formula1>'MasterData'!$E$1951:$E$1960</formula1>
    </dataValidation>
    <dataValidation type="decimal" operator="greaterThanOrEqual" allowBlank="1" showInputMessage="1" showErrorMessage="1" sqref="K216">
      <formula1>0</formula1>
    </dataValidation>
    <dataValidation type="decimal" allowBlank="1" showInputMessage="1" showErrorMessage="1" sqref="N216">
      <formula1>0</formula1>
      <formula2>100</formula2>
    </dataValidation>
    <dataValidation type="decimal" allowBlank="1" showInputMessage="1" showErrorMessage="1" sqref="O216">
      <formula1>0</formula1>
      <formula2>100</formula2>
    </dataValidation>
    <dataValidation type="list" allowBlank="1" showInputMessage="1" showErrorMessage="1" sqref="H217">
      <formula1>'MasterData'!$B$1:$B$14</formula1>
    </dataValidation>
    <dataValidation type="list" allowBlank="1" showInputMessage="1" showErrorMessage="1" sqref="I217">
      <formula1>'MasterData'!$E$1961:$E$1970</formula1>
    </dataValidation>
    <dataValidation type="decimal" operator="greaterThanOrEqual" allowBlank="1" showInputMessage="1" showErrorMessage="1" sqref="K217">
      <formula1>0</formula1>
    </dataValidation>
    <dataValidation type="decimal" allowBlank="1" showInputMessage="1" showErrorMessage="1" sqref="N217">
      <formula1>0</formula1>
      <formula2>100</formula2>
    </dataValidation>
    <dataValidation type="decimal" allowBlank="1" showInputMessage="1" showErrorMessage="1" sqref="O217">
      <formula1>0</formula1>
      <formula2>100</formula2>
    </dataValidation>
    <dataValidation type="list" allowBlank="1" showInputMessage="1" showErrorMessage="1" sqref="H218">
      <formula1>'MasterData'!$B$1:$B$14</formula1>
    </dataValidation>
    <dataValidation type="list" allowBlank="1" showInputMessage="1" showErrorMessage="1" sqref="I218">
      <formula1>'MasterData'!$E$1971:$E$1980</formula1>
    </dataValidation>
    <dataValidation type="decimal" operator="greaterThanOrEqual" allowBlank="1" showInputMessage="1" showErrorMessage="1" sqref="K218">
      <formula1>0</formula1>
    </dataValidation>
    <dataValidation type="decimal" allowBlank="1" showInputMessage="1" showErrorMessage="1" sqref="N218">
      <formula1>0</formula1>
      <formula2>100</formula2>
    </dataValidation>
    <dataValidation type="decimal" allowBlank="1" showInputMessage="1" showErrorMessage="1" sqref="O218">
      <formula1>0</formula1>
      <formula2>100</formula2>
    </dataValidation>
    <dataValidation type="list" allowBlank="1" showInputMessage="1" showErrorMessage="1" sqref="H219">
      <formula1>'MasterData'!$B$1:$B$14</formula1>
    </dataValidation>
    <dataValidation type="list" allowBlank="1" showInputMessage="1" showErrorMessage="1" sqref="I219">
      <formula1>'MasterData'!$E$1981:$E$1990</formula1>
    </dataValidation>
    <dataValidation type="decimal" operator="greaterThanOrEqual" allowBlank="1" showInputMessage="1" showErrorMessage="1" sqref="K219">
      <formula1>0</formula1>
    </dataValidation>
    <dataValidation type="decimal" allowBlank="1" showInputMessage="1" showErrorMessage="1" sqref="N219">
      <formula1>0</formula1>
      <formula2>100</formula2>
    </dataValidation>
    <dataValidation type="decimal" allowBlank="1" showInputMessage="1" showErrorMessage="1" sqref="O219">
      <formula1>0</formula1>
      <formula2>100</formula2>
    </dataValidation>
    <dataValidation type="list" allowBlank="1" showInputMessage="1" showErrorMessage="1" sqref="H220">
      <formula1>'MasterData'!$B$1:$B$14</formula1>
    </dataValidation>
    <dataValidation type="list" allowBlank="1" showInputMessage="1" showErrorMessage="1" sqref="I220">
      <formula1>'MasterData'!$E$1991:$E$2000</formula1>
    </dataValidation>
    <dataValidation type="decimal" operator="greaterThanOrEqual" allowBlank="1" showInputMessage="1" showErrorMessage="1" sqref="K220">
      <formula1>0</formula1>
    </dataValidation>
    <dataValidation type="decimal" allowBlank="1" showInputMessage="1" showErrorMessage="1" sqref="N220">
      <formula1>0</formula1>
      <formula2>100</formula2>
    </dataValidation>
    <dataValidation type="decimal" allowBlank="1" showInputMessage="1" showErrorMessage="1" sqref="O220">
      <formula1>0</formula1>
      <formula2>100</formula2>
    </dataValidation>
    <dataValidation type="list" allowBlank="1" showInputMessage="1" showErrorMessage="1" sqref="H221">
      <formula1>'MasterData'!$B$1:$B$14</formula1>
    </dataValidation>
    <dataValidation type="list" allowBlank="1" showInputMessage="1" showErrorMessage="1" sqref="I221">
      <formula1>'MasterData'!$E$2001:$E$2010</formula1>
    </dataValidation>
    <dataValidation type="decimal" operator="greaterThanOrEqual" allowBlank="1" showInputMessage="1" showErrorMessage="1" sqref="K221">
      <formula1>0</formula1>
    </dataValidation>
    <dataValidation type="decimal" allowBlank="1" showInputMessage="1" showErrorMessage="1" sqref="N221">
      <formula1>0</formula1>
      <formula2>100</formula2>
    </dataValidation>
    <dataValidation type="decimal" allowBlank="1" showInputMessage="1" showErrorMessage="1" sqref="O221">
      <formula1>0</formula1>
      <formula2>100</formula2>
    </dataValidation>
    <dataValidation type="list" allowBlank="1" showInputMessage="1" showErrorMessage="1" sqref="H222">
      <formula1>'MasterData'!$B$1:$B$14</formula1>
    </dataValidation>
    <dataValidation type="list" allowBlank="1" showInputMessage="1" showErrorMessage="1" sqref="I222">
      <formula1>'MasterData'!$E$2011:$E$2020</formula1>
    </dataValidation>
    <dataValidation type="decimal" operator="greaterThanOrEqual" allowBlank="1" showInputMessage="1" showErrorMessage="1" sqref="K222">
      <formula1>0</formula1>
    </dataValidation>
    <dataValidation type="decimal" allowBlank="1" showInputMessage="1" showErrorMessage="1" sqref="N222">
      <formula1>0</formula1>
      <formula2>100</formula2>
    </dataValidation>
    <dataValidation type="decimal" allowBlank="1" showInputMessage="1" showErrorMessage="1" sqref="O222">
      <formula1>0</formula1>
      <formula2>100</formula2>
    </dataValidation>
    <dataValidation type="list" allowBlank="1" showInputMessage="1" showErrorMessage="1" sqref="H223">
      <formula1>'MasterData'!$B$1:$B$14</formula1>
    </dataValidation>
    <dataValidation type="list" allowBlank="1" showInputMessage="1" showErrorMessage="1" sqref="I223">
      <formula1>'MasterData'!$E$2021:$E$2030</formula1>
    </dataValidation>
    <dataValidation type="decimal" operator="greaterThanOrEqual" allowBlank="1" showInputMessage="1" showErrorMessage="1" sqref="K223">
      <formula1>0</formula1>
    </dataValidation>
    <dataValidation type="decimal" allowBlank="1" showInputMessage="1" showErrorMessage="1" sqref="N223">
      <formula1>0</formula1>
      <formula2>100</formula2>
    </dataValidation>
    <dataValidation type="decimal" allowBlank="1" showInputMessage="1" showErrorMessage="1" sqref="O223">
      <formula1>0</formula1>
      <formula2>100</formula2>
    </dataValidation>
    <dataValidation type="list" allowBlank="1" showInputMessage="1" showErrorMessage="1" sqref="H224">
      <formula1>'MasterData'!$B$1:$B$14</formula1>
    </dataValidation>
    <dataValidation type="list" allowBlank="1" showInputMessage="1" showErrorMessage="1" sqref="I224">
      <formula1>'MasterData'!$E$2031:$E$2040</formula1>
    </dataValidation>
    <dataValidation type="decimal" operator="greaterThanOrEqual" allowBlank="1" showInputMessage="1" showErrorMessage="1" sqref="K224">
      <formula1>0</formula1>
    </dataValidation>
    <dataValidation type="decimal" allowBlank="1" showInputMessage="1" showErrorMessage="1" sqref="N224">
      <formula1>0</formula1>
      <formula2>100</formula2>
    </dataValidation>
    <dataValidation type="decimal" allowBlank="1" showInputMessage="1" showErrorMessage="1" sqref="O224">
      <formula1>0</formula1>
      <formula2>100</formula2>
    </dataValidation>
    <dataValidation type="list" allowBlank="1" showInputMessage="1" showErrorMessage="1" sqref="H225">
      <formula1>'MasterData'!$B$1:$B$14</formula1>
    </dataValidation>
    <dataValidation type="list" allowBlank="1" showInputMessage="1" showErrorMessage="1" sqref="I225">
      <formula1>'MasterData'!$E$2041:$E$2050</formula1>
    </dataValidation>
    <dataValidation type="decimal" operator="greaterThanOrEqual" allowBlank="1" showInputMessage="1" showErrorMessage="1" sqref="K225">
      <formula1>0</formula1>
    </dataValidation>
    <dataValidation type="decimal" allowBlank="1" showInputMessage="1" showErrorMessage="1" sqref="N225">
      <formula1>0</formula1>
      <formula2>100</formula2>
    </dataValidation>
    <dataValidation type="decimal" allowBlank="1" showInputMessage="1" showErrorMessage="1" sqref="O225">
      <formula1>0</formula1>
      <formula2>100</formula2>
    </dataValidation>
    <dataValidation type="list" allowBlank="1" showInputMessage="1" showErrorMessage="1" sqref="H226">
      <formula1>'MasterData'!$B$1:$B$14</formula1>
    </dataValidation>
    <dataValidation type="list" allowBlank="1" showInputMessage="1" showErrorMessage="1" sqref="I226">
      <formula1>'MasterData'!$E$2051:$E$2060</formula1>
    </dataValidation>
    <dataValidation type="decimal" operator="greaterThanOrEqual" allowBlank="1" showInputMessage="1" showErrorMessage="1" sqref="K226">
      <formula1>0</formula1>
    </dataValidation>
    <dataValidation type="decimal" allowBlank="1" showInputMessage="1" showErrorMessage="1" sqref="N226">
      <formula1>0</formula1>
      <formula2>100</formula2>
    </dataValidation>
    <dataValidation type="decimal" allowBlank="1" showInputMessage="1" showErrorMessage="1" sqref="O226">
      <formula1>0</formula1>
      <formula2>100</formula2>
    </dataValidation>
    <dataValidation type="list" allowBlank="1" showInputMessage="1" showErrorMessage="1" sqref="H227">
      <formula1>'MasterData'!$B$1:$B$14</formula1>
    </dataValidation>
    <dataValidation type="list" allowBlank="1" showInputMessage="1" showErrorMessage="1" sqref="I227">
      <formula1>'MasterData'!$E$2061:$E$2070</formula1>
    </dataValidation>
    <dataValidation type="decimal" operator="greaterThanOrEqual" allowBlank="1" showInputMessage="1" showErrorMessage="1" sqref="K227">
      <formula1>0</formula1>
    </dataValidation>
    <dataValidation type="decimal" allowBlank="1" showInputMessage="1" showErrorMessage="1" sqref="N227">
      <formula1>0</formula1>
      <formula2>100</formula2>
    </dataValidation>
    <dataValidation type="decimal" allowBlank="1" showInputMessage="1" showErrorMessage="1" sqref="O227">
      <formula1>0</formula1>
      <formula2>100</formula2>
    </dataValidation>
    <dataValidation type="list" allowBlank="1" showInputMessage="1" showErrorMessage="1" sqref="H228">
      <formula1>'MasterData'!$B$1:$B$14</formula1>
    </dataValidation>
    <dataValidation type="list" allowBlank="1" showInputMessage="1" showErrorMessage="1" sqref="I228">
      <formula1>'MasterData'!$E$2071:$E$2080</formula1>
    </dataValidation>
    <dataValidation type="decimal" operator="greaterThanOrEqual" allowBlank="1" showInputMessage="1" showErrorMessage="1" sqref="K228">
      <formula1>0</formula1>
    </dataValidation>
    <dataValidation type="decimal" allowBlank="1" showInputMessage="1" showErrorMessage="1" sqref="N228">
      <formula1>0</formula1>
      <formula2>100</formula2>
    </dataValidation>
    <dataValidation type="decimal" allowBlank="1" showInputMessage="1" showErrorMessage="1" sqref="O228">
      <formula1>0</formula1>
      <formula2>100</formula2>
    </dataValidation>
    <dataValidation type="list" allowBlank="1" showInputMessage="1" showErrorMessage="1" sqref="H229">
      <formula1>'MasterData'!$B$1:$B$14</formula1>
    </dataValidation>
    <dataValidation type="list" allowBlank="1" showInputMessage="1" showErrorMessage="1" sqref="I229">
      <formula1>'MasterData'!$E$2081:$E$2090</formula1>
    </dataValidation>
    <dataValidation type="decimal" operator="greaterThanOrEqual" allowBlank="1" showInputMessage="1" showErrorMessage="1" sqref="K229">
      <formula1>0</formula1>
    </dataValidation>
    <dataValidation type="decimal" allowBlank="1" showInputMessage="1" showErrorMessage="1" sqref="N229">
      <formula1>0</formula1>
      <formula2>100</formula2>
    </dataValidation>
    <dataValidation type="decimal" allowBlank="1" showInputMessage="1" showErrorMessage="1" sqref="O229">
      <formula1>0</formula1>
      <formula2>100</formula2>
    </dataValidation>
    <dataValidation type="list" allowBlank="1" showInputMessage="1" showErrorMessage="1" sqref="H230">
      <formula1>'MasterData'!$B$1:$B$14</formula1>
    </dataValidation>
    <dataValidation type="list" allowBlank="1" showInputMessage="1" showErrorMessage="1" sqref="I230">
      <formula1>'MasterData'!$E$2091:$E$2100</formula1>
    </dataValidation>
    <dataValidation type="decimal" operator="greaterThanOrEqual" allowBlank="1" showInputMessage="1" showErrorMessage="1" sqref="K230">
      <formula1>0</formula1>
    </dataValidation>
    <dataValidation type="decimal" allowBlank="1" showInputMessage="1" showErrorMessage="1" sqref="N230">
      <formula1>0</formula1>
      <formula2>100</formula2>
    </dataValidation>
    <dataValidation type="decimal" allowBlank="1" showInputMessage="1" showErrorMessage="1" sqref="O230">
      <formula1>0</formula1>
      <formula2>100</formula2>
    </dataValidation>
    <dataValidation type="list" allowBlank="1" showInputMessage="1" showErrorMessage="1" sqref="H231">
      <formula1>'MasterData'!$B$1:$B$14</formula1>
    </dataValidation>
    <dataValidation type="list" allowBlank="1" showInputMessage="1" showErrorMessage="1" sqref="I231">
      <formula1>'MasterData'!$E$2101:$E$2110</formula1>
    </dataValidation>
    <dataValidation type="decimal" operator="greaterThanOrEqual" allowBlank="1" showInputMessage="1" showErrorMessage="1" sqref="K231">
      <formula1>0</formula1>
    </dataValidation>
    <dataValidation type="decimal" allowBlank="1" showInputMessage="1" showErrorMessage="1" sqref="N231">
      <formula1>0</formula1>
      <formula2>100</formula2>
    </dataValidation>
    <dataValidation type="decimal" allowBlank="1" showInputMessage="1" showErrorMessage="1" sqref="O231">
      <formula1>0</formula1>
      <formula2>100</formula2>
    </dataValidation>
    <dataValidation type="list" allowBlank="1" showInputMessage="1" showErrorMessage="1" sqref="H232">
      <formula1>'MasterData'!$B$1:$B$14</formula1>
    </dataValidation>
    <dataValidation type="list" allowBlank="1" showInputMessage="1" showErrorMessage="1" sqref="I232">
      <formula1>'MasterData'!$E$2111:$E$2120</formula1>
    </dataValidation>
    <dataValidation type="decimal" operator="greaterThanOrEqual" allowBlank="1" showInputMessage="1" showErrorMessage="1" sqref="K232">
      <formula1>0</formula1>
    </dataValidation>
    <dataValidation type="decimal" allowBlank="1" showInputMessage="1" showErrorMessage="1" sqref="N232">
      <formula1>0</formula1>
      <formula2>100</formula2>
    </dataValidation>
    <dataValidation type="decimal" allowBlank="1" showInputMessage="1" showErrorMessage="1" sqref="O232">
      <formula1>0</formula1>
      <formula2>100</formula2>
    </dataValidation>
    <dataValidation type="list" allowBlank="1" showInputMessage="1" showErrorMessage="1" sqref="H233">
      <formula1>'MasterData'!$B$1:$B$14</formula1>
    </dataValidation>
    <dataValidation type="list" allowBlank="1" showInputMessage="1" showErrorMessage="1" sqref="I233">
      <formula1>'MasterData'!$E$2121:$E$2130</formula1>
    </dataValidation>
    <dataValidation type="decimal" operator="greaterThanOrEqual" allowBlank="1" showInputMessage="1" showErrorMessage="1" sqref="K233">
      <formula1>0</formula1>
    </dataValidation>
    <dataValidation type="decimal" allowBlank="1" showInputMessage="1" showErrorMessage="1" sqref="N233">
      <formula1>0</formula1>
      <formula2>100</formula2>
    </dataValidation>
    <dataValidation type="decimal" allowBlank="1" showInputMessage="1" showErrorMessage="1" sqref="O233">
      <formula1>0</formula1>
      <formula2>100</formula2>
    </dataValidation>
    <dataValidation type="list" allowBlank="1" showInputMessage="1" showErrorMessage="1" sqref="H234">
      <formula1>'MasterData'!$B$1:$B$14</formula1>
    </dataValidation>
    <dataValidation type="list" allowBlank="1" showInputMessage="1" showErrorMessage="1" sqref="I234">
      <formula1>'MasterData'!$E$2131:$E$2140</formula1>
    </dataValidation>
    <dataValidation type="decimal" operator="greaterThanOrEqual" allowBlank="1" showInputMessage="1" showErrorMessage="1" sqref="K234">
      <formula1>0</formula1>
    </dataValidation>
    <dataValidation type="decimal" allowBlank="1" showInputMessage="1" showErrorMessage="1" sqref="N234">
      <formula1>0</formula1>
      <formula2>100</formula2>
    </dataValidation>
    <dataValidation type="decimal" allowBlank="1" showInputMessage="1" showErrorMessage="1" sqref="O234">
      <formula1>0</formula1>
      <formula2>100</formula2>
    </dataValidation>
    <dataValidation type="list" allowBlank="1" showInputMessage="1" showErrorMessage="1" sqref="H235">
      <formula1>'MasterData'!$B$1:$B$14</formula1>
    </dataValidation>
    <dataValidation type="list" allowBlank="1" showInputMessage="1" showErrorMessage="1" sqref="I235">
      <formula1>'MasterData'!$E$2141:$E$2150</formula1>
    </dataValidation>
    <dataValidation type="decimal" operator="greaterThanOrEqual" allowBlank="1" showInputMessage="1" showErrorMessage="1" sqref="K235">
      <formula1>0</formula1>
    </dataValidation>
    <dataValidation type="decimal" allowBlank="1" showInputMessage="1" showErrorMessage="1" sqref="N235">
      <formula1>0</formula1>
      <formula2>100</formula2>
    </dataValidation>
    <dataValidation type="decimal" allowBlank="1" showInputMessage="1" showErrorMessage="1" sqref="O235">
      <formula1>0</formula1>
      <formula2>100</formula2>
    </dataValidation>
    <dataValidation type="list" allowBlank="1" showInputMessage="1" showErrorMessage="1" sqref="H236">
      <formula1>'MasterData'!$B$1:$B$14</formula1>
    </dataValidation>
    <dataValidation type="list" allowBlank="1" showInputMessage="1" showErrorMessage="1" sqref="I236">
      <formula1>'MasterData'!$E$2151:$E$2160</formula1>
    </dataValidation>
    <dataValidation type="decimal" operator="greaterThanOrEqual" allowBlank="1" showInputMessage="1" showErrorMessage="1" sqref="K236">
      <formula1>0</formula1>
    </dataValidation>
    <dataValidation type="decimal" allowBlank="1" showInputMessage="1" showErrorMessage="1" sqref="N236">
      <formula1>0</formula1>
      <formula2>100</formula2>
    </dataValidation>
    <dataValidation type="decimal" allowBlank="1" showInputMessage="1" showErrorMessage="1" sqref="O236">
      <formula1>0</formula1>
      <formula2>100</formula2>
    </dataValidation>
    <dataValidation type="list" allowBlank="1" showInputMessage="1" showErrorMessage="1" sqref="H237">
      <formula1>'MasterData'!$B$1:$B$14</formula1>
    </dataValidation>
    <dataValidation type="list" allowBlank="1" showInputMessage="1" showErrorMessage="1" sqref="I237">
      <formula1>'MasterData'!$E$2161:$E$2170</formula1>
    </dataValidation>
    <dataValidation type="decimal" operator="greaterThanOrEqual" allowBlank="1" showInputMessage="1" showErrorMessage="1" sqref="K237">
      <formula1>0</formula1>
    </dataValidation>
    <dataValidation type="decimal" allowBlank="1" showInputMessage="1" showErrorMessage="1" sqref="N237">
      <formula1>0</formula1>
      <formula2>100</formula2>
    </dataValidation>
    <dataValidation type="decimal" allowBlank="1" showInputMessage="1" showErrorMessage="1" sqref="O237">
      <formula1>0</formula1>
      <formula2>100</formula2>
    </dataValidation>
    <dataValidation type="list" allowBlank="1" showInputMessage="1" showErrorMessage="1" sqref="H238">
      <formula1>'MasterData'!$B$1:$B$14</formula1>
    </dataValidation>
    <dataValidation type="list" allowBlank="1" showInputMessage="1" showErrorMessage="1" sqref="I238">
      <formula1>'MasterData'!$E$2171:$E$2180</formula1>
    </dataValidation>
    <dataValidation type="decimal" operator="greaterThanOrEqual" allowBlank="1" showInputMessage="1" showErrorMessage="1" sqref="K238">
      <formula1>0</formula1>
    </dataValidation>
    <dataValidation type="decimal" allowBlank="1" showInputMessage="1" showErrorMessage="1" sqref="N238">
      <formula1>0</formula1>
      <formula2>100</formula2>
    </dataValidation>
    <dataValidation type="decimal" allowBlank="1" showInputMessage="1" showErrorMessage="1" sqref="O238">
      <formula1>0</formula1>
      <formula2>100</formula2>
    </dataValidation>
    <dataValidation type="list" allowBlank="1" showInputMessage="1" showErrorMessage="1" sqref="H239">
      <formula1>'MasterData'!$B$1:$B$14</formula1>
    </dataValidation>
    <dataValidation type="list" allowBlank="1" showInputMessage="1" showErrorMessage="1" sqref="I239">
      <formula1>'MasterData'!$E$2181:$E$2190</formula1>
    </dataValidation>
    <dataValidation type="decimal" operator="greaterThanOrEqual" allowBlank="1" showInputMessage="1" showErrorMessage="1" sqref="K239">
      <formula1>0</formula1>
    </dataValidation>
    <dataValidation type="decimal" allowBlank="1" showInputMessage="1" showErrorMessage="1" sqref="N239">
      <formula1>0</formula1>
      <formula2>100</formula2>
    </dataValidation>
    <dataValidation type="decimal" allowBlank="1" showInputMessage="1" showErrorMessage="1" sqref="O239">
      <formula1>0</formula1>
      <formula2>100</formula2>
    </dataValidation>
    <dataValidation type="list" allowBlank="1" showInputMessage="1" showErrorMessage="1" sqref="H240">
      <formula1>'MasterData'!$B$1:$B$14</formula1>
    </dataValidation>
    <dataValidation type="list" allowBlank="1" showInputMessage="1" showErrorMessage="1" sqref="I240">
      <formula1>'MasterData'!$E$2191:$E$2200</formula1>
    </dataValidation>
    <dataValidation type="decimal" operator="greaterThanOrEqual" allowBlank="1" showInputMessage="1" showErrorMessage="1" sqref="K240">
      <formula1>0</formula1>
    </dataValidation>
    <dataValidation type="decimal" allowBlank="1" showInputMessage="1" showErrorMessage="1" sqref="N240">
      <formula1>0</formula1>
      <formula2>100</formula2>
    </dataValidation>
    <dataValidation type="decimal" allowBlank="1" showInputMessage="1" showErrorMessage="1" sqref="O240">
      <formula1>0</formula1>
      <formula2>100</formula2>
    </dataValidation>
    <dataValidation type="list" allowBlank="1" showInputMessage="1" showErrorMessage="1" sqref="H241">
      <formula1>'MasterData'!$B$1:$B$14</formula1>
    </dataValidation>
    <dataValidation type="list" allowBlank="1" showInputMessage="1" showErrorMessage="1" sqref="I241">
      <formula1>'MasterData'!$E$2201:$E$2210</formula1>
    </dataValidation>
    <dataValidation type="decimal" operator="greaterThanOrEqual" allowBlank="1" showInputMessage="1" showErrorMessage="1" sqref="K241">
      <formula1>0</formula1>
    </dataValidation>
    <dataValidation type="decimal" allowBlank="1" showInputMessage="1" showErrorMessage="1" sqref="N241">
      <formula1>0</formula1>
      <formula2>100</formula2>
    </dataValidation>
    <dataValidation type="decimal" allowBlank="1" showInputMessage="1" showErrorMessage="1" sqref="O241">
      <formula1>0</formula1>
      <formula2>100</formula2>
    </dataValidation>
    <dataValidation type="list" allowBlank="1" showInputMessage="1" showErrorMessage="1" sqref="H242">
      <formula1>'MasterData'!$B$1:$B$14</formula1>
    </dataValidation>
    <dataValidation type="list" allowBlank="1" showInputMessage="1" showErrorMessage="1" sqref="I242">
      <formula1>'MasterData'!$E$2211:$E$2220</formula1>
    </dataValidation>
    <dataValidation type="decimal" operator="greaterThanOrEqual" allowBlank="1" showInputMessage="1" showErrorMessage="1" sqref="K242">
      <formula1>0</formula1>
    </dataValidation>
    <dataValidation type="decimal" allowBlank="1" showInputMessage="1" showErrorMessage="1" sqref="N242">
      <formula1>0</formula1>
      <formula2>100</formula2>
    </dataValidation>
    <dataValidation type="decimal" allowBlank="1" showInputMessage="1" showErrorMessage="1" sqref="O242">
      <formula1>0</formula1>
      <formula2>100</formula2>
    </dataValidation>
    <dataValidation type="list" allowBlank="1" showInputMessage="1" showErrorMessage="1" sqref="H243">
      <formula1>'MasterData'!$B$1:$B$14</formula1>
    </dataValidation>
    <dataValidation type="list" allowBlank="1" showInputMessage="1" showErrorMessage="1" sqref="I243">
      <formula1>'MasterData'!$E$2221:$E$2230</formula1>
    </dataValidation>
    <dataValidation type="decimal" operator="greaterThanOrEqual" allowBlank="1" showInputMessage="1" showErrorMessage="1" sqref="K243">
      <formula1>0</formula1>
    </dataValidation>
    <dataValidation type="decimal" allowBlank="1" showInputMessage="1" showErrorMessage="1" sqref="N243">
      <formula1>0</formula1>
      <formula2>100</formula2>
    </dataValidation>
    <dataValidation type="decimal" allowBlank="1" showInputMessage="1" showErrorMessage="1" sqref="O243">
      <formula1>0</formula1>
      <formula2>100</formula2>
    </dataValidation>
    <dataValidation type="list" allowBlank="1" showInputMessage="1" showErrorMessage="1" sqref="H244">
      <formula1>'MasterData'!$B$1:$B$14</formula1>
    </dataValidation>
    <dataValidation type="list" allowBlank="1" showInputMessage="1" showErrorMessage="1" sqref="I244">
      <formula1>'MasterData'!$E$2231:$E$2240</formula1>
    </dataValidation>
    <dataValidation type="decimal" operator="greaterThanOrEqual" allowBlank="1" showInputMessage="1" showErrorMessage="1" sqref="K244">
      <formula1>0</formula1>
    </dataValidation>
    <dataValidation type="decimal" allowBlank="1" showInputMessage="1" showErrorMessage="1" sqref="N244">
      <formula1>0</formula1>
      <formula2>100</formula2>
    </dataValidation>
    <dataValidation type="decimal" allowBlank="1" showInputMessage="1" showErrorMessage="1" sqref="O244">
      <formula1>0</formula1>
      <formula2>100</formula2>
    </dataValidation>
    <dataValidation type="list" allowBlank="1" showInputMessage="1" showErrorMessage="1" sqref="H245">
      <formula1>'MasterData'!$B$1:$B$14</formula1>
    </dataValidation>
    <dataValidation type="list" allowBlank="1" showInputMessage="1" showErrorMessage="1" sqref="I245">
      <formula1>'MasterData'!$E$2241:$E$2250</formula1>
    </dataValidation>
    <dataValidation type="decimal" operator="greaterThanOrEqual" allowBlank="1" showInputMessage="1" showErrorMessage="1" sqref="K245">
      <formula1>0</formula1>
    </dataValidation>
    <dataValidation type="decimal" allowBlank="1" showInputMessage="1" showErrorMessage="1" sqref="N245">
      <formula1>0</formula1>
      <formula2>100</formula2>
    </dataValidation>
    <dataValidation type="decimal" allowBlank="1" showInputMessage="1" showErrorMessage="1" sqref="O245">
      <formula1>0</formula1>
      <formula2>100</formula2>
    </dataValidation>
    <dataValidation type="list" allowBlank="1" showInputMessage="1" showErrorMessage="1" sqref="H246">
      <formula1>'MasterData'!$B$1:$B$14</formula1>
    </dataValidation>
    <dataValidation type="list" allowBlank="1" showInputMessage="1" showErrorMessage="1" sqref="I246">
      <formula1>'MasterData'!$E$2251:$E$2260</formula1>
    </dataValidation>
    <dataValidation type="decimal" operator="greaterThanOrEqual" allowBlank="1" showInputMessage="1" showErrorMessage="1" sqref="K246">
      <formula1>0</formula1>
    </dataValidation>
    <dataValidation type="decimal" allowBlank="1" showInputMessage="1" showErrorMessage="1" sqref="N246">
      <formula1>0</formula1>
      <formula2>100</formula2>
    </dataValidation>
    <dataValidation type="decimal" allowBlank="1" showInputMessage="1" showErrorMessage="1" sqref="O246">
      <formula1>0</formula1>
      <formula2>100</formula2>
    </dataValidation>
    <dataValidation type="list" allowBlank="1" showInputMessage="1" showErrorMessage="1" sqref="H247">
      <formula1>'MasterData'!$B$1:$B$14</formula1>
    </dataValidation>
    <dataValidation type="list" allowBlank="1" showInputMessage="1" showErrorMessage="1" sqref="I247">
      <formula1>'MasterData'!$E$2261:$E$2270</formula1>
    </dataValidation>
    <dataValidation type="decimal" operator="greaterThanOrEqual" allowBlank="1" showInputMessage="1" showErrorMessage="1" sqref="K247">
      <formula1>0</formula1>
    </dataValidation>
    <dataValidation type="decimal" allowBlank="1" showInputMessage="1" showErrorMessage="1" sqref="N247">
      <formula1>0</formula1>
      <formula2>100</formula2>
    </dataValidation>
    <dataValidation type="decimal" allowBlank="1" showInputMessage="1" showErrorMessage="1" sqref="O247">
      <formula1>0</formula1>
      <formula2>100</formula2>
    </dataValidation>
    <dataValidation type="list" allowBlank="1" showInputMessage="1" showErrorMessage="1" sqref="H248">
      <formula1>'MasterData'!$B$1:$B$14</formula1>
    </dataValidation>
    <dataValidation type="list" allowBlank="1" showInputMessage="1" showErrorMessage="1" sqref="I248">
      <formula1>'MasterData'!$E$2271:$E$2280</formula1>
    </dataValidation>
    <dataValidation type="decimal" operator="greaterThanOrEqual" allowBlank="1" showInputMessage="1" showErrorMessage="1" sqref="K248">
      <formula1>0</formula1>
    </dataValidation>
    <dataValidation type="decimal" allowBlank="1" showInputMessage="1" showErrorMessage="1" sqref="N248">
      <formula1>0</formula1>
      <formula2>100</formula2>
    </dataValidation>
    <dataValidation type="decimal" allowBlank="1" showInputMessage="1" showErrorMessage="1" sqref="O248">
      <formula1>0</formula1>
      <formula2>100</formula2>
    </dataValidation>
    <dataValidation type="list" allowBlank="1" showInputMessage="1" showErrorMessage="1" sqref="H249">
      <formula1>'MasterData'!$B$1:$B$14</formula1>
    </dataValidation>
    <dataValidation type="list" allowBlank="1" showInputMessage="1" showErrorMessage="1" sqref="I249">
      <formula1>'MasterData'!$E$2281:$E$2290</formula1>
    </dataValidation>
    <dataValidation type="decimal" operator="greaterThanOrEqual" allowBlank="1" showInputMessage="1" showErrorMessage="1" sqref="K249">
      <formula1>0</formula1>
    </dataValidation>
    <dataValidation type="decimal" allowBlank="1" showInputMessage="1" showErrorMessage="1" sqref="N249">
      <formula1>0</formula1>
      <formula2>100</formula2>
    </dataValidation>
    <dataValidation type="decimal" allowBlank="1" showInputMessage="1" showErrorMessage="1" sqref="O249">
      <formula1>0</formula1>
      <formula2>100</formula2>
    </dataValidation>
    <dataValidation type="list" allowBlank="1" showInputMessage="1" showErrorMessage="1" sqref="H250">
      <formula1>'MasterData'!$B$1:$B$14</formula1>
    </dataValidation>
    <dataValidation type="list" allowBlank="1" showInputMessage="1" showErrorMessage="1" sqref="I250">
      <formula1>'MasterData'!$E$2291:$E$2300</formula1>
    </dataValidation>
    <dataValidation type="decimal" operator="greaterThanOrEqual" allowBlank="1" showInputMessage="1" showErrorMessage="1" sqref="K250">
      <formula1>0</formula1>
    </dataValidation>
    <dataValidation type="decimal" allowBlank="1" showInputMessage="1" showErrorMessage="1" sqref="N250">
      <formula1>0</formula1>
      <formula2>100</formula2>
    </dataValidation>
    <dataValidation type="decimal" allowBlank="1" showInputMessage="1" showErrorMessage="1" sqref="O250">
      <formula1>0</formula1>
      <formula2>100</formula2>
    </dataValidation>
    <dataValidation type="list" allowBlank="1" showInputMessage="1" showErrorMessage="1" sqref="H251">
      <formula1>'MasterData'!$B$1:$B$14</formula1>
    </dataValidation>
    <dataValidation type="list" allowBlank="1" showInputMessage="1" showErrorMessage="1" sqref="I251">
      <formula1>'MasterData'!$E$2301:$E$2310</formula1>
    </dataValidation>
    <dataValidation type="decimal" operator="greaterThanOrEqual" allowBlank="1" showInputMessage="1" showErrorMessage="1" sqref="K251">
      <formula1>0</formula1>
    </dataValidation>
    <dataValidation type="decimal" allowBlank="1" showInputMessage="1" showErrorMessage="1" sqref="N251">
      <formula1>0</formula1>
      <formula2>100</formula2>
    </dataValidation>
    <dataValidation type="decimal" allowBlank="1" showInputMessage="1" showErrorMessage="1" sqref="O251">
      <formula1>0</formula1>
      <formula2>100</formula2>
    </dataValidation>
    <dataValidation type="list" allowBlank="1" showInputMessage="1" showErrorMessage="1" sqref="H252">
      <formula1>'MasterData'!$B$1:$B$14</formula1>
    </dataValidation>
    <dataValidation type="list" allowBlank="1" showInputMessage="1" showErrorMessage="1" sqref="I252">
      <formula1>'MasterData'!$E$2311:$E$2320</formula1>
    </dataValidation>
    <dataValidation type="decimal" operator="greaterThanOrEqual" allowBlank="1" showInputMessage="1" showErrorMessage="1" sqref="K252">
      <formula1>0</formula1>
    </dataValidation>
    <dataValidation type="decimal" allowBlank="1" showInputMessage="1" showErrorMessage="1" sqref="N252">
      <formula1>0</formula1>
      <formula2>100</formula2>
    </dataValidation>
    <dataValidation type="decimal" allowBlank="1" showInputMessage="1" showErrorMessage="1" sqref="O252">
      <formula1>0</formula1>
      <formula2>100</formula2>
    </dataValidation>
    <dataValidation allowBlank="1" showInputMessage="1" showErrorMessage="1" sqref="P256"/>
    <dataValidation type="decimal" operator="greaterThanOrEqual" allowBlank="1" showInputMessage="1" showErrorMessage="1" sqref="P257">
      <formula1>0</formula1>
    </dataValidation>
    <dataValidation type="decimal" operator="greaterThanOrEqual" allowBlank="1" showInputMessage="1" showErrorMessage="1" sqref="P258">
      <formula1>0</formula1>
    </dataValidation>
    <dataValidation type="decimal" operator="greaterThanOrEqual" allowBlank="1" showInputMessage="1" showErrorMessage="1" sqref="P259">
      <formula1>0</formula1>
    </dataValidation>
    <dataValidation type="decimal" operator="greaterThanOrEqual" allowBlank="1" showInputMessage="1" showErrorMessage="1" sqref="P260">
      <formula1>0</formula1>
    </dataValidation>
    <dataValidation type="list" allowBlank="1" showInputMessage="1" showErrorMessage="1" sqref="C257:K257">
      <formula1>'MasterData'!$H$1:$H$14</formula1>
    </dataValidation>
    <dataValidation type="list" allowBlank="1" showInputMessage="1" showErrorMessage="1" sqref="C258:K258">
      <formula1>'MasterData'!$H$1:$H$14</formula1>
    </dataValidation>
    <dataValidation type="list" allowBlank="1" showInputMessage="1" showErrorMessage="1" sqref="C259:K259">
      <formula1>'MasterData'!$H$1:$H$14</formula1>
    </dataValidation>
    <dataValidation type="list" allowBlank="1" showInputMessage="1" showErrorMessage="1" sqref="C260:K260">
      <formula1>'MasterData'!$H$1:$H$14</formula1>
    </dataValidation>
    <dataValidation type="list" allowBlank="1" showInputMessage="1" showErrorMessage="1" sqref="O14">
      <formula1>MasterData!$O$1:$O$70</formula1>
    </dataValidation>
  </dataValidations>
  <hyperlinks>
    <hyperlink ref="C10" r:id="rId1" display="seachef@seachef.com"/>
  </hyperlinks>
  <pageMargins left="0.7" right="0.7" top="0.75" bottom="0.75" header="0.3" footer="0.3"/>
  <pageSetup orientation="portrait" paperSize="1" scale="49" r:id="rId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http://schemas.openxmlformats.org/spreadsheetml/2006/main" mc:Ignorable="x14ac">
  <dimension ref="A1:O2320"/>
  <sheetViews>
    <sheetView workbookViewId="0" topLeftCell="A46">
      <selection pane="topLeft" activeCell="F68" sqref="F68 F68"/>
    </sheetView>
  </sheetViews>
  <sheetFormatPr defaultColWidth="9.14285714285714" defaultRowHeight="15"/>
  <cols>
    <col min="1" max="12" width="9.14285714285714" style="147" customWidth="1"/>
    <col min="13" max="13" width="18.8571428571429" style="269" bestFit="1" customWidth="1"/>
    <col min="14" max="14" width="35.2857142857143" style="147" customWidth="1"/>
    <col min="15" max="16" width="9.14285714285714" style="147" customWidth="1"/>
    <col min="17" max="17" width="9.14285714285714" style="271" customWidth="1"/>
  </cols>
  <sheetData>
    <row r="1" spans="1:15" ht="15">
      <c r="A1" s="147">
        <v>400000</v>
      </c>
      <c r="B1" s="147" t="s">
        <v>353</v>
      </c>
      <c r="D1" s="147">
        <v>10128579</v>
      </c>
      <c r="E1" s="147" t="s">
        <v>354</v>
      </c>
      <c r="G1" s="147">
        <v>1001307</v>
      </c>
      <c r="H1" s="147" t="s">
        <v>326</v>
      </c>
      <c r="M1" s="269" t="s">
        <v>355</v>
      </c>
      <c r="N1" s="270" t="s">
        <v>356</v>
      </c>
      <c r="O1" s="147" t="s">
        <v>357</v>
      </c>
    </row>
    <row r="2" spans="1:15" ht="15">
      <c r="A2" s="147">
        <v>400001</v>
      </c>
      <c r="B2" s="147" t="s">
        <v>354</v>
      </c>
      <c r="D2" s="147">
        <v>10128580</v>
      </c>
      <c r="E2" s="147" t="s">
        <v>358</v>
      </c>
      <c r="G2" s="147">
        <v>1001310</v>
      </c>
      <c r="H2" s="147" t="s">
        <v>327</v>
      </c>
      <c r="M2" s="269" t="s">
        <v>359</v>
      </c>
      <c r="N2" s="270">
        <v>1020725547</v>
      </c>
      <c r="O2" s="147" t="s">
        <v>360</v>
      </c>
    </row>
    <row r="3" spans="1:15" ht="15">
      <c r="A3" s="147">
        <v>400002</v>
      </c>
      <c r="B3" s="147" t="s">
        <v>361</v>
      </c>
      <c r="D3" s="147">
        <v>10128581</v>
      </c>
      <c r="E3" s="147" t="s">
        <v>358</v>
      </c>
      <c r="G3" s="147">
        <v>1012729</v>
      </c>
      <c r="H3" s="147" t="s">
        <v>362</v>
      </c>
      <c r="M3" s="269" t="s">
        <v>363</v>
      </c>
      <c r="N3" s="270">
        <v>99990000432186</v>
      </c>
      <c r="O3" s="147" t="s">
        <v>364</v>
      </c>
    </row>
    <row r="4" spans="1:15" ht="15">
      <c r="A4" s="147">
        <v>400003</v>
      </c>
      <c r="B4" s="147" t="s">
        <v>358</v>
      </c>
      <c r="D4" s="147">
        <v>10128582</v>
      </c>
      <c r="E4" s="147" t="s">
        <v>361</v>
      </c>
      <c r="G4" s="147">
        <v>1012730</v>
      </c>
      <c r="H4" s="147" t="s">
        <v>365</v>
      </c>
      <c r="M4" s="269" t="s">
        <v>366</v>
      </c>
      <c r="N4" s="270">
        <v>1021806507</v>
      </c>
      <c r="O4" s="147" t="s">
        <v>367</v>
      </c>
    </row>
    <row r="5" spans="1:15" ht="15">
      <c r="A5" s="147">
        <v>400004</v>
      </c>
      <c r="B5" s="147" t="s">
        <v>368</v>
      </c>
      <c r="D5" s="147">
        <v>10128595</v>
      </c>
      <c r="E5" s="147" t="s">
        <v>361</v>
      </c>
      <c r="G5" s="147">
        <v>1012731</v>
      </c>
      <c r="H5" s="147" t="s">
        <v>369</v>
      </c>
      <c r="M5" s="269" t="s">
        <v>370</v>
      </c>
      <c r="N5" s="270"/>
      <c r="O5" s="147" t="s">
        <v>371</v>
      </c>
    </row>
    <row r="6" spans="1:15" ht="15">
      <c r="A6" s="147">
        <v>400005</v>
      </c>
      <c r="B6" s="147" t="s">
        <v>372</v>
      </c>
      <c r="D6" s="147">
        <v>10128596</v>
      </c>
      <c r="E6" s="147" t="s">
        <v>353</v>
      </c>
      <c r="G6" s="147">
        <v>1012732</v>
      </c>
      <c r="H6" s="147" t="s">
        <v>373</v>
      </c>
      <c r="M6" s="269" t="s">
        <v>374</v>
      </c>
      <c r="N6" s="270" t="s">
        <v>375</v>
      </c>
      <c r="O6" s="147" t="s">
        <v>376</v>
      </c>
    </row>
    <row r="7" spans="1:15" ht="15">
      <c r="A7" s="147">
        <v>400017</v>
      </c>
      <c r="B7" s="147" t="s">
        <v>377</v>
      </c>
      <c r="D7" s="147">
        <v>10128597</v>
      </c>
      <c r="E7" s="147" t="s">
        <v>358</v>
      </c>
      <c r="G7" s="147">
        <v>1012733</v>
      </c>
      <c r="H7" s="147" t="s">
        <v>378</v>
      </c>
      <c r="M7" s="269" t="s">
        <v>379</v>
      </c>
      <c r="N7" s="270">
        <v>0</v>
      </c>
      <c r="O7" s="147" t="s">
        <v>380</v>
      </c>
    </row>
    <row r="8" spans="1:15" ht="15">
      <c r="A8" s="147">
        <v>900009</v>
      </c>
      <c r="B8" s="147" t="s">
        <v>381</v>
      </c>
      <c r="D8" s="147">
        <v>10128598</v>
      </c>
      <c r="E8" s="147" t="s">
        <v>361</v>
      </c>
      <c r="G8" s="147">
        <v>1012735</v>
      </c>
      <c r="H8" s="147" t="s">
        <v>382</v>
      </c>
      <c r="O8" s="147" t="s">
        <v>383</v>
      </c>
    </row>
    <row r="9" spans="1:15" ht="15">
      <c r="A9" s="147">
        <v>900010</v>
      </c>
      <c r="B9" s="147" t="s">
        <v>384</v>
      </c>
      <c r="D9" s="147">
        <v>10128599</v>
      </c>
      <c r="E9" s="147" t="s">
        <v>354</v>
      </c>
      <c r="G9" s="147">
        <v>1012736</v>
      </c>
      <c r="H9" s="147" t="s">
        <v>385</v>
      </c>
      <c r="O9" s="147" t="s">
        <v>386</v>
      </c>
    </row>
    <row r="10" spans="1:15" ht="15">
      <c r="A10" s="147">
        <v>900011</v>
      </c>
      <c r="B10" s="147" t="s">
        <v>387</v>
      </c>
      <c r="D10" s="147">
        <v>10128600</v>
      </c>
      <c r="E10" s="147" t="s">
        <v>358</v>
      </c>
      <c r="G10" s="147">
        <v>1012737</v>
      </c>
      <c r="H10" s="147" t="s">
        <v>388</v>
      </c>
      <c r="O10" s="147" t="s">
        <v>389</v>
      </c>
    </row>
    <row r="11" spans="1:15" ht="15">
      <c r="A11" s="147">
        <v>900012</v>
      </c>
      <c r="B11" s="147" t="s">
        <v>390</v>
      </c>
      <c r="D11" s="147">
        <v>10128579</v>
      </c>
      <c r="E11" s="147" t="s">
        <v>354</v>
      </c>
      <c r="G11" s="147">
        <v>1012741</v>
      </c>
      <c r="H11" s="147" t="s">
        <v>391</v>
      </c>
      <c r="O11" s="147" t="s">
        <v>392</v>
      </c>
    </row>
    <row r="12" spans="1:15" ht="15">
      <c r="A12" s="147">
        <v>900013</v>
      </c>
      <c r="B12" s="147" t="s">
        <v>393</v>
      </c>
      <c r="D12" s="147">
        <v>10128580</v>
      </c>
      <c r="E12" s="147" t="s">
        <v>358</v>
      </c>
      <c r="G12" s="147">
        <v>1012742</v>
      </c>
      <c r="H12" s="147" t="s">
        <v>394</v>
      </c>
      <c r="O12" s="147" t="s">
        <v>395</v>
      </c>
    </row>
    <row r="13" spans="1:15" ht="15">
      <c r="A13" s="147">
        <v>900014</v>
      </c>
      <c r="B13" s="147" t="s">
        <v>396</v>
      </c>
      <c r="D13" s="147">
        <v>10128581</v>
      </c>
      <c r="E13" s="147" t="s">
        <v>358</v>
      </c>
      <c r="G13" s="147">
        <v>1012743</v>
      </c>
      <c r="H13" s="147" t="s">
        <v>397</v>
      </c>
      <c r="O13" s="147" t="s">
        <v>398</v>
      </c>
    </row>
    <row r="14" spans="1:15" ht="15">
      <c r="A14" s="147">
        <v>900073</v>
      </c>
      <c r="B14" s="147" t="s">
        <v>399</v>
      </c>
      <c r="D14" s="147">
        <v>10128582</v>
      </c>
      <c r="E14" s="147" t="s">
        <v>361</v>
      </c>
      <c r="G14" s="147">
        <v>1012744</v>
      </c>
      <c r="H14" s="147" t="s">
        <v>400</v>
      </c>
      <c r="O14" s="147" t="s">
        <v>401</v>
      </c>
    </row>
    <row r="15" spans="4:15" ht="15">
      <c r="D15" s="147">
        <v>10128595</v>
      </c>
      <c r="E15" s="147" t="s">
        <v>361</v>
      </c>
      <c r="O15" s="147" t="s">
        <v>402</v>
      </c>
    </row>
    <row r="16" spans="4:15" ht="15">
      <c r="D16" s="147">
        <v>10128596</v>
      </c>
      <c r="E16" s="147" t="s">
        <v>353</v>
      </c>
      <c r="O16" s="147" t="s">
        <v>403</v>
      </c>
    </row>
    <row r="17" spans="4:15" ht="15">
      <c r="D17" s="147">
        <v>10128597</v>
      </c>
      <c r="E17" s="147" t="s">
        <v>358</v>
      </c>
      <c r="O17" s="147" t="s">
        <v>404</v>
      </c>
    </row>
    <row r="18" spans="4:15" ht="15">
      <c r="D18" s="147">
        <v>10128598</v>
      </c>
      <c r="E18" s="147" t="s">
        <v>361</v>
      </c>
      <c r="O18" s="147" t="s">
        <v>405</v>
      </c>
    </row>
    <row r="19" spans="4:15" ht="15">
      <c r="D19" s="147">
        <v>10128599</v>
      </c>
      <c r="E19" s="147" t="s">
        <v>354</v>
      </c>
      <c r="O19" s="147" t="s">
        <v>406</v>
      </c>
    </row>
    <row r="20" spans="4:15" ht="15">
      <c r="D20" s="147">
        <v>10128600</v>
      </c>
      <c r="E20" s="147" t="s">
        <v>358</v>
      </c>
      <c r="O20" s="147" t="s">
        <v>407</v>
      </c>
    </row>
    <row r="21" spans="4:15" ht="15">
      <c r="D21" s="147">
        <v>10128579</v>
      </c>
      <c r="E21" s="147" t="s">
        <v>354</v>
      </c>
      <c r="O21" s="147" t="s">
        <v>408</v>
      </c>
    </row>
    <row r="22" spans="4:15" ht="15">
      <c r="D22" s="147">
        <v>10128580</v>
      </c>
      <c r="E22" s="147" t="s">
        <v>358</v>
      </c>
      <c r="O22" s="147" t="s">
        <v>409</v>
      </c>
    </row>
    <row r="23" spans="4:15" ht="15">
      <c r="D23" s="147">
        <v>10128581</v>
      </c>
      <c r="E23" s="147" t="s">
        <v>358</v>
      </c>
      <c r="O23" s="147" t="s">
        <v>410</v>
      </c>
    </row>
    <row r="24" spans="4:15" ht="15">
      <c r="D24" s="147">
        <v>10128582</v>
      </c>
      <c r="E24" s="147" t="s">
        <v>361</v>
      </c>
      <c r="O24" s="147" t="s">
        <v>411</v>
      </c>
    </row>
    <row r="25" spans="4:15" ht="15">
      <c r="D25" s="147">
        <v>10128595</v>
      </c>
      <c r="E25" s="147" t="s">
        <v>361</v>
      </c>
      <c r="O25" s="147" t="s">
        <v>412</v>
      </c>
    </row>
    <row r="26" spans="4:15" ht="15">
      <c r="D26" s="147">
        <v>10128596</v>
      </c>
      <c r="E26" s="147" t="s">
        <v>353</v>
      </c>
      <c r="O26" s="147" t="s">
        <v>413</v>
      </c>
    </row>
    <row r="27" spans="4:15" ht="15">
      <c r="D27" s="147">
        <v>10128597</v>
      </c>
      <c r="E27" s="147" t="s">
        <v>358</v>
      </c>
      <c r="O27" s="147" t="s">
        <v>414</v>
      </c>
    </row>
    <row r="28" spans="4:15" ht="15">
      <c r="D28" s="147">
        <v>10128598</v>
      </c>
      <c r="E28" s="147" t="s">
        <v>361</v>
      </c>
      <c r="O28" s="147" t="s">
        <v>415</v>
      </c>
    </row>
    <row r="29" spans="4:15" ht="15">
      <c r="D29" s="147">
        <v>10128599</v>
      </c>
      <c r="E29" s="147" t="s">
        <v>354</v>
      </c>
      <c r="O29" s="147" t="s">
        <v>416</v>
      </c>
    </row>
    <row r="30" spans="4:15" ht="15">
      <c r="D30" s="147">
        <v>10128600</v>
      </c>
      <c r="E30" s="147" t="s">
        <v>358</v>
      </c>
      <c r="O30" s="147" t="s">
        <v>417</v>
      </c>
    </row>
    <row r="31" spans="4:15" ht="15">
      <c r="D31" s="147">
        <v>10128579</v>
      </c>
      <c r="E31" s="147" t="s">
        <v>354</v>
      </c>
      <c r="O31" s="147" t="s">
        <v>418</v>
      </c>
    </row>
    <row r="32" spans="4:15" ht="15">
      <c r="D32" s="147">
        <v>10128580</v>
      </c>
      <c r="E32" s="147" t="s">
        <v>358</v>
      </c>
      <c r="O32" s="147" t="s">
        <v>419</v>
      </c>
    </row>
    <row r="33" spans="4:15" ht="15">
      <c r="D33" s="147">
        <v>10128581</v>
      </c>
      <c r="E33" s="147" t="s">
        <v>358</v>
      </c>
      <c r="O33" s="147" t="s">
        <v>420</v>
      </c>
    </row>
    <row r="34" spans="4:15" ht="15">
      <c r="D34" s="147">
        <v>10128582</v>
      </c>
      <c r="E34" s="147" t="s">
        <v>361</v>
      </c>
      <c r="O34" s="147" t="s">
        <v>421</v>
      </c>
    </row>
    <row r="35" spans="4:15" ht="15">
      <c r="D35" s="147">
        <v>10128595</v>
      </c>
      <c r="E35" s="147" t="s">
        <v>361</v>
      </c>
      <c r="O35" s="147" t="s">
        <v>422</v>
      </c>
    </row>
    <row r="36" spans="4:15" ht="15">
      <c r="D36" s="147">
        <v>10128596</v>
      </c>
      <c r="E36" s="147" t="s">
        <v>353</v>
      </c>
      <c r="O36" s="147" t="s">
        <v>423</v>
      </c>
    </row>
    <row r="37" spans="4:15" ht="15">
      <c r="D37" s="147">
        <v>10128597</v>
      </c>
      <c r="E37" s="147" t="s">
        <v>358</v>
      </c>
      <c r="O37" s="147" t="s">
        <v>424</v>
      </c>
    </row>
    <row r="38" spans="4:15" ht="15">
      <c r="D38" s="147">
        <v>10128598</v>
      </c>
      <c r="E38" s="147" t="s">
        <v>361</v>
      </c>
      <c r="O38" s="147" t="s">
        <v>425</v>
      </c>
    </row>
    <row r="39" spans="4:15" ht="15">
      <c r="D39" s="147">
        <v>10128599</v>
      </c>
      <c r="E39" s="147" t="s">
        <v>354</v>
      </c>
      <c r="O39" s="147" t="s">
        <v>426</v>
      </c>
    </row>
    <row r="40" spans="4:15" ht="15">
      <c r="D40" s="147">
        <v>10128600</v>
      </c>
      <c r="E40" s="147" t="s">
        <v>358</v>
      </c>
      <c r="O40" s="147" t="s">
        <v>427</v>
      </c>
    </row>
    <row r="41" spans="4:15" ht="15">
      <c r="D41" s="147">
        <v>10128579</v>
      </c>
      <c r="E41" s="147" t="s">
        <v>354</v>
      </c>
      <c r="O41" s="147" t="s">
        <v>428</v>
      </c>
    </row>
    <row r="42" spans="4:15" ht="15">
      <c r="D42" s="147">
        <v>10128580</v>
      </c>
      <c r="E42" s="147" t="s">
        <v>358</v>
      </c>
      <c r="O42" s="147" t="s">
        <v>429</v>
      </c>
    </row>
    <row r="43" spans="4:15" ht="15">
      <c r="D43" s="147">
        <v>10128581</v>
      </c>
      <c r="E43" s="147" t="s">
        <v>358</v>
      </c>
      <c r="O43" s="147" t="s">
        <v>430</v>
      </c>
    </row>
    <row r="44" spans="4:15" ht="15">
      <c r="D44" s="147">
        <v>10128582</v>
      </c>
      <c r="E44" s="147" t="s">
        <v>361</v>
      </c>
      <c r="O44" s="147" t="s">
        <v>431</v>
      </c>
    </row>
    <row r="45" spans="4:15" ht="15">
      <c r="D45" s="147">
        <v>10128595</v>
      </c>
      <c r="E45" s="147" t="s">
        <v>361</v>
      </c>
      <c r="O45" s="147" t="s">
        <v>432</v>
      </c>
    </row>
    <row r="46" spans="4:15" ht="15">
      <c r="D46" s="147">
        <v>10128596</v>
      </c>
      <c r="E46" s="147" t="s">
        <v>353</v>
      </c>
      <c r="O46" s="147" t="s">
        <v>433</v>
      </c>
    </row>
    <row r="47" spans="4:15" ht="15">
      <c r="D47" s="147">
        <v>10128597</v>
      </c>
      <c r="E47" s="147" t="s">
        <v>358</v>
      </c>
      <c r="O47" s="147" t="s">
        <v>434</v>
      </c>
    </row>
    <row r="48" spans="4:15" ht="15">
      <c r="D48" s="147">
        <v>10128598</v>
      </c>
      <c r="E48" s="147" t="s">
        <v>361</v>
      </c>
      <c r="O48" s="147" t="s">
        <v>435</v>
      </c>
    </row>
    <row r="49" spans="4:15" ht="15">
      <c r="D49" s="147">
        <v>10128599</v>
      </c>
      <c r="E49" s="147" t="s">
        <v>354</v>
      </c>
      <c r="O49" s="147" t="s">
        <v>436</v>
      </c>
    </row>
    <row r="50" spans="4:15" ht="15">
      <c r="D50" s="147">
        <v>10128600</v>
      </c>
      <c r="E50" s="147" t="s">
        <v>358</v>
      </c>
      <c r="O50" s="147" t="s">
        <v>437</v>
      </c>
    </row>
    <row r="51" spans="4:15" ht="15">
      <c r="D51" s="147">
        <v>10128579</v>
      </c>
      <c r="E51" s="147" t="s">
        <v>354</v>
      </c>
      <c r="O51" s="147" t="s">
        <v>438</v>
      </c>
    </row>
    <row r="52" spans="4:15" ht="15">
      <c r="D52" s="147">
        <v>10128580</v>
      </c>
      <c r="E52" s="147" t="s">
        <v>358</v>
      </c>
      <c r="O52" s="147" t="s">
        <v>439</v>
      </c>
    </row>
    <row r="53" spans="4:15" ht="15">
      <c r="D53" s="147">
        <v>10128581</v>
      </c>
      <c r="E53" s="147" t="s">
        <v>358</v>
      </c>
      <c r="O53" s="147" t="s">
        <v>440</v>
      </c>
    </row>
    <row r="54" spans="4:15" ht="15">
      <c r="D54" s="147">
        <v>10128582</v>
      </c>
      <c r="E54" s="147" t="s">
        <v>361</v>
      </c>
      <c r="O54" s="147" t="s">
        <v>441</v>
      </c>
    </row>
    <row r="55" spans="4:15" ht="15">
      <c r="D55" s="147">
        <v>10128595</v>
      </c>
      <c r="E55" s="147" t="s">
        <v>361</v>
      </c>
      <c r="O55" s="147" t="s">
        <v>442</v>
      </c>
    </row>
    <row r="56" spans="4:15" ht="15">
      <c r="D56" s="147">
        <v>10128596</v>
      </c>
      <c r="E56" s="147" t="s">
        <v>353</v>
      </c>
      <c r="O56" s="147" t="s">
        <v>443</v>
      </c>
    </row>
    <row r="57" spans="4:15" ht="15">
      <c r="D57" s="147">
        <v>10128597</v>
      </c>
      <c r="E57" s="147" t="s">
        <v>358</v>
      </c>
      <c r="O57" s="147" t="s">
        <v>444</v>
      </c>
    </row>
    <row r="58" spans="4:15" ht="15">
      <c r="D58" s="147">
        <v>10128598</v>
      </c>
      <c r="E58" s="147" t="s">
        <v>361</v>
      </c>
      <c r="O58" s="147" t="s">
        <v>445</v>
      </c>
    </row>
    <row r="59" spans="4:15" ht="15">
      <c r="D59" s="147">
        <v>10128599</v>
      </c>
      <c r="E59" s="147" t="s">
        <v>354</v>
      </c>
      <c r="O59" s="147" t="s">
        <v>446</v>
      </c>
    </row>
    <row r="60" spans="4:15" ht="15">
      <c r="D60" s="147">
        <v>10128600</v>
      </c>
      <c r="E60" s="147" t="s">
        <v>358</v>
      </c>
      <c r="O60" s="147" t="s">
        <v>447</v>
      </c>
    </row>
    <row r="61" spans="4:15" ht="15">
      <c r="D61" s="147">
        <v>10128579</v>
      </c>
      <c r="E61" s="147" t="s">
        <v>354</v>
      </c>
      <c r="O61" s="147" t="s">
        <v>448</v>
      </c>
    </row>
    <row r="62" spans="4:15" ht="15">
      <c r="D62" s="147">
        <v>10128580</v>
      </c>
      <c r="E62" s="147" t="s">
        <v>358</v>
      </c>
      <c r="O62" s="147" t="s">
        <v>449</v>
      </c>
    </row>
    <row r="63" spans="4:15" ht="15">
      <c r="D63" s="147">
        <v>10128581</v>
      </c>
      <c r="E63" s="147" t="s">
        <v>358</v>
      </c>
      <c r="O63" s="147" t="s">
        <v>450</v>
      </c>
    </row>
    <row r="64" spans="4:15" ht="15">
      <c r="D64" s="147">
        <v>10128582</v>
      </c>
      <c r="E64" s="147" t="s">
        <v>361</v>
      </c>
      <c r="O64" s="147" t="s">
        <v>31</v>
      </c>
    </row>
    <row r="65" spans="4:15" ht="15">
      <c r="D65" s="147">
        <v>10128595</v>
      </c>
      <c r="E65" s="147" t="s">
        <v>361</v>
      </c>
      <c r="O65" s="147" t="s">
        <v>451</v>
      </c>
    </row>
    <row r="66" spans="4:15" ht="15">
      <c r="D66" s="147">
        <v>10128596</v>
      </c>
      <c r="E66" s="147" t="s">
        <v>353</v>
      </c>
      <c r="O66" s="147" t="s">
        <v>452</v>
      </c>
    </row>
    <row r="67" spans="4:15" ht="15">
      <c r="D67" s="147">
        <v>10128597</v>
      </c>
      <c r="E67" s="147" t="s">
        <v>358</v>
      </c>
      <c r="O67" s="147" t="s">
        <v>453</v>
      </c>
    </row>
    <row r="68" spans="4:15" ht="15">
      <c r="D68" s="147">
        <v>10128598</v>
      </c>
      <c r="E68" s="147" t="s">
        <v>361</v>
      </c>
      <c r="O68" s="147" t="s">
        <v>454</v>
      </c>
    </row>
    <row r="69" spans="4:15" ht="15">
      <c r="D69" s="147">
        <v>10128599</v>
      </c>
      <c r="E69" s="147" t="s">
        <v>354</v>
      </c>
      <c r="O69" s="147" t="s">
        <v>455</v>
      </c>
    </row>
    <row r="70" spans="4:15" ht="15">
      <c r="D70" s="147">
        <v>10128600</v>
      </c>
      <c r="E70" s="147" t="s">
        <v>358</v>
      </c>
      <c r="O70" s="147" t="s">
        <v>456</v>
      </c>
    </row>
    <row r="71" spans="4:5" ht="15">
      <c r="D71" s="147">
        <v>10128579</v>
      </c>
      <c r="E71" s="147" t="s">
        <v>354</v>
      </c>
    </row>
    <row r="72" spans="4:5" ht="15">
      <c r="D72" s="147">
        <v>10128580</v>
      </c>
      <c r="E72" s="147" t="s">
        <v>358</v>
      </c>
    </row>
    <row r="73" spans="4:5" ht="15">
      <c r="D73" s="147">
        <v>10128581</v>
      </c>
      <c r="E73" s="147" t="s">
        <v>358</v>
      </c>
    </row>
    <row r="74" spans="4:5" ht="15">
      <c r="D74" s="147">
        <v>10128582</v>
      </c>
      <c r="E74" s="147" t="s">
        <v>361</v>
      </c>
    </row>
    <row r="75" spans="4:5" ht="15">
      <c r="D75" s="147">
        <v>10128595</v>
      </c>
      <c r="E75" s="147" t="s">
        <v>361</v>
      </c>
    </row>
    <row r="76" spans="4:5" ht="15">
      <c r="D76" s="147">
        <v>10128596</v>
      </c>
      <c r="E76" s="147" t="s">
        <v>353</v>
      </c>
    </row>
    <row r="77" spans="4:5" ht="15">
      <c r="D77" s="147">
        <v>10128597</v>
      </c>
      <c r="E77" s="147" t="s">
        <v>358</v>
      </c>
    </row>
    <row r="78" spans="4:5" ht="15">
      <c r="D78" s="147">
        <v>10128598</v>
      </c>
      <c r="E78" s="147" t="s">
        <v>361</v>
      </c>
    </row>
    <row r="79" spans="4:5" ht="15">
      <c r="D79" s="147">
        <v>10128599</v>
      </c>
      <c r="E79" s="147" t="s">
        <v>354</v>
      </c>
    </row>
    <row r="80" spans="4:5" ht="15">
      <c r="D80" s="147">
        <v>10128600</v>
      </c>
      <c r="E80" s="147" t="s">
        <v>358</v>
      </c>
    </row>
    <row r="81" spans="4:5" ht="15">
      <c r="D81" s="147">
        <v>10128579</v>
      </c>
      <c r="E81" s="147" t="s">
        <v>354</v>
      </c>
    </row>
    <row r="82" spans="4:5" ht="15">
      <c r="D82" s="147">
        <v>10128580</v>
      </c>
      <c r="E82" s="147" t="s">
        <v>358</v>
      </c>
    </row>
    <row r="83" spans="4:5" ht="15">
      <c r="D83" s="147">
        <v>10128581</v>
      </c>
      <c r="E83" s="147" t="s">
        <v>358</v>
      </c>
    </row>
    <row r="84" spans="4:5" ht="15">
      <c r="D84" s="147">
        <v>10128582</v>
      </c>
      <c r="E84" s="147" t="s">
        <v>361</v>
      </c>
    </row>
    <row r="85" spans="4:5" ht="15">
      <c r="D85" s="147">
        <v>10128595</v>
      </c>
      <c r="E85" s="147" t="s">
        <v>361</v>
      </c>
    </row>
    <row r="86" spans="4:5" ht="15">
      <c r="D86" s="147">
        <v>10128596</v>
      </c>
      <c r="E86" s="147" t="s">
        <v>353</v>
      </c>
    </row>
    <row r="87" spans="4:5" ht="15">
      <c r="D87" s="147">
        <v>10128597</v>
      </c>
      <c r="E87" s="147" t="s">
        <v>358</v>
      </c>
    </row>
    <row r="88" spans="4:5" ht="15">
      <c r="D88" s="147">
        <v>10128598</v>
      </c>
      <c r="E88" s="147" t="s">
        <v>361</v>
      </c>
    </row>
    <row r="89" spans="4:5" ht="15">
      <c r="D89" s="147">
        <v>10128599</v>
      </c>
      <c r="E89" s="147" t="s">
        <v>354</v>
      </c>
    </row>
    <row r="90" spans="4:5" ht="15">
      <c r="D90" s="147">
        <v>10128600</v>
      </c>
      <c r="E90" s="147" t="s">
        <v>358</v>
      </c>
    </row>
    <row r="91" spans="4:5" ht="15">
      <c r="D91" s="147">
        <v>10128579</v>
      </c>
      <c r="E91" s="147" t="s">
        <v>354</v>
      </c>
    </row>
    <row r="92" spans="4:5" ht="15">
      <c r="D92" s="147">
        <v>10128580</v>
      </c>
      <c r="E92" s="147" t="s">
        <v>358</v>
      </c>
    </row>
    <row r="93" spans="4:5" ht="15">
      <c r="D93" s="147">
        <v>10128581</v>
      </c>
      <c r="E93" s="147" t="s">
        <v>358</v>
      </c>
    </row>
    <row r="94" spans="4:5" ht="15">
      <c r="D94" s="147">
        <v>10128582</v>
      </c>
      <c r="E94" s="147" t="s">
        <v>361</v>
      </c>
    </row>
    <row r="95" spans="4:5" ht="15">
      <c r="D95" s="147">
        <v>10128595</v>
      </c>
      <c r="E95" s="147" t="s">
        <v>361</v>
      </c>
    </row>
    <row r="96" spans="4:5" ht="15">
      <c r="D96" s="147">
        <v>10128596</v>
      </c>
      <c r="E96" s="147" t="s">
        <v>353</v>
      </c>
    </row>
    <row r="97" spans="4:5" ht="15">
      <c r="D97" s="147">
        <v>10128597</v>
      </c>
      <c r="E97" s="147" t="s">
        <v>358</v>
      </c>
    </row>
    <row r="98" spans="4:5" ht="15">
      <c r="D98" s="147">
        <v>10128598</v>
      </c>
      <c r="E98" s="147" t="s">
        <v>361</v>
      </c>
    </row>
    <row r="99" spans="4:5" ht="15">
      <c r="D99" s="147">
        <v>10128599</v>
      </c>
      <c r="E99" s="147" t="s">
        <v>354</v>
      </c>
    </row>
    <row r="100" spans="4:5" ht="15">
      <c r="D100" s="147">
        <v>10128600</v>
      </c>
      <c r="E100" s="147" t="s">
        <v>358</v>
      </c>
    </row>
    <row r="101" spans="4:5" ht="15">
      <c r="D101" s="147">
        <v>10128579</v>
      </c>
      <c r="E101" s="147" t="s">
        <v>354</v>
      </c>
    </row>
    <row r="102" spans="4:5" ht="15">
      <c r="D102" s="147">
        <v>10128580</v>
      </c>
      <c r="E102" s="147" t="s">
        <v>358</v>
      </c>
    </row>
    <row r="103" spans="4:5" ht="15">
      <c r="D103" s="147">
        <v>10128581</v>
      </c>
      <c r="E103" s="147" t="s">
        <v>358</v>
      </c>
    </row>
    <row r="104" spans="4:5" ht="15">
      <c r="D104" s="147">
        <v>10128582</v>
      </c>
      <c r="E104" s="147" t="s">
        <v>361</v>
      </c>
    </row>
    <row r="105" spans="4:5" ht="15">
      <c r="D105" s="147">
        <v>10128595</v>
      </c>
      <c r="E105" s="147" t="s">
        <v>361</v>
      </c>
    </row>
    <row r="106" spans="4:5" ht="15">
      <c r="D106" s="147">
        <v>10128596</v>
      </c>
      <c r="E106" s="147" t="s">
        <v>353</v>
      </c>
    </row>
    <row r="107" spans="4:5" ht="15">
      <c r="D107" s="147">
        <v>10128597</v>
      </c>
      <c r="E107" s="147" t="s">
        <v>358</v>
      </c>
    </row>
    <row r="108" spans="4:5" ht="15">
      <c r="D108" s="147">
        <v>10128598</v>
      </c>
      <c r="E108" s="147" t="s">
        <v>361</v>
      </c>
    </row>
    <row r="109" spans="4:5" ht="15">
      <c r="D109" s="147">
        <v>10128599</v>
      </c>
      <c r="E109" s="147" t="s">
        <v>354</v>
      </c>
    </row>
    <row r="110" spans="4:5" ht="15">
      <c r="D110" s="147">
        <v>10128600</v>
      </c>
      <c r="E110" s="147" t="s">
        <v>358</v>
      </c>
    </row>
    <row r="111" spans="4:5" ht="15">
      <c r="D111" s="147">
        <v>10128579</v>
      </c>
      <c r="E111" s="147" t="s">
        <v>354</v>
      </c>
    </row>
    <row r="112" spans="4:5" ht="15">
      <c r="D112" s="147">
        <v>10128580</v>
      </c>
      <c r="E112" s="147" t="s">
        <v>358</v>
      </c>
    </row>
    <row r="113" spans="4:5" ht="15">
      <c r="D113" s="147">
        <v>10128581</v>
      </c>
      <c r="E113" s="147" t="s">
        <v>358</v>
      </c>
    </row>
    <row r="114" spans="4:5" ht="15">
      <c r="D114" s="147">
        <v>10128582</v>
      </c>
      <c r="E114" s="147" t="s">
        <v>361</v>
      </c>
    </row>
    <row r="115" spans="4:5" ht="15">
      <c r="D115" s="147">
        <v>10128595</v>
      </c>
      <c r="E115" s="147" t="s">
        <v>361</v>
      </c>
    </row>
    <row r="116" spans="4:5" ht="15">
      <c r="D116" s="147">
        <v>10128596</v>
      </c>
      <c r="E116" s="147" t="s">
        <v>353</v>
      </c>
    </row>
    <row r="117" spans="4:5" ht="15">
      <c r="D117" s="147">
        <v>10128597</v>
      </c>
      <c r="E117" s="147" t="s">
        <v>358</v>
      </c>
    </row>
    <row r="118" spans="4:5" ht="15">
      <c r="D118" s="147">
        <v>10128598</v>
      </c>
      <c r="E118" s="147" t="s">
        <v>361</v>
      </c>
    </row>
    <row r="119" spans="4:5" ht="15">
      <c r="D119" s="147">
        <v>10128599</v>
      </c>
      <c r="E119" s="147" t="s">
        <v>354</v>
      </c>
    </row>
    <row r="120" spans="4:5" ht="15">
      <c r="D120" s="147">
        <v>10128600</v>
      </c>
      <c r="E120" s="147" t="s">
        <v>358</v>
      </c>
    </row>
    <row r="121" spans="4:5" ht="15">
      <c r="D121" s="147">
        <v>10128579</v>
      </c>
      <c r="E121" s="147" t="s">
        <v>354</v>
      </c>
    </row>
    <row r="122" spans="4:5" ht="15">
      <c r="D122" s="147">
        <v>10128580</v>
      </c>
      <c r="E122" s="147" t="s">
        <v>358</v>
      </c>
    </row>
    <row r="123" spans="4:5" ht="15">
      <c r="D123" s="147">
        <v>10128581</v>
      </c>
      <c r="E123" s="147" t="s">
        <v>358</v>
      </c>
    </row>
    <row r="124" spans="4:5" ht="15">
      <c r="D124" s="147">
        <v>10128582</v>
      </c>
      <c r="E124" s="147" t="s">
        <v>361</v>
      </c>
    </row>
    <row r="125" spans="4:5" ht="15">
      <c r="D125" s="147">
        <v>10128595</v>
      </c>
      <c r="E125" s="147" t="s">
        <v>361</v>
      </c>
    </row>
    <row r="126" spans="4:5" ht="15">
      <c r="D126" s="147">
        <v>10128596</v>
      </c>
      <c r="E126" s="147" t="s">
        <v>353</v>
      </c>
    </row>
    <row r="127" spans="4:5" ht="15">
      <c r="D127" s="147">
        <v>10128597</v>
      </c>
      <c r="E127" s="147" t="s">
        <v>358</v>
      </c>
    </row>
    <row r="128" spans="4:5" ht="15">
      <c r="D128" s="147">
        <v>10128598</v>
      </c>
      <c r="E128" s="147" t="s">
        <v>361</v>
      </c>
    </row>
    <row r="129" spans="4:5" ht="15">
      <c r="D129" s="147">
        <v>10128599</v>
      </c>
      <c r="E129" s="147" t="s">
        <v>354</v>
      </c>
    </row>
    <row r="130" spans="4:5" ht="15">
      <c r="D130" s="147">
        <v>10128600</v>
      </c>
      <c r="E130" s="147" t="s">
        <v>358</v>
      </c>
    </row>
    <row r="131" spans="4:5" ht="15">
      <c r="D131" s="147">
        <v>10128579</v>
      </c>
      <c r="E131" s="147" t="s">
        <v>354</v>
      </c>
    </row>
    <row r="132" spans="4:5" ht="15">
      <c r="D132" s="147">
        <v>10128580</v>
      </c>
      <c r="E132" s="147" t="s">
        <v>358</v>
      </c>
    </row>
    <row r="133" spans="4:5" ht="15">
      <c r="D133" s="147">
        <v>10128581</v>
      </c>
      <c r="E133" s="147" t="s">
        <v>358</v>
      </c>
    </row>
    <row r="134" spans="4:5" ht="15">
      <c r="D134" s="147">
        <v>10128582</v>
      </c>
      <c r="E134" s="147" t="s">
        <v>361</v>
      </c>
    </row>
    <row r="135" spans="4:5" ht="15">
      <c r="D135" s="147">
        <v>10128595</v>
      </c>
      <c r="E135" s="147" t="s">
        <v>361</v>
      </c>
    </row>
    <row r="136" spans="4:5" ht="15">
      <c r="D136" s="147">
        <v>10128596</v>
      </c>
      <c r="E136" s="147" t="s">
        <v>353</v>
      </c>
    </row>
    <row r="137" spans="4:5" ht="15">
      <c r="D137" s="147">
        <v>10128597</v>
      </c>
      <c r="E137" s="147" t="s">
        <v>358</v>
      </c>
    </row>
    <row r="138" spans="4:5" ht="15">
      <c r="D138" s="147">
        <v>10128598</v>
      </c>
      <c r="E138" s="147" t="s">
        <v>361</v>
      </c>
    </row>
    <row r="139" spans="4:5" ht="15">
      <c r="D139" s="147">
        <v>10128599</v>
      </c>
      <c r="E139" s="147" t="s">
        <v>354</v>
      </c>
    </row>
    <row r="140" spans="4:5" ht="15">
      <c r="D140" s="147">
        <v>10128600</v>
      </c>
      <c r="E140" s="147" t="s">
        <v>358</v>
      </c>
    </row>
    <row r="141" spans="4:5" ht="15">
      <c r="D141" s="147">
        <v>10128579</v>
      </c>
      <c r="E141" s="147" t="s">
        <v>354</v>
      </c>
    </row>
    <row r="142" spans="4:5" ht="15">
      <c r="D142" s="147">
        <v>10128580</v>
      </c>
      <c r="E142" s="147" t="s">
        <v>358</v>
      </c>
    </row>
    <row r="143" spans="4:5" ht="15">
      <c r="D143" s="147">
        <v>10128581</v>
      </c>
      <c r="E143" s="147" t="s">
        <v>358</v>
      </c>
    </row>
    <row r="144" spans="4:5" ht="15">
      <c r="D144" s="147">
        <v>10128582</v>
      </c>
      <c r="E144" s="147" t="s">
        <v>361</v>
      </c>
    </row>
    <row r="145" spans="4:5" ht="15">
      <c r="D145" s="147">
        <v>10128595</v>
      </c>
      <c r="E145" s="147" t="s">
        <v>361</v>
      </c>
    </row>
    <row r="146" spans="4:5" ht="15">
      <c r="D146" s="147">
        <v>10128596</v>
      </c>
      <c r="E146" s="147" t="s">
        <v>353</v>
      </c>
    </row>
    <row r="147" spans="4:5" ht="15">
      <c r="D147" s="147">
        <v>10128597</v>
      </c>
      <c r="E147" s="147" t="s">
        <v>358</v>
      </c>
    </row>
    <row r="148" spans="4:5" ht="15">
      <c r="D148" s="147">
        <v>10128598</v>
      </c>
      <c r="E148" s="147" t="s">
        <v>361</v>
      </c>
    </row>
    <row r="149" spans="4:5" ht="15">
      <c r="D149" s="147">
        <v>10128599</v>
      </c>
      <c r="E149" s="147" t="s">
        <v>354</v>
      </c>
    </row>
    <row r="150" spans="4:5" ht="15">
      <c r="D150" s="147">
        <v>10128600</v>
      </c>
      <c r="E150" s="147" t="s">
        <v>358</v>
      </c>
    </row>
    <row r="151" spans="4:5" ht="15">
      <c r="D151" s="147">
        <v>10128579</v>
      </c>
      <c r="E151" s="147" t="s">
        <v>354</v>
      </c>
    </row>
    <row r="152" spans="4:5" ht="15">
      <c r="D152" s="147">
        <v>10128580</v>
      </c>
      <c r="E152" s="147" t="s">
        <v>358</v>
      </c>
    </row>
    <row r="153" spans="4:5" ht="15">
      <c r="D153" s="147">
        <v>10128581</v>
      </c>
      <c r="E153" s="147" t="s">
        <v>358</v>
      </c>
    </row>
    <row r="154" spans="4:5" ht="15">
      <c r="D154" s="147">
        <v>10128582</v>
      </c>
      <c r="E154" s="147" t="s">
        <v>361</v>
      </c>
    </row>
    <row r="155" spans="4:5" ht="15">
      <c r="D155" s="147">
        <v>10128595</v>
      </c>
      <c r="E155" s="147" t="s">
        <v>361</v>
      </c>
    </row>
    <row r="156" spans="4:5" ht="15">
      <c r="D156" s="147">
        <v>10128596</v>
      </c>
      <c r="E156" s="147" t="s">
        <v>353</v>
      </c>
    </row>
    <row r="157" spans="4:5" ht="15">
      <c r="D157" s="147">
        <v>10128597</v>
      </c>
      <c r="E157" s="147" t="s">
        <v>358</v>
      </c>
    </row>
    <row r="158" spans="4:5" ht="15">
      <c r="D158" s="147">
        <v>10128598</v>
      </c>
      <c r="E158" s="147" t="s">
        <v>361</v>
      </c>
    </row>
    <row r="159" spans="4:5" ht="15">
      <c r="D159" s="147">
        <v>10128599</v>
      </c>
      <c r="E159" s="147" t="s">
        <v>354</v>
      </c>
    </row>
    <row r="160" spans="4:5" ht="15">
      <c r="D160" s="147">
        <v>10128600</v>
      </c>
      <c r="E160" s="147" t="s">
        <v>358</v>
      </c>
    </row>
    <row r="161" spans="4:5" ht="15">
      <c r="D161" s="147">
        <v>10128579</v>
      </c>
      <c r="E161" s="147" t="s">
        <v>354</v>
      </c>
    </row>
    <row r="162" spans="4:5" ht="15">
      <c r="D162" s="147">
        <v>10128580</v>
      </c>
      <c r="E162" s="147" t="s">
        <v>358</v>
      </c>
    </row>
    <row r="163" spans="4:5" ht="15">
      <c r="D163" s="147">
        <v>10128581</v>
      </c>
      <c r="E163" s="147" t="s">
        <v>358</v>
      </c>
    </row>
    <row r="164" spans="4:5" ht="15">
      <c r="D164" s="147">
        <v>10128582</v>
      </c>
      <c r="E164" s="147" t="s">
        <v>361</v>
      </c>
    </row>
    <row r="165" spans="4:5" ht="15">
      <c r="D165" s="147">
        <v>10128595</v>
      </c>
      <c r="E165" s="147" t="s">
        <v>361</v>
      </c>
    </row>
    <row r="166" spans="4:5" ht="15">
      <c r="D166" s="147">
        <v>10128596</v>
      </c>
      <c r="E166" s="147" t="s">
        <v>353</v>
      </c>
    </row>
    <row r="167" spans="4:5" ht="15">
      <c r="D167" s="147">
        <v>10128597</v>
      </c>
      <c r="E167" s="147" t="s">
        <v>358</v>
      </c>
    </row>
    <row r="168" spans="4:5" ht="15">
      <c r="D168" s="147">
        <v>10128598</v>
      </c>
      <c r="E168" s="147" t="s">
        <v>361</v>
      </c>
    </row>
    <row r="169" spans="4:5" ht="15">
      <c r="D169" s="147">
        <v>10128599</v>
      </c>
      <c r="E169" s="147" t="s">
        <v>354</v>
      </c>
    </row>
    <row r="170" spans="4:5" ht="15">
      <c r="D170" s="147">
        <v>10128600</v>
      </c>
      <c r="E170" s="147" t="s">
        <v>358</v>
      </c>
    </row>
    <row r="171" spans="4:5" ht="15">
      <c r="D171" s="147">
        <v>10128579</v>
      </c>
      <c r="E171" s="147" t="s">
        <v>354</v>
      </c>
    </row>
    <row r="172" spans="4:5" ht="15">
      <c r="D172" s="147">
        <v>10128580</v>
      </c>
      <c r="E172" s="147" t="s">
        <v>358</v>
      </c>
    </row>
    <row r="173" spans="4:5" ht="15">
      <c r="D173" s="147">
        <v>10128581</v>
      </c>
      <c r="E173" s="147" t="s">
        <v>358</v>
      </c>
    </row>
    <row r="174" spans="4:5" ht="15">
      <c r="D174" s="147">
        <v>10128582</v>
      </c>
      <c r="E174" s="147" t="s">
        <v>361</v>
      </c>
    </row>
    <row r="175" spans="4:5" ht="15">
      <c r="D175" s="147">
        <v>10128595</v>
      </c>
      <c r="E175" s="147" t="s">
        <v>361</v>
      </c>
    </row>
    <row r="176" spans="4:5" ht="15">
      <c r="D176" s="147">
        <v>10128596</v>
      </c>
      <c r="E176" s="147" t="s">
        <v>353</v>
      </c>
    </row>
    <row r="177" spans="4:5" ht="15">
      <c r="D177" s="147">
        <v>10128597</v>
      </c>
      <c r="E177" s="147" t="s">
        <v>358</v>
      </c>
    </row>
    <row r="178" spans="4:5" ht="15">
      <c r="D178" s="147">
        <v>10128598</v>
      </c>
      <c r="E178" s="147" t="s">
        <v>361</v>
      </c>
    </row>
    <row r="179" spans="4:5" ht="15">
      <c r="D179" s="147">
        <v>10128599</v>
      </c>
      <c r="E179" s="147" t="s">
        <v>354</v>
      </c>
    </row>
    <row r="180" spans="4:5" ht="15">
      <c r="D180" s="147">
        <v>10128600</v>
      </c>
      <c r="E180" s="147" t="s">
        <v>358</v>
      </c>
    </row>
    <row r="181" spans="4:5" ht="15">
      <c r="D181" s="147">
        <v>10128579</v>
      </c>
      <c r="E181" s="147" t="s">
        <v>354</v>
      </c>
    </row>
    <row r="182" spans="4:5" ht="15">
      <c r="D182" s="147">
        <v>10128580</v>
      </c>
      <c r="E182" s="147" t="s">
        <v>358</v>
      </c>
    </row>
    <row r="183" spans="4:5" ht="15">
      <c r="D183" s="147">
        <v>10128581</v>
      </c>
      <c r="E183" s="147" t="s">
        <v>358</v>
      </c>
    </row>
    <row r="184" spans="4:5" ht="15">
      <c r="D184" s="147">
        <v>10128582</v>
      </c>
      <c r="E184" s="147" t="s">
        <v>361</v>
      </c>
    </row>
    <row r="185" spans="4:5" ht="15">
      <c r="D185" s="147">
        <v>10128595</v>
      </c>
      <c r="E185" s="147" t="s">
        <v>361</v>
      </c>
    </row>
    <row r="186" spans="4:5" ht="15">
      <c r="D186" s="147">
        <v>10128596</v>
      </c>
      <c r="E186" s="147" t="s">
        <v>353</v>
      </c>
    </row>
    <row r="187" spans="4:5" ht="15">
      <c r="D187" s="147">
        <v>10128597</v>
      </c>
      <c r="E187" s="147" t="s">
        <v>358</v>
      </c>
    </row>
    <row r="188" spans="4:5" ht="15">
      <c r="D188" s="147">
        <v>10128598</v>
      </c>
      <c r="E188" s="147" t="s">
        <v>361</v>
      </c>
    </row>
    <row r="189" spans="4:5" ht="15">
      <c r="D189" s="147">
        <v>10128599</v>
      </c>
      <c r="E189" s="147" t="s">
        <v>354</v>
      </c>
    </row>
    <row r="190" spans="4:5" ht="15">
      <c r="D190" s="147">
        <v>10128600</v>
      </c>
      <c r="E190" s="147" t="s">
        <v>358</v>
      </c>
    </row>
    <row r="191" spans="4:5" ht="15">
      <c r="D191" s="147">
        <v>10128579</v>
      </c>
      <c r="E191" s="147" t="s">
        <v>354</v>
      </c>
    </row>
    <row r="192" spans="4:5" ht="15">
      <c r="D192" s="147">
        <v>10128580</v>
      </c>
      <c r="E192" s="147" t="s">
        <v>358</v>
      </c>
    </row>
    <row r="193" spans="4:5" ht="15">
      <c r="D193" s="147">
        <v>10128581</v>
      </c>
      <c r="E193" s="147" t="s">
        <v>358</v>
      </c>
    </row>
    <row r="194" spans="4:5" ht="15">
      <c r="D194" s="147">
        <v>10128582</v>
      </c>
      <c r="E194" s="147" t="s">
        <v>361</v>
      </c>
    </row>
    <row r="195" spans="4:5" ht="15">
      <c r="D195" s="147">
        <v>10128595</v>
      </c>
      <c r="E195" s="147" t="s">
        <v>361</v>
      </c>
    </row>
    <row r="196" spans="4:5" ht="15">
      <c r="D196" s="147">
        <v>10128596</v>
      </c>
      <c r="E196" s="147" t="s">
        <v>353</v>
      </c>
    </row>
    <row r="197" spans="4:5" ht="15">
      <c r="D197" s="147">
        <v>10128597</v>
      </c>
      <c r="E197" s="147" t="s">
        <v>358</v>
      </c>
    </row>
    <row r="198" spans="4:5" ht="15">
      <c r="D198" s="147">
        <v>10128598</v>
      </c>
      <c r="E198" s="147" t="s">
        <v>361</v>
      </c>
    </row>
    <row r="199" spans="4:5" ht="15">
      <c r="D199" s="147">
        <v>10128599</v>
      </c>
      <c r="E199" s="147" t="s">
        <v>354</v>
      </c>
    </row>
    <row r="200" spans="4:5" ht="15">
      <c r="D200" s="147">
        <v>10128600</v>
      </c>
      <c r="E200" s="147" t="s">
        <v>358</v>
      </c>
    </row>
    <row r="201" spans="4:5" ht="15">
      <c r="D201" s="147">
        <v>10128579</v>
      </c>
      <c r="E201" s="147" t="s">
        <v>354</v>
      </c>
    </row>
    <row r="202" spans="4:5" ht="15">
      <c r="D202" s="147">
        <v>10128580</v>
      </c>
      <c r="E202" s="147" t="s">
        <v>358</v>
      </c>
    </row>
    <row r="203" spans="4:5" ht="15">
      <c r="D203" s="147">
        <v>10128581</v>
      </c>
      <c r="E203" s="147" t="s">
        <v>358</v>
      </c>
    </row>
    <row r="204" spans="4:5" ht="15">
      <c r="D204" s="147">
        <v>10128582</v>
      </c>
      <c r="E204" s="147" t="s">
        <v>361</v>
      </c>
    </row>
    <row r="205" spans="4:5" ht="15">
      <c r="D205" s="147">
        <v>10128595</v>
      </c>
      <c r="E205" s="147" t="s">
        <v>361</v>
      </c>
    </row>
    <row r="206" spans="4:5" ht="15">
      <c r="D206" s="147">
        <v>10128596</v>
      </c>
      <c r="E206" s="147" t="s">
        <v>353</v>
      </c>
    </row>
    <row r="207" spans="4:5" ht="15">
      <c r="D207" s="147">
        <v>10128597</v>
      </c>
      <c r="E207" s="147" t="s">
        <v>358</v>
      </c>
    </row>
    <row r="208" spans="4:5" ht="15">
      <c r="D208" s="147">
        <v>10128598</v>
      </c>
      <c r="E208" s="147" t="s">
        <v>361</v>
      </c>
    </row>
    <row r="209" spans="4:5" ht="15">
      <c r="D209" s="147">
        <v>10128599</v>
      </c>
      <c r="E209" s="147" t="s">
        <v>354</v>
      </c>
    </row>
    <row r="210" spans="4:5" ht="15">
      <c r="D210" s="147">
        <v>10128600</v>
      </c>
      <c r="E210" s="147" t="s">
        <v>358</v>
      </c>
    </row>
    <row r="211" spans="4:5" ht="15">
      <c r="D211" s="147">
        <v>10128579</v>
      </c>
      <c r="E211" s="147" t="s">
        <v>354</v>
      </c>
    </row>
    <row r="212" spans="4:5" ht="15">
      <c r="D212" s="147">
        <v>10128580</v>
      </c>
      <c r="E212" s="147" t="s">
        <v>358</v>
      </c>
    </row>
    <row r="213" spans="4:5" ht="15">
      <c r="D213" s="147">
        <v>10128581</v>
      </c>
      <c r="E213" s="147" t="s">
        <v>358</v>
      </c>
    </row>
    <row r="214" spans="4:5" ht="15">
      <c r="D214" s="147">
        <v>10128582</v>
      </c>
      <c r="E214" s="147" t="s">
        <v>361</v>
      </c>
    </row>
    <row r="215" spans="4:5" ht="15">
      <c r="D215" s="147">
        <v>10128595</v>
      </c>
      <c r="E215" s="147" t="s">
        <v>361</v>
      </c>
    </row>
    <row r="216" spans="4:5" ht="15">
      <c r="D216" s="147">
        <v>10128596</v>
      </c>
      <c r="E216" s="147" t="s">
        <v>353</v>
      </c>
    </row>
    <row r="217" spans="4:5" ht="15">
      <c r="D217" s="147">
        <v>10128597</v>
      </c>
      <c r="E217" s="147" t="s">
        <v>358</v>
      </c>
    </row>
    <row r="218" spans="4:5" ht="15">
      <c r="D218" s="147">
        <v>10128598</v>
      </c>
      <c r="E218" s="147" t="s">
        <v>361</v>
      </c>
    </row>
    <row r="219" spans="4:5" ht="15">
      <c r="D219" s="147">
        <v>10128599</v>
      </c>
      <c r="E219" s="147" t="s">
        <v>354</v>
      </c>
    </row>
    <row r="220" spans="4:5" ht="15">
      <c r="D220" s="147">
        <v>10128600</v>
      </c>
      <c r="E220" s="147" t="s">
        <v>358</v>
      </c>
    </row>
    <row r="221" spans="4:5" ht="15">
      <c r="D221" s="147">
        <v>10128579</v>
      </c>
      <c r="E221" s="147" t="s">
        <v>354</v>
      </c>
    </row>
    <row r="222" spans="4:5" ht="15">
      <c r="D222" s="147">
        <v>10128580</v>
      </c>
      <c r="E222" s="147" t="s">
        <v>358</v>
      </c>
    </row>
    <row r="223" spans="4:5" ht="15">
      <c r="D223" s="147">
        <v>10128581</v>
      </c>
      <c r="E223" s="147" t="s">
        <v>358</v>
      </c>
    </row>
    <row r="224" spans="4:5" ht="15">
      <c r="D224" s="147">
        <v>10128582</v>
      </c>
      <c r="E224" s="147" t="s">
        <v>361</v>
      </c>
    </row>
    <row r="225" spans="4:5" ht="15">
      <c r="D225" s="147">
        <v>10128595</v>
      </c>
      <c r="E225" s="147" t="s">
        <v>361</v>
      </c>
    </row>
    <row r="226" spans="4:5" ht="15">
      <c r="D226" s="147">
        <v>10128596</v>
      </c>
      <c r="E226" s="147" t="s">
        <v>353</v>
      </c>
    </row>
    <row r="227" spans="4:5" ht="15">
      <c r="D227" s="147">
        <v>10128597</v>
      </c>
      <c r="E227" s="147" t="s">
        <v>358</v>
      </c>
    </row>
    <row r="228" spans="4:5" ht="15">
      <c r="D228" s="147">
        <v>10128598</v>
      </c>
      <c r="E228" s="147" t="s">
        <v>361</v>
      </c>
    </row>
    <row r="229" spans="4:5" ht="15">
      <c r="D229" s="147">
        <v>10128599</v>
      </c>
      <c r="E229" s="147" t="s">
        <v>354</v>
      </c>
    </row>
    <row r="230" spans="4:5" ht="15">
      <c r="D230" s="147">
        <v>10128600</v>
      </c>
      <c r="E230" s="147" t="s">
        <v>358</v>
      </c>
    </row>
    <row r="231" spans="4:5" ht="15">
      <c r="D231" s="147">
        <v>10128579</v>
      </c>
      <c r="E231" s="147" t="s">
        <v>354</v>
      </c>
    </row>
    <row r="232" spans="4:5" ht="15">
      <c r="D232" s="147">
        <v>10128580</v>
      </c>
      <c r="E232" s="147" t="s">
        <v>358</v>
      </c>
    </row>
    <row r="233" spans="4:5" ht="15">
      <c r="D233" s="147">
        <v>10128581</v>
      </c>
      <c r="E233" s="147" t="s">
        <v>358</v>
      </c>
    </row>
    <row r="234" spans="4:5" ht="15">
      <c r="D234" s="147">
        <v>10128582</v>
      </c>
      <c r="E234" s="147" t="s">
        <v>361</v>
      </c>
    </row>
    <row r="235" spans="4:5" ht="15">
      <c r="D235" s="147">
        <v>10128595</v>
      </c>
      <c r="E235" s="147" t="s">
        <v>361</v>
      </c>
    </row>
    <row r="236" spans="4:5" ht="15">
      <c r="D236" s="147">
        <v>10128596</v>
      </c>
      <c r="E236" s="147" t="s">
        <v>353</v>
      </c>
    </row>
    <row r="237" spans="4:5" ht="15">
      <c r="D237" s="147">
        <v>10128597</v>
      </c>
      <c r="E237" s="147" t="s">
        <v>358</v>
      </c>
    </row>
    <row r="238" spans="4:5" ht="15">
      <c r="D238" s="147">
        <v>10128598</v>
      </c>
      <c r="E238" s="147" t="s">
        <v>361</v>
      </c>
    </row>
    <row r="239" spans="4:5" ht="15">
      <c r="D239" s="147">
        <v>10128599</v>
      </c>
      <c r="E239" s="147" t="s">
        <v>354</v>
      </c>
    </row>
    <row r="240" spans="4:5" ht="15">
      <c r="D240" s="147">
        <v>10128600</v>
      </c>
      <c r="E240" s="147" t="s">
        <v>358</v>
      </c>
    </row>
    <row r="241" spans="4:5" ht="15">
      <c r="D241" s="147">
        <v>10128579</v>
      </c>
      <c r="E241" s="147" t="s">
        <v>354</v>
      </c>
    </row>
    <row r="242" spans="4:5" ht="15">
      <c r="D242" s="147">
        <v>10128580</v>
      </c>
      <c r="E242" s="147" t="s">
        <v>358</v>
      </c>
    </row>
    <row r="243" spans="4:5" ht="15">
      <c r="D243" s="147">
        <v>10128581</v>
      </c>
      <c r="E243" s="147" t="s">
        <v>358</v>
      </c>
    </row>
    <row r="244" spans="4:5" ht="15">
      <c r="D244" s="147">
        <v>10128582</v>
      </c>
      <c r="E244" s="147" t="s">
        <v>361</v>
      </c>
    </row>
    <row r="245" spans="4:5" ht="15">
      <c r="D245" s="147">
        <v>10128595</v>
      </c>
      <c r="E245" s="147" t="s">
        <v>361</v>
      </c>
    </row>
    <row r="246" spans="4:5" ht="15">
      <c r="D246" s="147">
        <v>10128596</v>
      </c>
      <c r="E246" s="147" t="s">
        <v>353</v>
      </c>
    </row>
    <row r="247" spans="4:5" ht="15">
      <c r="D247" s="147">
        <v>10128597</v>
      </c>
      <c r="E247" s="147" t="s">
        <v>358</v>
      </c>
    </row>
    <row r="248" spans="4:5" ht="15">
      <c r="D248" s="147">
        <v>10128598</v>
      </c>
      <c r="E248" s="147" t="s">
        <v>361</v>
      </c>
    </row>
    <row r="249" spans="4:5" ht="15">
      <c r="D249" s="147">
        <v>10128599</v>
      </c>
      <c r="E249" s="147" t="s">
        <v>354</v>
      </c>
    </row>
    <row r="250" spans="4:5" ht="15">
      <c r="D250" s="147">
        <v>10128600</v>
      </c>
      <c r="E250" s="147" t="s">
        <v>358</v>
      </c>
    </row>
    <row r="251" spans="4:5" ht="15">
      <c r="D251" s="147">
        <v>10128579</v>
      </c>
      <c r="E251" s="147" t="s">
        <v>354</v>
      </c>
    </row>
    <row r="252" spans="4:5" ht="15">
      <c r="D252" s="147">
        <v>10128580</v>
      </c>
      <c r="E252" s="147" t="s">
        <v>358</v>
      </c>
    </row>
    <row r="253" spans="4:5" ht="15">
      <c r="D253" s="147">
        <v>10128581</v>
      </c>
      <c r="E253" s="147" t="s">
        <v>358</v>
      </c>
    </row>
    <row r="254" spans="4:5" ht="15">
      <c r="D254" s="147">
        <v>10128582</v>
      </c>
      <c r="E254" s="147" t="s">
        <v>361</v>
      </c>
    </row>
    <row r="255" spans="4:5" ht="15">
      <c r="D255" s="147">
        <v>10128595</v>
      </c>
      <c r="E255" s="147" t="s">
        <v>361</v>
      </c>
    </row>
    <row r="256" spans="4:5" ht="15">
      <c r="D256" s="147">
        <v>10128596</v>
      </c>
      <c r="E256" s="147" t="s">
        <v>353</v>
      </c>
    </row>
    <row r="257" spans="4:5" ht="15">
      <c r="D257" s="147">
        <v>10128597</v>
      </c>
      <c r="E257" s="147" t="s">
        <v>358</v>
      </c>
    </row>
    <row r="258" spans="4:5" ht="15">
      <c r="D258" s="147">
        <v>10128598</v>
      </c>
      <c r="E258" s="147" t="s">
        <v>361</v>
      </c>
    </row>
    <row r="259" spans="4:5" ht="15">
      <c r="D259" s="147">
        <v>10128599</v>
      </c>
      <c r="E259" s="147" t="s">
        <v>354</v>
      </c>
    </row>
    <row r="260" spans="4:5" ht="15">
      <c r="D260" s="147">
        <v>10128600</v>
      </c>
      <c r="E260" s="147" t="s">
        <v>358</v>
      </c>
    </row>
    <row r="261" spans="4:5" ht="15">
      <c r="D261" s="147">
        <v>10128579</v>
      </c>
      <c r="E261" s="147" t="s">
        <v>354</v>
      </c>
    </row>
    <row r="262" spans="4:5" ht="15">
      <c r="D262" s="147">
        <v>10128580</v>
      </c>
      <c r="E262" s="147" t="s">
        <v>358</v>
      </c>
    </row>
    <row r="263" spans="4:5" ht="15">
      <c r="D263" s="147">
        <v>10128581</v>
      </c>
      <c r="E263" s="147" t="s">
        <v>358</v>
      </c>
    </row>
    <row r="264" spans="4:5" ht="15">
      <c r="D264" s="147">
        <v>10128582</v>
      </c>
      <c r="E264" s="147" t="s">
        <v>361</v>
      </c>
    </row>
    <row r="265" spans="4:5" ht="15">
      <c r="D265" s="147">
        <v>10128595</v>
      </c>
      <c r="E265" s="147" t="s">
        <v>361</v>
      </c>
    </row>
    <row r="266" spans="4:5" ht="15">
      <c r="D266" s="147">
        <v>10128596</v>
      </c>
      <c r="E266" s="147" t="s">
        <v>353</v>
      </c>
    </row>
    <row r="267" spans="4:5" ht="15">
      <c r="D267" s="147">
        <v>10128597</v>
      </c>
      <c r="E267" s="147" t="s">
        <v>358</v>
      </c>
    </row>
    <row r="268" spans="4:5" ht="15">
      <c r="D268" s="147">
        <v>10128598</v>
      </c>
      <c r="E268" s="147" t="s">
        <v>361</v>
      </c>
    </row>
    <row r="269" spans="4:5" ht="15">
      <c r="D269" s="147">
        <v>10128599</v>
      </c>
      <c r="E269" s="147" t="s">
        <v>354</v>
      </c>
    </row>
    <row r="270" spans="4:5" ht="15">
      <c r="D270" s="147">
        <v>10128600</v>
      </c>
      <c r="E270" s="147" t="s">
        <v>358</v>
      </c>
    </row>
    <row r="271" spans="4:5" ht="15">
      <c r="D271" s="147">
        <v>10128579</v>
      </c>
      <c r="E271" s="147" t="s">
        <v>354</v>
      </c>
    </row>
    <row r="272" spans="4:5" ht="15">
      <c r="D272" s="147">
        <v>10128580</v>
      </c>
      <c r="E272" s="147" t="s">
        <v>358</v>
      </c>
    </row>
    <row r="273" spans="4:5" ht="15">
      <c r="D273" s="147">
        <v>10128581</v>
      </c>
      <c r="E273" s="147" t="s">
        <v>358</v>
      </c>
    </row>
    <row r="274" spans="4:5" ht="15">
      <c r="D274" s="147">
        <v>10128582</v>
      </c>
      <c r="E274" s="147" t="s">
        <v>361</v>
      </c>
    </row>
    <row r="275" spans="4:5" ht="15">
      <c r="D275" s="147">
        <v>10128595</v>
      </c>
      <c r="E275" s="147" t="s">
        <v>361</v>
      </c>
    </row>
    <row r="276" spans="4:5" ht="15">
      <c r="D276" s="147">
        <v>10128596</v>
      </c>
      <c r="E276" s="147" t="s">
        <v>353</v>
      </c>
    </row>
    <row r="277" spans="4:5" ht="15">
      <c r="D277" s="147">
        <v>10128597</v>
      </c>
      <c r="E277" s="147" t="s">
        <v>358</v>
      </c>
    </row>
    <row r="278" spans="4:5" ht="15">
      <c r="D278" s="147">
        <v>10128598</v>
      </c>
      <c r="E278" s="147" t="s">
        <v>361</v>
      </c>
    </row>
    <row r="279" spans="4:5" ht="15">
      <c r="D279" s="147">
        <v>10128599</v>
      </c>
      <c r="E279" s="147" t="s">
        <v>354</v>
      </c>
    </row>
    <row r="280" spans="4:5" ht="15">
      <c r="D280" s="147">
        <v>10128600</v>
      </c>
      <c r="E280" s="147" t="s">
        <v>358</v>
      </c>
    </row>
    <row r="281" spans="4:5" ht="15">
      <c r="D281" s="147">
        <v>10128579</v>
      </c>
      <c r="E281" s="147" t="s">
        <v>354</v>
      </c>
    </row>
    <row r="282" spans="4:5" ht="15">
      <c r="D282" s="147">
        <v>10128580</v>
      </c>
      <c r="E282" s="147" t="s">
        <v>358</v>
      </c>
    </row>
    <row r="283" spans="4:5" ht="15">
      <c r="D283" s="147">
        <v>10128581</v>
      </c>
      <c r="E283" s="147" t="s">
        <v>358</v>
      </c>
    </row>
    <row r="284" spans="4:5" ht="15">
      <c r="D284" s="147">
        <v>10128582</v>
      </c>
      <c r="E284" s="147" t="s">
        <v>361</v>
      </c>
    </row>
    <row r="285" spans="4:5" ht="15">
      <c r="D285" s="147">
        <v>10128595</v>
      </c>
      <c r="E285" s="147" t="s">
        <v>361</v>
      </c>
    </row>
    <row r="286" spans="4:5" ht="15">
      <c r="D286" s="147">
        <v>10128596</v>
      </c>
      <c r="E286" s="147" t="s">
        <v>353</v>
      </c>
    </row>
    <row r="287" spans="4:5" ht="15">
      <c r="D287" s="147">
        <v>10128597</v>
      </c>
      <c r="E287" s="147" t="s">
        <v>358</v>
      </c>
    </row>
    <row r="288" spans="4:5" ht="15">
      <c r="D288" s="147">
        <v>10128598</v>
      </c>
      <c r="E288" s="147" t="s">
        <v>361</v>
      </c>
    </row>
    <row r="289" spans="4:5" ht="15">
      <c r="D289" s="147">
        <v>10128599</v>
      </c>
      <c r="E289" s="147" t="s">
        <v>354</v>
      </c>
    </row>
    <row r="290" spans="4:5" ht="15">
      <c r="D290" s="147">
        <v>10128600</v>
      </c>
      <c r="E290" s="147" t="s">
        <v>358</v>
      </c>
    </row>
    <row r="291" spans="4:5" ht="15">
      <c r="D291" s="147">
        <v>10128579</v>
      </c>
      <c r="E291" s="147" t="s">
        <v>354</v>
      </c>
    </row>
    <row r="292" spans="4:5" ht="15">
      <c r="D292" s="147">
        <v>10128580</v>
      </c>
      <c r="E292" s="147" t="s">
        <v>358</v>
      </c>
    </row>
    <row r="293" spans="4:5" ht="15">
      <c r="D293" s="147">
        <v>10128581</v>
      </c>
      <c r="E293" s="147" t="s">
        <v>358</v>
      </c>
    </row>
    <row r="294" spans="4:5" ht="15">
      <c r="D294" s="147">
        <v>10128582</v>
      </c>
      <c r="E294" s="147" t="s">
        <v>361</v>
      </c>
    </row>
    <row r="295" spans="4:5" ht="15">
      <c r="D295" s="147">
        <v>10128595</v>
      </c>
      <c r="E295" s="147" t="s">
        <v>361</v>
      </c>
    </row>
    <row r="296" spans="4:5" ht="15">
      <c r="D296" s="147">
        <v>10128596</v>
      </c>
      <c r="E296" s="147" t="s">
        <v>353</v>
      </c>
    </row>
    <row r="297" spans="4:5" ht="15">
      <c r="D297" s="147">
        <v>10128597</v>
      </c>
      <c r="E297" s="147" t="s">
        <v>358</v>
      </c>
    </row>
    <row r="298" spans="4:5" ht="15">
      <c r="D298" s="147">
        <v>10128598</v>
      </c>
      <c r="E298" s="147" t="s">
        <v>361</v>
      </c>
    </row>
    <row r="299" spans="4:5" ht="15">
      <c r="D299" s="147">
        <v>10128599</v>
      </c>
      <c r="E299" s="147" t="s">
        <v>354</v>
      </c>
    </row>
    <row r="300" spans="4:5" ht="15">
      <c r="D300" s="147">
        <v>10128600</v>
      </c>
      <c r="E300" s="147" t="s">
        <v>358</v>
      </c>
    </row>
    <row r="301" spans="4:5" ht="15">
      <c r="D301" s="147">
        <v>10128579</v>
      </c>
      <c r="E301" s="147" t="s">
        <v>354</v>
      </c>
    </row>
    <row r="302" spans="4:5" ht="15">
      <c r="D302" s="147">
        <v>10128580</v>
      </c>
      <c r="E302" s="147" t="s">
        <v>358</v>
      </c>
    </row>
    <row r="303" spans="4:5" ht="15">
      <c r="D303" s="147">
        <v>10128581</v>
      </c>
      <c r="E303" s="147" t="s">
        <v>358</v>
      </c>
    </row>
    <row r="304" spans="4:5" ht="15">
      <c r="D304" s="147">
        <v>10128582</v>
      </c>
      <c r="E304" s="147" t="s">
        <v>361</v>
      </c>
    </row>
    <row r="305" spans="4:5" ht="15">
      <c r="D305" s="147">
        <v>10128595</v>
      </c>
      <c r="E305" s="147" t="s">
        <v>361</v>
      </c>
    </row>
    <row r="306" spans="4:5" ht="15">
      <c r="D306" s="147">
        <v>10128596</v>
      </c>
      <c r="E306" s="147" t="s">
        <v>353</v>
      </c>
    </row>
    <row r="307" spans="4:5" ht="15">
      <c r="D307" s="147">
        <v>10128597</v>
      </c>
      <c r="E307" s="147" t="s">
        <v>358</v>
      </c>
    </row>
    <row r="308" spans="4:5" ht="15">
      <c r="D308" s="147">
        <v>10128598</v>
      </c>
      <c r="E308" s="147" t="s">
        <v>361</v>
      </c>
    </row>
    <row r="309" spans="4:5" ht="15">
      <c r="D309" s="147">
        <v>10128599</v>
      </c>
      <c r="E309" s="147" t="s">
        <v>354</v>
      </c>
    </row>
    <row r="310" spans="4:5" ht="15">
      <c r="D310" s="147">
        <v>10128600</v>
      </c>
      <c r="E310" s="147" t="s">
        <v>358</v>
      </c>
    </row>
    <row r="311" spans="4:5" ht="15">
      <c r="D311" s="147">
        <v>10128579</v>
      </c>
      <c r="E311" s="147" t="s">
        <v>354</v>
      </c>
    </row>
    <row r="312" spans="4:5" ht="15">
      <c r="D312" s="147">
        <v>10128580</v>
      </c>
      <c r="E312" s="147" t="s">
        <v>358</v>
      </c>
    </row>
    <row r="313" spans="4:5" ht="15">
      <c r="D313" s="147">
        <v>10128581</v>
      </c>
      <c r="E313" s="147" t="s">
        <v>358</v>
      </c>
    </row>
    <row r="314" spans="4:5" ht="15">
      <c r="D314" s="147">
        <v>10128582</v>
      </c>
      <c r="E314" s="147" t="s">
        <v>361</v>
      </c>
    </row>
    <row r="315" spans="4:5" ht="15">
      <c r="D315" s="147">
        <v>10128595</v>
      </c>
      <c r="E315" s="147" t="s">
        <v>361</v>
      </c>
    </row>
    <row r="316" spans="4:5" ht="15">
      <c r="D316" s="147">
        <v>10128596</v>
      </c>
      <c r="E316" s="147" t="s">
        <v>353</v>
      </c>
    </row>
    <row r="317" spans="4:5" ht="15">
      <c r="D317" s="147">
        <v>10128597</v>
      </c>
      <c r="E317" s="147" t="s">
        <v>358</v>
      </c>
    </row>
    <row r="318" spans="4:5" ht="15">
      <c r="D318" s="147">
        <v>10128598</v>
      </c>
      <c r="E318" s="147" t="s">
        <v>361</v>
      </c>
    </row>
    <row r="319" spans="4:5" ht="15">
      <c r="D319" s="147">
        <v>10128599</v>
      </c>
      <c r="E319" s="147" t="s">
        <v>354</v>
      </c>
    </row>
    <row r="320" spans="4:5" ht="15">
      <c r="D320" s="147">
        <v>10128600</v>
      </c>
      <c r="E320" s="147" t="s">
        <v>358</v>
      </c>
    </row>
    <row r="321" spans="4:5" ht="15">
      <c r="D321" s="147">
        <v>10128579</v>
      </c>
      <c r="E321" s="147" t="s">
        <v>354</v>
      </c>
    </row>
    <row r="322" spans="4:5" ht="15">
      <c r="D322" s="147">
        <v>10128580</v>
      </c>
      <c r="E322" s="147" t="s">
        <v>358</v>
      </c>
    </row>
    <row r="323" spans="4:5" ht="15">
      <c r="D323" s="147">
        <v>10128581</v>
      </c>
      <c r="E323" s="147" t="s">
        <v>358</v>
      </c>
    </row>
    <row r="324" spans="4:5" ht="15">
      <c r="D324" s="147">
        <v>10128582</v>
      </c>
      <c r="E324" s="147" t="s">
        <v>361</v>
      </c>
    </row>
    <row r="325" spans="4:5" ht="15">
      <c r="D325" s="147">
        <v>10128595</v>
      </c>
      <c r="E325" s="147" t="s">
        <v>361</v>
      </c>
    </row>
    <row r="326" spans="4:5" ht="15">
      <c r="D326" s="147">
        <v>10128596</v>
      </c>
      <c r="E326" s="147" t="s">
        <v>353</v>
      </c>
    </row>
    <row r="327" spans="4:5" ht="15">
      <c r="D327" s="147">
        <v>10128597</v>
      </c>
      <c r="E327" s="147" t="s">
        <v>358</v>
      </c>
    </row>
    <row r="328" spans="4:5" ht="15">
      <c r="D328" s="147">
        <v>10128598</v>
      </c>
      <c r="E328" s="147" t="s">
        <v>361</v>
      </c>
    </row>
    <row r="329" spans="4:5" ht="15">
      <c r="D329" s="147">
        <v>10128599</v>
      </c>
      <c r="E329" s="147" t="s">
        <v>354</v>
      </c>
    </row>
    <row r="330" spans="4:5" ht="15">
      <c r="D330" s="147">
        <v>10128600</v>
      </c>
      <c r="E330" s="147" t="s">
        <v>358</v>
      </c>
    </row>
    <row r="331" spans="4:5" ht="15">
      <c r="D331" s="147">
        <v>10128579</v>
      </c>
      <c r="E331" s="147" t="s">
        <v>354</v>
      </c>
    </row>
    <row r="332" spans="4:5" ht="15">
      <c r="D332" s="147">
        <v>10128580</v>
      </c>
      <c r="E332" s="147" t="s">
        <v>358</v>
      </c>
    </row>
    <row r="333" spans="4:5" ht="15">
      <c r="D333" s="147">
        <v>10128581</v>
      </c>
      <c r="E333" s="147" t="s">
        <v>358</v>
      </c>
    </row>
    <row r="334" spans="4:5" ht="15">
      <c r="D334" s="147">
        <v>10128582</v>
      </c>
      <c r="E334" s="147" t="s">
        <v>361</v>
      </c>
    </row>
    <row r="335" spans="4:5" ht="15">
      <c r="D335" s="147">
        <v>10128595</v>
      </c>
      <c r="E335" s="147" t="s">
        <v>361</v>
      </c>
    </row>
    <row r="336" spans="4:5" ht="15">
      <c r="D336" s="147">
        <v>10128596</v>
      </c>
      <c r="E336" s="147" t="s">
        <v>353</v>
      </c>
    </row>
    <row r="337" spans="4:5" ht="15">
      <c r="D337" s="147">
        <v>10128597</v>
      </c>
      <c r="E337" s="147" t="s">
        <v>358</v>
      </c>
    </row>
    <row r="338" spans="4:5" ht="15">
      <c r="D338" s="147">
        <v>10128598</v>
      </c>
      <c r="E338" s="147" t="s">
        <v>361</v>
      </c>
    </row>
    <row r="339" spans="4:5" ht="15">
      <c r="D339" s="147">
        <v>10128599</v>
      </c>
      <c r="E339" s="147" t="s">
        <v>354</v>
      </c>
    </row>
    <row r="340" spans="4:5" ht="15">
      <c r="D340" s="147">
        <v>10128600</v>
      </c>
      <c r="E340" s="147" t="s">
        <v>358</v>
      </c>
    </row>
    <row r="341" spans="4:5" ht="15">
      <c r="D341" s="147">
        <v>10128579</v>
      </c>
      <c r="E341" s="147" t="s">
        <v>354</v>
      </c>
    </row>
    <row r="342" spans="4:5" ht="15">
      <c r="D342" s="147">
        <v>10128580</v>
      </c>
      <c r="E342" s="147" t="s">
        <v>358</v>
      </c>
    </row>
    <row r="343" spans="4:5" ht="15">
      <c r="D343" s="147">
        <v>10128581</v>
      </c>
      <c r="E343" s="147" t="s">
        <v>358</v>
      </c>
    </row>
    <row r="344" spans="4:5" ht="15">
      <c r="D344" s="147">
        <v>10128582</v>
      </c>
      <c r="E344" s="147" t="s">
        <v>361</v>
      </c>
    </row>
    <row r="345" spans="4:5" ht="15">
      <c r="D345" s="147">
        <v>10128595</v>
      </c>
      <c r="E345" s="147" t="s">
        <v>361</v>
      </c>
    </row>
    <row r="346" spans="4:5" ht="15">
      <c r="D346" s="147">
        <v>10128596</v>
      </c>
      <c r="E346" s="147" t="s">
        <v>353</v>
      </c>
    </row>
    <row r="347" spans="4:5" ht="15">
      <c r="D347" s="147">
        <v>10128597</v>
      </c>
      <c r="E347" s="147" t="s">
        <v>358</v>
      </c>
    </row>
    <row r="348" spans="4:5" ht="15">
      <c r="D348" s="147">
        <v>10128598</v>
      </c>
      <c r="E348" s="147" t="s">
        <v>361</v>
      </c>
    </row>
    <row r="349" spans="4:5" ht="15">
      <c r="D349" s="147">
        <v>10128599</v>
      </c>
      <c r="E349" s="147" t="s">
        <v>354</v>
      </c>
    </row>
    <row r="350" spans="4:5" ht="15">
      <c r="D350" s="147">
        <v>10128600</v>
      </c>
      <c r="E350" s="147" t="s">
        <v>358</v>
      </c>
    </row>
    <row r="351" spans="4:5" ht="15">
      <c r="D351" s="147">
        <v>10128579</v>
      </c>
      <c r="E351" s="147" t="s">
        <v>354</v>
      </c>
    </row>
    <row r="352" spans="4:5" ht="15">
      <c r="D352" s="147">
        <v>10128580</v>
      </c>
      <c r="E352" s="147" t="s">
        <v>358</v>
      </c>
    </row>
    <row r="353" spans="4:5" ht="15">
      <c r="D353" s="147">
        <v>10128581</v>
      </c>
      <c r="E353" s="147" t="s">
        <v>358</v>
      </c>
    </row>
    <row r="354" spans="4:5" ht="15">
      <c r="D354" s="147">
        <v>10128582</v>
      </c>
      <c r="E354" s="147" t="s">
        <v>361</v>
      </c>
    </row>
    <row r="355" spans="4:5" ht="15">
      <c r="D355" s="147">
        <v>10128595</v>
      </c>
      <c r="E355" s="147" t="s">
        <v>361</v>
      </c>
    </row>
    <row r="356" spans="4:5" ht="15">
      <c r="D356" s="147">
        <v>10128596</v>
      </c>
      <c r="E356" s="147" t="s">
        <v>353</v>
      </c>
    </row>
    <row r="357" spans="4:5" ht="15">
      <c r="D357" s="147">
        <v>10128597</v>
      </c>
      <c r="E357" s="147" t="s">
        <v>358</v>
      </c>
    </row>
    <row r="358" spans="4:5" ht="15">
      <c r="D358" s="147">
        <v>10128598</v>
      </c>
      <c r="E358" s="147" t="s">
        <v>361</v>
      </c>
    </row>
    <row r="359" spans="4:5" ht="15">
      <c r="D359" s="147">
        <v>10128599</v>
      </c>
      <c r="E359" s="147" t="s">
        <v>354</v>
      </c>
    </row>
    <row r="360" spans="4:5" ht="15">
      <c r="D360" s="147">
        <v>10128600</v>
      </c>
      <c r="E360" s="147" t="s">
        <v>358</v>
      </c>
    </row>
    <row r="361" spans="4:5" ht="15">
      <c r="D361" s="147">
        <v>10128579</v>
      </c>
      <c r="E361" s="147" t="s">
        <v>354</v>
      </c>
    </row>
    <row r="362" spans="4:5" ht="15">
      <c r="D362" s="147">
        <v>10128580</v>
      </c>
      <c r="E362" s="147" t="s">
        <v>358</v>
      </c>
    </row>
    <row r="363" spans="4:5" ht="15">
      <c r="D363" s="147">
        <v>10128581</v>
      </c>
      <c r="E363" s="147" t="s">
        <v>358</v>
      </c>
    </row>
    <row r="364" spans="4:5" ht="15">
      <c r="D364" s="147">
        <v>10128582</v>
      </c>
      <c r="E364" s="147" t="s">
        <v>361</v>
      </c>
    </row>
    <row r="365" spans="4:5" ht="15">
      <c r="D365" s="147">
        <v>10128595</v>
      </c>
      <c r="E365" s="147" t="s">
        <v>361</v>
      </c>
    </row>
    <row r="366" spans="4:5" ht="15">
      <c r="D366" s="147">
        <v>10128596</v>
      </c>
      <c r="E366" s="147" t="s">
        <v>353</v>
      </c>
    </row>
    <row r="367" spans="4:5" ht="15">
      <c r="D367" s="147">
        <v>10128597</v>
      </c>
      <c r="E367" s="147" t="s">
        <v>358</v>
      </c>
    </row>
    <row r="368" spans="4:5" ht="15">
      <c r="D368" s="147">
        <v>10128598</v>
      </c>
      <c r="E368" s="147" t="s">
        <v>361</v>
      </c>
    </row>
    <row r="369" spans="4:5" ht="15">
      <c r="D369" s="147">
        <v>10128599</v>
      </c>
      <c r="E369" s="147" t="s">
        <v>354</v>
      </c>
    </row>
    <row r="370" spans="4:5" ht="15">
      <c r="D370" s="147">
        <v>10128600</v>
      </c>
      <c r="E370" s="147" t="s">
        <v>358</v>
      </c>
    </row>
    <row r="371" spans="4:5" ht="15">
      <c r="D371" s="147">
        <v>10128579</v>
      </c>
      <c r="E371" s="147" t="s">
        <v>354</v>
      </c>
    </row>
    <row r="372" spans="4:5" ht="15">
      <c r="D372" s="147">
        <v>10128580</v>
      </c>
      <c r="E372" s="147" t="s">
        <v>358</v>
      </c>
    </row>
    <row r="373" spans="4:5" ht="15">
      <c r="D373" s="147">
        <v>10128581</v>
      </c>
      <c r="E373" s="147" t="s">
        <v>358</v>
      </c>
    </row>
    <row r="374" spans="4:5" ht="15">
      <c r="D374" s="147">
        <v>10128582</v>
      </c>
      <c r="E374" s="147" t="s">
        <v>361</v>
      </c>
    </row>
    <row r="375" spans="4:5" ht="15">
      <c r="D375" s="147">
        <v>10128595</v>
      </c>
      <c r="E375" s="147" t="s">
        <v>361</v>
      </c>
    </row>
    <row r="376" spans="4:5" ht="15">
      <c r="D376" s="147">
        <v>10128596</v>
      </c>
      <c r="E376" s="147" t="s">
        <v>353</v>
      </c>
    </row>
    <row r="377" spans="4:5" ht="15">
      <c r="D377" s="147">
        <v>10128597</v>
      </c>
      <c r="E377" s="147" t="s">
        <v>358</v>
      </c>
    </row>
    <row r="378" spans="4:5" ht="15">
      <c r="D378" s="147">
        <v>10128598</v>
      </c>
      <c r="E378" s="147" t="s">
        <v>361</v>
      </c>
    </row>
    <row r="379" spans="4:5" ht="15">
      <c r="D379" s="147">
        <v>10128599</v>
      </c>
      <c r="E379" s="147" t="s">
        <v>354</v>
      </c>
    </row>
    <row r="380" spans="4:5" ht="15">
      <c r="D380" s="147">
        <v>10128600</v>
      </c>
      <c r="E380" s="147" t="s">
        <v>358</v>
      </c>
    </row>
    <row r="381" spans="4:5" ht="15">
      <c r="D381" s="147">
        <v>10128579</v>
      </c>
      <c r="E381" s="147" t="s">
        <v>354</v>
      </c>
    </row>
    <row r="382" spans="4:5" ht="15">
      <c r="D382" s="147">
        <v>10128580</v>
      </c>
      <c r="E382" s="147" t="s">
        <v>358</v>
      </c>
    </row>
    <row r="383" spans="4:5" ht="15">
      <c r="D383" s="147">
        <v>10128581</v>
      </c>
      <c r="E383" s="147" t="s">
        <v>358</v>
      </c>
    </row>
    <row r="384" spans="4:5" ht="15">
      <c r="D384" s="147">
        <v>10128582</v>
      </c>
      <c r="E384" s="147" t="s">
        <v>361</v>
      </c>
    </row>
    <row r="385" spans="4:5" ht="15">
      <c r="D385" s="147">
        <v>10128595</v>
      </c>
      <c r="E385" s="147" t="s">
        <v>361</v>
      </c>
    </row>
    <row r="386" spans="4:5" ht="15">
      <c r="D386" s="147">
        <v>10128596</v>
      </c>
      <c r="E386" s="147" t="s">
        <v>353</v>
      </c>
    </row>
    <row r="387" spans="4:5" ht="15">
      <c r="D387" s="147">
        <v>10128597</v>
      </c>
      <c r="E387" s="147" t="s">
        <v>358</v>
      </c>
    </row>
    <row r="388" spans="4:5" ht="15">
      <c r="D388" s="147">
        <v>10128598</v>
      </c>
      <c r="E388" s="147" t="s">
        <v>361</v>
      </c>
    </row>
    <row r="389" spans="4:5" ht="15">
      <c r="D389" s="147">
        <v>10128599</v>
      </c>
      <c r="E389" s="147" t="s">
        <v>354</v>
      </c>
    </row>
    <row r="390" spans="4:5" ht="15">
      <c r="D390" s="147">
        <v>10128600</v>
      </c>
      <c r="E390" s="147" t="s">
        <v>358</v>
      </c>
    </row>
    <row r="391" spans="4:5" ht="15">
      <c r="D391" s="147">
        <v>10128579</v>
      </c>
      <c r="E391" s="147" t="s">
        <v>354</v>
      </c>
    </row>
    <row r="392" spans="4:5" ht="15">
      <c r="D392" s="147">
        <v>10128580</v>
      </c>
      <c r="E392" s="147" t="s">
        <v>358</v>
      </c>
    </row>
    <row r="393" spans="4:5" ht="15">
      <c r="D393" s="147">
        <v>10128581</v>
      </c>
      <c r="E393" s="147" t="s">
        <v>358</v>
      </c>
    </row>
    <row r="394" spans="4:5" ht="15">
      <c r="D394" s="147">
        <v>10128582</v>
      </c>
      <c r="E394" s="147" t="s">
        <v>361</v>
      </c>
    </row>
    <row r="395" spans="4:5" ht="15">
      <c r="D395" s="147">
        <v>10128595</v>
      </c>
      <c r="E395" s="147" t="s">
        <v>361</v>
      </c>
    </row>
    <row r="396" spans="4:5" ht="15">
      <c r="D396" s="147">
        <v>10128596</v>
      </c>
      <c r="E396" s="147" t="s">
        <v>353</v>
      </c>
    </row>
    <row r="397" spans="4:5" ht="15">
      <c r="D397" s="147">
        <v>10128597</v>
      </c>
      <c r="E397" s="147" t="s">
        <v>358</v>
      </c>
    </row>
    <row r="398" spans="4:5" ht="15">
      <c r="D398" s="147">
        <v>10128598</v>
      </c>
      <c r="E398" s="147" t="s">
        <v>361</v>
      </c>
    </row>
    <row r="399" spans="4:5" ht="15">
      <c r="D399" s="147">
        <v>10128599</v>
      </c>
      <c r="E399" s="147" t="s">
        <v>354</v>
      </c>
    </row>
    <row r="400" spans="4:5" ht="15">
      <c r="D400" s="147">
        <v>10128600</v>
      </c>
      <c r="E400" s="147" t="s">
        <v>358</v>
      </c>
    </row>
    <row r="401" spans="4:5" ht="15">
      <c r="D401" s="147">
        <v>10128579</v>
      </c>
      <c r="E401" s="147" t="s">
        <v>354</v>
      </c>
    </row>
    <row r="402" spans="4:5" ht="15">
      <c r="D402" s="147">
        <v>10128580</v>
      </c>
      <c r="E402" s="147" t="s">
        <v>358</v>
      </c>
    </row>
    <row r="403" spans="4:5" ht="15">
      <c r="D403" s="147">
        <v>10128581</v>
      </c>
      <c r="E403" s="147" t="s">
        <v>358</v>
      </c>
    </row>
    <row r="404" spans="4:5" ht="15">
      <c r="D404" s="147">
        <v>10128582</v>
      </c>
      <c r="E404" s="147" t="s">
        <v>361</v>
      </c>
    </row>
    <row r="405" spans="4:5" ht="15">
      <c r="D405" s="147">
        <v>10128595</v>
      </c>
      <c r="E405" s="147" t="s">
        <v>361</v>
      </c>
    </row>
    <row r="406" spans="4:5" ht="15">
      <c r="D406" s="147">
        <v>10128596</v>
      </c>
      <c r="E406" s="147" t="s">
        <v>353</v>
      </c>
    </row>
    <row r="407" spans="4:5" ht="15">
      <c r="D407" s="147">
        <v>10128597</v>
      </c>
      <c r="E407" s="147" t="s">
        <v>358</v>
      </c>
    </row>
    <row r="408" spans="4:5" ht="15">
      <c r="D408" s="147">
        <v>10128598</v>
      </c>
      <c r="E408" s="147" t="s">
        <v>361</v>
      </c>
    </row>
    <row r="409" spans="4:5" ht="15">
      <c r="D409" s="147">
        <v>10128599</v>
      </c>
      <c r="E409" s="147" t="s">
        <v>354</v>
      </c>
    </row>
    <row r="410" spans="4:5" ht="15">
      <c r="D410" s="147">
        <v>10128600</v>
      </c>
      <c r="E410" s="147" t="s">
        <v>358</v>
      </c>
    </row>
    <row r="411" spans="4:5" ht="15">
      <c r="D411" s="147">
        <v>10128579</v>
      </c>
      <c r="E411" s="147" t="s">
        <v>354</v>
      </c>
    </row>
    <row r="412" spans="4:5" ht="15">
      <c r="D412" s="147">
        <v>10128580</v>
      </c>
      <c r="E412" s="147" t="s">
        <v>358</v>
      </c>
    </row>
    <row r="413" spans="4:5" ht="15">
      <c r="D413" s="147">
        <v>10128581</v>
      </c>
      <c r="E413" s="147" t="s">
        <v>358</v>
      </c>
    </row>
    <row r="414" spans="4:5" ht="15">
      <c r="D414" s="147">
        <v>10128582</v>
      </c>
      <c r="E414" s="147" t="s">
        <v>361</v>
      </c>
    </row>
    <row r="415" spans="4:5" ht="15">
      <c r="D415" s="147">
        <v>10128595</v>
      </c>
      <c r="E415" s="147" t="s">
        <v>361</v>
      </c>
    </row>
    <row r="416" spans="4:5" ht="15">
      <c r="D416" s="147">
        <v>10128596</v>
      </c>
      <c r="E416" s="147" t="s">
        <v>353</v>
      </c>
    </row>
    <row r="417" spans="4:5" ht="15">
      <c r="D417" s="147">
        <v>10128597</v>
      </c>
      <c r="E417" s="147" t="s">
        <v>358</v>
      </c>
    </row>
    <row r="418" spans="4:5" ht="15">
      <c r="D418" s="147">
        <v>10128598</v>
      </c>
      <c r="E418" s="147" t="s">
        <v>361</v>
      </c>
    </row>
    <row r="419" spans="4:5" ht="15">
      <c r="D419" s="147">
        <v>10128599</v>
      </c>
      <c r="E419" s="147" t="s">
        <v>354</v>
      </c>
    </row>
    <row r="420" spans="4:5" ht="15">
      <c r="D420" s="147">
        <v>10128600</v>
      </c>
      <c r="E420" s="147" t="s">
        <v>358</v>
      </c>
    </row>
    <row r="421" spans="4:5" ht="15">
      <c r="D421" s="147">
        <v>10128579</v>
      </c>
      <c r="E421" s="147" t="s">
        <v>354</v>
      </c>
    </row>
    <row r="422" spans="4:5" ht="15">
      <c r="D422" s="147">
        <v>10128580</v>
      </c>
      <c r="E422" s="147" t="s">
        <v>358</v>
      </c>
    </row>
    <row r="423" spans="4:5" ht="15">
      <c r="D423" s="147">
        <v>10128581</v>
      </c>
      <c r="E423" s="147" t="s">
        <v>358</v>
      </c>
    </row>
    <row r="424" spans="4:5" ht="15">
      <c r="D424" s="147">
        <v>10128582</v>
      </c>
      <c r="E424" s="147" t="s">
        <v>361</v>
      </c>
    </row>
    <row r="425" spans="4:5" ht="15">
      <c r="D425" s="147">
        <v>10128595</v>
      </c>
      <c r="E425" s="147" t="s">
        <v>361</v>
      </c>
    </row>
    <row r="426" spans="4:5" ht="15">
      <c r="D426" s="147">
        <v>10128596</v>
      </c>
      <c r="E426" s="147" t="s">
        <v>353</v>
      </c>
    </row>
    <row r="427" spans="4:5" ht="15">
      <c r="D427" s="147">
        <v>10128597</v>
      </c>
      <c r="E427" s="147" t="s">
        <v>358</v>
      </c>
    </row>
    <row r="428" spans="4:5" ht="15">
      <c r="D428" s="147">
        <v>10128598</v>
      </c>
      <c r="E428" s="147" t="s">
        <v>361</v>
      </c>
    </row>
    <row r="429" spans="4:5" ht="15">
      <c r="D429" s="147">
        <v>10128599</v>
      </c>
      <c r="E429" s="147" t="s">
        <v>354</v>
      </c>
    </row>
    <row r="430" spans="4:5" ht="15">
      <c r="D430" s="147">
        <v>10128600</v>
      </c>
      <c r="E430" s="147" t="s">
        <v>358</v>
      </c>
    </row>
    <row r="431" spans="4:5" ht="15">
      <c r="D431" s="147">
        <v>10128579</v>
      </c>
      <c r="E431" s="147" t="s">
        <v>354</v>
      </c>
    </row>
    <row r="432" spans="4:5" ht="15">
      <c r="D432" s="147">
        <v>10128580</v>
      </c>
      <c r="E432" s="147" t="s">
        <v>358</v>
      </c>
    </row>
    <row r="433" spans="4:5" ht="15">
      <c r="D433" s="147">
        <v>10128581</v>
      </c>
      <c r="E433" s="147" t="s">
        <v>358</v>
      </c>
    </row>
    <row r="434" spans="4:5" ht="15">
      <c r="D434" s="147">
        <v>10128582</v>
      </c>
      <c r="E434" s="147" t="s">
        <v>361</v>
      </c>
    </row>
    <row r="435" spans="4:5" ht="15">
      <c r="D435" s="147">
        <v>10128595</v>
      </c>
      <c r="E435" s="147" t="s">
        <v>361</v>
      </c>
    </row>
    <row r="436" spans="4:5" ht="15">
      <c r="D436" s="147">
        <v>10128596</v>
      </c>
      <c r="E436" s="147" t="s">
        <v>353</v>
      </c>
    </row>
    <row r="437" spans="4:5" ht="15">
      <c r="D437" s="147">
        <v>10128597</v>
      </c>
      <c r="E437" s="147" t="s">
        <v>358</v>
      </c>
    </row>
    <row r="438" spans="4:5" ht="15">
      <c r="D438" s="147">
        <v>10128598</v>
      </c>
      <c r="E438" s="147" t="s">
        <v>361</v>
      </c>
    </row>
    <row r="439" spans="4:5" ht="15">
      <c r="D439" s="147">
        <v>10128599</v>
      </c>
      <c r="E439" s="147" t="s">
        <v>354</v>
      </c>
    </row>
    <row r="440" spans="4:5" ht="15">
      <c r="D440" s="147">
        <v>10128600</v>
      </c>
      <c r="E440" s="147" t="s">
        <v>358</v>
      </c>
    </row>
    <row r="441" spans="4:5" ht="15">
      <c r="D441" s="147">
        <v>10128579</v>
      </c>
      <c r="E441" s="147" t="s">
        <v>354</v>
      </c>
    </row>
    <row r="442" spans="4:5" ht="15">
      <c r="D442" s="147">
        <v>10128580</v>
      </c>
      <c r="E442" s="147" t="s">
        <v>358</v>
      </c>
    </row>
    <row r="443" spans="4:5" ht="15">
      <c r="D443" s="147">
        <v>10128581</v>
      </c>
      <c r="E443" s="147" t="s">
        <v>358</v>
      </c>
    </row>
    <row r="444" spans="4:5" ht="15">
      <c r="D444" s="147">
        <v>10128582</v>
      </c>
      <c r="E444" s="147" t="s">
        <v>361</v>
      </c>
    </row>
    <row r="445" spans="4:5" ht="15">
      <c r="D445" s="147">
        <v>10128595</v>
      </c>
      <c r="E445" s="147" t="s">
        <v>361</v>
      </c>
    </row>
    <row r="446" spans="4:5" ht="15">
      <c r="D446" s="147">
        <v>10128596</v>
      </c>
      <c r="E446" s="147" t="s">
        <v>353</v>
      </c>
    </row>
    <row r="447" spans="4:5" ht="15">
      <c r="D447" s="147">
        <v>10128597</v>
      </c>
      <c r="E447" s="147" t="s">
        <v>358</v>
      </c>
    </row>
    <row r="448" spans="4:5" ht="15">
      <c r="D448" s="147">
        <v>10128598</v>
      </c>
      <c r="E448" s="147" t="s">
        <v>361</v>
      </c>
    </row>
    <row r="449" spans="4:5" ht="15">
      <c r="D449" s="147">
        <v>10128599</v>
      </c>
      <c r="E449" s="147" t="s">
        <v>354</v>
      </c>
    </row>
    <row r="450" spans="4:5" ht="15">
      <c r="D450" s="147">
        <v>10128600</v>
      </c>
      <c r="E450" s="147" t="s">
        <v>358</v>
      </c>
    </row>
    <row r="451" spans="4:5" ht="15">
      <c r="D451" s="147">
        <v>10128579</v>
      </c>
      <c r="E451" s="147" t="s">
        <v>354</v>
      </c>
    </row>
    <row r="452" spans="4:5" ht="15">
      <c r="D452" s="147">
        <v>10128580</v>
      </c>
      <c r="E452" s="147" t="s">
        <v>358</v>
      </c>
    </row>
    <row r="453" spans="4:5" ht="15">
      <c r="D453" s="147">
        <v>10128581</v>
      </c>
      <c r="E453" s="147" t="s">
        <v>358</v>
      </c>
    </row>
    <row r="454" spans="4:5" ht="15">
      <c r="D454" s="147">
        <v>10128582</v>
      </c>
      <c r="E454" s="147" t="s">
        <v>361</v>
      </c>
    </row>
    <row r="455" spans="4:5" ht="15">
      <c r="D455" s="147">
        <v>10128595</v>
      </c>
      <c r="E455" s="147" t="s">
        <v>361</v>
      </c>
    </row>
    <row r="456" spans="4:5" ht="15">
      <c r="D456" s="147">
        <v>10128596</v>
      </c>
      <c r="E456" s="147" t="s">
        <v>353</v>
      </c>
    </row>
    <row r="457" spans="4:5" ht="15">
      <c r="D457" s="147">
        <v>10128597</v>
      </c>
      <c r="E457" s="147" t="s">
        <v>358</v>
      </c>
    </row>
    <row r="458" spans="4:5" ht="15">
      <c r="D458" s="147">
        <v>10128598</v>
      </c>
      <c r="E458" s="147" t="s">
        <v>361</v>
      </c>
    </row>
    <row r="459" spans="4:5" ht="15">
      <c r="D459" s="147">
        <v>10128599</v>
      </c>
      <c r="E459" s="147" t="s">
        <v>354</v>
      </c>
    </row>
    <row r="460" spans="4:5" ht="15">
      <c r="D460" s="147">
        <v>10128600</v>
      </c>
      <c r="E460" s="147" t="s">
        <v>358</v>
      </c>
    </row>
    <row r="461" spans="4:5" ht="15">
      <c r="D461" s="147">
        <v>10128579</v>
      </c>
      <c r="E461" s="147" t="s">
        <v>354</v>
      </c>
    </row>
    <row r="462" spans="4:5" ht="15">
      <c r="D462" s="147">
        <v>10128580</v>
      </c>
      <c r="E462" s="147" t="s">
        <v>358</v>
      </c>
    </row>
    <row r="463" spans="4:5" ht="15">
      <c r="D463" s="147">
        <v>10128581</v>
      </c>
      <c r="E463" s="147" t="s">
        <v>358</v>
      </c>
    </row>
    <row r="464" spans="4:5" ht="15">
      <c r="D464" s="147">
        <v>10128582</v>
      </c>
      <c r="E464" s="147" t="s">
        <v>361</v>
      </c>
    </row>
    <row r="465" spans="4:5" ht="15">
      <c r="D465" s="147">
        <v>10128595</v>
      </c>
      <c r="E465" s="147" t="s">
        <v>361</v>
      </c>
    </row>
    <row r="466" spans="4:5" ht="15">
      <c r="D466" s="147">
        <v>10128596</v>
      </c>
      <c r="E466" s="147" t="s">
        <v>353</v>
      </c>
    </row>
    <row r="467" spans="4:5" ht="15">
      <c r="D467" s="147">
        <v>10128597</v>
      </c>
      <c r="E467" s="147" t="s">
        <v>358</v>
      </c>
    </row>
    <row r="468" spans="4:5" ht="15">
      <c r="D468" s="147">
        <v>10128598</v>
      </c>
      <c r="E468" s="147" t="s">
        <v>361</v>
      </c>
    </row>
    <row r="469" spans="4:5" ht="15">
      <c r="D469" s="147">
        <v>10128599</v>
      </c>
      <c r="E469" s="147" t="s">
        <v>354</v>
      </c>
    </row>
    <row r="470" spans="4:5" ht="15">
      <c r="D470" s="147">
        <v>10128600</v>
      </c>
      <c r="E470" s="147" t="s">
        <v>358</v>
      </c>
    </row>
    <row r="471" spans="4:5" ht="15">
      <c r="D471" s="147">
        <v>10128579</v>
      </c>
      <c r="E471" s="147" t="s">
        <v>354</v>
      </c>
    </row>
    <row r="472" spans="4:5" ht="15">
      <c r="D472" s="147">
        <v>10128580</v>
      </c>
      <c r="E472" s="147" t="s">
        <v>358</v>
      </c>
    </row>
    <row r="473" spans="4:5" ht="15">
      <c r="D473" s="147">
        <v>10128581</v>
      </c>
      <c r="E473" s="147" t="s">
        <v>358</v>
      </c>
    </row>
    <row r="474" spans="4:5" ht="15">
      <c r="D474" s="147">
        <v>10128582</v>
      </c>
      <c r="E474" s="147" t="s">
        <v>361</v>
      </c>
    </row>
    <row r="475" spans="4:5" ht="15">
      <c r="D475" s="147">
        <v>10128595</v>
      </c>
      <c r="E475" s="147" t="s">
        <v>361</v>
      </c>
    </row>
    <row r="476" spans="4:5" ht="15">
      <c r="D476" s="147">
        <v>10128596</v>
      </c>
      <c r="E476" s="147" t="s">
        <v>353</v>
      </c>
    </row>
    <row r="477" spans="4:5" ht="15">
      <c r="D477" s="147">
        <v>10128597</v>
      </c>
      <c r="E477" s="147" t="s">
        <v>358</v>
      </c>
    </row>
    <row r="478" spans="4:5" ht="15">
      <c r="D478" s="147">
        <v>10128598</v>
      </c>
      <c r="E478" s="147" t="s">
        <v>361</v>
      </c>
    </row>
    <row r="479" spans="4:5" ht="15">
      <c r="D479" s="147">
        <v>10128599</v>
      </c>
      <c r="E479" s="147" t="s">
        <v>354</v>
      </c>
    </row>
    <row r="480" spans="4:5" ht="15">
      <c r="D480" s="147">
        <v>10128600</v>
      </c>
      <c r="E480" s="147" t="s">
        <v>358</v>
      </c>
    </row>
    <row r="481" spans="4:5" ht="15">
      <c r="D481" s="147">
        <v>10128579</v>
      </c>
      <c r="E481" s="147" t="s">
        <v>354</v>
      </c>
    </row>
    <row r="482" spans="4:5" ht="15">
      <c r="D482" s="147">
        <v>10128580</v>
      </c>
      <c r="E482" s="147" t="s">
        <v>358</v>
      </c>
    </row>
    <row r="483" spans="4:5" ht="15">
      <c r="D483" s="147">
        <v>10128581</v>
      </c>
      <c r="E483" s="147" t="s">
        <v>358</v>
      </c>
    </row>
    <row r="484" spans="4:5" ht="15">
      <c r="D484" s="147">
        <v>10128582</v>
      </c>
      <c r="E484" s="147" t="s">
        <v>361</v>
      </c>
    </row>
    <row r="485" spans="4:5" ht="15">
      <c r="D485" s="147">
        <v>10128595</v>
      </c>
      <c r="E485" s="147" t="s">
        <v>361</v>
      </c>
    </row>
    <row r="486" spans="4:5" ht="15">
      <c r="D486" s="147">
        <v>10128596</v>
      </c>
      <c r="E486" s="147" t="s">
        <v>353</v>
      </c>
    </row>
    <row r="487" spans="4:5" ht="15">
      <c r="D487" s="147">
        <v>10128597</v>
      </c>
      <c r="E487" s="147" t="s">
        <v>358</v>
      </c>
    </row>
    <row r="488" spans="4:5" ht="15">
      <c r="D488" s="147">
        <v>10128598</v>
      </c>
      <c r="E488" s="147" t="s">
        <v>361</v>
      </c>
    </row>
    <row r="489" spans="4:5" ht="15">
      <c r="D489" s="147">
        <v>10128599</v>
      </c>
      <c r="E489" s="147" t="s">
        <v>354</v>
      </c>
    </row>
    <row r="490" spans="4:5" ht="15">
      <c r="D490" s="147">
        <v>10128600</v>
      </c>
      <c r="E490" s="147" t="s">
        <v>358</v>
      </c>
    </row>
    <row r="491" spans="4:5" ht="15">
      <c r="D491" s="147">
        <v>10128579</v>
      </c>
      <c r="E491" s="147" t="s">
        <v>354</v>
      </c>
    </row>
    <row r="492" spans="4:5" ht="15">
      <c r="D492" s="147">
        <v>10128580</v>
      </c>
      <c r="E492" s="147" t="s">
        <v>358</v>
      </c>
    </row>
    <row r="493" spans="4:5" ht="15">
      <c r="D493" s="147">
        <v>10128581</v>
      </c>
      <c r="E493" s="147" t="s">
        <v>358</v>
      </c>
    </row>
    <row r="494" spans="4:5" ht="15">
      <c r="D494" s="147">
        <v>10128582</v>
      </c>
      <c r="E494" s="147" t="s">
        <v>361</v>
      </c>
    </row>
    <row r="495" spans="4:5" ht="15">
      <c r="D495" s="147">
        <v>10128595</v>
      </c>
      <c r="E495" s="147" t="s">
        <v>361</v>
      </c>
    </row>
    <row r="496" spans="4:5" ht="15">
      <c r="D496" s="147">
        <v>10128596</v>
      </c>
      <c r="E496" s="147" t="s">
        <v>353</v>
      </c>
    </row>
    <row r="497" spans="4:5" ht="15">
      <c r="D497" s="147">
        <v>10128597</v>
      </c>
      <c r="E497" s="147" t="s">
        <v>358</v>
      </c>
    </row>
    <row r="498" spans="4:5" ht="15">
      <c r="D498" s="147">
        <v>10128598</v>
      </c>
      <c r="E498" s="147" t="s">
        <v>361</v>
      </c>
    </row>
    <row r="499" spans="4:5" ht="15">
      <c r="D499" s="147">
        <v>10128599</v>
      </c>
      <c r="E499" s="147" t="s">
        <v>354</v>
      </c>
    </row>
    <row r="500" spans="4:5" ht="15">
      <c r="D500" s="147">
        <v>10128600</v>
      </c>
      <c r="E500" s="147" t="s">
        <v>358</v>
      </c>
    </row>
    <row r="501" spans="4:5" ht="15">
      <c r="D501" s="147">
        <v>10128579</v>
      </c>
      <c r="E501" s="147" t="s">
        <v>354</v>
      </c>
    </row>
    <row r="502" spans="4:5" ht="15">
      <c r="D502" s="147">
        <v>10128580</v>
      </c>
      <c r="E502" s="147" t="s">
        <v>358</v>
      </c>
    </row>
    <row r="503" spans="4:5" ht="15">
      <c r="D503" s="147">
        <v>10128581</v>
      </c>
      <c r="E503" s="147" t="s">
        <v>358</v>
      </c>
    </row>
    <row r="504" spans="4:5" ht="15">
      <c r="D504" s="147">
        <v>10128582</v>
      </c>
      <c r="E504" s="147" t="s">
        <v>361</v>
      </c>
    </row>
    <row r="505" spans="4:5" ht="15">
      <c r="D505" s="147">
        <v>10128595</v>
      </c>
      <c r="E505" s="147" t="s">
        <v>361</v>
      </c>
    </row>
    <row r="506" spans="4:5" ht="15">
      <c r="D506" s="147">
        <v>10128596</v>
      </c>
      <c r="E506" s="147" t="s">
        <v>353</v>
      </c>
    </row>
    <row r="507" spans="4:5" ht="15">
      <c r="D507" s="147">
        <v>10128597</v>
      </c>
      <c r="E507" s="147" t="s">
        <v>358</v>
      </c>
    </row>
    <row r="508" spans="4:5" ht="15">
      <c r="D508" s="147">
        <v>10128598</v>
      </c>
      <c r="E508" s="147" t="s">
        <v>361</v>
      </c>
    </row>
    <row r="509" spans="4:5" ht="15">
      <c r="D509" s="147">
        <v>10128599</v>
      </c>
      <c r="E509" s="147" t="s">
        <v>354</v>
      </c>
    </row>
    <row r="510" spans="4:5" ht="15">
      <c r="D510" s="147">
        <v>10128600</v>
      </c>
      <c r="E510" s="147" t="s">
        <v>358</v>
      </c>
    </row>
    <row r="511" spans="4:5" ht="15">
      <c r="D511" s="147">
        <v>10128579</v>
      </c>
      <c r="E511" s="147" t="s">
        <v>354</v>
      </c>
    </row>
    <row r="512" spans="4:5" ht="15">
      <c r="D512" s="147">
        <v>10128580</v>
      </c>
      <c r="E512" s="147" t="s">
        <v>358</v>
      </c>
    </row>
    <row r="513" spans="4:5" ht="15">
      <c r="D513" s="147">
        <v>10128581</v>
      </c>
      <c r="E513" s="147" t="s">
        <v>358</v>
      </c>
    </row>
    <row r="514" spans="4:5" ht="15">
      <c r="D514" s="147">
        <v>10128582</v>
      </c>
      <c r="E514" s="147" t="s">
        <v>361</v>
      </c>
    </row>
    <row r="515" spans="4:5" ht="15">
      <c r="D515" s="147">
        <v>10128595</v>
      </c>
      <c r="E515" s="147" t="s">
        <v>361</v>
      </c>
    </row>
    <row r="516" spans="4:5" ht="15">
      <c r="D516" s="147">
        <v>10128596</v>
      </c>
      <c r="E516" s="147" t="s">
        <v>353</v>
      </c>
    </row>
    <row r="517" spans="4:5" ht="15">
      <c r="D517" s="147">
        <v>10128597</v>
      </c>
      <c r="E517" s="147" t="s">
        <v>358</v>
      </c>
    </row>
    <row r="518" spans="4:5" ht="15">
      <c r="D518" s="147">
        <v>10128598</v>
      </c>
      <c r="E518" s="147" t="s">
        <v>361</v>
      </c>
    </row>
    <row r="519" spans="4:5" ht="15">
      <c r="D519" s="147">
        <v>10128599</v>
      </c>
      <c r="E519" s="147" t="s">
        <v>354</v>
      </c>
    </row>
    <row r="520" spans="4:5" ht="15">
      <c r="D520" s="147">
        <v>10128600</v>
      </c>
      <c r="E520" s="147" t="s">
        <v>358</v>
      </c>
    </row>
    <row r="521" spans="4:5" ht="15">
      <c r="D521" s="147">
        <v>10128579</v>
      </c>
      <c r="E521" s="147" t="s">
        <v>354</v>
      </c>
    </row>
    <row r="522" spans="4:5" ht="15">
      <c r="D522" s="147">
        <v>10128580</v>
      </c>
      <c r="E522" s="147" t="s">
        <v>358</v>
      </c>
    </row>
    <row r="523" spans="4:5" ht="15">
      <c r="D523" s="147">
        <v>10128581</v>
      </c>
      <c r="E523" s="147" t="s">
        <v>358</v>
      </c>
    </row>
    <row r="524" spans="4:5" ht="15">
      <c r="D524" s="147">
        <v>10128582</v>
      </c>
      <c r="E524" s="147" t="s">
        <v>361</v>
      </c>
    </row>
    <row r="525" spans="4:5" ht="15">
      <c r="D525" s="147">
        <v>10128595</v>
      </c>
      <c r="E525" s="147" t="s">
        <v>361</v>
      </c>
    </row>
    <row r="526" spans="4:5" ht="15">
      <c r="D526" s="147">
        <v>10128596</v>
      </c>
      <c r="E526" s="147" t="s">
        <v>353</v>
      </c>
    </row>
    <row r="527" spans="4:5" ht="15">
      <c r="D527" s="147">
        <v>10128597</v>
      </c>
      <c r="E527" s="147" t="s">
        <v>358</v>
      </c>
    </row>
    <row r="528" spans="4:5" ht="15">
      <c r="D528" s="147">
        <v>10128598</v>
      </c>
      <c r="E528" s="147" t="s">
        <v>361</v>
      </c>
    </row>
    <row r="529" spans="4:5" ht="15">
      <c r="D529" s="147">
        <v>10128599</v>
      </c>
      <c r="E529" s="147" t="s">
        <v>354</v>
      </c>
    </row>
    <row r="530" spans="4:5" ht="15">
      <c r="D530" s="147">
        <v>10128600</v>
      </c>
      <c r="E530" s="147" t="s">
        <v>358</v>
      </c>
    </row>
    <row r="531" spans="4:5" ht="15">
      <c r="D531" s="147">
        <v>10128579</v>
      </c>
      <c r="E531" s="147" t="s">
        <v>354</v>
      </c>
    </row>
    <row r="532" spans="4:5" ht="15">
      <c r="D532" s="147">
        <v>10128580</v>
      </c>
      <c r="E532" s="147" t="s">
        <v>358</v>
      </c>
    </row>
    <row r="533" spans="4:5" ht="15">
      <c r="D533" s="147">
        <v>10128581</v>
      </c>
      <c r="E533" s="147" t="s">
        <v>358</v>
      </c>
    </row>
    <row r="534" spans="4:5" ht="15">
      <c r="D534" s="147">
        <v>10128582</v>
      </c>
      <c r="E534" s="147" t="s">
        <v>361</v>
      </c>
    </row>
    <row r="535" spans="4:5" ht="15">
      <c r="D535" s="147">
        <v>10128595</v>
      </c>
      <c r="E535" s="147" t="s">
        <v>361</v>
      </c>
    </row>
    <row r="536" spans="4:5" ht="15">
      <c r="D536" s="147">
        <v>10128596</v>
      </c>
      <c r="E536" s="147" t="s">
        <v>353</v>
      </c>
    </row>
    <row r="537" spans="4:5" ht="15">
      <c r="D537" s="147">
        <v>10128597</v>
      </c>
      <c r="E537" s="147" t="s">
        <v>358</v>
      </c>
    </row>
    <row r="538" spans="4:5" ht="15">
      <c r="D538" s="147">
        <v>10128598</v>
      </c>
      <c r="E538" s="147" t="s">
        <v>361</v>
      </c>
    </row>
    <row r="539" spans="4:5" ht="15">
      <c r="D539" s="147">
        <v>10128599</v>
      </c>
      <c r="E539" s="147" t="s">
        <v>354</v>
      </c>
    </row>
    <row r="540" spans="4:5" ht="15">
      <c r="D540" s="147">
        <v>10128600</v>
      </c>
      <c r="E540" s="147" t="s">
        <v>358</v>
      </c>
    </row>
    <row r="541" spans="4:5" ht="15">
      <c r="D541" s="147">
        <v>10128579</v>
      </c>
      <c r="E541" s="147" t="s">
        <v>354</v>
      </c>
    </row>
    <row r="542" spans="4:5" ht="15">
      <c r="D542" s="147">
        <v>10128580</v>
      </c>
      <c r="E542" s="147" t="s">
        <v>358</v>
      </c>
    </row>
    <row r="543" spans="4:5" ht="15">
      <c r="D543" s="147">
        <v>10128581</v>
      </c>
      <c r="E543" s="147" t="s">
        <v>358</v>
      </c>
    </row>
    <row r="544" spans="4:5" ht="15">
      <c r="D544" s="147">
        <v>10128582</v>
      </c>
      <c r="E544" s="147" t="s">
        <v>361</v>
      </c>
    </row>
    <row r="545" spans="4:5" ht="15">
      <c r="D545" s="147">
        <v>10128595</v>
      </c>
      <c r="E545" s="147" t="s">
        <v>361</v>
      </c>
    </row>
    <row r="546" spans="4:5" ht="15">
      <c r="D546" s="147">
        <v>10128596</v>
      </c>
      <c r="E546" s="147" t="s">
        <v>353</v>
      </c>
    </row>
    <row r="547" spans="4:5" ht="15">
      <c r="D547" s="147">
        <v>10128597</v>
      </c>
      <c r="E547" s="147" t="s">
        <v>358</v>
      </c>
    </row>
    <row r="548" spans="4:5" ht="15">
      <c r="D548" s="147">
        <v>10128598</v>
      </c>
      <c r="E548" s="147" t="s">
        <v>361</v>
      </c>
    </row>
    <row r="549" spans="4:5" ht="15">
      <c r="D549" s="147">
        <v>10128599</v>
      </c>
      <c r="E549" s="147" t="s">
        <v>354</v>
      </c>
    </row>
    <row r="550" spans="4:5" ht="15">
      <c r="D550" s="147">
        <v>10128600</v>
      </c>
      <c r="E550" s="147" t="s">
        <v>358</v>
      </c>
    </row>
    <row r="551" spans="4:5" ht="15">
      <c r="D551" s="147">
        <v>10128579</v>
      </c>
      <c r="E551" s="147" t="s">
        <v>354</v>
      </c>
    </row>
    <row r="552" spans="4:5" ht="15">
      <c r="D552" s="147">
        <v>10128580</v>
      </c>
      <c r="E552" s="147" t="s">
        <v>358</v>
      </c>
    </row>
    <row r="553" spans="4:5" ht="15">
      <c r="D553" s="147">
        <v>10128581</v>
      </c>
      <c r="E553" s="147" t="s">
        <v>358</v>
      </c>
    </row>
    <row r="554" spans="4:5" ht="15">
      <c r="D554" s="147">
        <v>10128582</v>
      </c>
      <c r="E554" s="147" t="s">
        <v>361</v>
      </c>
    </row>
    <row r="555" spans="4:5" ht="15">
      <c r="D555" s="147">
        <v>10128595</v>
      </c>
      <c r="E555" s="147" t="s">
        <v>361</v>
      </c>
    </row>
    <row r="556" spans="4:5" ht="15">
      <c r="D556" s="147">
        <v>10128596</v>
      </c>
      <c r="E556" s="147" t="s">
        <v>353</v>
      </c>
    </row>
    <row r="557" spans="4:5" ht="15">
      <c r="D557" s="147">
        <v>10128597</v>
      </c>
      <c r="E557" s="147" t="s">
        <v>358</v>
      </c>
    </row>
    <row r="558" spans="4:5" ht="15">
      <c r="D558" s="147">
        <v>10128598</v>
      </c>
      <c r="E558" s="147" t="s">
        <v>361</v>
      </c>
    </row>
    <row r="559" spans="4:5" ht="15">
      <c r="D559" s="147">
        <v>10128599</v>
      </c>
      <c r="E559" s="147" t="s">
        <v>354</v>
      </c>
    </row>
    <row r="560" spans="4:5" ht="15">
      <c r="D560" s="147">
        <v>10128600</v>
      </c>
      <c r="E560" s="147" t="s">
        <v>358</v>
      </c>
    </row>
    <row r="561" spans="4:5" ht="15">
      <c r="D561" s="147">
        <v>10128579</v>
      </c>
      <c r="E561" s="147" t="s">
        <v>354</v>
      </c>
    </row>
    <row r="562" spans="4:5" ht="15">
      <c r="D562" s="147">
        <v>10128580</v>
      </c>
      <c r="E562" s="147" t="s">
        <v>358</v>
      </c>
    </row>
    <row r="563" spans="4:5" ht="15">
      <c r="D563" s="147">
        <v>10128581</v>
      </c>
      <c r="E563" s="147" t="s">
        <v>358</v>
      </c>
    </row>
    <row r="564" spans="4:5" ht="15">
      <c r="D564" s="147">
        <v>10128582</v>
      </c>
      <c r="E564" s="147" t="s">
        <v>361</v>
      </c>
    </row>
    <row r="565" spans="4:5" ht="15">
      <c r="D565" s="147">
        <v>10128595</v>
      </c>
      <c r="E565" s="147" t="s">
        <v>361</v>
      </c>
    </row>
    <row r="566" spans="4:5" ht="15">
      <c r="D566" s="147">
        <v>10128596</v>
      </c>
      <c r="E566" s="147" t="s">
        <v>353</v>
      </c>
    </row>
    <row r="567" spans="4:5" ht="15">
      <c r="D567" s="147">
        <v>10128597</v>
      </c>
      <c r="E567" s="147" t="s">
        <v>358</v>
      </c>
    </row>
    <row r="568" spans="4:5" ht="15">
      <c r="D568" s="147">
        <v>10128598</v>
      </c>
      <c r="E568" s="147" t="s">
        <v>361</v>
      </c>
    </row>
    <row r="569" spans="4:5" ht="15">
      <c r="D569" s="147">
        <v>10128599</v>
      </c>
      <c r="E569" s="147" t="s">
        <v>354</v>
      </c>
    </row>
    <row r="570" spans="4:5" ht="15">
      <c r="D570" s="147">
        <v>10128600</v>
      </c>
      <c r="E570" s="147" t="s">
        <v>358</v>
      </c>
    </row>
    <row r="571" spans="4:5" ht="15">
      <c r="D571" s="147">
        <v>10128579</v>
      </c>
      <c r="E571" s="147" t="s">
        <v>354</v>
      </c>
    </row>
    <row r="572" spans="4:5" ht="15">
      <c r="D572" s="147">
        <v>10128580</v>
      </c>
      <c r="E572" s="147" t="s">
        <v>358</v>
      </c>
    </row>
    <row r="573" spans="4:5" ht="15">
      <c r="D573" s="147">
        <v>10128581</v>
      </c>
      <c r="E573" s="147" t="s">
        <v>358</v>
      </c>
    </row>
    <row r="574" spans="4:5" ht="15">
      <c r="D574" s="147">
        <v>10128582</v>
      </c>
      <c r="E574" s="147" t="s">
        <v>361</v>
      </c>
    </row>
    <row r="575" spans="4:5" ht="15">
      <c r="D575" s="147">
        <v>10128595</v>
      </c>
      <c r="E575" s="147" t="s">
        <v>361</v>
      </c>
    </row>
    <row r="576" spans="4:5" ht="15">
      <c r="D576" s="147">
        <v>10128596</v>
      </c>
      <c r="E576" s="147" t="s">
        <v>353</v>
      </c>
    </row>
    <row r="577" spans="4:5" ht="15">
      <c r="D577" s="147">
        <v>10128597</v>
      </c>
      <c r="E577" s="147" t="s">
        <v>358</v>
      </c>
    </row>
    <row r="578" spans="4:5" ht="15">
      <c r="D578" s="147">
        <v>10128598</v>
      </c>
      <c r="E578" s="147" t="s">
        <v>361</v>
      </c>
    </row>
    <row r="579" spans="4:5" ht="15">
      <c r="D579" s="147">
        <v>10128599</v>
      </c>
      <c r="E579" s="147" t="s">
        <v>354</v>
      </c>
    </row>
    <row r="580" spans="4:5" ht="15">
      <c r="D580" s="147">
        <v>10128600</v>
      </c>
      <c r="E580" s="147" t="s">
        <v>358</v>
      </c>
    </row>
    <row r="581" spans="4:5" ht="15">
      <c r="D581" s="147">
        <v>10128579</v>
      </c>
      <c r="E581" s="147" t="s">
        <v>354</v>
      </c>
    </row>
    <row r="582" spans="4:5" ht="15">
      <c r="D582" s="147">
        <v>10128580</v>
      </c>
      <c r="E582" s="147" t="s">
        <v>358</v>
      </c>
    </row>
    <row r="583" spans="4:5" ht="15">
      <c r="D583" s="147">
        <v>10128581</v>
      </c>
      <c r="E583" s="147" t="s">
        <v>358</v>
      </c>
    </row>
    <row r="584" spans="4:5" ht="15">
      <c r="D584" s="147">
        <v>10128582</v>
      </c>
      <c r="E584" s="147" t="s">
        <v>361</v>
      </c>
    </row>
    <row r="585" spans="4:5" ht="15">
      <c r="D585" s="147">
        <v>10128595</v>
      </c>
      <c r="E585" s="147" t="s">
        <v>361</v>
      </c>
    </row>
    <row r="586" spans="4:5" ht="15">
      <c r="D586" s="147">
        <v>10128596</v>
      </c>
      <c r="E586" s="147" t="s">
        <v>353</v>
      </c>
    </row>
    <row r="587" spans="4:5" ht="15">
      <c r="D587" s="147">
        <v>10128597</v>
      </c>
      <c r="E587" s="147" t="s">
        <v>358</v>
      </c>
    </row>
    <row r="588" spans="4:5" ht="15">
      <c r="D588" s="147">
        <v>10128598</v>
      </c>
      <c r="E588" s="147" t="s">
        <v>361</v>
      </c>
    </row>
    <row r="589" spans="4:5" ht="15">
      <c r="D589" s="147">
        <v>10128599</v>
      </c>
      <c r="E589" s="147" t="s">
        <v>354</v>
      </c>
    </row>
    <row r="590" spans="4:5" ht="15">
      <c r="D590" s="147">
        <v>10128600</v>
      </c>
      <c r="E590" s="147" t="s">
        <v>358</v>
      </c>
    </row>
    <row r="591" spans="4:5" ht="15">
      <c r="D591" s="147">
        <v>10128579</v>
      </c>
      <c r="E591" s="147" t="s">
        <v>354</v>
      </c>
    </row>
    <row r="592" spans="4:5" ht="15">
      <c r="D592" s="147">
        <v>10128580</v>
      </c>
      <c r="E592" s="147" t="s">
        <v>358</v>
      </c>
    </row>
    <row r="593" spans="4:5" ht="15">
      <c r="D593" s="147">
        <v>10128581</v>
      </c>
      <c r="E593" s="147" t="s">
        <v>358</v>
      </c>
    </row>
    <row r="594" spans="4:5" ht="15">
      <c r="D594" s="147">
        <v>10128582</v>
      </c>
      <c r="E594" s="147" t="s">
        <v>361</v>
      </c>
    </row>
    <row r="595" spans="4:5" ht="15">
      <c r="D595" s="147">
        <v>10128595</v>
      </c>
      <c r="E595" s="147" t="s">
        <v>361</v>
      </c>
    </row>
    <row r="596" spans="4:5" ht="15">
      <c r="D596" s="147">
        <v>10128596</v>
      </c>
      <c r="E596" s="147" t="s">
        <v>353</v>
      </c>
    </row>
    <row r="597" spans="4:5" ht="15">
      <c r="D597" s="147">
        <v>10128597</v>
      </c>
      <c r="E597" s="147" t="s">
        <v>358</v>
      </c>
    </row>
    <row r="598" spans="4:5" ht="15">
      <c r="D598" s="147">
        <v>10128598</v>
      </c>
      <c r="E598" s="147" t="s">
        <v>361</v>
      </c>
    </row>
    <row r="599" spans="4:5" ht="15">
      <c r="D599" s="147">
        <v>10128599</v>
      </c>
      <c r="E599" s="147" t="s">
        <v>354</v>
      </c>
    </row>
    <row r="600" spans="4:5" ht="15">
      <c r="D600" s="147">
        <v>10128600</v>
      </c>
      <c r="E600" s="147" t="s">
        <v>358</v>
      </c>
    </row>
    <row r="601" spans="4:5" ht="15">
      <c r="D601" s="147">
        <v>10128579</v>
      </c>
      <c r="E601" s="147" t="s">
        <v>354</v>
      </c>
    </row>
    <row r="602" spans="4:5" ht="15">
      <c r="D602" s="147">
        <v>10128580</v>
      </c>
      <c r="E602" s="147" t="s">
        <v>358</v>
      </c>
    </row>
    <row r="603" spans="4:5" ht="15">
      <c r="D603" s="147">
        <v>10128581</v>
      </c>
      <c r="E603" s="147" t="s">
        <v>358</v>
      </c>
    </row>
    <row r="604" spans="4:5" ht="15">
      <c r="D604" s="147">
        <v>10128582</v>
      </c>
      <c r="E604" s="147" t="s">
        <v>361</v>
      </c>
    </row>
    <row r="605" spans="4:5" ht="15">
      <c r="D605" s="147">
        <v>10128595</v>
      </c>
      <c r="E605" s="147" t="s">
        <v>361</v>
      </c>
    </row>
    <row r="606" spans="4:5" ht="15">
      <c r="D606" s="147">
        <v>10128596</v>
      </c>
      <c r="E606" s="147" t="s">
        <v>353</v>
      </c>
    </row>
    <row r="607" spans="4:5" ht="15">
      <c r="D607" s="147">
        <v>10128597</v>
      </c>
      <c r="E607" s="147" t="s">
        <v>358</v>
      </c>
    </row>
    <row r="608" spans="4:5" ht="15">
      <c r="D608" s="147">
        <v>10128598</v>
      </c>
      <c r="E608" s="147" t="s">
        <v>361</v>
      </c>
    </row>
    <row r="609" spans="4:5" ht="15">
      <c r="D609" s="147">
        <v>10128599</v>
      </c>
      <c r="E609" s="147" t="s">
        <v>354</v>
      </c>
    </row>
    <row r="610" spans="4:5" ht="15">
      <c r="D610" s="147">
        <v>10128600</v>
      </c>
      <c r="E610" s="147" t="s">
        <v>358</v>
      </c>
    </row>
    <row r="611" spans="4:5" ht="15">
      <c r="D611" s="147">
        <v>10128579</v>
      </c>
      <c r="E611" s="147" t="s">
        <v>354</v>
      </c>
    </row>
    <row r="612" spans="4:5" ht="15">
      <c r="D612" s="147">
        <v>10128580</v>
      </c>
      <c r="E612" s="147" t="s">
        <v>358</v>
      </c>
    </row>
    <row r="613" spans="4:5" ht="15">
      <c r="D613" s="147">
        <v>10128581</v>
      </c>
      <c r="E613" s="147" t="s">
        <v>358</v>
      </c>
    </row>
    <row r="614" spans="4:5" ht="15">
      <c r="D614" s="147">
        <v>10128582</v>
      </c>
      <c r="E614" s="147" t="s">
        <v>361</v>
      </c>
    </row>
    <row r="615" spans="4:5" ht="15">
      <c r="D615" s="147">
        <v>10128595</v>
      </c>
      <c r="E615" s="147" t="s">
        <v>361</v>
      </c>
    </row>
    <row r="616" spans="4:5" ht="15">
      <c r="D616" s="147">
        <v>10128596</v>
      </c>
      <c r="E616" s="147" t="s">
        <v>353</v>
      </c>
    </row>
    <row r="617" spans="4:5" ht="15">
      <c r="D617" s="147">
        <v>10128597</v>
      </c>
      <c r="E617" s="147" t="s">
        <v>358</v>
      </c>
    </row>
    <row r="618" spans="4:5" ht="15">
      <c r="D618" s="147">
        <v>10128598</v>
      </c>
      <c r="E618" s="147" t="s">
        <v>361</v>
      </c>
    </row>
    <row r="619" spans="4:5" ht="15">
      <c r="D619" s="147">
        <v>10128599</v>
      </c>
      <c r="E619" s="147" t="s">
        <v>354</v>
      </c>
    </row>
    <row r="620" spans="4:5" ht="15">
      <c r="D620" s="147">
        <v>10128600</v>
      </c>
      <c r="E620" s="147" t="s">
        <v>358</v>
      </c>
    </row>
    <row r="621" spans="4:5" ht="15">
      <c r="D621" s="147">
        <v>10128579</v>
      </c>
      <c r="E621" s="147" t="s">
        <v>354</v>
      </c>
    </row>
    <row r="622" spans="4:5" ht="15">
      <c r="D622" s="147">
        <v>10128580</v>
      </c>
      <c r="E622" s="147" t="s">
        <v>358</v>
      </c>
    </row>
    <row r="623" spans="4:5" ht="15">
      <c r="D623" s="147">
        <v>10128581</v>
      </c>
      <c r="E623" s="147" t="s">
        <v>358</v>
      </c>
    </row>
    <row r="624" spans="4:5" ht="15">
      <c r="D624" s="147">
        <v>10128582</v>
      </c>
      <c r="E624" s="147" t="s">
        <v>361</v>
      </c>
    </row>
    <row r="625" spans="4:5" ht="15">
      <c r="D625" s="147">
        <v>10128595</v>
      </c>
      <c r="E625" s="147" t="s">
        <v>361</v>
      </c>
    </row>
    <row r="626" spans="4:5" ht="15">
      <c r="D626" s="147">
        <v>10128596</v>
      </c>
      <c r="E626" s="147" t="s">
        <v>353</v>
      </c>
    </row>
    <row r="627" spans="4:5" ht="15">
      <c r="D627" s="147">
        <v>10128597</v>
      </c>
      <c r="E627" s="147" t="s">
        <v>358</v>
      </c>
    </row>
    <row r="628" spans="4:5" ht="15">
      <c r="D628" s="147">
        <v>10128598</v>
      </c>
      <c r="E628" s="147" t="s">
        <v>361</v>
      </c>
    </row>
    <row r="629" spans="4:5" ht="15">
      <c r="D629" s="147">
        <v>10128599</v>
      </c>
      <c r="E629" s="147" t="s">
        <v>354</v>
      </c>
    </row>
    <row r="630" spans="4:5" ht="15">
      <c r="D630" s="147">
        <v>10128600</v>
      </c>
      <c r="E630" s="147" t="s">
        <v>358</v>
      </c>
    </row>
    <row r="631" spans="4:5" ht="15">
      <c r="D631" s="147">
        <v>10128579</v>
      </c>
      <c r="E631" s="147" t="s">
        <v>354</v>
      </c>
    </row>
    <row r="632" spans="4:5" ht="15">
      <c r="D632" s="147">
        <v>10128580</v>
      </c>
      <c r="E632" s="147" t="s">
        <v>358</v>
      </c>
    </row>
    <row r="633" spans="4:5" ht="15">
      <c r="D633" s="147">
        <v>10128581</v>
      </c>
      <c r="E633" s="147" t="s">
        <v>358</v>
      </c>
    </row>
    <row r="634" spans="4:5" ht="15">
      <c r="D634" s="147">
        <v>10128582</v>
      </c>
      <c r="E634" s="147" t="s">
        <v>361</v>
      </c>
    </row>
    <row r="635" spans="4:5" ht="15">
      <c r="D635" s="147">
        <v>10128595</v>
      </c>
      <c r="E635" s="147" t="s">
        <v>361</v>
      </c>
    </row>
    <row r="636" spans="4:5" ht="15">
      <c r="D636" s="147">
        <v>10128596</v>
      </c>
      <c r="E636" s="147" t="s">
        <v>353</v>
      </c>
    </row>
    <row r="637" spans="4:5" ht="15">
      <c r="D637" s="147">
        <v>10128597</v>
      </c>
      <c r="E637" s="147" t="s">
        <v>358</v>
      </c>
    </row>
    <row r="638" spans="4:5" ht="15">
      <c r="D638" s="147">
        <v>10128598</v>
      </c>
      <c r="E638" s="147" t="s">
        <v>361</v>
      </c>
    </row>
    <row r="639" spans="4:5" ht="15">
      <c r="D639" s="147">
        <v>10128599</v>
      </c>
      <c r="E639" s="147" t="s">
        <v>354</v>
      </c>
    </row>
    <row r="640" spans="4:5" ht="15">
      <c r="D640" s="147">
        <v>10128600</v>
      </c>
      <c r="E640" s="147" t="s">
        <v>358</v>
      </c>
    </row>
    <row r="641" spans="4:5" ht="15">
      <c r="D641" s="147">
        <v>10128579</v>
      </c>
      <c r="E641" s="147" t="s">
        <v>354</v>
      </c>
    </row>
    <row r="642" spans="4:5" ht="15">
      <c r="D642" s="147">
        <v>10128580</v>
      </c>
      <c r="E642" s="147" t="s">
        <v>358</v>
      </c>
    </row>
    <row r="643" spans="4:5" ht="15">
      <c r="D643" s="147">
        <v>10128581</v>
      </c>
      <c r="E643" s="147" t="s">
        <v>358</v>
      </c>
    </row>
    <row r="644" spans="4:5" ht="15">
      <c r="D644" s="147">
        <v>10128582</v>
      </c>
      <c r="E644" s="147" t="s">
        <v>361</v>
      </c>
    </row>
    <row r="645" spans="4:5" ht="15">
      <c r="D645" s="147">
        <v>10128595</v>
      </c>
      <c r="E645" s="147" t="s">
        <v>361</v>
      </c>
    </row>
    <row r="646" spans="4:5" ht="15">
      <c r="D646" s="147">
        <v>10128596</v>
      </c>
      <c r="E646" s="147" t="s">
        <v>353</v>
      </c>
    </row>
    <row r="647" spans="4:5" ht="15">
      <c r="D647" s="147">
        <v>10128597</v>
      </c>
      <c r="E647" s="147" t="s">
        <v>358</v>
      </c>
    </row>
    <row r="648" spans="4:5" ht="15">
      <c r="D648" s="147">
        <v>10128598</v>
      </c>
      <c r="E648" s="147" t="s">
        <v>361</v>
      </c>
    </row>
    <row r="649" spans="4:5" ht="15">
      <c r="D649" s="147">
        <v>10128599</v>
      </c>
      <c r="E649" s="147" t="s">
        <v>354</v>
      </c>
    </row>
    <row r="650" spans="4:5" ht="15">
      <c r="D650" s="147">
        <v>10128600</v>
      </c>
      <c r="E650" s="147" t="s">
        <v>358</v>
      </c>
    </row>
    <row r="651" spans="4:5" ht="15">
      <c r="D651" s="147">
        <v>10128579</v>
      </c>
      <c r="E651" s="147" t="s">
        <v>354</v>
      </c>
    </row>
    <row r="652" spans="4:5" ht="15">
      <c r="D652" s="147">
        <v>10128580</v>
      </c>
      <c r="E652" s="147" t="s">
        <v>358</v>
      </c>
    </row>
    <row r="653" spans="4:5" ht="15">
      <c r="D653" s="147">
        <v>10128581</v>
      </c>
      <c r="E653" s="147" t="s">
        <v>358</v>
      </c>
    </row>
    <row r="654" spans="4:5" ht="15">
      <c r="D654" s="147">
        <v>10128582</v>
      </c>
      <c r="E654" s="147" t="s">
        <v>361</v>
      </c>
    </row>
    <row r="655" spans="4:5" ht="15">
      <c r="D655" s="147">
        <v>10128595</v>
      </c>
      <c r="E655" s="147" t="s">
        <v>361</v>
      </c>
    </row>
    <row r="656" spans="4:5" ht="15">
      <c r="D656" s="147">
        <v>10128596</v>
      </c>
      <c r="E656" s="147" t="s">
        <v>353</v>
      </c>
    </row>
    <row r="657" spans="4:5" ht="15">
      <c r="D657" s="147">
        <v>10128597</v>
      </c>
      <c r="E657" s="147" t="s">
        <v>358</v>
      </c>
    </row>
    <row r="658" spans="4:5" ht="15">
      <c r="D658" s="147">
        <v>10128598</v>
      </c>
      <c r="E658" s="147" t="s">
        <v>361</v>
      </c>
    </row>
    <row r="659" spans="4:5" ht="15">
      <c r="D659" s="147">
        <v>10128599</v>
      </c>
      <c r="E659" s="147" t="s">
        <v>354</v>
      </c>
    </row>
    <row r="660" spans="4:5" ht="15">
      <c r="D660" s="147">
        <v>10128600</v>
      </c>
      <c r="E660" s="147" t="s">
        <v>358</v>
      </c>
    </row>
    <row r="661" spans="4:5" ht="15">
      <c r="D661" s="147">
        <v>10128579</v>
      </c>
      <c r="E661" s="147" t="s">
        <v>354</v>
      </c>
    </row>
    <row r="662" spans="4:5" ht="15">
      <c r="D662" s="147">
        <v>10128580</v>
      </c>
      <c r="E662" s="147" t="s">
        <v>358</v>
      </c>
    </row>
    <row r="663" spans="4:5" ht="15">
      <c r="D663" s="147">
        <v>10128581</v>
      </c>
      <c r="E663" s="147" t="s">
        <v>358</v>
      </c>
    </row>
    <row r="664" spans="4:5" ht="15">
      <c r="D664" s="147">
        <v>10128582</v>
      </c>
      <c r="E664" s="147" t="s">
        <v>361</v>
      </c>
    </row>
    <row r="665" spans="4:5" ht="15">
      <c r="D665" s="147">
        <v>10128595</v>
      </c>
      <c r="E665" s="147" t="s">
        <v>361</v>
      </c>
    </row>
    <row r="666" spans="4:5" ht="15">
      <c r="D666" s="147">
        <v>10128596</v>
      </c>
      <c r="E666" s="147" t="s">
        <v>353</v>
      </c>
    </row>
    <row r="667" spans="4:5" ht="15">
      <c r="D667" s="147">
        <v>10128597</v>
      </c>
      <c r="E667" s="147" t="s">
        <v>358</v>
      </c>
    </row>
    <row r="668" spans="4:5" ht="15">
      <c r="D668" s="147">
        <v>10128598</v>
      </c>
      <c r="E668" s="147" t="s">
        <v>361</v>
      </c>
    </row>
    <row r="669" spans="4:5" ht="15">
      <c r="D669" s="147">
        <v>10128599</v>
      </c>
      <c r="E669" s="147" t="s">
        <v>354</v>
      </c>
    </row>
    <row r="670" spans="4:5" ht="15">
      <c r="D670" s="147">
        <v>10128600</v>
      </c>
      <c r="E670" s="147" t="s">
        <v>358</v>
      </c>
    </row>
    <row r="671" spans="4:5" ht="15">
      <c r="D671" s="147">
        <v>10128579</v>
      </c>
      <c r="E671" s="147" t="s">
        <v>354</v>
      </c>
    </row>
    <row r="672" spans="4:5" ht="15">
      <c r="D672" s="147">
        <v>10128580</v>
      </c>
      <c r="E672" s="147" t="s">
        <v>358</v>
      </c>
    </row>
    <row r="673" spans="4:5" ht="15">
      <c r="D673" s="147">
        <v>10128581</v>
      </c>
      <c r="E673" s="147" t="s">
        <v>358</v>
      </c>
    </row>
    <row r="674" spans="4:5" ht="15">
      <c r="D674" s="147">
        <v>10128582</v>
      </c>
      <c r="E674" s="147" t="s">
        <v>361</v>
      </c>
    </row>
    <row r="675" spans="4:5" ht="15">
      <c r="D675" s="147">
        <v>10128595</v>
      </c>
      <c r="E675" s="147" t="s">
        <v>361</v>
      </c>
    </row>
    <row r="676" spans="4:5" ht="15">
      <c r="D676" s="147">
        <v>10128596</v>
      </c>
      <c r="E676" s="147" t="s">
        <v>353</v>
      </c>
    </row>
    <row r="677" spans="4:5" ht="15">
      <c r="D677" s="147">
        <v>10128597</v>
      </c>
      <c r="E677" s="147" t="s">
        <v>358</v>
      </c>
    </row>
    <row r="678" spans="4:5" ht="15">
      <c r="D678" s="147">
        <v>10128598</v>
      </c>
      <c r="E678" s="147" t="s">
        <v>361</v>
      </c>
    </row>
    <row r="679" spans="4:5" ht="15">
      <c r="D679" s="147">
        <v>10128599</v>
      </c>
      <c r="E679" s="147" t="s">
        <v>354</v>
      </c>
    </row>
    <row r="680" spans="4:5" ht="15">
      <c r="D680" s="147">
        <v>10128600</v>
      </c>
      <c r="E680" s="147" t="s">
        <v>358</v>
      </c>
    </row>
    <row r="681" spans="4:5" ht="15">
      <c r="D681" s="147">
        <v>10128579</v>
      </c>
      <c r="E681" s="147" t="s">
        <v>354</v>
      </c>
    </row>
    <row r="682" spans="4:5" ht="15">
      <c r="D682" s="147">
        <v>10128580</v>
      </c>
      <c r="E682" s="147" t="s">
        <v>358</v>
      </c>
    </row>
    <row r="683" spans="4:5" ht="15">
      <c r="D683" s="147">
        <v>10128581</v>
      </c>
      <c r="E683" s="147" t="s">
        <v>358</v>
      </c>
    </row>
    <row r="684" spans="4:5" ht="15">
      <c r="D684" s="147">
        <v>10128582</v>
      </c>
      <c r="E684" s="147" t="s">
        <v>361</v>
      </c>
    </row>
    <row r="685" spans="4:5" ht="15">
      <c r="D685" s="147">
        <v>10128595</v>
      </c>
      <c r="E685" s="147" t="s">
        <v>361</v>
      </c>
    </row>
    <row r="686" spans="4:5" ht="15">
      <c r="D686" s="147">
        <v>10128596</v>
      </c>
      <c r="E686" s="147" t="s">
        <v>353</v>
      </c>
    </row>
    <row r="687" spans="4:5" ht="15">
      <c r="D687" s="147">
        <v>10128597</v>
      </c>
      <c r="E687" s="147" t="s">
        <v>358</v>
      </c>
    </row>
    <row r="688" spans="4:5" ht="15">
      <c r="D688" s="147">
        <v>10128598</v>
      </c>
      <c r="E688" s="147" t="s">
        <v>361</v>
      </c>
    </row>
    <row r="689" spans="4:5" ht="15">
      <c r="D689" s="147">
        <v>10128599</v>
      </c>
      <c r="E689" s="147" t="s">
        <v>354</v>
      </c>
    </row>
    <row r="690" spans="4:5" ht="15">
      <c r="D690" s="147">
        <v>10128600</v>
      </c>
      <c r="E690" s="147" t="s">
        <v>358</v>
      </c>
    </row>
    <row r="691" spans="4:5" ht="15">
      <c r="D691" s="147">
        <v>10128579</v>
      </c>
      <c r="E691" s="147" t="s">
        <v>354</v>
      </c>
    </row>
    <row r="692" spans="4:5" ht="15">
      <c r="D692" s="147">
        <v>10128580</v>
      </c>
      <c r="E692" s="147" t="s">
        <v>358</v>
      </c>
    </row>
    <row r="693" spans="4:5" ht="15">
      <c r="D693" s="147">
        <v>10128581</v>
      </c>
      <c r="E693" s="147" t="s">
        <v>358</v>
      </c>
    </row>
    <row r="694" spans="4:5" ht="15">
      <c r="D694" s="147">
        <v>10128582</v>
      </c>
      <c r="E694" s="147" t="s">
        <v>361</v>
      </c>
    </row>
    <row r="695" spans="4:5" ht="15">
      <c r="D695" s="147">
        <v>10128595</v>
      </c>
      <c r="E695" s="147" t="s">
        <v>361</v>
      </c>
    </row>
    <row r="696" spans="4:5" ht="15">
      <c r="D696" s="147">
        <v>10128596</v>
      </c>
      <c r="E696" s="147" t="s">
        <v>353</v>
      </c>
    </row>
    <row r="697" spans="4:5" ht="15">
      <c r="D697" s="147">
        <v>10128597</v>
      </c>
      <c r="E697" s="147" t="s">
        <v>358</v>
      </c>
    </row>
    <row r="698" spans="4:5" ht="15">
      <c r="D698" s="147">
        <v>10128598</v>
      </c>
      <c r="E698" s="147" t="s">
        <v>361</v>
      </c>
    </row>
    <row r="699" spans="4:5" ht="15">
      <c r="D699" s="147">
        <v>10128599</v>
      </c>
      <c r="E699" s="147" t="s">
        <v>354</v>
      </c>
    </row>
    <row r="700" spans="4:5" ht="15">
      <c r="D700" s="147">
        <v>10128600</v>
      </c>
      <c r="E700" s="147" t="s">
        <v>358</v>
      </c>
    </row>
    <row r="701" spans="4:5" ht="15">
      <c r="D701" s="147">
        <v>10128579</v>
      </c>
      <c r="E701" s="147" t="s">
        <v>354</v>
      </c>
    </row>
    <row r="702" spans="4:5" ht="15">
      <c r="D702" s="147">
        <v>10128580</v>
      </c>
      <c r="E702" s="147" t="s">
        <v>358</v>
      </c>
    </row>
    <row r="703" spans="4:5" ht="15">
      <c r="D703" s="147">
        <v>10128581</v>
      </c>
      <c r="E703" s="147" t="s">
        <v>358</v>
      </c>
    </row>
    <row r="704" spans="4:5" ht="15">
      <c r="D704" s="147">
        <v>10128582</v>
      </c>
      <c r="E704" s="147" t="s">
        <v>361</v>
      </c>
    </row>
    <row r="705" spans="4:5" ht="15">
      <c r="D705" s="147">
        <v>10128595</v>
      </c>
      <c r="E705" s="147" t="s">
        <v>361</v>
      </c>
    </row>
    <row r="706" spans="4:5" ht="15">
      <c r="D706" s="147">
        <v>10128596</v>
      </c>
      <c r="E706" s="147" t="s">
        <v>353</v>
      </c>
    </row>
    <row r="707" spans="4:5" ht="15">
      <c r="D707" s="147">
        <v>10128597</v>
      </c>
      <c r="E707" s="147" t="s">
        <v>358</v>
      </c>
    </row>
    <row r="708" spans="4:5" ht="15">
      <c r="D708" s="147">
        <v>10128598</v>
      </c>
      <c r="E708" s="147" t="s">
        <v>361</v>
      </c>
    </row>
    <row r="709" spans="4:5" ht="15">
      <c r="D709" s="147">
        <v>10128599</v>
      </c>
      <c r="E709" s="147" t="s">
        <v>354</v>
      </c>
    </row>
    <row r="710" spans="4:5" ht="15">
      <c r="D710" s="147">
        <v>10128600</v>
      </c>
      <c r="E710" s="147" t="s">
        <v>358</v>
      </c>
    </row>
    <row r="711" spans="4:5" ht="15">
      <c r="D711" s="147">
        <v>10128579</v>
      </c>
      <c r="E711" s="147" t="s">
        <v>354</v>
      </c>
    </row>
    <row r="712" spans="4:5" ht="15">
      <c r="D712" s="147">
        <v>10128580</v>
      </c>
      <c r="E712" s="147" t="s">
        <v>358</v>
      </c>
    </row>
    <row r="713" spans="4:5" ht="15">
      <c r="D713" s="147">
        <v>10128581</v>
      </c>
      <c r="E713" s="147" t="s">
        <v>358</v>
      </c>
    </row>
    <row r="714" spans="4:5" ht="15">
      <c r="D714" s="147">
        <v>10128582</v>
      </c>
      <c r="E714" s="147" t="s">
        <v>361</v>
      </c>
    </row>
    <row r="715" spans="4:5" ht="15">
      <c r="D715" s="147">
        <v>10128595</v>
      </c>
      <c r="E715" s="147" t="s">
        <v>361</v>
      </c>
    </row>
    <row r="716" spans="4:5" ht="15">
      <c r="D716" s="147">
        <v>10128596</v>
      </c>
      <c r="E716" s="147" t="s">
        <v>353</v>
      </c>
    </row>
    <row r="717" spans="4:5" ht="15">
      <c r="D717" s="147">
        <v>10128597</v>
      </c>
      <c r="E717" s="147" t="s">
        <v>358</v>
      </c>
    </row>
    <row r="718" spans="4:5" ht="15">
      <c r="D718" s="147">
        <v>10128598</v>
      </c>
      <c r="E718" s="147" t="s">
        <v>361</v>
      </c>
    </row>
    <row r="719" spans="4:5" ht="15">
      <c r="D719" s="147">
        <v>10128599</v>
      </c>
      <c r="E719" s="147" t="s">
        <v>354</v>
      </c>
    </row>
    <row r="720" spans="4:5" ht="15">
      <c r="D720" s="147">
        <v>10128600</v>
      </c>
      <c r="E720" s="147" t="s">
        <v>358</v>
      </c>
    </row>
    <row r="721" spans="4:5" ht="15">
      <c r="D721" s="147">
        <v>10128579</v>
      </c>
      <c r="E721" s="147" t="s">
        <v>354</v>
      </c>
    </row>
    <row r="722" spans="4:5" ht="15">
      <c r="D722" s="147">
        <v>10128580</v>
      </c>
      <c r="E722" s="147" t="s">
        <v>358</v>
      </c>
    </row>
    <row r="723" spans="4:5" ht="15">
      <c r="D723" s="147">
        <v>10128581</v>
      </c>
      <c r="E723" s="147" t="s">
        <v>358</v>
      </c>
    </row>
    <row r="724" spans="4:5" ht="15">
      <c r="D724" s="147">
        <v>10128582</v>
      </c>
      <c r="E724" s="147" t="s">
        <v>361</v>
      </c>
    </row>
    <row r="725" spans="4:5" ht="15">
      <c r="D725" s="147">
        <v>10128595</v>
      </c>
      <c r="E725" s="147" t="s">
        <v>361</v>
      </c>
    </row>
    <row r="726" spans="4:5" ht="15">
      <c r="D726" s="147">
        <v>10128596</v>
      </c>
      <c r="E726" s="147" t="s">
        <v>353</v>
      </c>
    </row>
    <row r="727" spans="4:5" ht="15">
      <c r="D727" s="147">
        <v>10128597</v>
      </c>
      <c r="E727" s="147" t="s">
        <v>358</v>
      </c>
    </row>
    <row r="728" spans="4:5" ht="15">
      <c r="D728" s="147">
        <v>10128598</v>
      </c>
      <c r="E728" s="147" t="s">
        <v>361</v>
      </c>
    </row>
    <row r="729" spans="4:5" ht="15">
      <c r="D729" s="147">
        <v>10128599</v>
      </c>
      <c r="E729" s="147" t="s">
        <v>354</v>
      </c>
    </row>
    <row r="730" spans="4:5" ht="15">
      <c r="D730" s="147">
        <v>10128600</v>
      </c>
      <c r="E730" s="147" t="s">
        <v>358</v>
      </c>
    </row>
    <row r="731" spans="4:5" ht="15">
      <c r="D731" s="147">
        <v>10128579</v>
      </c>
      <c r="E731" s="147" t="s">
        <v>354</v>
      </c>
    </row>
    <row r="732" spans="4:5" ht="15">
      <c r="D732" s="147">
        <v>10128580</v>
      </c>
      <c r="E732" s="147" t="s">
        <v>358</v>
      </c>
    </row>
    <row r="733" spans="4:5" ht="15">
      <c r="D733" s="147">
        <v>10128581</v>
      </c>
      <c r="E733" s="147" t="s">
        <v>358</v>
      </c>
    </row>
    <row r="734" spans="4:5" ht="15">
      <c r="D734" s="147">
        <v>10128582</v>
      </c>
      <c r="E734" s="147" t="s">
        <v>361</v>
      </c>
    </row>
    <row r="735" spans="4:5" ht="15">
      <c r="D735" s="147">
        <v>10128595</v>
      </c>
      <c r="E735" s="147" t="s">
        <v>361</v>
      </c>
    </row>
    <row r="736" spans="4:5" ht="15">
      <c r="D736" s="147">
        <v>10128596</v>
      </c>
      <c r="E736" s="147" t="s">
        <v>353</v>
      </c>
    </row>
    <row r="737" spans="4:5" ht="15">
      <c r="D737" s="147">
        <v>10128597</v>
      </c>
      <c r="E737" s="147" t="s">
        <v>358</v>
      </c>
    </row>
    <row r="738" spans="4:5" ht="15">
      <c r="D738" s="147">
        <v>10128598</v>
      </c>
      <c r="E738" s="147" t="s">
        <v>361</v>
      </c>
    </row>
    <row r="739" spans="4:5" ht="15">
      <c r="D739" s="147">
        <v>10128599</v>
      </c>
      <c r="E739" s="147" t="s">
        <v>354</v>
      </c>
    </row>
    <row r="740" spans="4:5" ht="15">
      <c r="D740" s="147">
        <v>10128600</v>
      </c>
      <c r="E740" s="147" t="s">
        <v>358</v>
      </c>
    </row>
    <row r="741" spans="4:5" ht="15">
      <c r="D741" s="147">
        <v>10128579</v>
      </c>
      <c r="E741" s="147" t="s">
        <v>354</v>
      </c>
    </row>
    <row r="742" spans="4:5" ht="15">
      <c r="D742" s="147">
        <v>10128580</v>
      </c>
      <c r="E742" s="147" t="s">
        <v>358</v>
      </c>
    </row>
    <row r="743" spans="4:5" ht="15">
      <c r="D743" s="147">
        <v>10128581</v>
      </c>
      <c r="E743" s="147" t="s">
        <v>358</v>
      </c>
    </row>
    <row r="744" spans="4:5" ht="15">
      <c r="D744" s="147">
        <v>10128582</v>
      </c>
      <c r="E744" s="147" t="s">
        <v>361</v>
      </c>
    </row>
    <row r="745" spans="4:5" ht="15">
      <c r="D745" s="147">
        <v>10128595</v>
      </c>
      <c r="E745" s="147" t="s">
        <v>361</v>
      </c>
    </row>
    <row r="746" spans="4:5" ht="15">
      <c r="D746" s="147">
        <v>10128596</v>
      </c>
      <c r="E746" s="147" t="s">
        <v>353</v>
      </c>
    </row>
    <row r="747" spans="4:5" ht="15">
      <c r="D747" s="147">
        <v>10128597</v>
      </c>
      <c r="E747" s="147" t="s">
        <v>358</v>
      </c>
    </row>
    <row r="748" spans="4:5" ht="15">
      <c r="D748" s="147">
        <v>10128598</v>
      </c>
      <c r="E748" s="147" t="s">
        <v>361</v>
      </c>
    </row>
    <row r="749" spans="4:5" ht="15">
      <c r="D749" s="147">
        <v>10128599</v>
      </c>
      <c r="E749" s="147" t="s">
        <v>354</v>
      </c>
    </row>
    <row r="750" spans="4:5" ht="15">
      <c r="D750" s="147">
        <v>10128600</v>
      </c>
      <c r="E750" s="147" t="s">
        <v>358</v>
      </c>
    </row>
    <row r="751" spans="4:5" ht="15">
      <c r="D751" s="147">
        <v>10128579</v>
      </c>
      <c r="E751" s="147" t="s">
        <v>354</v>
      </c>
    </row>
    <row r="752" spans="4:5" ht="15">
      <c r="D752" s="147">
        <v>10128580</v>
      </c>
      <c r="E752" s="147" t="s">
        <v>358</v>
      </c>
    </row>
    <row r="753" spans="4:5" ht="15">
      <c r="D753" s="147">
        <v>10128581</v>
      </c>
      <c r="E753" s="147" t="s">
        <v>358</v>
      </c>
    </row>
    <row r="754" spans="4:5" ht="15">
      <c r="D754" s="147">
        <v>10128582</v>
      </c>
      <c r="E754" s="147" t="s">
        <v>361</v>
      </c>
    </row>
    <row r="755" spans="4:5" ht="15">
      <c r="D755" s="147">
        <v>10128595</v>
      </c>
      <c r="E755" s="147" t="s">
        <v>361</v>
      </c>
    </row>
    <row r="756" spans="4:5" ht="15">
      <c r="D756" s="147">
        <v>10128596</v>
      </c>
      <c r="E756" s="147" t="s">
        <v>353</v>
      </c>
    </row>
    <row r="757" spans="4:5" ht="15">
      <c r="D757" s="147">
        <v>10128597</v>
      </c>
      <c r="E757" s="147" t="s">
        <v>358</v>
      </c>
    </row>
    <row r="758" spans="4:5" ht="15">
      <c r="D758" s="147">
        <v>10128598</v>
      </c>
      <c r="E758" s="147" t="s">
        <v>361</v>
      </c>
    </row>
    <row r="759" spans="4:5" ht="15">
      <c r="D759" s="147">
        <v>10128599</v>
      </c>
      <c r="E759" s="147" t="s">
        <v>354</v>
      </c>
    </row>
    <row r="760" spans="4:5" ht="15">
      <c r="D760" s="147">
        <v>10128600</v>
      </c>
      <c r="E760" s="147" t="s">
        <v>358</v>
      </c>
    </row>
    <row r="761" spans="4:5" ht="15">
      <c r="D761" s="147">
        <v>10128579</v>
      </c>
      <c r="E761" s="147" t="s">
        <v>354</v>
      </c>
    </row>
    <row r="762" spans="4:5" ht="15">
      <c r="D762" s="147">
        <v>10128580</v>
      </c>
      <c r="E762" s="147" t="s">
        <v>358</v>
      </c>
    </row>
    <row r="763" spans="4:5" ht="15">
      <c r="D763" s="147">
        <v>10128581</v>
      </c>
      <c r="E763" s="147" t="s">
        <v>358</v>
      </c>
    </row>
    <row r="764" spans="4:5" ht="15">
      <c r="D764" s="147">
        <v>10128582</v>
      </c>
      <c r="E764" s="147" t="s">
        <v>361</v>
      </c>
    </row>
    <row r="765" spans="4:5" ht="15">
      <c r="D765" s="147">
        <v>10128595</v>
      </c>
      <c r="E765" s="147" t="s">
        <v>361</v>
      </c>
    </row>
    <row r="766" spans="4:5" ht="15">
      <c r="D766" s="147">
        <v>10128596</v>
      </c>
      <c r="E766" s="147" t="s">
        <v>353</v>
      </c>
    </row>
    <row r="767" spans="4:5" ht="15">
      <c r="D767" s="147">
        <v>10128597</v>
      </c>
      <c r="E767" s="147" t="s">
        <v>358</v>
      </c>
    </row>
    <row r="768" spans="4:5" ht="15">
      <c r="D768" s="147">
        <v>10128598</v>
      </c>
      <c r="E768" s="147" t="s">
        <v>361</v>
      </c>
    </row>
    <row r="769" spans="4:5" ht="15">
      <c r="D769" s="147">
        <v>10128599</v>
      </c>
      <c r="E769" s="147" t="s">
        <v>354</v>
      </c>
    </row>
    <row r="770" spans="4:5" ht="15">
      <c r="D770" s="147">
        <v>10128600</v>
      </c>
      <c r="E770" s="147" t="s">
        <v>358</v>
      </c>
    </row>
    <row r="771" spans="4:5" ht="15">
      <c r="D771" s="147">
        <v>10128579</v>
      </c>
      <c r="E771" s="147" t="s">
        <v>354</v>
      </c>
    </row>
    <row r="772" spans="4:5" ht="15">
      <c r="D772" s="147">
        <v>10128580</v>
      </c>
      <c r="E772" s="147" t="s">
        <v>358</v>
      </c>
    </row>
    <row r="773" spans="4:5" ht="15">
      <c r="D773" s="147">
        <v>10128581</v>
      </c>
      <c r="E773" s="147" t="s">
        <v>358</v>
      </c>
    </row>
    <row r="774" spans="4:5" ht="15">
      <c r="D774" s="147">
        <v>10128582</v>
      </c>
      <c r="E774" s="147" t="s">
        <v>361</v>
      </c>
    </row>
    <row r="775" spans="4:5" ht="15">
      <c r="D775" s="147">
        <v>10128595</v>
      </c>
      <c r="E775" s="147" t="s">
        <v>361</v>
      </c>
    </row>
    <row r="776" spans="4:5" ht="15">
      <c r="D776" s="147">
        <v>10128596</v>
      </c>
      <c r="E776" s="147" t="s">
        <v>353</v>
      </c>
    </row>
    <row r="777" spans="4:5" ht="15">
      <c r="D777" s="147">
        <v>10128597</v>
      </c>
      <c r="E777" s="147" t="s">
        <v>358</v>
      </c>
    </row>
    <row r="778" spans="4:5" ht="15">
      <c r="D778" s="147">
        <v>10128598</v>
      </c>
      <c r="E778" s="147" t="s">
        <v>361</v>
      </c>
    </row>
    <row r="779" spans="4:5" ht="15">
      <c r="D779" s="147">
        <v>10128599</v>
      </c>
      <c r="E779" s="147" t="s">
        <v>354</v>
      </c>
    </row>
    <row r="780" spans="4:5" ht="15">
      <c r="D780" s="147">
        <v>10128600</v>
      </c>
      <c r="E780" s="147" t="s">
        <v>358</v>
      </c>
    </row>
    <row r="781" spans="4:5" ht="15">
      <c r="D781" s="147">
        <v>10128579</v>
      </c>
      <c r="E781" s="147" t="s">
        <v>354</v>
      </c>
    </row>
    <row r="782" spans="4:5" ht="15">
      <c r="D782" s="147">
        <v>10128580</v>
      </c>
      <c r="E782" s="147" t="s">
        <v>358</v>
      </c>
    </row>
    <row r="783" spans="4:5" ht="15">
      <c r="D783" s="147">
        <v>10128581</v>
      </c>
      <c r="E783" s="147" t="s">
        <v>358</v>
      </c>
    </row>
    <row r="784" spans="4:5" ht="15">
      <c r="D784" s="147">
        <v>10128582</v>
      </c>
      <c r="E784" s="147" t="s">
        <v>361</v>
      </c>
    </row>
    <row r="785" spans="4:5" ht="15">
      <c r="D785" s="147">
        <v>10128595</v>
      </c>
      <c r="E785" s="147" t="s">
        <v>361</v>
      </c>
    </row>
    <row r="786" spans="4:5" ht="15">
      <c r="D786" s="147">
        <v>10128596</v>
      </c>
      <c r="E786" s="147" t="s">
        <v>353</v>
      </c>
    </row>
    <row r="787" spans="4:5" ht="15">
      <c r="D787" s="147">
        <v>10128597</v>
      </c>
      <c r="E787" s="147" t="s">
        <v>358</v>
      </c>
    </row>
    <row r="788" spans="4:5" ht="15">
      <c r="D788" s="147">
        <v>10128598</v>
      </c>
      <c r="E788" s="147" t="s">
        <v>361</v>
      </c>
    </row>
    <row r="789" spans="4:5" ht="15">
      <c r="D789" s="147">
        <v>10128599</v>
      </c>
      <c r="E789" s="147" t="s">
        <v>354</v>
      </c>
    </row>
    <row r="790" spans="4:5" ht="15">
      <c r="D790" s="147">
        <v>10128600</v>
      </c>
      <c r="E790" s="147" t="s">
        <v>358</v>
      </c>
    </row>
    <row r="791" spans="4:5" ht="15">
      <c r="D791" s="147">
        <v>10128579</v>
      </c>
      <c r="E791" s="147" t="s">
        <v>354</v>
      </c>
    </row>
    <row r="792" spans="4:5" ht="15">
      <c r="D792" s="147">
        <v>10128580</v>
      </c>
      <c r="E792" s="147" t="s">
        <v>358</v>
      </c>
    </row>
    <row r="793" spans="4:5" ht="15">
      <c r="D793" s="147">
        <v>10128581</v>
      </c>
      <c r="E793" s="147" t="s">
        <v>358</v>
      </c>
    </row>
    <row r="794" spans="4:5" ht="15">
      <c r="D794" s="147">
        <v>10128582</v>
      </c>
      <c r="E794" s="147" t="s">
        <v>361</v>
      </c>
    </row>
    <row r="795" spans="4:5" ht="15">
      <c r="D795" s="147">
        <v>10128595</v>
      </c>
      <c r="E795" s="147" t="s">
        <v>361</v>
      </c>
    </row>
    <row r="796" spans="4:5" ht="15">
      <c r="D796" s="147">
        <v>10128596</v>
      </c>
      <c r="E796" s="147" t="s">
        <v>353</v>
      </c>
    </row>
    <row r="797" spans="4:5" ht="15">
      <c r="D797" s="147">
        <v>10128597</v>
      </c>
      <c r="E797" s="147" t="s">
        <v>358</v>
      </c>
    </row>
    <row r="798" spans="4:5" ht="15">
      <c r="D798" s="147">
        <v>10128598</v>
      </c>
      <c r="E798" s="147" t="s">
        <v>361</v>
      </c>
    </row>
    <row r="799" spans="4:5" ht="15">
      <c r="D799" s="147">
        <v>10128599</v>
      </c>
      <c r="E799" s="147" t="s">
        <v>354</v>
      </c>
    </row>
    <row r="800" spans="4:5" ht="15">
      <c r="D800" s="147">
        <v>10128600</v>
      </c>
      <c r="E800" s="147" t="s">
        <v>358</v>
      </c>
    </row>
    <row r="801" spans="4:5" ht="15">
      <c r="D801" s="147">
        <v>10128579</v>
      </c>
      <c r="E801" s="147" t="s">
        <v>354</v>
      </c>
    </row>
    <row r="802" spans="4:5" ht="15">
      <c r="D802" s="147">
        <v>10128580</v>
      </c>
      <c r="E802" s="147" t="s">
        <v>358</v>
      </c>
    </row>
    <row r="803" spans="4:5" ht="15">
      <c r="D803" s="147">
        <v>10128581</v>
      </c>
      <c r="E803" s="147" t="s">
        <v>358</v>
      </c>
    </row>
    <row r="804" spans="4:5" ht="15">
      <c r="D804" s="147">
        <v>10128582</v>
      </c>
      <c r="E804" s="147" t="s">
        <v>361</v>
      </c>
    </row>
    <row r="805" spans="4:5" ht="15">
      <c r="D805" s="147">
        <v>10128595</v>
      </c>
      <c r="E805" s="147" t="s">
        <v>361</v>
      </c>
    </row>
    <row r="806" spans="4:5" ht="15">
      <c r="D806" s="147">
        <v>10128596</v>
      </c>
      <c r="E806" s="147" t="s">
        <v>353</v>
      </c>
    </row>
    <row r="807" spans="4:5" ht="15">
      <c r="D807" s="147">
        <v>10128597</v>
      </c>
      <c r="E807" s="147" t="s">
        <v>358</v>
      </c>
    </row>
    <row r="808" spans="4:5" ht="15">
      <c r="D808" s="147">
        <v>10128598</v>
      </c>
      <c r="E808" s="147" t="s">
        <v>361</v>
      </c>
    </row>
    <row r="809" spans="4:5" ht="15">
      <c r="D809" s="147">
        <v>10128599</v>
      </c>
      <c r="E809" s="147" t="s">
        <v>354</v>
      </c>
    </row>
    <row r="810" spans="4:5" ht="15">
      <c r="D810" s="147">
        <v>10128600</v>
      </c>
      <c r="E810" s="147" t="s">
        <v>358</v>
      </c>
    </row>
    <row r="811" spans="4:5" ht="15">
      <c r="D811" s="147">
        <v>10128579</v>
      </c>
      <c r="E811" s="147" t="s">
        <v>354</v>
      </c>
    </row>
    <row r="812" spans="4:5" ht="15">
      <c r="D812" s="147">
        <v>10128580</v>
      </c>
      <c r="E812" s="147" t="s">
        <v>358</v>
      </c>
    </row>
    <row r="813" spans="4:5" ht="15">
      <c r="D813" s="147">
        <v>10128581</v>
      </c>
      <c r="E813" s="147" t="s">
        <v>358</v>
      </c>
    </row>
    <row r="814" spans="4:5" ht="15">
      <c r="D814" s="147">
        <v>10128582</v>
      </c>
      <c r="E814" s="147" t="s">
        <v>361</v>
      </c>
    </row>
    <row r="815" spans="4:5" ht="15">
      <c r="D815" s="147">
        <v>10128595</v>
      </c>
      <c r="E815" s="147" t="s">
        <v>361</v>
      </c>
    </row>
    <row r="816" spans="4:5" ht="15">
      <c r="D816" s="147">
        <v>10128596</v>
      </c>
      <c r="E816" s="147" t="s">
        <v>353</v>
      </c>
    </row>
    <row r="817" spans="4:5" ht="15">
      <c r="D817" s="147">
        <v>10128597</v>
      </c>
      <c r="E817" s="147" t="s">
        <v>358</v>
      </c>
    </row>
    <row r="818" spans="4:5" ht="15">
      <c r="D818" s="147">
        <v>10128598</v>
      </c>
      <c r="E818" s="147" t="s">
        <v>361</v>
      </c>
    </row>
    <row r="819" spans="4:5" ht="15">
      <c r="D819" s="147">
        <v>10128599</v>
      </c>
      <c r="E819" s="147" t="s">
        <v>354</v>
      </c>
    </row>
    <row r="820" spans="4:5" ht="15">
      <c r="D820" s="147">
        <v>10128600</v>
      </c>
      <c r="E820" s="147" t="s">
        <v>358</v>
      </c>
    </row>
    <row r="821" spans="4:5" ht="15">
      <c r="D821" s="147">
        <v>10128579</v>
      </c>
      <c r="E821" s="147" t="s">
        <v>354</v>
      </c>
    </row>
    <row r="822" spans="4:5" ht="15">
      <c r="D822" s="147">
        <v>10128580</v>
      </c>
      <c r="E822" s="147" t="s">
        <v>358</v>
      </c>
    </row>
    <row r="823" spans="4:5" ht="15">
      <c r="D823" s="147">
        <v>10128581</v>
      </c>
      <c r="E823" s="147" t="s">
        <v>358</v>
      </c>
    </row>
    <row r="824" spans="4:5" ht="15">
      <c r="D824" s="147">
        <v>10128582</v>
      </c>
      <c r="E824" s="147" t="s">
        <v>361</v>
      </c>
    </row>
    <row r="825" spans="4:5" ht="15">
      <c r="D825" s="147">
        <v>10128595</v>
      </c>
      <c r="E825" s="147" t="s">
        <v>361</v>
      </c>
    </row>
    <row r="826" spans="4:5" ht="15">
      <c r="D826" s="147">
        <v>10128596</v>
      </c>
      <c r="E826" s="147" t="s">
        <v>353</v>
      </c>
    </row>
    <row r="827" spans="4:5" ht="15">
      <c r="D827" s="147">
        <v>10128597</v>
      </c>
      <c r="E827" s="147" t="s">
        <v>358</v>
      </c>
    </row>
    <row r="828" spans="4:5" ht="15">
      <c r="D828" s="147">
        <v>10128598</v>
      </c>
      <c r="E828" s="147" t="s">
        <v>361</v>
      </c>
    </row>
    <row r="829" spans="4:5" ht="15">
      <c r="D829" s="147">
        <v>10128599</v>
      </c>
      <c r="E829" s="147" t="s">
        <v>354</v>
      </c>
    </row>
    <row r="830" spans="4:5" ht="15">
      <c r="D830" s="147">
        <v>10128600</v>
      </c>
      <c r="E830" s="147" t="s">
        <v>358</v>
      </c>
    </row>
    <row r="831" spans="4:5" ht="15">
      <c r="D831" s="147">
        <v>10128579</v>
      </c>
      <c r="E831" s="147" t="s">
        <v>354</v>
      </c>
    </row>
    <row r="832" spans="4:5" ht="15">
      <c r="D832" s="147">
        <v>10128580</v>
      </c>
      <c r="E832" s="147" t="s">
        <v>358</v>
      </c>
    </row>
    <row r="833" spans="4:5" ht="15">
      <c r="D833" s="147">
        <v>10128581</v>
      </c>
      <c r="E833" s="147" t="s">
        <v>358</v>
      </c>
    </row>
    <row r="834" spans="4:5" ht="15">
      <c r="D834" s="147">
        <v>10128582</v>
      </c>
      <c r="E834" s="147" t="s">
        <v>361</v>
      </c>
    </row>
    <row r="835" spans="4:5" ht="15">
      <c r="D835" s="147">
        <v>10128595</v>
      </c>
      <c r="E835" s="147" t="s">
        <v>361</v>
      </c>
    </row>
    <row r="836" spans="4:5" ht="15">
      <c r="D836" s="147">
        <v>10128596</v>
      </c>
      <c r="E836" s="147" t="s">
        <v>353</v>
      </c>
    </row>
    <row r="837" spans="4:5" ht="15">
      <c r="D837" s="147">
        <v>10128597</v>
      </c>
      <c r="E837" s="147" t="s">
        <v>358</v>
      </c>
    </row>
    <row r="838" spans="4:5" ht="15">
      <c r="D838" s="147">
        <v>10128598</v>
      </c>
      <c r="E838" s="147" t="s">
        <v>361</v>
      </c>
    </row>
    <row r="839" spans="4:5" ht="15">
      <c r="D839" s="147">
        <v>10128599</v>
      </c>
      <c r="E839" s="147" t="s">
        <v>354</v>
      </c>
    </row>
    <row r="840" spans="4:5" ht="15">
      <c r="D840" s="147">
        <v>10128600</v>
      </c>
      <c r="E840" s="147" t="s">
        <v>358</v>
      </c>
    </row>
    <row r="841" spans="4:5" ht="15">
      <c r="D841" s="147">
        <v>10128579</v>
      </c>
      <c r="E841" s="147" t="s">
        <v>354</v>
      </c>
    </row>
    <row r="842" spans="4:5" ht="15">
      <c r="D842" s="147">
        <v>10128580</v>
      </c>
      <c r="E842" s="147" t="s">
        <v>358</v>
      </c>
    </row>
    <row r="843" spans="4:5" ht="15">
      <c r="D843" s="147">
        <v>10128581</v>
      </c>
      <c r="E843" s="147" t="s">
        <v>358</v>
      </c>
    </row>
    <row r="844" spans="4:5" ht="15">
      <c r="D844" s="147">
        <v>10128582</v>
      </c>
      <c r="E844" s="147" t="s">
        <v>361</v>
      </c>
    </row>
    <row r="845" spans="4:5" ht="15">
      <c r="D845" s="147">
        <v>10128595</v>
      </c>
      <c r="E845" s="147" t="s">
        <v>361</v>
      </c>
    </row>
    <row r="846" spans="4:5" ht="15">
      <c r="D846" s="147">
        <v>10128596</v>
      </c>
      <c r="E846" s="147" t="s">
        <v>353</v>
      </c>
    </row>
    <row r="847" spans="4:5" ht="15">
      <c r="D847" s="147">
        <v>10128597</v>
      </c>
      <c r="E847" s="147" t="s">
        <v>358</v>
      </c>
    </row>
    <row r="848" spans="4:5" ht="15">
      <c r="D848" s="147">
        <v>10128598</v>
      </c>
      <c r="E848" s="147" t="s">
        <v>361</v>
      </c>
    </row>
    <row r="849" spans="4:5" ht="15">
      <c r="D849" s="147">
        <v>10128599</v>
      </c>
      <c r="E849" s="147" t="s">
        <v>354</v>
      </c>
    </row>
    <row r="850" spans="4:5" ht="15">
      <c r="D850" s="147">
        <v>10128600</v>
      </c>
      <c r="E850" s="147" t="s">
        <v>358</v>
      </c>
    </row>
    <row r="851" spans="4:5" ht="15">
      <c r="D851" s="147">
        <v>10128579</v>
      </c>
      <c r="E851" s="147" t="s">
        <v>354</v>
      </c>
    </row>
    <row r="852" spans="4:5" ht="15">
      <c r="D852" s="147">
        <v>10128580</v>
      </c>
      <c r="E852" s="147" t="s">
        <v>358</v>
      </c>
    </row>
    <row r="853" spans="4:5" ht="15">
      <c r="D853" s="147">
        <v>10128581</v>
      </c>
      <c r="E853" s="147" t="s">
        <v>358</v>
      </c>
    </row>
    <row r="854" spans="4:5" ht="15">
      <c r="D854" s="147">
        <v>10128582</v>
      </c>
      <c r="E854" s="147" t="s">
        <v>361</v>
      </c>
    </row>
    <row r="855" spans="4:5" ht="15">
      <c r="D855" s="147">
        <v>10128595</v>
      </c>
      <c r="E855" s="147" t="s">
        <v>361</v>
      </c>
    </row>
    <row r="856" spans="4:5" ht="15">
      <c r="D856" s="147">
        <v>10128596</v>
      </c>
      <c r="E856" s="147" t="s">
        <v>353</v>
      </c>
    </row>
    <row r="857" spans="4:5" ht="15">
      <c r="D857" s="147">
        <v>10128597</v>
      </c>
      <c r="E857" s="147" t="s">
        <v>358</v>
      </c>
    </row>
    <row r="858" spans="4:5" ht="15">
      <c r="D858" s="147">
        <v>10128598</v>
      </c>
      <c r="E858" s="147" t="s">
        <v>361</v>
      </c>
    </row>
    <row r="859" spans="4:5" ht="15">
      <c r="D859" s="147">
        <v>10128599</v>
      </c>
      <c r="E859" s="147" t="s">
        <v>354</v>
      </c>
    </row>
    <row r="860" spans="4:5" ht="15">
      <c r="D860" s="147">
        <v>10128600</v>
      </c>
      <c r="E860" s="147" t="s">
        <v>358</v>
      </c>
    </row>
    <row r="861" spans="4:5" ht="15">
      <c r="D861" s="147">
        <v>10128579</v>
      </c>
      <c r="E861" s="147" t="s">
        <v>354</v>
      </c>
    </row>
    <row r="862" spans="4:5" ht="15">
      <c r="D862" s="147">
        <v>10128580</v>
      </c>
      <c r="E862" s="147" t="s">
        <v>358</v>
      </c>
    </row>
    <row r="863" spans="4:5" ht="15">
      <c r="D863" s="147">
        <v>10128581</v>
      </c>
      <c r="E863" s="147" t="s">
        <v>358</v>
      </c>
    </row>
    <row r="864" spans="4:5" ht="15">
      <c r="D864" s="147">
        <v>10128582</v>
      </c>
      <c r="E864" s="147" t="s">
        <v>361</v>
      </c>
    </row>
    <row r="865" spans="4:5" ht="15">
      <c r="D865" s="147">
        <v>10128595</v>
      </c>
      <c r="E865" s="147" t="s">
        <v>361</v>
      </c>
    </row>
    <row r="866" spans="4:5" ht="15">
      <c r="D866" s="147">
        <v>10128596</v>
      </c>
      <c r="E866" s="147" t="s">
        <v>353</v>
      </c>
    </row>
    <row r="867" spans="4:5" ht="15">
      <c r="D867" s="147">
        <v>10128597</v>
      </c>
      <c r="E867" s="147" t="s">
        <v>358</v>
      </c>
    </row>
    <row r="868" spans="4:5" ht="15">
      <c r="D868" s="147">
        <v>10128598</v>
      </c>
      <c r="E868" s="147" t="s">
        <v>361</v>
      </c>
    </row>
    <row r="869" spans="4:5" ht="15">
      <c r="D869" s="147">
        <v>10128599</v>
      </c>
      <c r="E869" s="147" t="s">
        <v>354</v>
      </c>
    </row>
    <row r="870" spans="4:5" ht="15">
      <c r="D870" s="147">
        <v>10128600</v>
      </c>
      <c r="E870" s="147" t="s">
        <v>358</v>
      </c>
    </row>
    <row r="871" spans="4:5" ht="15">
      <c r="D871" s="147">
        <v>10128579</v>
      </c>
      <c r="E871" s="147" t="s">
        <v>354</v>
      </c>
    </row>
    <row r="872" spans="4:5" ht="15">
      <c r="D872" s="147">
        <v>10128580</v>
      </c>
      <c r="E872" s="147" t="s">
        <v>358</v>
      </c>
    </row>
    <row r="873" spans="4:5" ht="15">
      <c r="D873" s="147">
        <v>10128581</v>
      </c>
      <c r="E873" s="147" t="s">
        <v>358</v>
      </c>
    </row>
    <row r="874" spans="4:5" ht="15">
      <c r="D874" s="147">
        <v>10128582</v>
      </c>
      <c r="E874" s="147" t="s">
        <v>361</v>
      </c>
    </row>
    <row r="875" spans="4:5" ht="15">
      <c r="D875" s="147">
        <v>10128595</v>
      </c>
      <c r="E875" s="147" t="s">
        <v>361</v>
      </c>
    </row>
    <row r="876" spans="4:5" ht="15">
      <c r="D876" s="147">
        <v>10128596</v>
      </c>
      <c r="E876" s="147" t="s">
        <v>353</v>
      </c>
    </row>
    <row r="877" spans="4:5" ht="15">
      <c r="D877" s="147">
        <v>10128597</v>
      </c>
      <c r="E877" s="147" t="s">
        <v>358</v>
      </c>
    </row>
    <row r="878" spans="4:5" ht="15">
      <c r="D878" s="147">
        <v>10128598</v>
      </c>
      <c r="E878" s="147" t="s">
        <v>361</v>
      </c>
    </row>
    <row r="879" spans="4:5" ht="15">
      <c r="D879" s="147">
        <v>10128599</v>
      </c>
      <c r="E879" s="147" t="s">
        <v>354</v>
      </c>
    </row>
    <row r="880" spans="4:5" ht="15">
      <c r="D880" s="147">
        <v>10128600</v>
      </c>
      <c r="E880" s="147" t="s">
        <v>358</v>
      </c>
    </row>
    <row r="881" spans="4:5" ht="15">
      <c r="D881" s="147">
        <v>10128579</v>
      </c>
      <c r="E881" s="147" t="s">
        <v>354</v>
      </c>
    </row>
    <row r="882" spans="4:5" ht="15">
      <c r="D882" s="147">
        <v>10128580</v>
      </c>
      <c r="E882" s="147" t="s">
        <v>358</v>
      </c>
    </row>
    <row r="883" spans="4:5" ht="15">
      <c r="D883" s="147">
        <v>10128581</v>
      </c>
      <c r="E883" s="147" t="s">
        <v>358</v>
      </c>
    </row>
    <row r="884" spans="4:5" ht="15">
      <c r="D884" s="147">
        <v>10128582</v>
      </c>
      <c r="E884" s="147" t="s">
        <v>361</v>
      </c>
    </row>
    <row r="885" spans="4:5" ht="15">
      <c r="D885" s="147">
        <v>10128595</v>
      </c>
      <c r="E885" s="147" t="s">
        <v>361</v>
      </c>
    </row>
    <row r="886" spans="4:5" ht="15">
      <c r="D886" s="147">
        <v>10128596</v>
      </c>
      <c r="E886" s="147" t="s">
        <v>353</v>
      </c>
    </row>
    <row r="887" spans="4:5" ht="15">
      <c r="D887" s="147">
        <v>10128597</v>
      </c>
      <c r="E887" s="147" t="s">
        <v>358</v>
      </c>
    </row>
    <row r="888" spans="4:5" ht="15">
      <c r="D888" s="147">
        <v>10128598</v>
      </c>
      <c r="E888" s="147" t="s">
        <v>361</v>
      </c>
    </row>
    <row r="889" spans="4:5" ht="15">
      <c r="D889" s="147">
        <v>10128599</v>
      </c>
      <c r="E889" s="147" t="s">
        <v>354</v>
      </c>
    </row>
    <row r="890" spans="4:5" ht="15">
      <c r="D890" s="147">
        <v>10128600</v>
      </c>
      <c r="E890" s="147" t="s">
        <v>358</v>
      </c>
    </row>
    <row r="891" spans="4:5" ht="15">
      <c r="D891" s="147">
        <v>10128579</v>
      </c>
      <c r="E891" s="147" t="s">
        <v>354</v>
      </c>
    </row>
    <row r="892" spans="4:5" ht="15">
      <c r="D892" s="147">
        <v>10128580</v>
      </c>
      <c r="E892" s="147" t="s">
        <v>358</v>
      </c>
    </row>
    <row r="893" spans="4:5" ht="15">
      <c r="D893" s="147">
        <v>10128581</v>
      </c>
      <c r="E893" s="147" t="s">
        <v>358</v>
      </c>
    </row>
    <row r="894" spans="4:5" ht="15">
      <c r="D894" s="147">
        <v>10128582</v>
      </c>
      <c r="E894" s="147" t="s">
        <v>361</v>
      </c>
    </row>
    <row r="895" spans="4:5" ht="15">
      <c r="D895" s="147">
        <v>10128595</v>
      </c>
      <c r="E895" s="147" t="s">
        <v>361</v>
      </c>
    </row>
    <row r="896" spans="4:5" ht="15">
      <c r="D896" s="147">
        <v>10128596</v>
      </c>
      <c r="E896" s="147" t="s">
        <v>353</v>
      </c>
    </row>
    <row r="897" spans="4:5" ht="15">
      <c r="D897" s="147">
        <v>10128597</v>
      </c>
      <c r="E897" s="147" t="s">
        <v>358</v>
      </c>
    </row>
    <row r="898" spans="4:5" ht="15">
      <c r="D898" s="147">
        <v>10128598</v>
      </c>
      <c r="E898" s="147" t="s">
        <v>361</v>
      </c>
    </row>
    <row r="899" spans="4:5" ht="15">
      <c r="D899" s="147">
        <v>10128599</v>
      </c>
      <c r="E899" s="147" t="s">
        <v>354</v>
      </c>
    </row>
    <row r="900" spans="4:5" ht="15">
      <c r="D900" s="147">
        <v>10128600</v>
      </c>
      <c r="E900" s="147" t="s">
        <v>358</v>
      </c>
    </row>
    <row r="901" spans="4:5" ht="15">
      <c r="D901" s="147">
        <v>10128579</v>
      </c>
      <c r="E901" s="147" t="s">
        <v>354</v>
      </c>
    </row>
    <row r="902" spans="4:5" ht="15">
      <c r="D902" s="147">
        <v>10128580</v>
      </c>
      <c r="E902" s="147" t="s">
        <v>358</v>
      </c>
    </row>
    <row r="903" spans="4:5" ht="15">
      <c r="D903" s="147">
        <v>10128581</v>
      </c>
      <c r="E903" s="147" t="s">
        <v>358</v>
      </c>
    </row>
    <row r="904" spans="4:5" ht="15">
      <c r="D904" s="147">
        <v>10128582</v>
      </c>
      <c r="E904" s="147" t="s">
        <v>361</v>
      </c>
    </row>
    <row r="905" spans="4:5" ht="15">
      <c r="D905" s="147">
        <v>10128595</v>
      </c>
      <c r="E905" s="147" t="s">
        <v>361</v>
      </c>
    </row>
    <row r="906" spans="4:5" ht="15">
      <c r="D906" s="147">
        <v>10128596</v>
      </c>
      <c r="E906" s="147" t="s">
        <v>353</v>
      </c>
    </row>
    <row r="907" spans="4:5" ht="15">
      <c r="D907" s="147">
        <v>10128597</v>
      </c>
      <c r="E907" s="147" t="s">
        <v>358</v>
      </c>
    </row>
    <row r="908" spans="4:5" ht="15">
      <c r="D908" s="147">
        <v>10128598</v>
      </c>
      <c r="E908" s="147" t="s">
        <v>361</v>
      </c>
    </row>
    <row r="909" spans="4:5" ht="15">
      <c r="D909" s="147">
        <v>10128599</v>
      </c>
      <c r="E909" s="147" t="s">
        <v>354</v>
      </c>
    </row>
    <row r="910" spans="4:5" ht="15">
      <c r="D910" s="147">
        <v>10128600</v>
      </c>
      <c r="E910" s="147" t="s">
        <v>358</v>
      </c>
    </row>
    <row r="911" spans="4:5" ht="15">
      <c r="D911" s="147">
        <v>10128579</v>
      </c>
      <c r="E911" s="147" t="s">
        <v>354</v>
      </c>
    </row>
    <row r="912" spans="4:5" ht="15">
      <c r="D912" s="147">
        <v>10128580</v>
      </c>
      <c r="E912" s="147" t="s">
        <v>358</v>
      </c>
    </row>
    <row r="913" spans="4:5" ht="15">
      <c r="D913" s="147">
        <v>10128581</v>
      </c>
      <c r="E913" s="147" t="s">
        <v>358</v>
      </c>
    </row>
    <row r="914" spans="4:5" ht="15">
      <c r="D914" s="147">
        <v>10128582</v>
      </c>
      <c r="E914" s="147" t="s">
        <v>361</v>
      </c>
    </row>
    <row r="915" spans="4:5" ht="15">
      <c r="D915" s="147">
        <v>10128595</v>
      </c>
      <c r="E915" s="147" t="s">
        <v>361</v>
      </c>
    </row>
    <row r="916" spans="4:5" ht="15">
      <c r="D916" s="147">
        <v>10128596</v>
      </c>
      <c r="E916" s="147" t="s">
        <v>353</v>
      </c>
    </row>
    <row r="917" spans="4:5" ht="15">
      <c r="D917" s="147">
        <v>10128597</v>
      </c>
      <c r="E917" s="147" t="s">
        <v>358</v>
      </c>
    </row>
    <row r="918" spans="4:5" ht="15">
      <c r="D918" s="147">
        <v>10128598</v>
      </c>
      <c r="E918" s="147" t="s">
        <v>361</v>
      </c>
    </row>
    <row r="919" spans="4:5" ht="15">
      <c r="D919" s="147">
        <v>10128599</v>
      </c>
      <c r="E919" s="147" t="s">
        <v>354</v>
      </c>
    </row>
    <row r="920" spans="4:5" ht="15">
      <c r="D920" s="147">
        <v>10128600</v>
      </c>
      <c r="E920" s="147" t="s">
        <v>358</v>
      </c>
    </row>
    <row r="921" spans="4:5" ht="15">
      <c r="D921" s="147">
        <v>10128579</v>
      </c>
      <c r="E921" s="147" t="s">
        <v>354</v>
      </c>
    </row>
    <row r="922" spans="4:5" ht="15">
      <c r="D922" s="147">
        <v>10128580</v>
      </c>
      <c r="E922" s="147" t="s">
        <v>358</v>
      </c>
    </row>
    <row r="923" spans="4:5" ht="15">
      <c r="D923" s="147">
        <v>10128581</v>
      </c>
      <c r="E923" s="147" t="s">
        <v>358</v>
      </c>
    </row>
    <row r="924" spans="4:5" ht="15">
      <c r="D924" s="147">
        <v>10128582</v>
      </c>
      <c r="E924" s="147" t="s">
        <v>361</v>
      </c>
    </row>
    <row r="925" spans="4:5" ht="15">
      <c r="D925" s="147">
        <v>10128595</v>
      </c>
      <c r="E925" s="147" t="s">
        <v>361</v>
      </c>
    </row>
    <row r="926" spans="4:5" ht="15">
      <c r="D926" s="147">
        <v>10128596</v>
      </c>
      <c r="E926" s="147" t="s">
        <v>353</v>
      </c>
    </row>
    <row r="927" spans="4:5" ht="15">
      <c r="D927" s="147">
        <v>10128597</v>
      </c>
      <c r="E927" s="147" t="s">
        <v>358</v>
      </c>
    </row>
    <row r="928" spans="4:5" ht="15">
      <c r="D928" s="147">
        <v>10128598</v>
      </c>
      <c r="E928" s="147" t="s">
        <v>361</v>
      </c>
    </row>
    <row r="929" spans="4:5" ht="15">
      <c r="D929" s="147">
        <v>10128599</v>
      </c>
      <c r="E929" s="147" t="s">
        <v>354</v>
      </c>
    </row>
    <row r="930" spans="4:5" ht="15">
      <c r="D930" s="147">
        <v>10128600</v>
      </c>
      <c r="E930" s="147" t="s">
        <v>358</v>
      </c>
    </row>
    <row r="931" spans="4:5" ht="15">
      <c r="D931" s="147">
        <v>10128579</v>
      </c>
      <c r="E931" s="147" t="s">
        <v>354</v>
      </c>
    </row>
    <row r="932" spans="4:5" ht="15">
      <c r="D932" s="147">
        <v>10128580</v>
      </c>
      <c r="E932" s="147" t="s">
        <v>358</v>
      </c>
    </row>
    <row r="933" spans="4:5" ht="15">
      <c r="D933" s="147">
        <v>10128581</v>
      </c>
      <c r="E933" s="147" t="s">
        <v>358</v>
      </c>
    </row>
    <row r="934" spans="4:5" ht="15">
      <c r="D934" s="147">
        <v>10128582</v>
      </c>
      <c r="E934" s="147" t="s">
        <v>361</v>
      </c>
    </row>
    <row r="935" spans="4:5" ht="15">
      <c r="D935" s="147">
        <v>10128595</v>
      </c>
      <c r="E935" s="147" t="s">
        <v>361</v>
      </c>
    </row>
    <row r="936" spans="4:5" ht="15">
      <c r="D936" s="147">
        <v>10128596</v>
      </c>
      <c r="E936" s="147" t="s">
        <v>353</v>
      </c>
    </row>
    <row r="937" spans="4:5" ht="15">
      <c r="D937" s="147">
        <v>10128597</v>
      </c>
      <c r="E937" s="147" t="s">
        <v>358</v>
      </c>
    </row>
    <row r="938" spans="4:5" ht="15">
      <c r="D938" s="147">
        <v>10128598</v>
      </c>
      <c r="E938" s="147" t="s">
        <v>361</v>
      </c>
    </row>
    <row r="939" spans="4:5" ht="15">
      <c r="D939" s="147">
        <v>10128599</v>
      </c>
      <c r="E939" s="147" t="s">
        <v>354</v>
      </c>
    </row>
    <row r="940" spans="4:5" ht="15">
      <c r="D940" s="147">
        <v>10128600</v>
      </c>
      <c r="E940" s="147" t="s">
        <v>358</v>
      </c>
    </row>
    <row r="941" spans="4:5" ht="15">
      <c r="D941" s="147">
        <v>10128579</v>
      </c>
      <c r="E941" s="147" t="s">
        <v>354</v>
      </c>
    </row>
    <row r="942" spans="4:5" ht="15">
      <c r="D942" s="147">
        <v>10128580</v>
      </c>
      <c r="E942" s="147" t="s">
        <v>358</v>
      </c>
    </row>
    <row r="943" spans="4:5" ht="15">
      <c r="D943" s="147">
        <v>10128581</v>
      </c>
      <c r="E943" s="147" t="s">
        <v>358</v>
      </c>
    </row>
    <row r="944" spans="4:5" ht="15">
      <c r="D944" s="147">
        <v>10128582</v>
      </c>
      <c r="E944" s="147" t="s">
        <v>361</v>
      </c>
    </row>
    <row r="945" spans="4:5" ht="15">
      <c r="D945" s="147">
        <v>10128595</v>
      </c>
      <c r="E945" s="147" t="s">
        <v>361</v>
      </c>
    </row>
    <row r="946" spans="4:5" ht="15">
      <c r="D946" s="147">
        <v>10128596</v>
      </c>
      <c r="E946" s="147" t="s">
        <v>353</v>
      </c>
    </row>
    <row r="947" spans="4:5" ht="15">
      <c r="D947" s="147">
        <v>10128597</v>
      </c>
      <c r="E947" s="147" t="s">
        <v>358</v>
      </c>
    </row>
    <row r="948" spans="4:5" ht="15">
      <c r="D948" s="147">
        <v>10128598</v>
      </c>
      <c r="E948" s="147" t="s">
        <v>361</v>
      </c>
    </row>
    <row r="949" spans="4:5" ht="15">
      <c r="D949" s="147">
        <v>10128599</v>
      </c>
      <c r="E949" s="147" t="s">
        <v>354</v>
      </c>
    </row>
    <row r="950" spans="4:5" ht="15">
      <c r="D950" s="147">
        <v>10128600</v>
      </c>
      <c r="E950" s="147" t="s">
        <v>358</v>
      </c>
    </row>
    <row r="951" spans="4:5" ht="15">
      <c r="D951" s="147">
        <v>10128579</v>
      </c>
      <c r="E951" s="147" t="s">
        <v>354</v>
      </c>
    </row>
    <row r="952" spans="4:5" ht="15">
      <c r="D952" s="147">
        <v>10128580</v>
      </c>
      <c r="E952" s="147" t="s">
        <v>358</v>
      </c>
    </row>
    <row r="953" spans="4:5" ht="15">
      <c r="D953" s="147">
        <v>10128581</v>
      </c>
      <c r="E953" s="147" t="s">
        <v>358</v>
      </c>
    </row>
    <row r="954" spans="4:5" ht="15">
      <c r="D954" s="147">
        <v>10128582</v>
      </c>
      <c r="E954" s="147" t="s">
        <v>361</v>
      </c>
    </row>
    <row r="955" spans="4:5" ht="15">
      <c r="D955" s="147">
        <v>10128595</v>
      </c>
      <c r="E955" s="147" t="s">
        <v>361</v>
      </c>
    </row>
    <row r="956" spans="4:5" ht="15">
      <c r="D956" s="147">
        <v>10128596</v>
      </c>
      <c r="E956" s="147" t="s">
        <v>353</v>
      </c>
    </row>
    <row r="957" spans="4:5" ht="15">
      <c r="D957" s="147">
        <v>10128597</v>
      </c>
      <c r="E957" s="147" t="s">
        <v>358</v>
      </c>
    </row>
    <row r="958" spans="4:5" ht="15">
      <c r="D958" s="147">
        <v>10128598</v>
      </c>
      <c r="E958" s="147" t="s">
        <v>361</v>
      </c>
    </row>
    <row r="959" spans="4:5" ht="15">
      <c r="D959" s="147">
        <v>10128599</v>
      </c>
      <c r="E959" s="147" t="s">
        <v>354</v>
      </c>
    </row>
    <row r="960" spans="4:5" ht="15">
      <c r="D960" s="147">
        <v>10128600</v>
      </c>
      <c r="E960" s="147" t="s">
        <v>358</v>
      </c>
    </row>
    <row r="961" spans="4:5" ht="15">
      <c r="D961" s="147">
        <v>10128579</v>
      </c>
      <c r="E961" s="147" t="s">
        <v>354</v>
      </c>
    </row>
    <row r="962" spans="4:5" ht="15">
      <c r="D962" s="147">
        <v>10128580</v>
      </c>
      <c r="E962" s="147" t="s">
        <v>358</v>
      </c>
    </row>
    <row r="963" spans="4:5" ht="15">
      <c r="D963" s="147">
        <v>10128581</v>
      </c>
      <c r="E963" s="147" t="s">
        <v>358</v>
      </c>
    </row>
    <row r="964" spans="4:5" ht="15">
      <c r="D964" s="147">
        <v>10128582</v>
      </c>
      <c r="E964" s="147" t="s">
        <v>361</v>
      </c>
    </row>
    <row r="965" spans="4:5" ht="15">
      <c r="D965" s="147">
        <v>10128595</v>
      </c>
      <c r="E965" s="147" t="s">
        <v>361</v>
      </c>
    </row>
    <row r="966" spans="4:5" ht="15">
      <c r="D966" s="147">
        <v>10128596</v>
      </c>
      <c r="E966" s="147" t="s">
        <v>353</v>
      </c>
    </row>
    <row r="967" spans="4:5" ht="15">
      <c r="D967" s="147">
        <v>10128597</v>
      </c>
      <c r="E967" s="147" t="s">
        <v>358</v>
      </c>
    </row>
    <row r="968" spans="4:5" ht="15">
      <c r="D968" s="147">
        <v>10128598</v>
      </c>
      <c r="E968" s="147" t="s">
        <v>361</v>
      </c>
    </row>
    <row r="969" spans="4:5" ht="15">
      <c r="D969" s="147">
        <v>10128599</v>
      </c>
      <c r="E969" s="147" t="s">
        <v>354</v>
      </c>
    </row>
    <row r="970" spans="4:5" ht="15">
      <c r="D970" s="147">
        <v>10128600</v>
      </c>
      <c r="E970" s="147" t="s">
        <v>358</v>
      </c>
    </row>
    <row r="971" spans="4:5" ht="15">
      <c r="D971" s="147">
        <v>10128579</v>
      </c>
      <c r="E971" s="147" t="s">
        <v>354</v>
      </c>
    </row>
    <row r="972" spans="4:5" ht="15">
      <c r="D972" s="147">
        <v>10128580</v>
      </c>
      <c r="E972" s="147" t="s">
        <v>358</v>
      </c>
    </row>
    <row r="973" spans="4:5" ht="15">
      <c r="D973" s="147">
        <v>10128581</v>
      </c>
      <c r="E973" s="147" t="s">
        <v>358</v>
      </c>
    </row>
    <row r="974" spans="4:5" ht="15">
      <c r="D974" s="147">
        <v>10128582</v>
      </c>
      <c r="E974" s="147" t="s">
        <v>361</v>
      </c>
    </row>
    <row r="975" spans="4:5" ht="15">
      <c r="D975" s="147">
        <v>10128595</v>
      </c>
      <c r="E975" s="147" t="s">
        <v>361</v>
      </c>
    </row>
    <row r="976" spans="4:5" ht="15">
      <c r="D976" s="147">
        <v>10128596</v>
      </c>
      <c r="E976" s="147" t="s">
        <v>353</v>
      </c>
    </row>
    <row r="977" spans="4:5" ht="15">
      <c r="D977" s="147">
        <v>10128597</v>
      </c>
      <c r="E977" s="147" t="s">
        <v>358</v>
      </c>
    </row>
    <row r="978" spans="4:5" ht="15">
      <c r="D978" s="147">
        <v>10128598</v>
      </c>
      <c r="E978" s="147" t="s">
        <v>361</v>
      </c>
    </row>
    <row r="979" spans="4:5" ht="15">
      <c r="D979" s="147">
        <v>10128599</v>
      </c>
      <c r="E979" s="147" t="s">
        <v>354</v>
      </c>
    </row>
    <row r="980" spans="4:5" ht="15">
      <c r="D980" s="147">
        <v>10128600</v>
      </c>
      <c r="E980" s="147" t="s">
        <v>358</v>
      </c>
    </row>
    <row r="981" spans="4:5" ht="15">
      <c r="D981" s="147">
        <v>10128579</v>
      </c>
      <c r="E981" s="147" t="s">
        <v>354</v>
      </c>
    </row>
    <row r="982" spans="4:5" ht="15">
      <c r="D982" s="147">
        <v>10128580</v>
      </c>
      <c r="E982" s="147" t="s">
        <v>358</v>
      </c>
    </row>
    <row r="983" spans="4:5" ht="15">
      <c r="D983" s="147">
        <v>10128581</v>
      </c>
      <c r="E983" s="147" t="s">
        <v>358</v>
      </c>
    </row>
    <row r="984" spans="4:5" ht="15">
      <c r="D984" s="147">
        <v>10128582</v>
      </c>
      <c r="E984" s="147" t="s">
        <v>361</v>
      </c>
    </row>
    <row r="985" spans="4:5" ht="15">
      <c r="D985" s="147">
        <v>10128595</v>
      </c>
      <c r="E985" s="147" t="s">
        <v>361</v>
      </c>
    </row>
    <row r="986" spans="4:5" ht="15">
      <c r="D986" s="147">
        <v>10128596</v>
      </c>
      <c r="E986" s="147" t="s">
        <v>353</v>
      </c>
    </row>
    <row r="987" spans="4:5" ht="15">
      <c r="D987" s="147">
        <v>10128597</v>
      </c>
      <c r="E987" s="147" t="s">
        <v>358</v>
      </c>
    </row>
    <row r="988" spans="4:5" ht="15">
      <c r="D988" s="147">
        <v>10128598</v>
      </c>
      <c r="E988" s="147" t="s">
        <v>361</v>
      </c>
    </row>
    <row r="989" spans="4:5" ht="15">
      <c r="D989" s="147">
        <v>10128599</v>
      </c>
      <c r="E989" s="147" t="s">
        <v>354</v>
      </c>
    </row>
    <row r="990" spans="4:5" ht="15">
      <c r="D990" s="147">
        <v>10128600</v>
      </c>
      <c r="E990" s="147" t="s">
        <v>358</v>
      </c>
    </row>
    <row r="991" spans="4:5" ht="15">
      <c r="D991" s="147">
        <v>10128579</v>
      </c>
      <c r="E991" s="147" t="s">
        <v>354</v>
      </c>
    </row>
    <row r="992" spans="4:5" ht="15">
      <c r="D992" s="147">
        <v>10128580</v>
      </c>
      <c r="E992" s="147" t="s">
        <v>358</v>
      </c>
    </row>
    <row r="993" spans="4:5" ht="15">
      <c r="D993" s="147">
        <v>10128581</v>
      </c>
      <c r="E993" s="147" t="s">
        <v>358</v>
      </c>
    </row>
    <row r="994" spans="4:5" ht="15">
      <c r="D994" s="147">
        <v>10128582</v>
      </c>
      <c r="E994" s="147" t="s">
        <v>361</v>
      </c>
    </row>
    <row r="995" spans="4:5" ht="15">
      <c r="D995" s="147">
        <v>10128595</v>
      </c>
      <c r="E995" s="147" t="s">
        <v>361</v>
      </c>
    </row>
    <row r="996" spans="4:5" ht="15">
      <c r="D996" s="147">
        <v>10128596</v>
      </c>
      <c r="E996" s="147" t="s">
        <v>353</v>
      </c>
    </row>
    <row r="997" spans="4:5" ht="15">
      <c r="D997" s="147">
        <v>10128597</v>
      </c>
      <c r="E997" s="147" t="s">
        <v>358</v>
      </c>
    </row>
    <row r="998" spans="4:5" ht="15">
      <c r="D998" s="147">
        <v>10128598</v>
      </c>
      <c r="E998" s="147" t="s">
        <v>361</v>
      </c>
    </row>
    <row r="999" spans="4:5" ht="15">
      <c r="D999" s="147">
        <v>10128599</v>
      </c>
      <c r="E999" s="147" t="s">
        <v>354</v>
      </c>
    </row>
    <row r="1000" spans="4:5" ht="15">
      <c r="D1000" s="147">
        <v>10128600</v>
      </c>
      <c r="E1000" s="147" t="s">
        <v>358</v>
      </c>
    </row>
    <row r="1001" spans="4:5" ht="15">
      <c r="D1001" s="147">
        <v>10128579</v>
      </c>
      <c r="E1001" s="147" t="s">
        <v>354</v>
      </c>
    </row>
    <row r="1002" spans="4:5" ht="15">
      <c r="D1002" s="147">
        <v>10128580</v>
      </c>
      <c r="E1002" s="147" t="s">
        <v>358</v>
      </c>
    </row>
    <row r="1003" spans="4:5" ht="15">
      <c r="D1003" s="147">
        <v>10128581</v>
      </c>
      <c r="E1003" s="147" t="s">
        <v>358</v>
      </c>
    </row>
    <row r="1004" spans="4:5" ht="15">
      <c r="D1004" s="147">
        <v>10128582</v>
      </c>
      <c r="E1004" s="147" t="s">
        <v>361</v>
      </c>
    </row>
    <row r="1005" spans="4:5" ht="15">
      <c r="D1005" s="147">
        <v>10128595</v>
      </c>
      <c r="E1005" s="147" t="s">
        <v>361</v>
      </c>
    </row>
    <row r="1006" spans="4:5" ht="15">
      <c r="D1006" s="147">
        <v>10128596</v>
      </c>
      <c r="E1006" s="147" t="s">
        <v>353</v>
      </c>
    </row>
    <row r="1007" spans="4:5" ht="15">
      <c r="D1007" s="147">
        <v>10128597</v>
      </c>
      <c r="E1007" s="147" t="s">
        <v>358</v>
      </c>
    </row>
    <row r="1008" spans="4:5" ht="15">
      <c r="D1008" s="147">
        <v>10128598</v>
      </c>
      <c r="E1008" s="147" t="s">
        <v>361</v>
      </c>
    </row>
    <row r="1009" spans="4:5" ht="15">
      <c r="D1009" s="147">
        <v>10128599</v>
      </c>
      <c r="E1009" s="147" t="s">
        <v>354</v>
      </c>
    </row>
    <row r="1010" spans="4:5" ht="15">
      <c r="D1010" s="147">
        <v>10128600</v>
      </c>
      <c r="E1010" s="147" t="s">
        <v>358</v>
      </c>
    </row>
    <row r="1011" spans="4:5" ht="15">
      <c r="D1011" s="147">
        <v>10128579</v>
      </c>
      <c r="E1011" s="147" t="s">
        <v>354</v>
      </c>
    </row>
    <row r="1012" spans="4:5" ht="15">
      <c r="D1012" s="147">
        <v>10128580</v>
      </c>
      <c r="E1012" s="147" t="s">
        <v>358</v>
      </c>
    </row>
    <row r="1013" spans="4:5" ht="15">
      <c r="D1013" s="147">
        <v>10128581</v>
      </c>
      <c r="E1013" s="147" t="s">
        <v>358</v>
      </c>
    </row>
    <row r="1014" spans="4:5" ht="15">
      <c r="D1014" s="147">
        <v>10128582</v>
      </c>
      <c r="E1014" s="147" t="s">
        <v>361</v>
      </c>
    </row>
    <row r="1015" spans="4:5" ht="15">
      <c r="D1015" s="147">
        <v>10128595</v>
      </c>
      <c r="E1015" s="147" t="s">
        <v>361</v>
      </c>
    </row>
    <row r="1016" spans="4:5" ht="15">
      <c r="D1016" s="147">
        <v>10128596</v>
      </c>
      <c r="E1016" s="147" t="s">
        <v>353</v>
      </c>
    </row>
    <row r="1017" spans="4:5" ht="15">
      <c r="D1017" s="147">
        <v>10128597</v>
      </c>
      <c r="E1017" s="147" t="s">
        <v>358</v>
      </c>
    </row>
    <row r="1018" spans="4:5" ht="15">
      <c r="D1018" s="147">
        <v>10128598</v>
      </c>
      <c r="E1018" s="147" t="s">
        <v>361</v>
      </c>
    </row>
    <row r="1019" spans="4:5" ht="15">
      <c r="D1019" s="147">
        <v>10128599</v>
      </c>
      <c r="E1019" s="147" t="s">
        <v>354</v>
      </c>
    </row>
    <row r="1020" spans="4:5" ht="15">
      <c r="D1020" s="147">
        <v>10128600</v>
      </c>
      <c r="E1020" s="147" t="s">
        <v>358</v>
      </c>
    </row>
    <row r="1021" spans="4:5" ht="15">
      <c r="D1021" s="147">
        <v>10128579</v>
      </c>
      <c r="E1021" s="147" t="s">
        <v>354</v>
      </c>
    </row>
    <row r="1022" spans="4:5" ht="15">
      <c r="D1022" s="147">
        <v>10128580</v>
      </c>
      <c r="E1022" s="147" t="s">
        <v>358</v>
      </c>
    </row>
    <row r="1023" spans="4:5" ht="15">
      <c r="D1023" s="147">
        <v>10128581</v>
      </c>
      <c r="E1023" s="147" t="s">
        <v>358</v>
      </c>
    </row>
    <row r="1024" spans="4:5" ht="15">
      <c r="D1024" s="147">
        <v>10128582</v>
      </c>
      <c r="E1024" s="147" t="s">
        <v>361</v>
      </c>
    </row>
    <row r="1025" spans="4:5" ht="15">
      <c r="D1025" s="147">
        <v>10128595</v>
      </c>
      <c r="E1025" s="147" t="s">
        <v>361</v>
      </c>
    </row>
    <row r="1026" spans="4:5" ht="15">
      <c r="D1026" s="147">
        <v>10128596</v>
      </c>
      <c r="E1026" s="147" t="s">
        <v>353</v>
      </c>
    </row>
    <row r="1027" spans="4:5" ht="15">
      <c r="D1027" s="147">
        <v>10128597</v>
      </c>
      <c r="E1027" s="147" t="s">
        <v>358</v>
      </c>
    </row>
    <row r="1028" spans="4:5" ht="15">
      <c r="D1028" s="147">
        <v>10128598</v>
      </c>
      <c r="E1028" s="147" t="s">
        <v>361</v>
      </c>
    </row>
    <row r="1029" spans="4:5" ht="15">
      <c r="D1029" s="147">
        <v>10128599</v>
      </c>
      <c r="E1029" s="147" t="s">
        <v>354</v>
      </c>
    </row>
    <row r="1030" spans="4:5" ht="15">
      <c r="D1030" s="147">
        <v>10128600</v>
      </c>
      <c r="E1030" s="147" t="s">
        <v>358</v>
      </c>
    </row>
    <row r="1031" spans="4:5" ht="15">
      <c r="D1031" s="147">
        <v>10128579</v>
      </c>
      <c r="E1031" s="147" t="s">
        <v>354</v>
      </c>
    </row>
    <row r="1032" spans="4:5" ht="15">
      <c r="D1032" s="147">
        <v>10128580</v>
      </c>
      <c r="E1032" s="147" t="s">
        <v>358</v>
      </c>
    </row>
    <row r="1033" spans="4:5" ht="15">
      <c r="D1033" s="147">
        <v>10128581</v>
      </c>
      <c r="E1033" s="147" t="s">
        <v>358</v>
      </c>
    </row>
    <row r="1034" spans="4:5" ht="15">
      <c r="D1034" s="147">
        <v>10128582</v>
      </c>
      <c r="E1034" s="147" t="s">
        <v>361</v>
      </c>
    </row>
    <row r="1035" spans="4:5" ht="15">
      <c r="D1035" s="147">
        <v>10128595</v>
      </c>
      <c r="E1035" s="147" t="s">
        <v>361</v>
      </c>
    </row>
    <row r="1036" spans="4:5" ht="15">
      <c r="D1036" s="147">
        <v>10128596</v>
      </c>
      <c r="E1036" s="147" t="s">
        <v>353</v>
      </c>
    </row>
    <row r="1037" spans="4:5" ht="15">
      <c r="D1037" s="147">
        <v>10128597</v>
      </c>
      <c r="E1037" s="147" t="s">
        <v>358</v>
      </c>
    </row>
    <row r="1038" spans="4:5" ht="15">
      <c r="D1038" s="147">
        <v>10128598</v>
      </c>
      <c r="E1038" s="147" t="s">
        <v>361</v>
      </c>
    </row>
    <row r="1039" spans="4:5" ht="15">
      <c r="D1039" s="147">
        <v>10128599</v>
      </c>
      <c r="E1039" s="147" t="s">
        <v>354</v>
      </c>
    </row>
    <row r="1040" spans="4:5" ht="15">
      <c r="D1040" s="147">
        <v>10128600</v>
      </c>
      <c r="E1040" s="147" t="s">
        <v>358</v>
      </c>
    </row>
    <row r="1041" spans="4:5" ht="15">
      <c r="D1041" s="147">
        <v>10128579</v>
      </c>
      <c r="E1041" s="147" t="s">
        <v>354</v>
      </c>
    </row>
    <row r="1042" spans="4:5" ht="15">
      <c r="D1042" s="147">
        <v>10128580</v>
      </c>
      <c r="E1042" s="147" t="s">
        <v>358</v>
      </c>
    </row>
    <row r="1043" spans="4:5" ht="15">
      <c r="D1043" s="147">
        <v>10128581</v>
      </c>
      <c r="E1043" s="147" t="s">
        <v>358</v>
      </c>
    </row>
    <row r="1044" spans="4:5" ht="15">
      <c r="D1044" s="147">
        <v>10128582</v>
      </c>
      <c r="E1044" s="147" t="s">
        <v>361</v>
      </c>
    </row>
    <row r="1045" spans="4:5" ht="15">
      <c r="D1045" s="147">
        <v>10128595</v>
      </c>
      <c r="E1045" s="147" t="s">
        <v>361</v>
      </c>
    </row>
    <row r="1046" spans="4:5" ht="15">
      <c r="D1046" s="147">
        <v>10128596</v>
      </c>
      <c r="E1046" s="147" t="s">
        <v>353</v>
      </c>
    </row>
    <row r="1047" spans="4:5" ht="15">
      <c r="D1047" s="147">
        <v>10128597</v>
      </c>
      <c r="E1047" s="147" t="s">
        <v>358</v>
      </c>
    </row>
    <row r="1048" spans="4:5" ht="15">
      <c r="D1048" s="147">
        <v>10128598</v>
      </c>
      <c r="E1048" s="147" t="s">
        <v>361</v>
      </c>
    </row>
    <row r="1049" spans="4:5" ht="15">
      <c r="D1049" s="147">
        <v>10128599</v>
      </c>
      <c r="E1049" s="147" t="s">
        <v>354</v>
      </c>
    </row>
    <row r="1050" spans="4:5" ht="15">
      <c r="D1050" s="147">
        <v>10128600</v>
      </c>
      <c r="E1050" s="147" t="s">
        <v>358</v>
      </c>
    </row>
    <row r="1051" spans="4:5" ht="15">
      <c r="D1051" s="147">
        <v>10128579</v>
      </c>
      <c r="E1051" s="147" t="s">
        <v>354</v>
      </c>
    </row>
    <row r="1052" spans="4:5" ht="15">
      <c r="D1052" s="147">
        <v>10128580</v>
      </c>
      <c r="E1052" s="147" t="s">
        <v>358</v>
      </c>
    </row>
    <row r="1053" spans="4:5" ht="15">
      <c r="D1053" s="147">
        <v>10128581</v>
      </c>
      <c r="E1053" s="147" t="s">
        <v>358</v>
      </c>
    </row>
    <row r="1054" spans="4:5" ht="15">
      <c r="D1054" s="147">
        <v>10128582</v>
      </c>
      <c r="E1054" s="147" t="s">
        <v>361</v>
      </c>
    </row>
    <row r="1055" spans="4:5" ht="15">
      <c r="D1055" s="147">
        <v>10128595</v>
      </c>
      <c r="E1055" s="147" t="s">
        <v>361</v>
      </c>
    </row>
    <row r="1056" spans="4:5" ht="15">
      <c r="D1056" s="147">
        <v>10128596</v>
      </c>
      <c r="E1056" s="147" t="s">
        <v>353</v>
      </c>
    </row>
    <row r="1057" spans="4:5" ht="15">
      <c r="D1057" s="147">
        <v>10128597</v>
      </c>
      <c r="E1057" s="147" t="s">
        <v>358</v>
      </c>
    </row>
    <row r="1058" spans="4:5" ht="15">
      <c r="D1058" s="147">
        <v>10128598</v>
      </c>
      <c r="E1058" s="147" t="s">
        <v>361</v>
      </c>
    </row>
    <row r="1059" spans="4:5" ht="15">
      <c r="D1059" s="147">
        <v>10128599</v>
      </c>
      <c r="E1059" s="147" t="s">
        <v>354</v>
      </c>
    </row>
    <row r="1060" spans="4:5" ht="15">
      <c r="D1060" s="147">
        <v>10128600</v>
      </c>
      <c r="E1060" s="147" t="s">
        <v>358</v>
      </c>
    </row>
    <row r="1061" spans="4:5" ht="15">
      <c r="D1061" s="147">
        <v>10128579</v>
      </c>
      <c r="E1061" s="147" t="s">
        <v>354</v>
      </c>
    </row>
    <row r="1062" spans="4:5" ht="15">
      <c r="D1062" s="147">
        <v>10128580</v>
      </c>
      <c r="E1062" s="147" t="s">
        <v>358</v>
      </c>
    </row>
    <row r="1063" spans="4:5" ht="15">
      <c r="D1063" s="147">
        <v>10128581</v>
      </c>
      <c r="E1063" s="147" t="s">
        <v>358</v>
      </c>
    </row>
    <row r="1064" spans="4:5" ht="15">
      <c r="D1064" s="147">
        <v>10128582</v>
      </c>
      <c r="E1064" s="147" t="s">
        <v>361</v>
      </c>
    </row>
    <row r="1065" spans="4:5" ht="15">
      <c r="D1065" s="147">
        <v>10128595</v>
      </c>
      <c r="E1065" s="147" t="s">
        <v>361</v>
      </c>
    </row>
    <row r="1066" spans="4:5" ht="15">
      <c r="D1066" s="147">
        <v>10128596</v>
      </c>
      <c r="E1066" s="147" t="s">
        <v>353</v>
      </c>
    </row>
    <row r="1067" spans="4:5" ht="15">
      <c r="D1067" s="147">
        <v>10128597</v>
      </c>
      <c r="E1067" s="147" t="s">
        <v>358</v>
      </c>
    </row>
    <row r="1068" spans="4:5" ht="15">
      <c r="D1068" s="147">
        <v>10128598</v>
      </c>
      <c r="E1068" s="147" t="s">
        <v>361</v>
      </c>
    </row>
    <row r="1069" spans="4:5" ht="15">
      <c r="D1069" s="147">
        <v>10128599</v>
      </c>
      <c r="E1069" s="147" t="s">
        <v>354</v>
      </c>
    </row>
    <row r="1070" spans="4:5" ht="15">
      <c r="D1070" s="147">
        <v>10128600</v>
      </c>
      <c r="E1070" s="147" t="s">
        <v>358</v>
      </c>
    </row>
    <row r="1071" spans="4:5" ht="15">
      <c r="D1071" s="147">
        <v>10128579</v>
      </c>
      <c r="E1071" s="147" t="s">
        <v>354</v>
      </c>
    </row>
    <row r="1072" spans="4:5" ht="15">
      <c r="D1072" s="147">
        <v>10128580</v>
      </c>
      <c r="E1072" s="147" t="s">
        <v>358</v>
      </c>
    </row>
    <row r="1073" spans="4:5" ht="15">
      <c r="D1073" s="147">
        <v>10128581</v>
      </c>
      <c r="E1073" s="147" t="s">
        <v>358</v>
      </c>
    </row>
    <row r="1074" spans="4:5" ht="15">
      <c r="D1074" s="147">
        <v>10128582</v>
      </c>
      <c r="E1074" s="147" t="s">
        <v>361</v>
      </c>
    </row>
    <row r="1075" spans="4:5" ht="15">
      <c r="D1075" s="147">
        <v>10128595</v>
      </c>
      <c r="E1075" s="147" t="s">
        <v>361</v>
      </c>
    </row>
    <row r="1076" spans="4:5" ht="15">
      <c r="D1076" s="147">
        <v>10128596</v>
      </c>
      <c r="E1076" s="147" t="s">
        <v>353</v>
      </c>
    </row>
    <row r="1077" spans="4:5" ht="15">
      <c r="D1077" s="147">
        <v>10128597</v>
      </c>
      <c r="E1077" s="147" t="s">
        <v>358</v>
      </c>
    </row>
    <row r="1078" spans="4:5" ht="15">
      <c r="D1078" s="147">
        <v>10128598</v>
      </c>
      <c r="E1078" s="147" t="s">
        <v>361</v>
      </c>
    </row>
    <row r="1079" spans="4:5" ht="15">
      <c r="D1079" s="147">
        <v>10128599</v>
      </c>
      <c r="E1079" s="147" t="s">
        <v>354</v>
      </c>
    </row>
    <row r="1080" spans="4:5" ht="15">
      <c r="D1080" s="147">
        <v>10128600</v>
      </c>
      <c r="E1080" s="147" t="s">
        <v>358</v>
      </c>
    </row>
    <row r="1081" spans="4:5" ht="15">
      <c r="D1081" s="147">
        <v>10128579</v>
      </c>
      <c r="E1081" s="147" t="s">
        <v>354</v>
      </c>
    </row>
    <row r="1082" spans="4:5" ht="15">
      <c r="D1082" s="147">
        <v>10128580</v>
      </c>
      <c r="E1082" s="147" t="s">
        <v>358</v>
      </c>
    </row>
    <row r="1083" spans="4:5" ht="15">
      <c r="D1083" s="147">
        <v>10128581</v>
      </c>
      <c r="E1083" s="147" t="s">
        <v>358</v>
      </c>
    </row>
    <row r="1084" spans="4:5" ht="15">
      <c r="D1084" s="147">
        <v>10128582</v>
      </c>
      <c r="E1084" s="147" t="s">
        <v>361</v>
      </c>
    </row>
    <row r="1085" spans="4:5" ht="15">
      <c r="D1085" s="147">
        <v>10128595</v>
      </c>
      <c r="E1085" s="147" t="s">
        <v>361</v>
      </c>
    </row>
    <row r="1086" spans="4:5" ht="15">
      <c r="D1086" s="147">
        <v>10128596</v>
      </c>
      <c r="E1086" s="147" t="s">
        <v>353</v>
      </c>
    </row>
    <row r="1087" spans="4:5" ht="15">
      <c r="D1087" s="147">
        <v>10128597</v>
      </c>
      <c r="E1087" s="147" t="s">
        <v>358</v>
      </c>
    </row>
    <row r="1088" spans="4:5" ht="15">
      <c r="D1088" s="147">
        <v>10128598</v>
      </c>
      <c r="E1088" s="147" t="s">
        <v>361</v>
      </c>
    </row>
    <row r="1089" spans="4:5" ht="15">
      <c r="D1089" s="147">
        <v>10128599</v>
      </c>
      <c r="E1089" s="147" t="s">
        <v>354</v>
      </c>
    </row>
    <row r="1090" spans="4:5" ht="15">
      <c r="D1090" s="147">
        <v>10128600</v>
      </c>
      <c r="E1090" s="147" t="s">
        <v>358</v>
      </c>
    </row>
    <row r="1091" spans="4:5" ht="15">
      <c r="D1091" s="147">
        <v>10128579</v>
      </c>
      <c r="E1091" s="147" t="s">
        <v>354</v>
      </c>
    </row>
    <row r="1092" spans="4:5" ht="15">
      <c r="D1092" s="147">
        <v>10128580</v>
      </c>
      <c r="E1092" s="147" t="s">
        <v>358</v>
      </c>
    </row>
    <row r="1093" spans="4:5" ht="15">
      <c r="D1093" s="147">
        <v>10128581</v>
      </c>
      <c r="E1093" s="147" t="s">
        <v>358</v>
      </c>
    </row>
    <row r="1094" spans="4:5" ht="15">
      <c r="D1094" s="147">
        <v>10128582</v>
      </c>
      <c r="E1094" s="147" t="s">
        <v>361</v>
      </c>
    </row>
    <row r="1095" spans="4:5" ht="15">
      <c r="D1095" s="147">
        <v>10128595</v>
      </c>
      <c r="E1095" s="147" t="s">
        <v>361</v>
      </c>
    </row>
    <row r="1096" spans="4:5" ht="15">
      <c r="D1096" s="147">
        <v>10128596</v>
      </c>
      <c r="E1096" s="147" t="s">
        <v>353</v>
      </c>
    </row>
    <row r="1097" spans="4:5" ht="15">
      <c r="D1097" s="147">
        <v>10128597</v>
      </c>
      <c r="E1097" s="147" t="s">
        <v>358</v>
      </c>
    </row>
    <row r="1098" spans="4:5" ht="15">
      <c r="D1098" s="147">
        <v>10128598</v>
      </c>
      <c r="E1098" s="147" t="s">
        <v>361</v>
      </c>
    </row>
    <row r="1099" spans="4:5" ht="15">
      <c r="D1099" s="147">
        <v>10128599</v>
      </c>
      <c r="E1099" s="147" t="s">
        <v>354</v>
      </c>
    </row>
    <row r="1100" spans="4:5" ht="15">
      <c r="D1100" s="147">
        <v>10128600</v>
      </c>
      <c r="E1100" s="147" t="s">
        <v>358</v>
      </c>
    </row>
    <row r="1101" spans="4:5" ht="15">
      <c r="D1101" s="147">
        <v>10128579</v>
      </c>
      <c r="E1101" s="147" t="s">
        <v>354</v>
      </c>
    </row>
    <row r="1102" spans="4:5" ht="15">
      <c r="D1102" s="147">
        <v>10128580</v>
      </c>
      <c r="E1102" s="147" t="s">
        <v>358</v>
      </c>
    </row>
    <row r="1103" spans="4:5" ht="15">
      <c r="D1103" s="147">
        <v>10128581</v>
      </c>
      <c r="E1103" s="147" t="s">
        <v>358</v>
      </c>
    </row>
    <row r="1104" spans="4:5" ht="15">
      <c r="D1104" s="147">
        <v>10128582</v>
      </c>
      <c r="E1104" s="147" t="s">
        <v>361</v>
      </c>
    </row>
    <row r="1105" spans="4:5" ht="15">
      <c r="D1105" s="147">
        <v>10128595</v>
      </c>
      <c r="E1105" s="147" t="s">
        <v>361</v>
      </c>
    </row>
    <row r="1106" spans="4:5" ht="15">
      <c r="D1106" s="147">
        <v>10128596</v>
      </c>
      <c r="E1106" s="147" t="s">
        <v>353</v>
      </c>
    </row>
    <row r="1107" spans="4:5" ht="15">
      <c r="D1107" s="147">
        <v>10128597</v>
      </c>
      <c r="E1107" s="147" t="s">
        <v>358</v>
      </c>
    </row>
    <row r="1108" spans="4:5" ht="15">
      <c r="D1108" s="147">
        <v>10128598</v>
      </c>
      <c r="E1108" s="147" t="s">
        <v>361</v>
      </c>
    </row>
    <row r="1109" spans="4:5" ht="15">
      <c r="D1109" s="147">
        <v>10128599</v>
      </c>
      <c r="E1109" s="147" t="s">
        <v>354</v>
      </c>
    </row>
    <row r="1110" spans="4:5" ht="15">
      <c r="D1110" s="147">
        <v>10128600</v>
      </c>
      <c r="E1110" s="147" t="s">
        <v>358</v>
      </c>
    </row>
    <row r="1111" spans="4:5" ht="15">
      <c r="D1111" s="147">
        <v>10128579</v>
      </c>
      <c r="E1111" s="147" t="s">
        <v>354</v>
      </c>
    </row>
    <row r="1112" spans="4:5" ht="15">
      <c r="D1112" s="147">
        <v>10128580</v>
      </c>
      <c r="E1112" s="147" t="s">
        <v>358</v>
      </c>
    </row>
    <row r="1113" spans="4:5" ht="15">
      <c r="D1113" s="147">
        <v>10128581</v>
      </c>
      <c r="E1113" s="147" t="s">
        <v>358</v>
      </c>
    </row>
    <row r="1114" spans="4:5" ht="15">
      <c r="D1114" s="147">
        <v>10128582</v>
      </c>
      <c r="E1114" s="147" t="s">
        <v>361</v>
      </c>
    </row>
    <row r="1115" spans="4:5" ht="15">
      <c r="D1115" s="147">
        <v>10128595</v>
      </c>
      <c r="E1115" s="147" t="s">
        <v>361</v>
      </c>
    </row>
    <row r="1116" spans="4:5" ht="15">
      <c r="D1116" s="147">
        <v>10128596</v>
      </c>
      <c r="E1116" s="147" t="s">
        <v>353</v>
      </c>
    </row>
    <row r="1117" spans="4:5" ht="15">
      <c r="D1117" s="147">
        <v>10128597</v>
      </c>
      <c r="E1117" s="147" t="s">
        <v>358</v>
      </c>
    </row>
    <row r="1118" spans="4:5" ht="15">
      <c r="D1118" s="147">
        <v>10128598</v>
      </c>
      <c r="E1118" s="147" t="s">
        <v>361</v>
      </c>
    </row>
    <row r="1119" spans="4:5" ht="15">
      <c r="D1119" s="147">
        <v>10128599</v>
      </c>
      <c r="E1119" s="147" t="s">
        <v>354</v>
      </c>
    </row>
    <row r="1120" spans="4:5" ht="15">
      <c r="D1120" s="147">
        <v>10128600</v>
      </c>
      <c r="E1120" s="147" t="s">
        <v>358</v>
      </c>
    </row>
    <row r="1121" spans="4:5" ht="15">
      <c r="D1121" s="147">
        <v>10128579</v>
      </c>
      <c r="E1121" s="147" t="s">
        <v>354</v>
      </c>
    </row>
    <row r="1122" spans="4:5" ht="15">
      <c r="D1122" s="147">
        <v>10128580</v>
      </c>
      <c r="E1122" s="147" t="s">
        <v>358</v>
      </c>
    </row>
    <row r="1123" spans="4:5" ht="15">
      <c r="D1123" s="147">
        <v>10128581</v>
      </c>
      <c r="E1123" s="147" t="s">
        <v>358</v>
      </c>
    </row>
    <row r="1124" spans="4:5" ht="15">
      <c r="D1124" s="147">
        <v>10128582</v>
      </c>
      <c r="E1124" s="147" t="s">
        <v>361</v>
      </c>
    </row>
    <row r="1125" spans="4:5" ht="15">
      <c r="D1125" s="147">
        <v>10128595</v>
      </c>
      <c r="E1125" s="147" t="s">
        <v>361</v>
      </c>
    </row>
    <row r="1126" spans="4:5" ht="15">
      <c r="D1126" s="147">
        <v>10128596</v>
      </c>
      <c r="E1126" s="147" t="s">
        <v>353</v>
      </c>
    </row>
    <row r="1127" spans="4:5" ht="15">
      <c r="D1127" s="147">
        <v>10128597</v>
      </c>
      <c r="E1127" s="147" t="s">
        <v>358</v>
      </c>
    </row>
    <row r="1128" spans="4:5" ht="15">
      <c r="D1128" s="147">
        <v>10128598</v>
      </c>
      <c r="E1128" s="147" t="s">
        <v>361</v>
      </c>
    </row>
    <row r="1129" spans="4:5" ht="15">
      <c r="D1129" s="147">
        <v>10128599</v>
      </c>
      <c r="E1129" s="147" t="s">
        <v>354</v>
      </c>
    </row>
    <row r="1130" spans="4:5" ht="15">
      <c r="D1130" s="147">
        <v>10128600</v>
      </c>
      <c r="E1130" s="147" t="s">
        <v>358</v>
      </c>
    </row>
    <row r="1131" spans="4:5" ht="15">
      <c r="D1131" s="147">
        <v>10128579</v>
      </c>
      <c r="E1131" s="147" t="s">
        <v>354</v>
      </c>
    </row>
    <row r="1132" spans="4:5" ht="15">
      <c r="D1132" s="147">
        <v>10128580</v>
      </c>
      <c r="E1132" s="147" t="s">
        <v>358</v>
      </c>
    </row>
    <row r="1133" spans="4:5" ht="15">
      <c r="D1133" s="147">
        <v>10128581</v>
      </c>
      <c r="E1133" s="147" t="s">
        <v>358</v>
      </c>
    </row>
    <row r="1134" spans="4:5" ht="15">
      <c r="D1134" s="147">
        <v>10128582</v>
      </c>
      <c r="E1134" s="147" t="s">
        <v>361</v>
      </c>
    </row>
    <row r="1135" spans="4:5" ht="15">
      <c r="D1135" s="147">
        <v>10128595</v>
      </c>
      <c r="E1135" s="147" t="s">
        <v>361</v>
      </c>
    </row>
    <row r="1136" spans="4:5" ht="15">
      <c r="D1136" s="147">
        <v>10128596</v>
      </c>
      <c r="E1136" s="147" t="s">
        <v>353</v>
      </c>
    </row>
    <row r="1137" spans="4:5" ht="15">
      <c r="D1137" s="147">
        <v>10128597</v>
      </c>
      <c r="E1137" s="147" t="s">
        <v>358</v>
      </c>
    </row>
    <row r="1138" spans="4:5" ht="15">
      <c r="D1138" s="147">
        <v>10128598</v>
      </c>
      <c r="E1138" s="147" t="s">
        <v>361</v>
      </c>
    </row>
    <row r="1139" spans="4:5" ht="15">
      <c r="D1139" s="147">
        <v>10128599</v>
      </c>
      <c r="E1139" s="147" t="s">
        <v>354</v>
      </c>
    </row>
    <row r="1140" spans="4:5" ht="15">
      <c r="D1140" s="147">
        <v>10128600</v>
      </c>
      <c r="E1140" s="147" t="s">
        <v>358</v>
      </c>
    </row>
    <row r="1141" spans="4:5" ht="15">
      <c r="D1141" s="147">
        <v>10128579</v>
      </c>
      <c r="E1141" s="147" t="s">
        <v>354</v>
      </c>
    </row>
    <row r="1142" spans="4:5" ht="15">
      <c r="D1142" s="147">
        <v>10128580</v>
      </c>
      <c r="E1142" s="147" t="s">
        <v>358</v>
      </c>
    </row>
    <row r="1143" spans="4:5" ht="15">
      <c r="D1143" s="147">
        <v>10128581</v>
      </c>
      <c r="E1143" s="147" t="s">
        <v>358</v>
      </c>
    </row>
    <row r="1144" spans="4:5" ht="15">
      <c r="D1144" s="147">
        <v>10128582</v>
      </c>
      <c r="E1144" s="147" t="s">
        <v>361</v>
      </c>
    </row>
    <row r="1145" spans="4:5" ht="15">
      <c r="D1145" s="147">
        <v>10128595</v>
      </c>
      <c r="E1145" s="147" t="s">
        <v>361</v>
      </c>
    </row>
    <row r="1146" spans="4:5" ht="15">
      <c r="D1146" s="147">
        <v>10128596</v>
      </c>
      <c r="E1146" s="147" t="s">
        <v>353</v>
      </c>
    </row>
    <row r="1147" spans="4:5" ht="15">
      <c r="D1147" s="147">
        <v>10128597</v>
      </c>
      <c r="E1147" s="147" t="s">
        <v>358</v>
      </c>
    </row>
    <row r="1148" spans="4:5" ht="15">
      <c r="D1148" s="147">
        <v>10128598</v>
      </c>
      <c r="E1148" s="147" t="s">
        <v>361</v>
      </c>
    </row>
    <row r="1149" spans="4:5" ht="15">
      <c r="D1149" s="147">
        <v>10128599</v>
      </c>
      <c r="E1149" s="147" t="s">
        <v>354</v>
      </c>
    </row>
    <row r="1150" spans="4:5" ht="15">
      <c r="D1150" s="147">
        <v>10128600</v>
      </c>
      <c r="E1150" s="147" t="s">
        <v>358</v>
      </c>
    </row>
    <row r="1151" spans="4:5" ht="15">
      <c r="D1151" s="147">
        <v>10128579</v>
      </c>
      <c r="E1151" s="147" t="s">
        <v>354</v>
      </c>
    </row>
    <row r="1152" spans="4:5" ht="15">
      <c r="D1152" s="147">
        <v>10128580</v>
      </c>
      <c r="E1152" s="147" t="s">
        <v>358</v>
      </c>
    </row>
    <row r="1153" spans="4:5" ht="15">
      <c r="D1153" s="147">
        <v>10128581</v>
      </c>
      <c r="E1153" s="147" t="s">
        <v>358</v>
      </c>
    </row>
    <row r="1154" spans="4:5" ht="15">
      <c r="D1154" s="147">
        <v>10128582</v>
      </c>
      <c r="E1154" s="147" t="s">
        <v>361</v>
      </c>
    </row>
    <row r="1155" spans="4:5" ht="15">
      <c r="D1155" s="147">
        <v>10128595</v>
      </c>
      <c r="E1155" s="147" t="s">
        <v>361</v>
      </c>
    </row>
    <row r="1156" spans="4:5" ht="15">
      <c r="D1156" s="147">
        <v>10128596</v>
      </c>
      <c r="E1156" s="147" t="s">
        <v>353</v>
      </c>
    </row>
    <row r="1157" spans="4:5" ht="15">
      <c r="D1157" s="147">
        <v>10128597</v>
      </c>
      <c r="E1157" s="147" t="s">
        <v>358</v>
      </c>
    </row>
    <row r="1158" spans="4:5" ht="15">
      <c r="D1158" s="147">
        <v>10128598</v>
      </c>
      <c r="E1158" s="147" t="s">
        <v>361</v>
      </c>
    </row>
    <row r="1159" spans="4:5" ht="15">
      <c r="D1159" s="147">
        <v>10128599</v>
      </c>
      <c r="E1159" s="147" t="s">
        <v>354</v>
      </c>
    </row>
    <row r="1160" spans="4:5" ht="15">
      <c r="D1160" s="147">
        <v>10128600</v>
      </c>
      <c r="E1160" s="147" t="s">
        <v>358</v>
      </c>
    </row>
    <row r="1161" spans="4:5" ht="15">
      <c r="D1161" s="147">
        <v>10128579</v>
      </c>
      <c r="E1161" s="147" t="s">
        <v>354</v>
      </c>
    </row>
    <row r="1162" spans="4:5" ht="15">
      <c r="D1162" s="147">
        <v>10128580</v>
      </c>
      <c r="E1162" s="147" t="s">
        <v>358</v>
      </c>
    </row>
    <row r="1163" spans="4:5" ht="15">
      <c r="D1163" s="147">
        <v>10128581</v>
      </c>
      <c r="E1163" s="147" t="s">
        <v>358</v>
      </c>
    </row>
    <row r="1164" spans="4:5" ht="15">
      <c r="D1164" s="147">
        <v>10128582</v>
      </c>
      <c r="E1164" s="147" t="s">
        <v>361</v>
      </c>
    </row>
    <row r="1165" spans="4:5" ht="15">
      <c r="D1165" s="147">
        <v>10128595</v>
      </c>
      <c r="E1165" s="147" t="s">
        <v>361</v>
      </c>
    </row>
    <row r="1166" spans="4:5" ht="15">
      <c r="D1166" s="147">
        <v>10128596</v>
      </c>
      <c r="E1166" s="147" t="s">
        <v>353</v>
      </c>
    </row>
    <row r="1167" spans="4:5" ht="15">
      <c r="D1167" s="147">
        <v>10128597</v>
      </c>
      <c r="E1167" s="147" t="s">
        <v>358</v>
      </c>
    </row>
    <row r="1168" spans="4:5" ht="15">
      <c r="D1168" s="147">
        <v>10128598</v>
      </c>
      <c r="E1168" s="147" t="s">
        <v>361</v>
      </c>
    </row>
    <row r="1169" spans="4:5" ht="15">
      <c r="D1169" s="147">
        <v>10128599</v>
      </c>
      <c r="E1169" s="147" t="s">
        <v>354</v>
      </c>
    </row>
    <row r="1170" spans="4:5" ht="15">
      <c r="D1170" s="147">
        <v>10128600</v>
      </c>
      <c r="E1170" s="147" t="s">
        <v>358</v>
      </c>
    </row>
    <row r="1171" spans="4:5" ht="15">
      <c r="D1171" s="147">
        <v>10128579</v>
      </c>
      <c r="E1171" s="147" t="s">
        <v>354</v>
      </c>
    </row>
    <row r="1172" spans="4:5" ht="15">
      <c r="D1172" s="147">
        <v>10128580</v>
      </c>
      <c r="E1172" s="147" t="s">
        <v>358</v>
      </c>
    </row>
    <row r="1173" spans="4:5" ht="15">
      <c r="D1173" s="147">
        <v>10128581</v>
      </c>
      <c r="E1173" s="147" t="s">
        <v>358</v>
      </c>
    </row>
    <row r="1174" spans="4:5" ht="15">
      <c r="D1174" s="147">
        <v>10128582</v>
      </c>
      <c r="E1174" s="147" t="s">
        <v>361</v>
      </c>
    </row>
    <row r="1175" spans="4:5" ht="15">
      <c r="D1175" s="147">
        <v>10128595</v>
      </c>
      <c r="E1175" s="147" t="s">
        <v>361</v>
      </c>
    </row>
    <row r="1176" spans="4:5" ht="15">
      <c r="D1176" s="147">
        <v>10128596</v>
      </c>
      <c r="E1176" s="147" t="s">
        <v>353</v>
      </c>
    </row>
    <row r="1177" spans="4:5" ht="15">
      <c r="D1177" s="147">
        <v>10128597</v>
      </c>
      <c r="E1177" s="147" t="s">
        <v>358</v>
      </c>
    </row>
    <row r="1178" spans="4:5" ht="15">
      <c r="D1178" s="147">
        <v>10128598</v>
      </c>
      <c r="E1178" s="147" t="s">
        <v>361</v>
      </c>
    </row>
    <row r="1179" spans="4:5" ht="15">
      <c r="D1179" s="147">
        <v>10128599</v>
      </c>
      <c r="E1179" s="147" t="s">
        <v>354</v>
      </c>
    </row>
    <row r="1180" spans="4:5" ht="15">
      <c r="D1180" s="147">
        <v>10128600</v>
      </c>
      <c r="E1180" s="147" t="s">
        <v>358</v>
      </c>
    </row>
    <row r="1181" spans="4:5" ht="15">
      <c r="D1181" s="147">
        <v>10128579</v>
      </c>
      <c r="E1181" s="147" t="s">
        <v>354</v>
      </c>
    </row>
    <row r="1182" spans="4:5" ht="15">
      <c r="D1182" s="147">
        <v>10128580</v>
      </c>
      <c r="E1182" s="147" t="s">
        <v>358</v>
      </c>
    </row>
    <row r="1183" spans="4:5" ht="15">
      <c r="D1183" s="147">
        <v>10128581</v>
      </c>
      <c r="E1183" s="147" t="s">
        <v>358</v>
      </c>
    </row>
    <row r="1184" spans="4:5" ht="15">
      <c r="D1184" s="147">
        <v>10128582</v>
      </c>
      <c r="E1184" s="147" t="s">
        <v>361</v>
      </c>
    </row>
    <row r="1185" spans="4:5" ht="15">
      <c r="D1185" s="147">
        <v>10128595</v>
      </c>
      <c r="E1185" s="147" t="s">
        <v>361</v>
      </c>
    </row>
    <row r="1186" spans="4:5" ht="15">
      <c r="D1186" s="147">
        <v>10128596</v>
      </c>
      <c r="E1186" s="147" t="s">
        <v>353</v>
      </c>
    </row>
    <row r="1187" spans="4:5" ht="15">
      <c r="D1187" s="147">
        <v>10128597</v>
      </c>
      <c r="E1187" s="147" t="s">
        <v>358</v>
      </c>
    </row>
    <row r="1188" spans="4:5" ht="15">
      <c r="D1188" s="147">
        <v>10128598</v>
      </c>
      <c r="E1188" s="147" t="s">
        <v>361</v>
      </c>
    </row>
    <row r="1189" spans="4:5" ht="15">
      <c r="D1189" s="147">
        <v>10128599</v>
      </c>
      <c r="E1189" s="147" t="s">
        <v>354</v>
      </c>
    </row>
    <row r="1190" spans="4:5" ht="15">
      <c r="D1190" s="147">
        <v>10128600</v>
      </c>
      <c r="E1190" s="147" t="s">
        <v>358</v>
      </c>
    </row>
    <row r="1191" spans="4:5" ht="15">
      <c r="D1191" s="147">
        <v>10128579</v>
      </c>
      <c r="E1191" s="147" t="s">
        <v>354</v>
      </c>
    </row>
    <row r="1192" spans="4:5" ht="15">
      <c r="D1192" s="147">
        <v>10128580</v>
      </c>
      <c r="E1192" s="147" t="s">
        <v>358</v>
      </c>
    </row>
    <row r="1193" spans="4:5" ht="15">
      <c r="D1193" s="147">
        <v>10128581</v>
      </c>
      <c r="E1193" s="147" t="s">
        <v>358</v>
      </c>
    </row>
    <row r="1194" spans="4:5" ht="15">
      <c r="D1194" s="147">
        <v>10128582</v>
      </c>
      <c r="E1194" s="147" t="s">
        <v>361</v>
      </c>
    </row>
    <row r="1195" spans="4:5" ht="15">
      <c r="D1195" s="147">
        <v>10128595</v>
      </c>
      <c r="E1195" s="147" t="s">
        <v>361</v>
      </c>
    </row>
    <row r="1196" spans="4:5" ht="15">
      <c r="D1196" s="147">
        <v>10128596</v>
      </c>
      <c r="E1196" s="147" t="s">
        <v>353</v>
      </c>
    </row>
    <row r="1197" spans="4:5" ht="15">
      <c r="D1197" s="147">
        <v>10128597</v>
      </c>
      <c r="E1197" s="147" t="s">
        <v>358</v>
      </c>
    </row>
    <row r="1198" spans="4:5" ht="15">
      <c r="D1198" s="147">
        <v>10128598</v>
      </c>
      <c r="E1198" s="147" t="s">
        <v>361</v>
      </c>
    </row>
    <row r="1199" spans="4:5" ht="15">
      <c r="D1199" s="147">
        <v>10128599</v>
      </c>
      <c r="E1199" s="147" t="s">
        <v>354</v>
      </c>
    </row>
    <row r="1200" spans="4:5" ht="15">
      <c r="D1200" s="147">
        <v>10128600</v>
      </c>
      <c r="E1200" s="147" t="s">
        <v>358</v>
      </c>
    </row>
    <row r="1201" spans="4:5" ht="15">
      <c r="D1201" s="147">
        <v>10128579</v>
      </c>
      <c r="E1201" s="147" t="s">
        <v>354</v>
      </c>
    </row>
    <row r="1202" spans="4:5" ht="15">
      <c r="D1202" s="147">
        <v>10128580</v>
      </c>
      <c r="E1202" s="147" t="s">
        <v>358</v>
      </c>
    </row>
    <row r="1203" spans="4:5" ht="15">
      <c r="D1203" s="147">
        <v>10128581</v>
      </c>
      <c r="E1203" s="147" t="s">
        <v>358</v>
      </c>
    </row>
    <row r="1204" spans="4:5" ht="15">
      <c r="D1204" s="147">
        <v>10128582</v>
      </c>
      <c r="E1204" s="147" t="s">
        <v>361</v>
      </c>
    </row>
    <row r="1205" spans="4:5" ht="15">
      <c r="D1205" s="147">
        <v>10128595</v>
      </c>
      <c r="E1205" s="147" t="s">
        <v>361</v>
      </c>
    </row>
    <row r="1206" spans="4:5" ht="15">
      <c r="D1206" s="147">
        <v>10128596</v>
      </c>
      <c r="E1206" s="147" t="s">
        <v>353</v>
      </c>
    </row>
    <row r="1207" spans="4:5" ht="15">
      <c r="D1207" s="147">
        <v>10128597</v>
      </c>
      <c r="E1207" s="147" t="s">
        <v>358</v>
      </c>
    </row>
    <row r="1208" spans="4:5" ht="15">
      <c r="D1208" s="147">
        <v>10128598</v>
      </c>
      <c r="E1208" s="147" t="s">
        <v>361</v>
      </c>
    </row>
    <row r="1209" spans="4:5" ht="15">
      <c r="D1209" s="147">
        <v>10128599</v>
      </c>
      <c r="E1209" s="147" t="s">
        <v>354</v>
      </c>
    </row>
    <row r="1210" spans="4:5" ht="15">
      <c r="D1210" s="147">
        <v>10128600</v>
      </c>
      <c r="E1210" s="147" t="s">
        <v>358</v>
      </c>
    </row>
    <row r="1211" spans="4:5" ht="15">
      <c r="D1211" s="147">
        <v>10128579</v>
      </c>
      <c r="E1211" s="147" t="s">
        <v>354</v>
      </c>
    </row>
    <row r="1212" spans="4:5" ht="15">
      <c r="D1212" s="147">
        <v>10128580</v>
      </c>
      <c r="E1212" s="147" t="s">
        <v>358</v>
      </c>
    </row>
    <row r="1213" spans="4:5" ht="15">
      <c r="D1213" s="147">
        <v>10128581</v>
      </c>
      <c r="E1213" s="147" t="s">
        <v>358</v>
      </c>
    </row>
    <row r="1214" spans="4:5" ht="15">
      <c r="D1214" s="147">
        <v>10128582</v>
      </c>
      <c r="E1214" s="147" t="s">
        <v>361</v>
      </c>
    </row>
    <row r="1215" spans="4:5" ht="15">
      <c r="D1215" s="147">
        <v>10128595</v>
      </c>
      <c r="E1215" s="147" t="s">
        <v>361</v>
      </c>
    </row>
    <row r="1216" spans="4:5" ht="15">
      <c r="D1216" s="147">
        <v>10128596</v>
      </c>
      <c r="E1216" s="147" t="s">
        <v>353</v>
      </c>
    </row>
    <row r="1217" spans="4:5" ht="15">
      <c r="D1217" s="147">
        <v>10128597</v>
      </c>
      <c r="E1217" s="147" t="s">
        <v>358</v>
      </c>
    </row>
    <row r="1218" spans="4:5" ht="15">
      <c r="D1218" s="147">
        <v>10128598</v>
      </c>
      <c r="E1218" s="147" t="s">
        <v>361</v>
      </c>
    </row>
    <row r="1219" spans="4:5" ht="15">
      <c r="D1219" s="147">
        <v>10128599</v>
      </c>
      <c r="E1219" s="147" t="s">
        <v>354</v>
      </c>
    </row>
    <row r="1220" spans="4:5" ht="15">
      <c r="D1220" s="147">
        <v>10128600</v>
      </c>
      <c r="E1220" s="147" t="s">
        <v>358</v>
      </c>
    </row>
    <row r="1221" spans="4:5" ht="15">
      <c r="D1221" s="147">
        <v>10128579</v>
      </c>
      <c r="E1221" s="147" t="s">
        <v>354</v>
      </c>
    </row>
    <row r="1222" spans="4:5" ht="15">
      <c r="D1222" s="147">
        <v>10128580</v>
      </c>
      <c r="E1222" s="147" t="s">
        <v>358</v>
      </c>
    </row>
    <row r="1223" spans="4:5" ht="15">
      <c r="D1223" s="147">
        <v>10128581</v>
      </c>
      <c r="E1223" s="147" t="s">
        <v>358</v>
      </c>
    </row>
    <row r="1224" spans="4:5" ht="15">
      <c r="D1224" s="147">
        <v>10128582</v>
      </c>
      <c r="E1224" s="147" t="s">
        <v>361</v>
      </c>
    </row>
    <row r="1225" spans="4:5" ht="15">
      <c r="D1225" s="147">
        <v>10128595</v>
      </c>
      <c r="E1225" s="147" t="s">
        <v>361</v>
      </c>
    </row>
    <row r="1226" spans="4:5" ht="15">
      <c r="D1226" s="147">
        <v>10128596</v>
      </c>
      <c r="E1226" s="147" t="s">
        <v>353</v>
      </c>
    </row>
    <row r="1227" spans="4:5" ht="15">
      <c r="D1227" s="147">
        <v>10128597</v>
      </c>
      <c r="E1227" s="147" t="s">
        <v>358</v>
      </c>
    </row>
    <row r="1228" spans="4:5" ht="15">
      <c r="D1228" s="147">
        <v>10128598</v>
      </c>
      <c r="E1228" s="147" t="s">
        <v>361</v>
      </c>
    </row>
    <row r="1229" spans="4:5" ht="15">
      <c r="D1229" s="147">
        <v>10128599</v>
      </c>
      <c r="E1229" s="147" t="s">
        <v>354</v>
      </c>
    </row>
    <row r="1230" spans="4:5" ht="15">
      <c r="D1230" s="147">
        <v>10128600</v>
      </c>
      <c r="E1230" s="147" t="s">
        <v>358</v>
      </c>
    </row>
    <row r="1231" spans="4:5" ht="15">
      <c r="D1231" s="147">
        <v>10128579</v>
      </c>
      <c r="E1231" s="147" t="s">
        <v>354</v>
      </c>
    </row>
    <row r="1232" spans="4:5" ht="15">
      <c r="D1232" s="147">
        <v>10128580</v>
      </c>
      <c r="E1232" s="147" t="s">
        <v>358</v>
      </c>
    </row>
    <row r="1233" spans="4:5" ht="15">
      <c r="D1233" s="147">
        <v>10128581</v>
      </c>
      <c r="E1233" s="147" t="s">
        <v>358</v>
      </c>
    </row>
    <row r="1234" spans="4:5" ht="15">
      <c r="D1234" s="147">
        <v>10128582</v>
      </c>
      <c r="E1234" s="147" t="s">
        <v>361</v>
      </c>
    </row>
    <row r="1235" spans="4:5" ht="15">
      <c r="D1235" s="147">
        <v>10128595</v>
      </c>
      <c r="E1235" s="147" t="s">
        <v>361</v>
      </c>
    </row>
    <row r="1236" spans="4:5" ht="15">
      <c r="D1236" s="147">
        <v>10128596</v>
      </c>
      <c r="E1236" s="147" t="s">
        <v>353</v>
      </c>
    </row>
    <row r="1237" spans="4:5" ht="15">
      <c r="D1237" s="147">
        <v>10128597</v>
      </c>
      <c r="E1237" s="147" t="s">
        <v>358</v>
      </c>
    </row>
    <row r="1238" spans="4:5" ht="15">
      <c r="D1238" s="147">
        <v>10128598</v>
      </c>
      <c r="E1238" s="147" t="s">
        <v>361</v>
      </c>
    </row>
    <row r="1239" spans="4:5" ht="15">
      <c r="D1239" s="147">
        <v>10128599</v>
      </c>
      <c r="E1239" s="147" t="s">
        <v>354</v>
      </c>
    </row>
    <row r="1240" spans="4:5" ht="15">
      <c r="D1240" s="147">
        <v>10128600</v>
      </c>
      <c r="E1240" s="147" t="s">
        <v>358</v>
      </c>
    </row>
    <row r="1241" spans="4:5" ht="15">
      <c r="D1241" s="147">
        <v>10128579</v>
      </c>
      <c r="E1241" s="147" t="s">
        <v>354</v>
      </c>
    </row>
    <row r="1242" spans="4:5" ht="15">
      <c r="D1242" s="147">
        <v>10128580</v>
      </c>
      <c r="E1242" s="147" t="s">
        <v>358</v>
      </c>
    </row>
    <row r="1243" spans="4:5" ht="15">
      <c r="D1243" s="147">
        <v>10128581</v>
      </c>
      <c r="E1243" s="147" t="s">
        <v>358</v>
      </c>
    </row>
    <row r="1244" spans="4:5" ht="15">
      <c r="D1244" s="147">
        <v>10128582</v>
      </c>
      <c r="E1244" s="147" t="s">
        <v>361</v>
      </c>
    </row>
    <row r="1245" spans="4:5" ht="15">
      <c r="D1245" s="147">
        <v>10128595</v>
      </c>
      <c r="E1245" s="147" t="s">
        <v>361</v>
      </c>
    </row>
    <row r="1246" spans="4:5" ht="15">
      <c r="D1246" s="147">
        <v>10128596</v>
      </c>
      <c r="E1246" s="147" t="s">
        <v>353</v>
      </c>
    </row>
    <row r="1247" spans="4:5" ht="15">
      <c r="D1247" s="147">
        <v>10128597</v>
      </c>
      <c r="E1247" s="147" t="s">
        <v>358</v>
      </c>
    </row>
    <row r="1248" spans="4:5" ht="15">
      <c r="D1248" s="147">
        <v>10128598</v>
      </c>
      <c r="E1248" s="147" t="s">
        <v>361</v>
      </c>
    </row>
    <row r="1249" spans="4:5" ht="15">
      <c r="D1249" s="147">
        <v>10128599</v>
      </c>
      <c r="E1249" s="147" t="s">
        <v>354</v>
      </c>
    </row>
    <row r="1250" spans="4:5" ht="15">
      <c r="D1250" s="147">
        <v>10128600</v>
      </c>
      <c r="E1250" s="147" t="s">
        <v>358</v>
      </c>
    </row>
    <row r="1251" spans="4:5" ht="15">
      <c r="D1251" s="147">
        <v>10128579</v>
      </c>
      <c r="E1251" s="147" t="s">
        <v>354</v>
      </c>
    </row>
    <row r="1252" spans="4:5" ht="15">
      <c r="D1252" s="147">
        <v>10128580</v>
      </c>
      <c r="E1252" s="147" t="s">
        <v>358</v>
      </c>
    </row>
    <row r="1253" spans="4:5" ht="15">
      <c r="D1253" s="147">
        <v>10128581</v>
      </c>
      <c r="E1253" s="147" t="s">
        <v>358</v>
      </c>
    </row>
    <row r="1254" spans="4:5" ht="15">
      <c r="D1254" s="147">
        <v>10128582</v>
      </c>
      <c r="E1254" s="147" t="s">
        <v>361</v>
      </c>
    </row>
    <row r="1255" spans="4:5" ht="15">
      <c r="D1255" s="147">
        <v>10128595</v>
      </c>
      <c r="E1255" s="147" t="s">
        <v>361</v>
      </c>
    </row>
    <row r="1256" spans="4:5" ht="15">
      <c r="D1256" s="147">
        <v>10128596</v>
      </c>
      <c r="E1256" s="147" t="s">
        <v>353</v>
      </c>
    </row>
    <row r="1257" spans="4:5" ht="15">
      <c r="D1257" s="147">
        <v>10128597</v>
      </c>
      <c r="E1257" s="147" t="s">
        <v>358</v>
      </c>
    </row>
    <row r="1258" spans="4:5" ht="15">
      <c r="D1258" s="147">
        <v>10128598</v>
      </c>
      <c r="E1258" s="147" t="s">
        <v>361</v>
      </c>
    </row>
    <row r="1259" spans="4:5" ht="15">
      <c r="D1259" s="147">
        <v>10128599</v>
      </c>
      <c r="E1259" s="147" t="s">
        <v>354</v>
      </c>
    </row>
    <row r="1260" spans="4:5" ht="15">
      <c r="D1260" s="147">
        <v>10128600</v>
      </c>
      <c r="E1260" s="147" t="s">
        <v>358</v>
      </c>
    </row>
    <row r="1261" spans="4:5" ht="15">
      <c r="D1261" s="147">
        <v>10128579</v>
      </c>
      <c r="E1261" s="147" t="s">
        <v>354</v>
      </c>
    </row>
    <row r="1262" spans="4:5" ht="15">
      <c r="D1262" s="147">
        <v>10128580</v>
      </c>
      <c r="E1262" s="147" t="s">
        <v>358</v>
      </c>
    </row>
    <row r="1263" spans="4:5" ht="15">
      <c r="D1263" s="147">
        <v>10128581</v>
      </c>
      <c r="E1263" s="147" t="s">
        <v>358</v>
      </c>
    </row>
    <row r="1264" spans="4:5" ht="15">
      <c r="D1264" s="147">
        <v>10128582</v>
      </c>
      <c r="E1264" s="147" t="s">
        <v>361</v>
      </c>
    </row>
    <row r="1265" spans="4:5" ht="15">
      <c r="D1265" s="147">
        <v>10128595</v>
      </c>
      <c r="E1265" s="147" t="s">
        <v>361</v>
      </c>
    </row>
    <row r="1266" spans="4:5" ht="15">
      <c r="D1266" s="147">
        <v>10128596</v>
      </c>
      <c r="E1266" s="147" t="s">
        <v>353</v>
      </c>
    </row>
    <row r="1267" spans="4:5" ht="15">
      <c r="D1267" s="147">
        <v>10128597</v>
      </c>
      <c r="E1267" s="147" t="s">
        <v>358</v>
      </c>
    </row>
    <row r="1268" spans="4:5" ht="15">
      <c r="D1268" s="147">
        <v>10128598</v>
      </c>
      <c r="E1268" s="147" t="s">
        <v>361</v>
      </c>
    </row>
    <row r="1269" spans="4:5" ht="15">
      <c r="D1269" s="147">
        <v>10128599</v>
      </c>
      <c r="E1269" s="147" t="s">
        <v>354</v>
      </c>
    </row>
    <row r="1270" spans="4:5" ht="15">
      <c r="D1270" s="147">
        <v>10128600</v>
      </c>
      <c r="E1270" s="147" t="s">
        <v>358</v>
      </c>
    </row>
    <row r="1271" spans="4:5" ht="15">
      <c r="D1271" s="147">
        <v>10128579</v>
      </c>
      <c r="E1271" s="147" t="s">
        <v>354</v>
      </c>
    </row>
    <row r="1272" spans="4:5" ht="15">
      <c r="D1272" s="147">
        <v>10128580</v>
      </c>
      <c r="E1272" s="147" t="s">
        <v>358</v>
      </c>
    </row>
    <row r="1273" spans="4:5" ht="15">
      <c r="D1273" s="147">
        <v>10128581</v>
      </c>
      <c r="E1273" s="147" t="s">
        <v>358</v>
      </c>
    </row>
    <row r="1274" spans="4:5" ht="15">
      <c r="D1274" s="147">
        <v>10128582</v>
      </c>
      <c r="E1274" s="147" t="s">
        <v>361</v>
      </c>
    </row>
    <row r="1275" spans="4:5" ht="15">
      <c r="D1275" s="147">
        <v>10128595</v>
      </c>
      <c r="E1275" s="147" t="s">
        <v>361</v>
      </c>
    </row>
    <row r="1276" spans="4:5" ht="15">
      <c r="D1276" s="147">
        <v>10128596</v>
      </c>
      <c r="E1276" s="147" t="s">
        <v>353</v>
      </c>
    </row>
    <row r="1277" spans="4:5" ht="15">
      <c r="D1277" s="147">
        <v>10128597</v>
      </c>
      <c r="E1277" s="147" t="s">
        <v>358</v>
      </c>
    </row>
    <row r="1278" spans="4:5" ht="15">
      <c r="D1278" s="147">
        <v>10128598</v>
      </c>
      <c r="E1278" s="147" t="s">
        <v>361</v>
      </c>
    </row>
    <row r="1279" spans="4:5" ht="15">
      <c r="D1279" s="147">
        <v>10128599</v>
      </c>
      <c r="E1279" s="147" t="s">
        <v>354</v>
      </c>
    </row>
    <row r="1280" spans="4:5" ht="15">
      <c r="D1280" s="147">
        <v>10128600</v>
      </c>
      <c r="E1280" s="147" t="s">
        <v>358</v>
      </c>
    </row>
    <row r="1281" spans="4:5" ht="15">
      <c r="D1281" s="147">
        <v>10128579</v>
      </c>
      <c r="E1281" s="147" t="s">
        <v>354</v>
      </c>
    </row>
    <row r="1282" spans="4:5" ht="15">
      <c r="D1282" s="147">
        <v>10128580</v>
      </c>
      <c r="E1282" s="147" t="s">
        <v>358</v>
      </c>
    </row>
    <row r="1283" spans="4:5" ht="15">
      <c r="D1283" s="147">
        <v>10128581</v>
      </c>
      <c r="E1283" s="147" t="s">
        <v>358</v>
      </c>
    </row>
    <row r="1284" spans="4:5" ht="15">
      <c r="D1284" s="147">
        <v>10128582</v>
      </c>
      <c r="E1284" s="147" t="s">
        <v>361</v>
      </c>
    </row>
    <row r="1285" spans="4:5" ht="15">
      <c r="D1285" s="147">
        <v>10128595</v>
      </c>
      <c r="E1285" s="147" t="s">
        <v>361</v>
      </c>
    </row>
    <row r="1286" spans="4:5" ht="15">
      <c r="D1286" s="147">
        <v>10128596</v>
      </c>
      <c r="E1286" s="147" t="s">
        <v>353</v>
      </c>
    </row>
    <row r="1287" spans="4:5" ht="15">
      <c r="D1287" s="147">
        <v>10128597</v>
      </c>
      <c r="E1287" s="147" t="s">
        <v>358</v>
      </c>
    </row>
    <row r="1288" spans="4:5" ht="15">
      <c r="D1288" s="147">
        <v>10128598</v>
      </c>
      <c r="E1288" s="147" t="s">
        <v>361</v>
      </c>
    </row>
    <row r="1289" spans="4:5" ht="15">
      <c r="D1289" s="147">
        <v>10128599</v>
      </c>
      <c r="E1289" s="147" t="s">
        <v>354</v>
      </c>
    </row>
    <row r="1290" spans="4:5" ht="15">
      <c r="D1290" s="147">
        <v>10128600</v>
      </c>
      <c r="E1290" s="147" t="s">
        <v>358</v>
      </c>
    </row>
    <row r="1291" spans="4:5" ht="15">
      <c r="D1291" s="147">
        <v>10128579</v>
      </c>
      <c r="E1291" s="147" t="s">
        <v>354</v>
      </c>
    </row>
    <row r="1292" spans="4:5" ht="15">
      <c r="D1292" s="147">
        <v>10128580</v>
      </c>
      <c r="E1292" s="147" t="s">
        <v>358</v>
      </c>
    </row>
    <row r="1293" spans="4:5" ht="15">
      <c r="D1293" s="147">
        <v>10128581</v>
      </c>
      <c r="E1293" s="147" t="s">
        <v>358</v>
      </c>
    </row>
    <row r="1294" spans="4:5" ht="15">
      <c r="D1294" s="147">
        <v>10128582</v>
      </c>
      <c r="E1294" s="147" t="s">
        <v>361</v>
      </c>
    </row>
    <row r="1295" spans="4:5" ht="15">
      <c r="D1295" s="147">
        <v>10128595</v>
      </c>
      <c r="E1295" s="147" t="s">
        <v>361</v>
      </c>
    </row>
    <row r="1296" spans="4:5" ht="15">
      <c r="D1296" s="147">
        <v>10128596</v>
      </c>
      <c r="E1296" s="147" t="s">
        <v>353</v>
      </c>
    </row>
    <row r="1297" spans="4:5" ht="15">
      <c r="D1297" s="147">
        <v>10128597</v>
      </c>
      <c r="E1297" s="147" t="s">
        <v>358</v>
      </c>
    </row>
    <row r="1298" spans="4:5" ht="15">
      <c r="D1298" s="147">
        <v>10128598</v>
      </c>
      <c r="E1298" s="147" t="s">
        <v>361</v>
      </c>
    </row>
    <row r="1299" spans="4:5" ht="15">
      <c r="D1299" s="147">
        <v>10128599</v>
      </c>
      <c r="E1299" s="147" t="s">
        <v>354</v>
      </c>
    </row>
    <row r="1300" spans="4:5" ht="15">
      <c r="D1300" s="147">
        <v>10128600</v>
      </c>
      <c r="E1300" s="147" t="s">
        <v>358</v>
      </c>
    </row>
    <row r="1301" spans="4:5" ht="15">
      <c r="D1301" s="147">
        <v>10128579</v>
      </c>
      <c r="E1301" s="147" t="s">
        <v>354</v>
      </c>
    </row>
    <row r="1302" spans="4:5" ht="15">
      <c r="D1302" s="147">
        <v>10128580</v>
      </c>
      <c r="E1302" s="147" t="s">
        <v>358</v>
      </c>
    </row>
    <row r="1303" spans="4:5" ht="15">
      <c r="D1303" s="147">
        <v>10128581</v>
      </c>
      <c r="E1303" s="147" t="s">
        <v>358</v>
      </c>
    </row>
    <row r="1304" spans="4:5" ht="15">
      <c r="D1304" s="147">
        <v>10128582</v>
      </c>
      <c r="E1304" s="147" t="s">
        <v>361</v>
      </c>
    </row>
    <row r="1305" spans="4:5" ht="15">
      <c r="D1305" s="147">
        <v>10128595</v>
      </c>
      <c r="E1305" s="147" t="s">
        <v>361</v>
      </c>
    </row>
    <row r="1306" spans="4:5" ht="15">
      <c r="D1306" s="147">
        <v>10128596</v>
      </c>
      <c r="E1306" s="147" t="s">
        <v>353</v>
      </c>
    </row>
    <row r="1307" spans="4:5" ht="15">
      <c r="D1307" s="147">
        <v>10128597</v>
      </c>
      <c r="E1307" s="147" t="s">
        <v>358</v>
      </c>
    </row>
    <row r="1308" spans="4:5" ht="15">
      <c r="D1308" s="147">
        <v>10128598</v>
      </c>
      <c r="E1308" s="147" t="s">
        <v>361</v>
      </c>
    </row>
    <row r="1309" spans="4:5" ht="15">
      <c r="D1309" s="147">
        <v>10128599</v>
      </c>
      <c r="E1309" s="147" t="s">
        <v>354</v>
      </c>
    </row>
    <row r="1310" spans="4:5" ht="15">
      <c r="D1310" s="147">
        <v>10128600</v>
      </c>
      <c r="E1310" s="147" t="s">
        <v>358</v>
      </c>
    </row>
    <row r="1311" spans="4:5" ht="15">
      <c r="D1311" s="147">
        <v>10128579</v>
      </c>
      <c r="E1311" s="147" t="s">
        <v>354</v>
      </c>
    </row>
    <row r="1312" spans="4:5" ht="15">
      <c r="D1312" s="147">
        <v>10128580</v>
      </c>
      <c r="E1312" s="147" t="s">
        <v>358</v>
      </c>
    </row>
    <row r="1313" spans="4:5" ht="15">
      <c r="D1313" s="147">
        <v>10128581</v>
      </c>
      <c r="E1313" s="147" t="s">
        <v>358</v>
      </c>
    </row>
    <row r="1314" spans="4:5" ht="15">
      <c r="D1314" s="147">
        <v>10128582</v>
      </c>
      <c r="E1314" s="147" t="s">
        <v>361</v>
      </c>
    </row>
    <row r="1315" spans="4:5" ht="15">
      <c r="D1315" s="147">
        <v>10128595</v>
      </c>
      <c r="E1315" s="147" t="s">
        <v>361</v>
      </c>
    </row>
    <row r="1316" spans="4:5" ht="15">
      <c r="D1316" s="147">
        <v>10128596</v>
      </c>
      <c r="E1316" s="147" t="s">
        <v>353</v>
      </c>
    </row>
    <row r="1317" spans="4:5" ht="15">
      <c r="D1317" s="147">
        <v>10128597</v>
      </c>
      <c r="E1317" s="147" t="s">
        <v>358</v>
      </c>
    </row>
    <row r="1318" spans="4:5" ht="15">
      <c r="D1318" s="147">
        <v>10128598</v>
      </c>
      <c r="E1318" s="147" t="s">
        <v>361</v>
      </c>
    </row>
    <row r="1319" spans="4:5" ht="15">
      <c r="D1319" s="147">
        <v>10128599</v>
      </c>
      <c r="E1319" s="147" t="s">
        <v>354</v>
      </c>
    </row>
    <row r="1320" spans="4:5" ht="15">
      <c r="D1320" s="147">
        <v>10128600</v>
      </c>
      <c r="E1320" s="147" t="s">
        <v>358</v>
      </c>
    </row>
    <row r="1321" spans="4:5" ht="15">
      <c r="D1321" s="147">
        <v>10128579</v>
      </c>
      <c r="E1321" s="147" t="s">
        <v>354</v>
      </c>
    </row>
    <row r="1322" spans="4:5" ht="15">
      <c r="D1322" s="147">
        <v>10128580</v>
      </c>
      <c r="E1322" s="147" t="s">
        <v>358</v>
      </c>
    </row>
    <row r="1323" spans="4:5" ht="15">
      <c r="D1323" s="147">
        <v>10128581</v>
      </c>
      <c r="E1323" s="147" t="s">
        <v>358</v>
      </c>
    </row>
    <row r="1324" spans="4:5" ht="15">
      <c r="D1324" s="147">
        <v>10128582</v>
      </c>
      <c r="E1324" s="147" t="s">
        <v>361</v>
      </c>
    </row>
    <row r="1325" spans="4:5" ht="15">
      <c r="D1325" s="147">
        <v>10128595</v>
      </c>
      <c r="E1325" s="147" t="s">
        <v>361</v>
      </c>
    </row>
    <row r="1326" spans="4:5" ht="15">
      <c r="D1326" s="147">
        <v>10128596</v>
      </c>
      <c r="E1326" s="147" t="s">
        <v>353</v>
      </c>
    </row>
    <row r="1327" spans="4:5" ht="15">
      <c r="D1327" s="147">
        <v>10128597</v>
      </c>
      <c r="E1327" s="147" t="s">
        <v>358</v>
      </c>
    </row>
    <row r="1328" spans="4:5" ht="15">
      <c r="D1328" s="147">
        <v>10128598</v>
      </c>
      <c r="E1328" s="147" t="s">
        <v>361</v>
      </c>
    </row>
    <row r="1329" spans="4:5" ht="15">
      <c r="D1329" s="147">
        <v>10128599</v>
      </c>
      <c r="E1329" s="147" t="s">
        <v>354</v>
      </c>
    </row>
    <row r="1330" spans="4:5" ht="15">
      <c r="D1330" s="147">
        <v>10128600</v>
      </c>
      <c r="E1330" s="147" t="s">
        <v>358</v>
      </c>
    </row>
    <row r="1331" spans="4:5" ht="15">
      <c r="D1331" s="147">
        <v>10128579</v>
      </c>
      <c r="E1331" s="147" t="s">
        <v>354</v>
      </c>
    </row>
    <row r="1332" spans="4:5" ht="15">
      <c r="D1332" s="147">
        <v>10128580</v>
      </c>
      <c r="E1332" s="147" t="s">
        <v>358</v>
      </c>
    </row>
    <row r="1333" spans="4:5" ht="15">
      <c r="D1333" s="147">
        <v>10128581</v>
      </c>
      <c r="E1333" s="147" t="s">
        <v>358</v>
      </c>
    </row>
    <row r="1334" spans="4:5" ht="15">
      <c r="D1334" s="147">
        <v>10128582</v>
      </c>
      <c r="E1334" s="147" t="s">
        <v>361</v>
      </c>
    </row>
    <row r="1335" spans="4:5" ht="15">
      <c r="D1335" s="147">
        <v>10128595</v>
      </c>
      <c r="E1335" s="147" t="s">
        <v>361</v>
      </c>
    </row>
    <row r="1336" spans="4:5" ht="15">
      <c r="D1336" s="147">
        <v>10128596</v>
      </c>
      <c r="E1336" s="147" t="s">
        <v>353</v>
      </c>
    </row>
    <row r="1337" spans="4:5" ht="15">
      <c r="D1337" s="147">
        <v>10128597</v>
      </c>
      <c r="E1337" s="147" t="s">
        <v>358</v>
      </c>
    </row>
    <row r="1338" spans="4:5" ht="15">
      <c r="D1338" s="147">
        <v>10128598</v>
      </c>
      <c r="E1338" s="147" t="s">
        <v>361</v>
      </c>
    </row>
    <row r="1339" spans="4:5" ht="15">
      <c r="D1339" s="147">
        <v>10128599</v>
      </c>
      <c r="E1339" s="147" t="s">
        <v>354</v>
      </c>
    </row>
    <row r="1340" spans="4:5" ht="15">
      <c r="D1340" s="147">
        <v>10128600</v>
      </c>
      <c r="E1340" s="147" t="s">
        <v>358</v>
      </c>
    </row>
    <row r="1341" spans="4:5" ht="15">
      <c r="D1341" s="147">
        <v>10128579</v>
      </c>
      <c r="E1341" s="147" t="s">
        <v>354</v>
      </c>
    </row>
    <row r="1342" spans="4:5" ht="15">
      <c r="D1342" s="147">
        <v>10128580</v>
      </c>
      <c r="E1342" s="147" t="s">
        <v>358</v>
      </c>
    </row>
    <row r="1343" spans="4:5" ht="15">
      <c r="D1343" s="147">
        <v>10128581</v>
      </c>
      <c r="E1343" s="147" t="s">
        <v>358</v>
      </c>
    </row>
    <row r="1344" spans="4:5" ht="15">
      <c r="D1344" s="147">
        <v>10128582</v>
      </c>
      <c r="E1344" s="147" t="s">
        <v>361</v>
      </c>
    </row>
    <row r="1345" spans="4:5" ht="15">
      <c r="D1345" s="147">
        <v>10128595</v>
      </c>
      <c r="E1345" s="147" t="s">
        <v>361</v>
      </c>
    </row>
    <row r="1346" spans="4:5" ht="15">
      <c r="D1346" s="147">
        <v>10128596</v>
      </c>
      <c r="E1346" s="147" t="s">
        <v>353</v>
      </c>
    </row>
    <row r="1347" spans="4:5" ht="15">
      <c r="D1347" s="147">
        <v>10128597</v>
      </c>
      <c r="E1347" s="147" t="s">
        <v>358</v>
      </c>
    </row>
    <row r="1348" spans="4:5" ht="15">
      <c r="D1348" s="147">
        <v>10128598</v>
      </c>
      <c r="E1348" s="147" t="s">
        <v>361</v>
      </c>
    </row>
    <row r="1349" spans="4:5" ht="15">
      <c r="D1349" s="147">
        <v>10128599</v>
      </c>
      <c r="E1349" s="147" t="s">
        <v>354</v>
      </c>
    </row>
    <row r="1350" spans="4:5" ht="15">
      <c r="D1350" s="147">
        <v>10128600</v>
      </c>
      <c r="E1350" s="147" t="s">
        <v>358</v>
      </c>
    </row>
    <row r="1351" spans="4:5" ht="15">
      <c r="D1351" s="147">
        <v>10128579</v>
      </c>
      <c r="E1351" s="147" t="s">
        <v>354</v>
      </c>
    </row>
    <row r="1352" spans="4:5" ht="15">
      <c r="D1352" s="147">
        <v>10128580</v>
      </c>
      <c r="E1352" s="147" t="s">
        <v>358</v>
      </c>
    </row>
    <row r="1353" spans="4:5" ht="15">
      <c r="D1353" s="147">
        <v>10128581</v>
      </c>
      <c r="E1353" s="147" t="s">
        <v>358</v>
      </c>
    </row>
    <row r="1354" spans="4:5" ht="15">
      <c r="D1354" s="147">
        <v>10128582</v>
      </c>
      <c r="E1354" s="147" t="s">
        <v>361</v>
      </c>
    </row>
    <row r="1355" spans="4:5" ht="15">
      <c r="D1355" s="147">
        <v>10128595</v>
      </c>
      <c r="E1355" s="147" t="s">
        <v>361</v>
      </c>
    </row>
    <row r="1356" spans="4:5" ht="15">
      <c r="D1356" s="147">
        <v>10128596</v>
      </c>
      <c r="E1356" s="147" t="s">
        <v>353</v>
      </c>
    </row>
    <row r="1357" spans="4:5" ht="15">
      <c r="D1357" s="147">
        <v>10128597</v>
      </c>
      <c r="E1357" s="147" t="s">
        <v>358</v>
      </c>
    </row>
    <row r="1358" spans="4:5" ht="15">
      <c r="D1358" s="147">
        <v>10128598</v>
      </c>
      <c r="E1358" s="147" t="s">
        <v>361</v>
      </c>
    </row>
    <row r="1359" spans="4:5" ht="15">
      <c r="D1359" s="147">
        <v>10128599</v>
      </c>
      <c r="E1359" s="147" t="s">
        <v>354</v>
      </c>
    </row>
    <row r="1360" spans="4:5" ht="15">
      <c r="D1360" s="147">
        <v>10128600</v>
      </c>
      <c r="E1360" s="147" t="s">
        <v>358</v>
      </c>
    </row>
    <row r="1361" spans="4:5" ht="15">
      <c r="D1361" s="147">
        <v>10128579</v>
      </c>
      <c r="E1361" s="147" t="s">
        <v>354</v>
      </c>
    </row>
    <row r="1362" spans="4:5" ht="15">
      <c r="D1362" s="147">
        <v>10128580</v>
      </c>
      <c r="E1362" s="147" t="s">
        <v>358</v>
      </c>
    </row>
    <row r="1363" spans="4:5" ht="15">
      <c r="D1363" s="147">
        <v>10128581</v>
      </c>
      <c r="E1363" s="147" t="s">
        <v>358</v>
      </c>
    </row>
    <row r="1364" spans="4:5" ht="15">
      <c r="D1364" s="147">
        <v>10128582</v>
      </c>
      <c r="E1364" s="147" t="s">
        <v>361</v>
      </c>
    </row>
    <row r="1365" spans="4:5" ht="15">
      <c r="D1365" s="147">
        <v>10128595</v>
      </c>
      <c r="E1365" s="147" t="s">
        <v>361</v>
      </c>
    </row>
    <row r="1366" spans="4:5" ht="15">
      <c r="D1366" s="147">
        <v>10128596</v>
      </c>
      <c r="E1366" s="147" t="s">
        <v>353</v>
      </c>
    </row>
    <row r="1367" spans="4:5" ht="15">
      <c r="D1367" s="147">
        <v>10128597</v>
      </c>
      <c r="E1367" s="147" t="s">
        <v>358</v>
      </c>
    </row>
    <row r="1368" spans="4:5" ht="15">
      <c r="D1368" s="147">
        <v>10128598</v>
      </c>
      <c r="E1368" s="147" t="s">
        <v>361</v>
      </c>
    </row>
    <row r="1369" spans="4:5" ht="15">
      <c r="D1369" s="147">
        <v>10128599</v>
      </c>
      <c r="E1369" s="147" t="s">
        <v>354</v>
      </c>
    </row>
    <row r="1370" spans="4:5" ht="15">
      <c r="D1370" s="147">
        <v>10128600</v>
      </c>
      <c r="E1370" s="147" t="s">
        <v>358</v>
      </c>
    </row>
    <row r="1371" spans="4:5" ht="15">
      <c r="D1371" s="147">
        <v>10128579</v>
      </c>
      <c r="E1371" s="147" t="s">
        <v>354</v>
      </c>
    </row>
    <row r="1372" spans="4:5" ht="15">
      <c r="D1372" s="147">
        <v>10128580</v>
      </c>
      <c r="E1372" s="147" t="s">
        <v>358</v>
      </c>
    </row>
    <row r="1373" spans="4:5" ht="15">
      <c r="D1373" s="147">
        <v>10128581</v>
      </c>
      <c r="E1373" s="147" t="s">
        <v>358</v>
      </c>
    </row>
    <row r="1374" spans="4:5" ht="15">
      <c r="D1374" s="147">
        <v>10128582</v>
      </c>
      <c r="E1374" s="147" t="s">
        <v>361</v>
      </c>
    </row>
    <row r="1375" spans="4:5" ht="15">
      <c r="D1375" s="147">
        <v>10128595</v>
      </c>
      <c r="E1375" s="147" t="s">
        <v>361</v>
      </c>
    </row>
    <row r="1376" spans="4:5" ht="15">
      <c r="D1376" s="147">
        <v>10128596</v>
      </c>
      <c r="E1376" s="147" t="s">
        <v>353</v>
      </c>
    </row>
    <row r="1377" spans="4:5" ht="15">
      <c r="D1377" s="147">
        <v>10128597</v>
      </c>
      <c r="E1377" s="147" t="s">
        <v>358</v>
      </c>
    </row>
    <row r="1378" spans="4:5" ht="15">
      <c r="D1378" s="147">
        <v>10128598</v>
      </c>
      <c r="E1378" s="147" t="s">
        <v>361</v>
      </c>
    </row>
    <row r="1379" spans="4:5" ht="15">
      <c r="D1379" s="147">
        <v>10128599</v>
      </c>
      <c r="E1379" s="147" t="s">
        <v>354</v>
      </c>
    </row>
    <row r="1380" spans="4:5" ht="15">
      <c r="D1380" s="147">
        <v>10128600</v>
      </c>
      <c r="E1380" s="147" t="s">
        <v>358</v>
      </c>
    </row>
    <row r="1381" spans="4:5" ht="15">
      <c r="D1381" s="147">
        <v>10128579</v>
      </c>
      <c r="E1381" s="147" t="s">
        <v>354</v>
      </c>
    </row>
    <row r="1382" spans="4:5" ht="15">
      <c r="D1382" s="147">
        <v>10128580</v>
      </c>
      <c r="E1382" s="147" t="s">
        <v>358</v>
      </c>
    </row>
    <row r="1383" spans="4:5" ht="15">
      <c r="D1383" s="147">
        <v>10128581</v>
      </c>
      <c r="E1383" s="147" t="s">
        <v>358</v>
      </c>
    </row>
    <row r="1384" spans="4:5" ht="15">
      <c r="D1384" s="147">
        <v>10128582</v>
      </c>
      <c r="E1384" s="147" t="s">
        <v>361</v>
      </c>
    </row>
    <row r="1385" spans="4:5" ht="15">
      <c r="D1385" s="147">
        <v>10128595</v>
      </c>
      <c r="E1385" s="147" t="s">
        <v>361</v>
      </c>
    </row>
    <row r="1386" spans="4:5" ht="15">
      <c r="D1386" s="147">
        <v>10128596</v>
      </c>
      <c r="E1386" s="147" t="s">
        <v>353</v>
      </c>
    </row>
    <row r="1387" spans="4:5" ht="15">
      <c r="D1387" s="147">
        <v>10128597</v>
      </c>
      <c r="E1387" s="147" t="s">
        <v>358</v>
      </c>
    </row>
    <row r="1388" spans="4:5" ht="15">
      <c r="D1388" s="147">
        <v>10128598</v>
      </c>
      <c r="E1388" s="147" t="s">
        <v>361</v>
      </c>
    </row>
    <row r="1389" spans="4:5" ht="15">
      <c r="D1389" s="147">
        <v>10128599</v>
      </c>
      <c r="E1389" s="147" t="s">
        <v>354</v>
      </c>
    </row>
    <row r="1390" spans="4:5" ht="15">
      <c r="D1390" s="147">
        <v>10128600</v>
      </c>
      <c r="E1390" s="147" t="s">
        <v>358</v>
      </c>
    </row>
    <row r="1391" spans="4:5" ht="15">
      <c r="D1391" s="147">
        <v>10128579</v>
      </c>
      <c r="E1391" s="147" t="s">
        <v>354</v>
      </c>
    </row>
    <row r="1392" spans="4:5" ht="15">
      <c r="D1392" s="147">
        <v>10128580</v>
      </c>
      <c r="E1392" s="147" t="s">
        <v>358</v>
      </c>
    </row>
    <row r="1393" spans="4:5" ht="15">
      <c r="D1393" s="147">
        <v>10128581</v>
      </c>
      <c r="E1393" s="147" t="s">
        <v>358</v>
      </c>
    </row>
    <row r="1394" spans="4:5" ht="15">
      <c r="D1394" s="147">
        <v>10128582</v>
      </c>
      <c r="E1394" s="147" t="s">
        <v>361</v>
      </c>
    </row>
    <row r="1395" spans="4:5" ht="15">
      <c r="D1395" s="147">
        <v>10128595</v>
      </c>
      <c r="E1395" s="147" t="s">
        <v>361</v>
      </c>
    </row>
    <row r="1396" spans="4:5" ht="15">
      <c r="D1396" s="147">
        <v>10128596</v>
      </c>
      <c r="E1396" s="147" t="s">
        <v>353</v>
      </c>
    </row>
    <row r="1397" spans="4:5" ht="15">
      <c r="D1397" s="147">
        <v>10128597</v>
      </c>
      <c r="E1397" s="147" t="s">
        <v>358</v>
      </c>
    </row>
    <row r="1398" spans="4:5" ht="15">
      <c r="D1398" s="147">
        <v>10128598</v>
      </c>
      <c r="E1398" s="147" t="s">
        <v>361</v>
      </c>
    </row>
    <row r="1399" spans="4:5" ht="15">
      <c r="D1399" s="147">
        <v>10128599</v>
      </c>
      <c r="E1399" s="147" t="s">
        <v>354</v>
      </c>
    </row>
    <row r="1400" spans="4:5" ht="15">
      <c r="D1400" s="147">
        <v>10128600</v>
      </c>
      <c r="E1400" s="147" t="s">
        <v>358</v>
      </c>
    </row>
    <row r="1401" spans="4:5" ht="15">
      <c r="D1401" s="147">
        <v>10128579</v>
      </c>
      <c r="E1401" s="147" t="s">
        <v>354</v>
      </c>
    </row>
    <row r="1402" spans="4:5" ht="15">
      <c r="D1402" s="147">
        <v>10128580</v>
      </c>
      <c r="E1402" s="147" t="s">
        <v>358</v>
      </c>
    </row>
    <row r="1403" spans="4:5" ht="15">
      <c r="D1403" s="147">
        <v>10128581</v>
      </c>
      <c r="E1403" s="147" t="s">
        <v>358</v>
      </c>
    </row>
    <row r="1404" spans="4:5" ht="15">
      <c r="D1404" s="147">
        <v>10128582</v>
      </c>
      <c r="E1404" s="147" t="s">
        <v>361</v>
      </c>
    </row>
    <row r="1405" spans="4:5" ht="15">
      <c r="D1405" s="147">
        <v>10128595</v>
      </c>
      <c r="E1405" s="147" t="s">
        <v>361</v>
      </c>
    </row>
    <row r="1406" spans="4:5" ht="15">
      <c r="D1406" s="147">
        <v>10128596</v>
      </c>
      <c r="E1406" s="147" t="s">
        <v>353</v>
      </c>
    </row>
    <row r="1407" spans="4:5" ht="15">
      <c r="D1407" s="147">
        <v>10128597</v>
      </c>
      <c r="E1407" s="147" t="s">
        <v>358</v>
      </c>
    </row>
    <row r="1408" spans="4:5" ht="15">
      <c r="D1408" s="147">
        <v>10128598</v>
      </c>
      <c r="E1408" s="147" t="s">
        <v>361</v>
      </c>
    </row>
    <row r="1409" spans="4:5" ht="15">
      <c r="D1409" s="147">
        <v>10128599</v>
      </c>
      <c r="E1409" s="147" t="s">
        <v>354</v>
      </c>
    </row>
    <row r="1410" spans="4:5" ht="15">
      <c r="D1410" s="147">
        <v>10128600</v>
      </c>
      <c r="E1410" s="147" t="s">
        <v>358</v>
      </c>
    </row>
    <row r="1411" spans="4:5" ht="15">
      <c r="D1411" s="147">
        <v>10128579</v>
      </c>
      <c r="E1411" s="147" t="s">
        <v>354</v>
      </c>
    </row>
    <row r="1412" spans="4:5" ht="15">
      <c r="D1412" s="147">
        <v>10128580</v>
      </c>
      <c r="E1412" s="147" t="s">
        <v>358</v>
      </c>
    </row>
    <row r="1413" spans="4:5" ht="15">
      <c r="D1413" s="147">
        <v>10128581</v>
      </c>
      <c r="E1413" s="147" t="s">
        <v>358</v>
      </c>
    </row>
    <row r="1414" spans="4:5" ht="15">
      <c r="D1414" s="147">
        <v>10128582</v>
      </c>
      <c r="E1414" s="147" t="s">
        <v>361</v>
      </c>
    </row>
    <row r="1415" spans="4:5" ht="15">
      <c r="D1415" s="147">
        <v>10128595</v>
      </c>
      <c r="E1415" s="147" t="s">
        <v>361</v>
      </c>
    </row>
    <row r="1416" spans="4:5" ht="15">
      <c r="D1416" s="147">
        <v>10128596</v>
      </c>
      <c r="E1416" s="147" t="s">
        <v>353</v>
      </c>
    </row>
    <row r="1417" spans="4:5" ht="15">
      <c r="D1417" s="147">
        <v>10128597</v>
      </c>
      <c r="E1417" s="147" t="s">
        <v>358</v>
      </c>
    </row>
    <row r="1418" spans="4:5" ht="15">
      <c r="D1418" s="147">
        <v>10128598</v>
      </c>
      <c r="E1418" s="147" t="s">
        <v>361</v>
      </c>
    </row>
    <row r="1419" spans="4:5" ht="15">
      <c r="D1419" s="147">
        <v>10128599</v>
      </c>
      <c r="E1419" s="147" t="s">
        <v>354</v>
      </c>
    </row>
    <row r="1420" spans="4:5" ht="15">
      <c r="D1420" s="147">
        <v>10128600</v>
      </c>
      <c r="E1420" s="147" t="s">
        <v>358</v>
      </c>
    </row>
    <row r="1421" spans="4:5" ht="15">
      <c r="D1421" s="147">
        <v>10128579</v>
      </c>
      <c r="E1421" s="147" t="s">
        <v>354</v>
      </c>
    </row>
    <row r="1422" spans="4:5" ht="15">
      <c r="D1422" s="147">
        <v>10128580</v>
      </c>
      <c r="E1422" s="147" t="s">
        <v>358</v>
      </c>
    </row>
    <row r="1423" spans="4:5" ht="15">
      <c r="D1423" s="147">
        <v>10128581</v>
      </c>
      <c r="E1423" s="147" t="s">
        <v>358</v>
      </c>
    </row>
    <row r="1424" spans="4:5" ht="15">
      <c r="D1424" s="147">
        <v>10128582</v>
      </c>
      <c r="E1424" s="147" t="s">
        <v>361</v>
      </c>
    </row>
    <row r="1425" spans="4:5" ht="15">
      <c r="D1425" s="147">
        <v>10128595</v>
      </c>
      <c r="E1425" s="147" t="s">
        <v>361</v>
      </c>
    </row>
    <row r="1426" spans="4:5" ht="15">
      <c r="D1426" s="147">
        <v>10128596</v>
      </c>
      <c r="E1426" s="147" t="s">
        <v>353</v>
      </c>
    </row>
    <row r="1427" spans="4:5" ht="15">
      <c r="D1427" s="147">
        <v>10128597</v>
      </c>
      <c r="E1427" s="147" t="s">
        <v>358</v>
      </c>
    </row>
    <row r="1428" spans="4:5" ht="15">
      <c r="D1428" s="147">
        <v>10128598</v>
      </c>
      <c r="E1428" s="147" t="s">
        <v>361</v>
      </c>
    </row>
    <row r="1429" spans="4:5" ht="15">
      <c r="D1429" s="147">
        <v>10128599</v>
      </c>
      <c r="E1429" s="147" t="s">
        <v>354</v>
      </c>
    </row>
    <row r="1430" spans="4:5" ht="15">
      <c r="D1430" s="147">
        <v>10128600</v>
      </c>
      <c r="E1430" s="147" t="s">
        <v>358</v>
      </c>
    </row>
    <row r="1431" spans="4:5" ht="15">
      <c r="D1431" s="147">
        <v>10128579</v>
      </c>
      <c r="E1431" s="147" t="s">
        <v>354</v>
      </c>
    </row>
    <row r="1432" spans="4:5" ht="15">
      <c r="D1432" s="147">
        <v>10128580</v>
      </c>
      <c r="E1432" s="147" t="s">
        <v>358</v>
      </c>
    </row>
    <row r="1433" spans="4:5" ht="15">
      <c r="D1433" s="147">
        <v>10128581</v>
      </c>
      <c r="E1433" s="147" t="s">
        <v>358</v>
      </c>
    </row>
    <row r="1434" spans="4:5" ht="15">
      <c r="D1434" s="147">
        <v>10128582</v>
      </c>
      <c r="E1434" s="147" t="s">
        <v>361</v>
      </c>
    </row>
    <row r="1435" spans="4:5" ht="15">
      <c r="D1435" s="147">
        <v>10128595</v>
      </c>
      <c r="E1435" s="147" t="s">
        <v>361</v>
      </c>
    </row>
    <row r="1436" spans="4:5" ht="15">
      <c r="D1436" s="147">
        <v>10128596</v>
      </c>
      <c r="E1436" s="147" t="s">
        <v>353</v>
      </c>
    </row>
    <row r="1437" spans="4:5" ht="15">
      <c r="D1437" s="147">
        <v>10128597</v>
      </c>
      <c r="E1437" s="147" t="s">
        <v>358</v>
      </c>
    </row>
    <row r="1438" spans="4:5" ht="15">
      <c r="D1438" s="147">
        <v>10128598</v>
      </c>
      <c r="E1438" s="147" t="s">
        <v>361</v>
      </c>
    </row>
    <row r="1439" spans="4:5" ht="15">
      <c r="D1439" s="147">
        <v>10128599</v>
      </c>
      <c r="E1439" s="147" t="s">
        <v>354</v>
      </c>
    </row>
    <row r="1440" spans="4:5" ht="15">
      <c r="D1440" s="147">
        <v>10128600</v>
      </c>
      <c r="E1440" s="147" t="s">
        <v>358</v>
      </c>
    </row>
    <row r="1441" spans="4:5" ht="15">
      <c r="D1441" s="147">
        <v>10128579</v>
      </c>
      <c r="E1441" s="147" t="s">
        <v>354</v>
      </c>
    </row>
    <row r="1442" spans="4:5" ht="15">
      <c r="D1442" s="147">
        <v>10128580</v>
      </c>
      <c r="E1442" s="147" t="s">
        <v>358</v>
      </c>
    </row>
    <row r="1443" spans="4:5" ht="15">
      <c r="D1443" s="147">
        <v>10128581</v>
      </c>
      <c r="E1443" s="147" t="s">
        <v>358</v>
      </c>
    </row>
    <row r="1444" spans="4:5" ht="15">
      <c r="D1444" s="147">
        <v>10128582</v>
      </c>
      <c r="E1444" s="147" t="s">
        <v>361</v>
      </c>
    </row>
    <row r="1445" spans="4:5" ht="15">
      <c r="D1445" s="147">
        <v>10128595</v>
      </c>
      <c r="E1445" s="147" t="s">
        <v>361</v>
      </c>
    </row>
    <row r="1446" spans="4:5" ht="15">
      <c r="D1446" s="147">
        <v>10128596</v>
      </c>
      <c r="E1446" s="147" t="s">
        <v>353</v>
      </c>
    </row>
    <row r="1447" spans="4:5" ht="15">
      <c r="D1447" s="147">
        <v>10128597</v>
      </c>
      <c r="E1447" s="147" t="s">
        <v>358</v>
      </c>
    </row>
    <row r="1448" spans="4:5" ht="15">
      <c r="D1448" s="147">
        <v>10128598</v>
      </c>
      <c r="E1448" s="147" t="s">
        <v>361</v>
      </c>
    </row>
    <row r="1449" spans="4:5" ht="15">
      <c r="D1449" s="147">
        <v>10128599</v>
      </c>
      <c r="E1449" s="147" t="s">
        <v>354</v>
      </c>
    </row>
    <row r="1450" spans="4:5" ht="15">
      <c r="D1450" s="147">
        <v>10128600</v>
      </c>
      <c r="E1450" s="147" t="s">
        <v>358</v>
      </c>
    </row>
    <row r="1451" spans="4:5" ht="15">
      <c r="D1451" s="147">
        <v>10128579</v>
      </c>
      <c r="E1451" s="147" t="s">
        <v>354</v>
      </c>
    </row>
    <row r="1452" spans="4:5" ht="15">
      <c r="D1452" s="147">
        <v>10128580</v>
      </c>
      <c r="E1452" s="147" t="s">
        <v>358</v>
      </c>
    </row>
    <row r="1453" spans="4:5" ht="15">
      <c r="D1453" s="147">
        <v>10128581</v>
      </c>
      <c r="E1453" s="147" t="s">
        <v>358</v>
      </c>
    </row>
    <row r="1454" spans="4:5" ht="15">
      <c r="D1454" s="147">
        <v>10128582</v>
      </c>
      <c r="E1454" s="147" t="s">
        <v>361</v>
      </c>
    </row>
    <row r="1455" spans="4:5" ht="15">
      <c r="D1455" s="147">
        <v>10128595</v>
      </c>
      <c r="E1455" s="147" t="s">
        <v>361</v>
      </c>
    </row>
    <row r="1456" spans="4:5" ht="15">
      <c r="D1456" s="147">
        <v>10128596</v>
      </c>
      <c r="E1456" s="147" t="s">
        <v>353</v>
      </c>
    </row>
    <row r="1457" spans="4:5" ht="15">
      <c r="D1457" s="147">
        <v>10128597</v>
      </c>
      <c r="E1457" s="147" t="s">
        <v>358</v>
      </c>
    </row>
    <row r="1458" spans="4:5" ht="15">
      <c r="D1458" s="147">
        <v>10128598</v>
      </c>
      <c r="E1458" s="147" t="s">
        <v>361</v>
      </c>
    </row>
    <row r="1459" spans="4:5" ht="15">
      <c r="D1459" s="147">
        <v>10128599</v>
      </c>
      <c r="E1459" s="147" t="s">
        <v>354</v>
      </c>
    </row>
    <row r="1460" spans="4:5" ht="15">
      <c r="D1460" s="147">
        <v>10128600</v>
      </c>
      <c r="E1460" s="147" t="s">
        <v>358</v>
      </c>
    </row>
    <row r="1461" spans="4:5" ht="15">
      <c r="D1461" s="147">
        <v>10128579</v>
      </c>
      <c r="E1461" s="147" t="s">
        <v>354</v>
      </c>
    </row>
    <row r="1462" spans="4:5" ht="15">
      <c r="D1462" s="147">
        <v>10128580</v>
      </c>
      <c r="E1462" s="147" t="s">
        <v>358</v>
      </c>
    </row>
    <row r="1463" spans="4:5" ht="15">
      <c r="D1463" s="147">
        <v>10128581</v>
      </c>
      <c r="E1463" s="147" t="s">
        <v>358</v>
      </c>
    </row>
    <row r="1464" spans="4:5" ht="15">
      <c r="D1464" s="147">
        <v>10128582</v>
      </c>
      <c r="E1464" s="147" t="s">
        <v>361</v>
      </c>
    </row>
    <row r="1465" spans="4:5" ht="15">
      <c r="D1465" s="147">
        <v>10128595</v>
      </c>
      <c r="E1465" s="147" t="s">
        <v>361</v>
      </c>
    </row>
    <row r="1466" spans="4:5" ht="15">
      <c r="D1466" s="147">
        <v>10128596</v>
      </c>
      <c r="E1466" s="147" t="s">
        <v>353</v>
      </c>
    </row>
    <row r="1467" spans="4:5" ht="15">
      <c r="D1467" s="147">
        <v>10128597</v>
      </c>
      <c r="E1467" s="147" t="s">
        <v>358</v>
      </c>
    </row>
    <row r="1468" spans="4:5" ht="15">
      <c r="D1468" s="147">
        <v>10128598</v>
      </c>
      <c r="E1468" s="147" t="s">
        <v>361</v>
      </c>
    </row>
    <row r="1469" spans="4:5" ht="15">
      <c r="D1469" s="147">
        <v>10128599</v>
      </c>
      <c r="E1469" s="147" t="s">
        <v>354</v>
      </c>
    </row>
    <row r="1470" spans="4:5" ht="15">
      <c r="D1470" s="147">
        <v>10128600</v>
      </c>
      <c r="E1470" s="147" t="s">
        <v>358</v>
      </c>
    </row>
    <row r="1471" spans="4:5" ht="15">
      <c r="D1471" s="147">
        <v>10128579</v>
      </c>
      <c r="E1471" s="147" t="s">
        <v>354</v>
      </c>
    </row>
    <row r="1472" spans="4:5" ht="15">
      <c r="D1472" s="147">
        <v>10128580</v>
      </c>
      <c r="E1472" s="147" t="s">
        <v>358</v>
      </c>
    </row>
    <row r="1473" spans="4:5" ht="15">
      <c r="D1473" s="147">
        <v>10128581</v>
      </c>
      <c r="E1473" s="147" t="s">
        <v>358</v>
      </c>
    </row>
    <row r="1474" spans="4:5" ht="15">
      <c r="D1474" s="147">
        <v>10128582</v>
      </c>
      <c r="E1474" s="147" t="s">
        <v>361</v>
      </c>
    </row>
    <row r="1475" spans="4:5" ht="15">
      <c r="D1475" s="147">
        <v>10128595</v>
      </c>
      <c r="E1475" s="147" t="s">
        <v>361</v>
      </c>
    </row>
    <row r="1476" spans="4:5" ht="15">
      <c r="D1476" s="147">
        <v>10128596</v>
      </c>
      <c r="E1476" s="147" t="s">
        <v>353</v>
      </c>
    </row>
    <row r="1477" spans="4:5" ht="15">
      <c r="D1477" s="147">
        <v>10128597</v>
      </c>
      <c r="E1477" s="147" t="s">
        <v>358</v>
      </c>
    </row>
    <row r="1478" spans="4:5" ht="15">
      <c r="D1478" s="147">
        <v>10128598</v>
      </c>
      <c r="E1478" s="147" t="s">
        <v>361</v>
      </c>
    </row>
    <row r="1479" spans="4:5" ht="15">
      <c r="D1479" s="147">
        <v>10128599</v>
      </c>
      <c r="E1479" s="147" t="s">
        <v>354</v>
      </c>
    </row>
    <row r="1480" spans="4:5" ht="15">
      <c r="D1480" s="147">
        <v>10128600</v>
      </c>
      <c r="E1480" s="147" t="s">
        <v>358</v>
      </c>
    </row>
    <row r="1481" spans="4:5" ht="15">
      <c r="D1481" s="147">
        <v>10128579</v>
      </c>
      <c r="E1481" s="147" t="s">
        <v>354</v>
      </c>
    </row>
    <row r="1482" spans="4:5" ht="15">
      <c r="D1482" s="147">
        <v>10128580</v>
      </c>
      <c r="E1482" s="147" t="s">
        <v>358</v>
      </c>
    </row>
    <row r="1483" spans="4:5" ht="15">
      <c r="D1483" s="147">
        <v>10128581</v>
      </c>
      <c r="E1483" s="147" t="s">
        <v>358</v>
      </c>
    </row>
    <row r="1484" spans="4:5" ht="15">
      <c r="D1484" s="147">
        <v>10128582</v>
      </c>
      <c r="E1484" s="147" t="s">
        <v>361</v>
      </c>
    </row>
    <row r="1485" spans="4:5" ht="15">
      <c r="D1485" s="147">
        <v>10128595</v>
      </c>
      <c r="E1485" s="147" t="s">
        <v>361</v>
      </c>
    </row>
    <row r="1486" spans="4:5" ht="15">
      <c r="D1486" s="147">
        <v>10128596</v>
      </c>
      <c r="E1486" s="147" t="s">
        <v>353</v>
      </c>
    </row>
    <row r="1487" spans="4:5" ht="15">
      <c r="D1487" s="147">
        <v>10128597</v>
      </c>
      <c r="E1487" s="147" t="s">
        <v>358</v>
      </c>
    </row>
    <row r="1488" spans="4:5" ht="15">
      <c r="D1488" s="147">
        <v>10128598</v>
      </c>
      <c r="E1488" s="147" t="s">
        <v>361</v>
      </c>
    </row>
    <row r="1489" spans="4:5" ht="15">
      <c r="D1489" s="147">
        <v>10128599</v>
      </c>
      <c r="E1489" s="147" t="s">
        <v>354</v>
      </c>
    </row>
    <row r="1490" spans="4:5" ht="15">
      <c r="D1490" s="147">
        <v>10128600</v>
      </c>
      <c r="E1490" s="147" t="s">
        <v>358</v>
      </c>
    </row>
    <row r="1491" spans="4:5" ht="15">
      <c r="D1491" s="147">
        <v>10128579</v>
      </c>
      <c r="E1491" s="147" t="s">
        <v>354</v>
      </c>
    </row>
    <row r="1492" spans="4:5" ht="15">
      <c r="D1492" s="147">
        <v>10128580</v>
      </c>
      <c r="E1492" s="147" t="s">
        <v>358</v>
      </c>
    </row>
    <row r="1493" spans="4:5" ht="15">
      <c r="D1493" s="147">
        <v>10128581</v>
      </c>
      <c r="E1493" s="147" t="s">
        <v>358</v>
      </c>
    </row>
    <row r="1494" spans="4:5" ht="15">
      <c r="D1494" s="147">
        <v>10128582</v>
      </c>
      <c r="E1494" s="147" t="s">
        <v>361</v>
      </c>
    </row>
    <row r="1495" spans="4:5" ht="15">
      <c r="D1495" s="147">
        <v>10128595</v>
      </c>
      <c r="E1495" s="147" t="s">
        <v>361</v>
      </c>
    </row>
    <row r="1496" spans="4:5" ht="15">
      <c r="D1496" s="147">
        <v>10128596</v>
      </c>
      <c r="E1496" s="147" t="s">
        <v>353</v>
      </c>
    </row>
    <row r="1497" spans="4:5" ht="15">
      <c r="D1497" s="147">
        <v>10128597</v>
      </c>
      <c r="E1497" s="147" t="s">
        <v>358</v>
      </c>
    </row>
    <row r="1498" spans="4:5" ht="15">
      <c r="D1498" s="147">
        <v>10128598</v>
      </c>
      <c r="E1498" s="147" t="s">
        <v>361</v>
      </c>
    </row>
    <row r="1499" spans="4:5" ht="15">
      <c r="D1499" s="147">
        <v>10128599</v>
      </c>
      <c r="E1499" s="147" t="s">
        <v>354</v>
      </c>
    </row>
    <row r="1500" spans="4:5" ht="15">
      <c r="D1500" s="147">
        <v>10128600</v>
      </c>
      <c r="E1500" s="147" t="s">
        <v>358</v>
      </c>
    </row>
    <row r="1501" spans="4:5" ht="15">
      <c r="D1501" s="147">
        <v>10128579</v>
      </c>
      <c r="E1501" s="147" t="s">
        <v>354</v>
      </c>
    </row>
    <row r="1502" spans="4:5" ht="15">
      <c r="D1502" s="147">
        <v>10128580</v>
      </c>
      <c r="E1502" s="147" t="s">
        <v>358</v>
      </c>
    </row>
    <row r="1503" spans="4:5" ht="15">
      <c r="D1503" s="147">
        <v>10128581</v>
      </c>
      <c r="E1503" s="147" t="s">
        <v>358</v>
      </c>
    </row>
    <row r="1504" spans="4:5" ht="15">
      <c r="D1504" s="147">
        <v>10128582</v>
      </c>
      <c r="E1504" s="147" t="s">
        <v>361</v>
      </c>
    </row>
    <row r="1505" spans="4:5" ht="15">
      <c r="D1505" s="147">
        <v>10128595</v>
      </c>
      <c r="E1505" s="147" t="s">
        <v>361</v>
      </c>
    </row>
    <row r="1506" spans="4:5" ht="15">
      <c r="D1506" s="147">
        <v>10128596</v>
      </c>
      <c r="E1506" s="147" t="s">
        <v>353</v>
      </c>
    </row>
    <row r="1507" spans="4:5" ht="15">
      <c r="D1507" s="147">
        <v>10128597</v>
      </c>
      <c r="E1507" s="147" t="s">
        <v>358</v>
      </c>
    </row>
    <row r="1508" spans="4:5" ht="15">
      <c r="D1508" s="147">
        <v>10128598</v>
      </c>
      <c r="E1508" s="147" t="s">
        <v>361</v>
      </c>
    </row>
    <row r="1509" spans="4:5" ht="15">
      <c r="D1509" s="147">
        <v>10128599</v>
      </c>
      <c r="E1509" s="147" t="s">
        <v>354</v>
      </c>
    </row>
    <row r="1510" spans="4:5" ht="15">
      <c r="D1510" s="147">
        <v>10128600</v>
      </c>
      <c r="E1510" s="147" t="s">
        <v>358</v>
      </c>
    </row>
    <row r="1511" spans="4:5" ht="15">
      <c r="D1511" s="147">
        <v>10128579</v>
      </c>
      <c r="E1511" s="147" t="s">
        <v>354</v>
      </c>
    </row>
    <row r="1512" spans="4:5" ht="15">
      <c r="D1512" s="147">
        <v>10128580</v>
      </c>
      <c r="E1512" s="147" t="s">
        <v>358</v>
      </c>
    </row>
    <row r="1513" spans="4:5" ht="15">
      <c r="D1513" s="147">
        <v>10128581</v>
      </c>
      <c r="E1513" s="147" t="s">
        <v>358</v>
      </c>
    </row>
    <row r="1514" spans="4:5" ht="15">
      <c r="D1514" s="147">
        <v>10128582</v>
      </c>
      <c r="E1514" s="147" t="s">
        <v>361</v>
      </c>
    </row>
    <row r="1515" spans="4:5" ht="15">
      <c r="D1515" s="147">
        <v>10128595</v>
      </c>
      <c r="E1515" s="147" t="s">
        <v>361</v>
      </c>
    </row>
    <row r="1516" spans="4:5" ht="15">
      <c r="D1516" s="147">
        <v>10128596</v>
      </c>
      <c r="E1516" s="147" t="s">
        <v>353</v>
      </c>
    </row>
    <row r="1517" spans="4:5" ht="15">
      <c r="D1517" s="147">
        <v>10128597</v>
      </c>
      <c r="E1517" s="147" t="s">
        <v>358</v>
      </c>
    </row>
    <row r="1518" spans="4:5" ht="15">
      <c r="D1518" s="147">
        <v>10128598</v>
      </c>
      <c r="E1518" s="147" t="s">
        <v>361</v>
      </c>
    </row>
    <row r="1519" spans="4:5" ht="15">
      <c r="D1519" s="147">
        <v>10128599</v>
      </c>
      <c r="E1519" s="147" t="s">
        <v>354</v>
      </c>
    </row>
    <row r="1520" spans="4:5" ht="15">
      <c r="D1520" s="147">
        <v>10128600</v>
      </c>
      <c r="E1520" s="147" t="s">
        <v>358</v>
      </c>
    </row>
    <row r="1521" spans="4:5" ht="15">
      <c r="D1521" s="147">
        <v>10128579</v>
      </c>
      <c r="E1521" s="147" t="s">
        <v>354</v>
      </c>
    </row>
    <row r="1522" spans="4:5" ht="15">
      <c r="D1522" s="147">
        <v>10128580</v>
      </c>
      <c r="E1522" s="147" t="s">
        <v>358</v>
      </c>
    </row>
    <row r="1523" spans="4:5" ht="15">
      <c r="D1523" s="147">
        <v>10128581</v>
      </c>
      <c r="E1523" s="147" t="s">
        <v>358</v>
      </c>
    </row>
    <row r="1524" spans="4:5" ht="15">
      <c r="D1524" s="147">
        <v>10128582</v>
      </c>
      <c r="E1524" s="147" t="s">
        <v>361</v>
      </c>
    </row>
    <row r="1525" spans="4:5" ht="15">
      <c r="D1525" s="147">
        <v>10128595</v>
      </c>
      <c r="E1525" s="147" t="s">
        <v>361</v>
      </c>
    </row>
    <row r="1526" spans="4:5" ht="15">
      <c r="D1526" s="147">
        <v>10128596</v>
      </c>
      <c r="E1526" s="147" t="s">
        <v>353</v>
      </c>
    </row>
    <row r="1527" spans="4:5" ht="15">
      <c r="D1527" s="147">
        <v>10128597</v>
      </c>
      <c r="E1527" s="147" t="s">
        <v>358</v>
      </c>
    </row>
    <row r="1528" spans="4:5" ht="15">
      <c r="D1528" s="147">
        <v>10128598</v>
      </c>
      <c r="E1528" s="147" t="s">
        <v>361</v>
      </c>
    </row>
    <row r="1529" spans="4:5" ht="15">
      <c r="D1529" s="147">
        <v>10128599</v>
      </c>
      <c r="E1529" s="147" t="s">
        <v>354</v>
      </c>
    </row>
    <row r="1530" spans="4:5" ht="15">
      <c r="D1530" s="147">
        <v>10128600</v>
      </c>
      <c r="E1530" s="147" t="s">
        <v>358</v>
      </c>
    </row>
    <row r="1531" spans="4:5" ht="15">
      <c r="D1531" s="147">
        <v>10128579</v>
      </c>
      <c r="E1531" s="147" t="s">
        <v>354</v>
      </c>
    </row>
    <row r="1532" spans="4:5" ht="15">
      <c r="D1532" s="147">
        <v>10128580</v>
      </c>
      <c r="E1532" s="147" t="s">
        <v>358</v>
      </c>
    </row>
    <row r="1533" spans="4:5" ht="15">
      <c r="D1533" s="147">
        <v>10128581</v>
      </c>
      <c r="E1533" s="147" t="s">
        <v>358</v>
      </c>
    </row>
    <row r="1534" spans="4:5" ht="15">
      <c r="D1534" s="147">
        <v>10128582</v>
      </c>
      <c r="E1534" s="147" t="s">
        <v>361</v>
      </c>
    </row>
    <row r="1535" spans="4:5" ht="15">
      <c r="D1535" s="147">
        <v>10128595</v>
      </c>
      <c r="E1535" s="147" t="s">
        <v>361</v>
      </c>
    </row>
    <row r="1536" spans="4:5" ht="15">
      <c r="D1536" s="147">
        <v>10128596</v>
      </c>
      <c r="E1536" s="147" t="s">
        <v>353</v>
      </c>
    </row>
    <row r="1537" spans="4:5" ht="15">
      <c r="D1537" s="147">
        <v>10128597</v>
      </c>
      <c r="E1537" s="147" t="s">
        <v>358</v>
      </c>
    </row>
    <row r="1538" spans="4:5" ht="15">
      <c r="D1538" s="147">
        <v>10128598</v>
      </c>
      <c r="E1538" s="147" t="s">
        <v>361</v>
      </c>
    </row>
    <row r="1539" spans="4:5" ht="15">
      <c r="D1539" s="147">
        <v>10128599</v>
      </c>
      <c r="E1539" s="147" t="s">
        <v>354</v>
      </c>
    </row>
    <row r="1540" spans="4:5" ht="15">
      <c r="D1540" s="147">
        <v>10128600</v>
      </c>
      <c r="E1540" s="147" t="s">
        <v>358</v>
      </c>
    </row>
    <row r="1541" spans="4:5" ht="15">
      <c r="D1541" s="147">
        <v>10128579</v>
      </c>
      <c r="E1541" s="147" t="s">
        <v>354</v>
      </c>
    </row>
    <row r="1542" spans="4:5" ht="15">
      <c r="D1542" s="147">
        <v>10128580</v>
      </c>
      <c r="E1542" s="147" t="s">
        <v>358</v>
      </c>
    </row>
    <row r="1543" spans="4:5" ht="15">
      <c r="D1543" s="147">
        <v>10128581</v>
      </c>
      <c r="E1543" s="147" t="s">
        <v>358</v>
      </c>
    </row>
    <row r="1544" spans="4:5" ht="15">
      <c r="D1544" s="147">
        <v>10128582</v>
      </c>
      <c r="E1544" s="147" t="s">
        <v>361</v>
      </c>
    </row>
    <row r="1545" spans="4:5" ht="15">
      <c r="D1545" s="147">
        <v>10128595</v>
      </c>
      <c r="E1545" s="147" t="s">
        <v>361</v>
      </c>
    </row>
    <row r="1546" spans="4:5" ht="15">
      <c r="D1546" s="147">
        <v>10128596</v>
      </c>
      <c r="E1546" s="147" t="s">
        <v>353</v>
      </c>
    </row>
    <row r="1547" spans="4:5" ht="15">
      <c r="D1547" s="147">
        <v>10128597</v>
      </c>
      <c r="E1547" s="147" t="s">
        <v>358</v>
      </c>
    </row>
    <row r="1548" spans="4:5" ht="15">
      <c r="D1548" s="147">
        <v>10128598</v>
      </c>
      <c r="E1548" s="147" t="s">
        <v>361</v>
      </c>
    </row>
    <row r="1549" spans="4:5" ht="15">
      <c r="D1549" s="147">
        <v>10128599</v>
      </c>
      <c r="E1549" s="147" t="s">
        <v>354</v>
      </c>
    </row>
    <row r="1550" spans="4:5" ht="15">
      <c r="D1550" s="147">
        <v>10128600</v>
      </c>
      <c r="E1550" s="147" t="s">
        <v>358</v>
      </c>
    </row>
    <row r="1551" spans="4:5" ht="15">
      <c r="D1551" s="147">
        <v>10128579</v>
      </c>
      <c r="E1551" s="147" t="s">
        <v>354</v>
      </c>
    </row>
    <row r="1552" spans="4:5" ht="15">
      <c r="D1552" s="147">
        <v>10128580</v>
      </c>
      <c r="E1552" s="147" t="s">
        <v>358</v>
      </c>
    </row>
    <row r="1553" spans="4:5" ht="15">
      <c r="D1553" s="147">
        <v>10128581</v>
      </c>
      <c r="E1553" s="147" t="s">
        <v>358</v>
      </c>
    </row>
    <row r="1554" spans="4:5" ht="15">
      <c r="D1554" s="147">
        <v>10128582</v>
      </c>
      <c r="E1554" s="147" t="s">
        <v>361</v>
      </c>
    </row>
    <row r="1555" spans="4:5" ht="15">
      <c r="D1555" s="147">
        <v>10128595</v>
      </c>
      <c r="E1555" s="147" t="s">
        <v>361</v>
      </c>
    </row>
    <row r="1556" spans="4:5" ht="15">
      <c r="D1556" s="147">
        <v>10128596</v>
      </c>
      <c r="E1556" s="147" t="s">
        <v>353</v>
      </c>
    </row>
    <row r="1557" spans="4:5" ht="15">
      <c r="D1557" s="147">
        <v>10128597</v>
      </c>
      <c r="E1557" s="147" t="s">
        <v>358</v>
      </c>
    </row>
    <row r="1558" spans="4:5" ht="15">
      <c r="D1558" s="147">
        <v>10128598</v>
      </c>
      <c r="E1558" s="147" t="s">
        <v>361</v>
      </c>
    </row>
    <row r="1559" spans="4:5" ht="15">
      <c r="D1559" s="147">
        <v>10128599</v>
      </c>
      <c r="E1559" s="147" t="s">
        <v>354</v>
      </c>
    </row>
    <row r="1560" spans="4:5" ht="15">
      <c r="D1560" s="147">
        <v>10128600</v>
      </c>
      <c r="E1560" s="147" t="s">
        <v>358</v>
      </c>
    </row>
    <row r="1561" spans="4:5" ht="15">
      <c r="D1561" s="147">
        <v>10128579</v>
      </c>
      <c r="E1561" s="147" t="s">
        <v>354</v>
      </c>
    </row>
    <row r="1562" spans="4:5" ht="15">
      <c r="D1562" s="147">
        <v>10128580</v>
      </c>
      <c r="E1562" s="147" t="s">
        <v>358</v>
      </c>
    </row>
    <row r="1563" spans="4:5" ht="15">
      <c r="D1563" s="147">
        <v>10128581</v>
      </c>
      <c r="E1563" s="147" t="s">
        <v>358</v>
      </c>
    </row>
    <row r="1564" spans="4:5" ht="15">
      <c r="D1564" s="147">
        <v>10128582</v>
      </c>
      <c r="E1564" s="147" t="s">
        <v>361</v>
      </c>
    </row>
    <row r="1565" spans="4:5" ht="15">
      <c r="D1565" s="147">
        <v>10128595</v>
      </c>
      <c r="E1565" s="147" t="s">
        <v>361</v>
      </c>
    </row>
    <row r="1566" spans="4:5" ht="15">
      <c r="D1566" s="147">
        <v>10128596</v>
      </c>
      <c r="E1566" s="147" t="s">
        <v>353</v>
      </c>
    </row>
    <row r="1567" spans="4:5" ht="15">
      <c r="D1567" s="147">
        <v>10128597</v>
      </c>
      <c r="E1567" s="147" t="s">
        <v>358</v>
      </c>
    </row>
    <row r="1568" spans="4:5" ht="15">
      <c r="D1568" s="147">
        <v>10128598</v>
      </c>
      <c r="E1568" s="147" t="s">
        <v>361</v>
      </c>
    </row>
    <row r="1569" spans="4:5" ht="15">
      <c r="D1569" s="147">
        <v>10128599</v>
      </c>
      <c r="E1569" s="147" t="s">
        <v>354</v>
      </c>
    </row>
    <row r="1570" spans="4:5" ht="15">
      <c r="D1570" s="147">
        <v>10128600</v>
      </c>
      <c r="E1570" s="147" t="s">
        <v>358</v>
      </c>
    </row>
    <row r="1571" spans="4:5" ht="15">
      <c r="D1571" s="147">
        <v>10128579</v>
      </c>
      <c r="E1571" s="147" t="s">
        <v>354</v>
      </c>
    </row>
    <row r="1572" spans="4:5" ht="15">
      <c r="D1572" s="147">
        <v>10128580</v>
      </c>
      <c r="E1572" s="147" t="s">
        <v>358</v>
      </c>
    </row>
    <row r="1573" spans="4:5" ht="15">
      <c r="D1573" s="147">
        <v>10128581</v>
      </c>
      <c r="E1573" s="147" t="s">
        <v>358</v>
      </c>
    </row>
    <row r="1574" spans="4:5" ht="15">
      <c r="D1574" s="147">
        <v>10128582</v>
      </c>
      <c r="E1574" s="147" t="s">
        <v>361</v>
      </c>
    </row>
    <row r="1575" spans="4:5" ht="15">
      <c r="D1575" s="147">
        <v>10128595</v>
      </c>
      <c r="E1575" s="147" t="s">
        <v>361</v>
      </c>
    </row>
    <row r="1576" spans="4:5" ht="15">
      <c r="D1576" s="147">
        <v>10128596</v>
      </c>
      <c r="E1576" s="147" t="s">
        <v>353</v>
      </c>
    </row>
    <row r="1577" spans="4:5" ht="15">
      <c r="D1577" s="147">
        <v>10128597</v>
      </c>
      <c r="E1577" s="147" t="s">
        <v>358</v>
      </c>
    </row>
    <row r="1578" spans="4:5" ht="15">
      <c r="D1578" s="147">
        <v>10128598</v>
      </c>
      <c r="E1578" s="147" t="s">
        <v>361</v>
      </c>
    </row>
    <row r="1579" spans="4:5" ht="15">
      <c r="D1579" s="147">
        <v>10128599</v>
      </c>
      <c r="E1579" s="147" t="s">
        <v>354</v>
      </c>
    </row>
    <row r="1580" spans="4:5" ht="15">
      <c r="D1580" s="147">
        <v>10128600</v>
      </c>
      <c r="E1580" s="147" t="s">
        <v>358</v>
      </c>
    </row>
    <row r="1581" spans="4:5" ht="15">
      <c r="D1581" s="147">
        <v>10128579</v>
      </c>
      <c r="E1581" s="147" t="s">
        <v>354</v>
      </c>
    </row>
    <row r="1582" spans="4:5" ht="15">
      <c r="D1582" s="147">
        <v>10128580</v>
      </c>
      <c r="E1582" s="147" t="s">
        <v>358</v>
      </c>
    </row>
    <row r="1583" spans="4:5" ht="15">
      <c r="D1583" s="147">
        <v>10128581</v>
      </c>
      <c r="E1583" s="147" t="s">
        <v>358</v>
      </c>
    </row>
    <row r="1584" spans="4:5" ht="15">
      <c r="D1584" s="147">
        <v>10128582</v>
      </c>
      <c r="E1584" s="147" t="s">
        <v>361</v>
      </c>
    </row>
    <row r="1585" spans="4:5" ht="15">
      <c r="D1585" s="147">
        <v>10128595</v>
      </c>
      <c r="E1585" s="147" t="s">
        <v>361</v>
      </c>
    </row>
    <row r="1586" spans="4:5" ht="15">
      <c r="D1586" s="147">
        <v>10128596</v>
      </c>
      <c r="E1586" s="147" t="s">
        <v>353</v>
      </c>
    </row>
    <row r="1587" spans="4:5" ht="15">
      <c r="D1587" s="147">
        <v>10128597</v>
      </c>
      <c r="E1587" s="147" t="s">
        <v>358</v>
      </c>
    </row>
    <row r="1588" spans="4:5" ht="15">
      <c r="D1588" s="147">
        <v>10128598</v>
      </c>
      <c r="E1588" s="147" t="s">
        <v>361</v>
      </c>
    </row>
    <row r="1589" spans="4:5" ht="15">
      <c r="D1589" s="147">
        <v>10128599</v>
      </c>
      <c r="E1589" s="147" t="s">
        <v>354</v>
      </c>
    </row>
    <row r="1590" spans="4:5" ht="15">
      <c r="D1590" s="147">
        <v>10128600</v>
      </c>
      <c r="E1590" s="147" t="s">
        <v>358</v>
      </c>
    </row>
    <row r="1591" spans="4:5" ht="15">
      <c r="D1591" s="147">
        <v>10128579</v>
      </c>
      <c r="E1591" s="147" t="s">
        <v>354</v>
      </c>
    </row>
    <row r="1592" spans="4:5" ht="15">
      <c r="D1592" s="147">
        <v>10128580</v>
      </c>
      <c r="E1592" s="147" t="s">
        <v>358</v>
      </c>
    </row>
    <row r="1593" spans="4:5" ht="15">
      <c r="D1593" s="147">
        <v>10128581</v>
      </c>
      <c r="E1593" s="147" t="s">
        <v>358</v>
      </c>
    </row>
    <row r="1594" spans="4:5" ht="15">
      <c r="D1594" s="147">
        <v>10128582</v>
      </c>
      <c r="E1594" s="147" t="s">
        <v>361</v>
      </c>
    </row>
    <row r="1595" spans="4:5" ht="15">
      <c r="D1595" s="147">
        <v>10128595</v>
      </c>
      <c r="E1595" s="147" t="s">
        <v>361</v>
      </c>
    </row>
    <row r="1596" spans="4:5" ht="15">
      <c r="D1596" s="147">
        <v>10128596</v>
      </c>
      <c r="E1596" s="147" t="s">
        <v>353</v>
      </c>
    </row>
    <row r="1597" spans="4:5" ht="15">
      <c r="D1597" s="147">
        <v>10128597</v>
      </c>
      <c r="E1597" s="147" t="s">
        <v>358</v>
      </c>
    </row>
    <row r="1598" spans="4:5" ht="15">
      <c r="D1598" s="147">
        <v>10128598</v>
      </c>
      <c r="E1598" s="147" t="s">
        <v>361</v>
      </c>
    </row>
    <row r="1599" spans="4:5" ht="15">
      <c r="D1599" s="147">
        <v>10128599</v>
      </c>
      <c r="E1599" s="147" t="s">
        <v>354</v>
      </c>
    </row>
    <row r="1600" spans="4:5" ht="15">
      <c r="D1600" s="147">
        <v>10128600</v>
      </c>
      <c r="E1600" s="147" t="s">
        <v>358</v>
      </c>
    </row>
    <row r="1601" spans="4:5" ht="15">
      <c r="D1601" s="147">
        <v>10128579</v>
      </c>
      <c r="E1601" s="147" t="s">
        <v>354</v>
      </c>
    </row>
    <row r="1602" spans="4:5" ht="15">
      <c r="D1602" s="147">
        <v>10128580</v>
      </c>
      <c r="E1602" s="147" t="s">
        <v>358</v>
      </c>
    </row>
    <row r="1603" spans="4:5" ht="15">
      <c r="D1603" s="147">
        <v>10128581</v>
      </c>
      <c r="E1603" s="147" t="s">
        <v>358</v>
      </c>
    </row>
    <row r="1604" spans="4:5" ht="15">
      <c r="D1604" s="147">
        <v>10128582</v>
      </c>
      <c r="E1604" s="147" t="s">
        <v>361</v>
      </c>
    </row>
    <row r="1605" spans="4:5" ht="15">
      <c r="D1605" s="147">
        <v>10128595</v>
      </c>
      <c r="E1605" s="147" t="s">
        <v>361</v>
      </c>
    </row>
    <row r="1606" spans="4:5" ht="15">
      <c r="D1606" s="147">
        <v>10128596</v>
      </c>
      <c r="E1606" s="147" t="s">
        <v>353</v>
      </c>
    </row>
    <row r="1607" spans="4:5" ht="15">
      <c r="D1607" s="147">
        <v>10128597</v>
      </c>
      <c r="E1607" s="147" t="s">
        <v>358</v>
      </c>
    </row>
    <row r="1608" spans="4:5" ht="15">
      <c r="D1608" s="147">
        <v>10128598</v>
      </c>
      <c r="E1608" s="147" t="s">
        <v>361</v>
      </c>
    </row>
    <row r="1609" spans="4:5" ht="15">
      <c r="D1609" s="147">
        <v>10128599</v>
      </c>
      <c r="E1609" s="147" t="s">
        <v>354</v>
      </c>
    </row>
    <row r="1610" spans="4:5" ht="15">
      <c r="D1610" s="147">
        <v>10128600</v>
      </c>
      <c r="E1610" s="147" t="s">
        <v>358</v>
      </c>
    </row>
    <row r="1611" spans="4:5" ht="15">
      <c r="D1611" s="147">
        <v>10128579</v>
      </c>
      <c r="E1611" s="147" t="s">
        <v>354</v>
      </c>
    </row>
    <row r="1612" spans="4:5" ht="15">
      <c r="D1612" s="147">
        <v>10128580</v>
      </c>
      <c r="E1612" s="147" t="s">
        <v>358</v>
      </c>
    </row>
    <row r="1613" spans="4:5" ht="15">
      <c r="D1613" s="147">
        <v>10128581</v>
      </c>
      <c r="E1613" s="147" t="s">
        <v>358</v>
      </c>
    </row>
    <row r="1614" spans="4:5" ht="15">
      <c r="D1614" s="147">
        <v>10128582</v>
      </c>
      <c r="E1614" s="147" t="s">
        <v>361</v>
      </c>
    </row>
    <row r="1615" spans="4:5" ht="15">
      <c r="D1615" s="147">
        <v>10128595</v>
      </c>
      <c r="E1615" s="147" t="s">
        <v>361</v>
      </c>
    </row>
    <row r="1616" spans="4:5" ht="15">
      <c r="D1616" s="147">
        <v>10128596</v>
      </c>
      <c r="E1616" s="147" t="s">
        <v>353</v>
      </c>
    </row>
    <row r="1617" spans="4:5" ht="15">
      <c r="D1617" s="147">
        <v>10128597</v>
      </c>
      <c r="E1617" s="147" t="s">
        <v>358</v>
      </c>
    </row>
    <row r="1618" spans="4:5" ht="15">
      <c r="D1618" s="147">
        <v>10128598</v>
      </c>
      <c r="E1618" s="147" t="s">
        <v>361</v>
      </c>
    </row>
    <row r="1619" spans="4:5" ht="15">
      <c r="D1619" s="147">
        <v>10128599</v>
      </c>
      <c r="E1619" s="147" t="s">
        <v>354</v>
      </c>
    </row>
    <row r="1620" spans="4:5" ht="15">
      <c r="D1620" s="147">
        <v>10128600</v>
      </c>
      <c r="E1620" s="147" t="s">
        <v>358</v>
      </c>
    </row>
    <row r="1621" spans="4:5" ht="15">
      <c r="D1621" s="147">
        <v>10128579</v>
      </c>
      <c r="E1621" s="147" t="s">
        <v>354</v>
      </c>
    </row>
    <row r="1622" spans="4:5" ht="15">
      <c r="D1622" s="147">
        <v>10128580</v>
      </c>
      <c r="E1622" s="147" t="s">
        <v>358</v>
      </c>
    </row>
    <row r="1623" spans="4:5" ht="15">
      <c r="D1623" s="147">
        <v>10128581</v>
      </c>
      <c r="E1623" s="147" t="s">
        <v>358</v>
      </c>
    </row>
    <row r="1624" spans="4:5" ht="15">
      <c r="D1624" s="147">
        <v>10128582</v>
      </c>
      <c r="E1624" s="147" t="s">
        <v>361</v>
      </c>
    </row>
    <row r="1625" spans="4:5" ht="15">
      <c r="D1625" s="147">
        <v>10128595</v>
      </c>
      <c r="E1625" s="147" t="s">
        <v>361</v>
      </c>
    </row>
    <row r="1626" spans="4:5" ht="15">
      <c r="D1626" s="147">
        <v>10128596</v>
      </c>
      <c r="E1626" s="147" t="s">
        <v>353</v>
      </c>
    </row>
    <row r="1627" spans="4:5" ht="15">
      <c r="D1627" s="147">
        <v>10128597</v>
      </c>
      <c r="E1627" s="147" t="s">
        <v>358</v>
      </c>
    </row>
    <row r="1628" spans="4:5" ht="15">
      <c r="D1628" s="147">
        <v>10128598</v>
      </c>
      <c r="E1628" s="147" t="s">
        <v>361</v>
      </c>
    </row>
    <row r="1629" spans="4:5" ht="15">
      <c r="D1629" s="147">
        <v>10128599</v>
      </c>
      <c r="E1629" s="147" t="s">
        <v>354</v>
      </c>
    </row>
    <row r="1630" spans="4:5" ht="15">
      <c r="D1630" s="147">
        <v>10128600</v>
      </c>
      <c r="E1630" s="147" t="s">
        <v>358</v>
      </c>
    </row>
    <row r="1631" spans="4:5" ht="15">
      <c r="D1631" s="147">
        <v>10128579</v>
      </c>
      <c r="E1631" s="147" t="s">
        <v>354</v>
      </c>
    </row>
    <row r="1632" spans="4:5" ht="15">
      <c r="D1632" s="147">
        <v>10128580</v>
      </c>
      <c r="E1632" s="147" t="s">
        <v>358</v>
      </c>
    </row>
    <row r="1633" spans="4:5" ht="15">
      <c r="D1633" s="147">
        <v>10128581</v>
      </c>
      <c r="E1633" s="147" t="s">
        <v>358</v>
      </c>
    </row>
    <row r="1634" spans="4:5" ht="15">
      <c r="D1634" s="147">
        <v>10128582</v>
      </c>
      <c r="E1634" s="147" t="s">
        <v>361</v>
      </c>
    </row>
    <row r="1635" spans="4:5" ht="15">
      <c r="D1635" s="147">
        <v>10128595</v>
      </c>
      <c r="E1635" s="147" t="s">
        <v>361</v>
      </c>
    </row>
    <row r="1636" spans="4:5" ht="15">
      <c r="D1636" s="147">
        <v>10128596</v>
      </c>
      <c r="E1636" s="147" t="s">
        <v>353</v>
      </c>
    </row>
    <row r="1637" spans="4:5" ht="15">
      <c r="D1637" s="147">
        <v>10128597</v>
      </c>
      <c r="E1637" s="147" t="s">
        <v>358</v>
      </c>
    </row>
    <row r="1638" spans="4:5" ht="15">
      <c r="D1638" s="147">
        <v>10128598</v>
      </c>
      <c r="E1638" s="147" t="s">
        <v>361</v>
      </c>
    </row>
    <row r="1639" spans="4:5" ht="15">
      <c r="D1639" s="147">
        <v>10128599</v>
      </c>
      <c r="E1639" s="147" t="s">
        <v>354</v>
      </c>
    </row>
    <row r="1640" spans="4:5" ht="15">
      <c r="D1640" s="147">
        <v>10128600</v>
      </c>
      <c r="E1640" s="147" t="s">
        <v>358</v>
      </c>
    </row>
    <row r="1641" spans="4:5" ht="15">
      <c r="D1641" s="147">
        <v>10128579</v>
      </c>
      <c r="E1641" s="147" t="s">
        <v>354</v>
      </c>
    </row>
    <row r="1642" spans="4:5" ht="15">
      <c r="D1642" s="147">
        <v>10128580</v>
      </c>
      <c r="E1642" s="147" t="s">
        <v>358</v>
      </c>
    </row>
    <row r="1643" spans="4:5" ht="15">
      <c r="D1643" s="147">
        <v>10128581</v>
      </c>
      <c r="E1643" s="147" t="s">
        <v>358</v>
      </c>
    </row>
    <row r="1644" spans="4:5" ht="15">
      <c r="D1644" s="147">
        <v>10128582</v>
      </c>
      <c r="E1644" s="147" t="s">
        <v>361</v>
      </c>
    </row>
    <row r="1645" spans="4:5" ht="15">
      <c r="D1645" s="147">
        <v>10128595</v>
      </c>
      <c r="E1645" s="147" t="s">
        <v>361</v>
      </c>
    </row>
    <row r="1646" spans="4:5" ht="15">
      <c r="D1646" s="147">
        <v>10128596</v>
      </c>
      <c r="E1646" s="147" t="s">
        <v>353</v>
      </c>
    </row>
    <row r="1647" spans="4:5" ht="15">
      <c r="D1647" s="147">
        <v>10128597</v>
      </c>
      <c r="E1647" s="147" t="s">
        <v>358</v>
      </c>
    </row>
    <row r="1648" spans="4:5" ht="15">
      <c r="D1648" s="147">
        <v>10128598</v>
      </c>
      <c r="E1648" s="147" t="s">
        <v>361</v>
      </c>
    </row>
    <row r="1649" spans="4:5" ht="15">
      <c r="D1649" s="147">
        <v>10128599</v>
      </c>
      <c r="E1649" s="147" t="s">
        <v>354</v>
      </c>
    </row>
    <row r="1650" spans="4:5" ht="15">
      <c r="D1650" s="147">
        <v>10128600</v>
      </c>
      <c r="E1650" s="147" t="s">
        <v>358</v>
      </c>
    </row>
    <row r="1651" spans="4:5" ht="15">
      <c r="D1651" s="147">
        <v>10128579</v>
      </c>
      <c r="E1651" s="147" t="s">
        <v>354</v>
      </c>
    </row>
    <row r="1652" spans="4:5" ht="15">
      <c r="D1652" s="147">
        <v>10128580</v>
      </c>
      <c r="E1652" s="147" t="s">
        <v>358</v>
      </c>
    </row>
    <row r="1653" spans="4:5" ht="15">
      <c r="D1653" s="147">
        <v>10128581</v>
      </c>
      <c r="E1653" s="147" t="s">
        <v>358</v>
      </c>
    </row>
    <row r="1654" spans="4:5" ht="15">
      <c r="D1654" s="147">
        <v>10128582</v>
      </c>
      <c r="E1654" s="147" t="s">
        <v>361</v>
      </c>
    </row>
    <row r="1655" spans="4:5" ht="15">
      <c r="D1655" s="147">
        <v>10128595</v>
      </c>
      <c r="E1655" s="147" t="s">
        <v>361</v>
      </c>
    </row>
    <row r="1656" spans="4:5" ht="15">
      <c r="D1656" s="147">
        <v>10128596</v>
      </c>
      <c r="E1656" s="147" t="s">
        <v>353</v>
      </c>
    </row>
    <row r="1657" spans="4:5" ht="15">
      <c r="D1657" s="147">
        <v>10128597</v>
      </c>
      <c r="E1657" s="147" t="s">
        <v>358</v>
      </c>
    </row>
    <row r="1658" spans="4:5" ht="15">
      <c r="D1658" s="147">
        <v>10128598</v>
      </c>
      <c r="E1658" s="147" t="s">
        <v>361</v>
      </c>
    </row>
    <row r="1659" spans="4:5" ht="15">
      <c r="D1659" s="147">
        <v>10128599</v>
      </c>
      <c r="E1659" s="147" t="s">
        <v>354</v>
      </c>
    </row>
    <row r="1660" spans="4:5" ht="15">
      <c r="D1660" s="147">
        <v>10128600</v>
      </c>
      <c r="E1660" s="147" t="s">
        <v>358</v>
      </c>
    </row>
    <row r="1661" spans="4:5" ht="15">
      <c r="D1661" s="147">
        <v>10128579</v>
      </c>
      <c r="E1661" s="147" t="s">
        <v>354</v>
      </c>
    </row>
    <row r="1662" spans="4:5" ht="15">
      <c r="D1662" s="147">
        <v>10128580</v>
      </c>
      <c r="E1662" s="147" t="s">
        <v>358</v>
      </c>
    </row>
    <row r="1663" spans="4:5" ht="15">
      <c r="D1663" s="147">
        <v>10128581</v>
      </c>
      <c r="E1663" s="147" t="s">
        <v>358</v>
      </c>
    </row>
    <row r="1664" spans="4:5" ht="15">
      <c r="D1664" s="147">
        <v>10128582</v>
      </c>
      <c r="E1664" s="147" t="s">
        <v>361</v>
      </c>
    </row>
    <row r="1665" spans="4:5" ht="15">
      <c r="D1665" s="147">
        <v>10128595</v>
      </c>
      <c r="E1665" s="147" t="s">
        <v>361</v>
      </c>
    </row>
    <row r="1666" spans="4:5" ht="15">
      <c r="D1666" s="147">
        <v>10128596</v>
      </c>
      <c r="E1666" s="147" t="s">
        <v>353</v>
      </c>
    </row>
    <row r="1667" spans="4:5" ht="15">
      <c r="D1667" s="147">
        <v>10128597</v>
      </c>
      <c r="E1667" s="147" t="s">
        <v>358</v>
      </c>
    </row>
    <row r="1668" spans="4:5" ht="15">
      <c r="D1668" s="147">
        <v>10128598</v>
      </c>
      <c r="E1668" s="147" t="s">
        <v>361</v>
      </c>
    </row>
    <row r="1669" spans="4:5" ht="15">
      <c r="D1669" s="147">
        <v>10128599</v>
      </c>
      <c r="E1669" s="147" t="s">
        <v>354</v>
      </c>
    </row>
    <row r="1670" spans="4:5" ht="15">
      <c r="D1670" s="147">
        <v>10128600</v>
      </c>
      <c r="E1670" s="147" t="s">
        <v>358</v>
      </c>
    </row>
    <row r="1671" spans="4:5" ht="15">
      <c r="D1671" s="147">
        <v>10128579</v>
      </c>
      <c r="E1671" s="147" t="s">
        <v>354</v>
      </c>
    </row>
    <row r="1672" spans="4:5" ht="15">
      <c r="D1672" s="147">
        <v>10128580</v>
      </c>
      <c r="E1672" s="147" t="s">
        <v>358</v>
      </c>
    </row>
    <row r="1673" spans="4:5" ht="15">
      <c r="D1673" s="147">
        <v>10128581</v>
      </c>
      <c r="E1673" s="147" t="s">
        <v>358</v>
      </c>
    </row>
    <row r="1674" spans="4:5" ht="15">
      <c r="D1674" s="147">
        <v>10128582</v>
      </c>
      <c r="E1674" s="147" t="s">
        <v>361</v>
      </c>
    </row>
    <row r="1675" spans="4:5" ht="15">
      <c r="D1675" s="147">
        <v>10128595</v>
      </c>
      <c r="E1675" s="147" t="s">
        <v>361</v>
      </c>
    </row>
    <row r="1676" spans="4:5" ht="15">
      <c r="D1676" s="147">
        <v>10128596</v>
      </c>
      <c r="E1676" s="147" t="s">
        <v>353</v>
      </c>
    </row>
    <row r="1677" spans="4:5" ht="15">
      <c r="D1677" s="147">
        <v>10128597</v>
      </c>
      <c r="E1677" s="147" t="s">
        <v>358</v>
      </c>
    </row>
    <row r="1678" spans="4:5" ht="15">
      <c r="D1678" s="147">
        <v>10128598</v>
      </c>
      <c r="E1678" s="147" t="s">
        <v>361</v>
      </c>
    </row>
    <row r="1679" spans="4:5" ht="15">
      <c r="D1679" s="147">
        <v>10128599</v>
      </c>
      <c r="E1679" s="147" t="s">
        <v>354</v>
      </c>
    </row>
    <row r="1680" spans="4:5" ht="15">
      <c r="D1680" s="147">
        <v>10128600</v>
      </c>
      <c r="E1680" s="147" t="s">
        <v>358</v>
      </c>
    </row>
    <row r="1681" spans="4:5" ht="15">
      <c r="D1681" s="147">
        <v>10128579</v>
      </c>
      <c r="E1681" s="147" t="s">
        <v>354</v>
      </c>
    </row>
    <row r="1682" spans="4:5" ht="15">
      <c r="D1682" s="147">
        <v>10128580</v>
      </c>
      <c r="E1682" s="147" t="s">
        <v>358</v>
      </c>
    </row>
    <row r="1683" spans="4:5" ht="15">
      <c r="D1683" s="147">
        <v>10128581</v>
      </c>
      <c r="E1683" s="147" t="s">
        <v>358</v>
      </c>
    </row>
    <row r="1684" spans="4:5" ht="15">
      <c r="D1684" s="147">
        <v>10128582</v>
      </c>
      <c r="E1684" s="147" t="s">
        <v>361</v>
      </c>
    </row>
    <row r="1685" spans="4:5" ht="15">
      <c r="D1685" s="147">
        <v>10128595</v>
      </c>
      <c r="E1685" s="147" t="s">
        <v>361</v>
      </c>
    </row>
    <row r="1686" spans="4:5" ht="15">
      <c r="D1686" s="147">
        <v>10128596</v>
      </c>
      <c r="E1686" s="147" t="s">
        <v>353</v>
      </c>
    </row>
    <row r="1687" spans="4:5" ht="15">
      <c r="D1687" s="147">
        <v>10128597</v>
      </c>
      <c r="E1687" s="147" t="s">
        <v>358</v>
      </c>
    </row>
    <row r="1688" spans="4:5" ht="15">
      <c r="D1688" s="147">
        <v>10128598</v>
      </c>
      <c r="E1688" s="147" t="s">
        <v>361</v>
      </c>
    </row>
    <row r="1689" spans="4:5" ht="15">
      <c r="D1689" s="147">
        <v>10128599</v>
      </c>
      <c r="E1689" s="147" t="s">
        <v>354</v>
      </c>
    </row>
    <row r="1690" spans="4:5" ht="15">
      <c r="D1690" s="147">
        <v>10128600</v>
      </c>
      <c r="E1690" s="147" t="s">
        <v>358</v>
      </c>
    </row>
    <row r="1691" spans="4:5" ht="15">
      <c r="D1691" s="147">
        <v>10128579</v>
      </c>
      <c r="E1691" s="147" t="s">
        <v>354</v>
      </c>
    </row>
    <row r="1692" spans="4:5" ht="15">
      <c r="D1692" s="147">
        <v>10128580</v>
      </c>
      <c r="E1692" s="147" t="s">
        <v>358</v>
      </c>
    </row>
    <row r="1693" spans="4:5" ht="15">
      <c r="D1693" s="147">
        <v>10128581</v>
      </c>
      <c r="E1693" s="147" t="s">
        <v>358</v>
      </c>
    </row>
    <row r="1694" spans="4:5" ht="15">
      <c r="D1694" s="147">
        <v>10128582</v>
      </c>
      <c r="E1694" s="147" t="s">
        <v>361</v>
      </c>
    </row>
    <row r="1695" spans="4:5" ht="15">
      <c r="D1695" s="147">
        <v>10128595</v>
      </c>
      <c r="E1695" s="147" t="s">
        <v>361</v>
      </c>
    </row>
    <row r="1696" spans="4:5" ht="15">
      <c r="D1696" s="147">
        <v>10128596</v>
      </c>
      <c r="E1696" s="147" t="s">
        <v>353</v>
      </c>
    </row>
    <row r="1697" spans="4:5" ht="15">
      <c r="D1697" s="147">
        <v>10128597</v>
      </c>
      <c r="E1697" s="147" t="s">
        <v>358</v>
      </c>
    </row>
    <row r="1698" spans="4:5" ht="15">
      <c r="D1698" s="147">
        <v>10128598</v>
      </c>
      <c r="E1698" s="147" t="s">
        <v>361</v>
      </c>
    </row>
    <row r="1699" spans="4:5" ht="15">
      <c r="D1699" s="147">
        <v>10128599</v>
      </c>
      <c r="E1699" s="147" t="s">
        <v>354</v>
      </c>
    </row>
    <row r="1700" spans="4:5" ht="15">
      <c r="D1700" s="147">
        <v>10128600</v>
      </c>
      <c r="E1700" s="147" t="s">
        <v>358</v>
      </c>
    </row>
    <row r="1701" spans="4:5" ht="15">
      <c r="D1701" s="147">
        <v>10128579</v>
      </c>
      <c r="E1701" s="147" t="s">
        <v>354</v>
      </c>
    </row>
    <row r="1702" spans="4:5" ht="15">
      <c r="D1702" s="147">
        <v>10128580</v>
      </c>
      <c r="E1702" s="147" t="s">
        <v>358</v>
      </c>
    </row>
    <row r="1703" spans="4:5" ht="15">
      <c r="D1703" s="147">
        <v>10128581</v>
      </c>
      <c r="E1703" s="147" t="s">
        <v>358</v>
      </c>
    </row>
    <row r="1704" spans="4:5" ht="15">
      <c r="D1704" s="147">
        <v>10128582</v>
      </c>
      <c r="E1704" s="147" t="s">
        <v>361</v>
      </c>
    </row>
    <row r="1705" spans="4:5" ht="15">
      <c r="D1705" s="147">
        <v>10128595</v>
      </c>
      <c r="E1705" s="147" t="s">
        <v>361</v>
      </c>
    </row>
    <row r="1706" spans="4:5" ht="15">
      <c r="D1706" s="147">
        <v>10128596</v>
      </c>
      <c r="E1706" s="147" t="s">
        <v>353</v>
      </c>
    </row>
    <row r="1707" spans="4:5" ht="15">
      <c r="D1707" s="147">
        <v>10128597</v>
      </c>
      <c r="E1707" s="147" t="s">
        <v>358</v>
      </c>
    </row>
    <row r="1708" spans="4:5" ht="15">
      <c r="D1708" s="147">
        <v>10128598</v>
      </c>
      <c r="E1708" s="147" t="s">
        <v>361</v>
      </c>
    </row>
    <row r="1709" spans="4:5" ht="15">
      <c r="D1709" s="147">
        <v>10128599</v>
      </c>
      <c r="E1709" s="147" t="s">
        <v>354</v>
      </c>
    </row>
    <row r="1710" spans="4:5" ht="15">
      <c r="D1710" s="147">
        <v>10128600</v>
      </c>
      <c r="E1710" s="147" t="s">
        <v>358</v>
      </c>
    </row>
    <row r="1711" spans="4:5" ht="15">
      <c r="D1711" s="147">
        <v>10128579</v>
      </c>
      <c r="E1711" s="147" t="s">
        <v>354</v>
      </c>
    </row>
    <row r="1712" spans="4:5" ht="15">
      <c r="D1712" s="147">
        <v>10128580</v>
      </c>
      <c r="E1712" s="147" t="s">
        <v>358</v>
      </c>
    </row>
    <row r="1713" spans="4:5" ht="15">
      <c r="D1713" s="147">
        <v>10128581</v>
      </c>
      <c r="E1713" s="147" t="s">
        <v>358</v>
      </c>
    </row>
    <row r="1714" spans="4:5" ht="15">
      <c r="D1714" s="147">
        <v>10128582</v>
      </c>
      <c r="E1714" s="147" t="s">
        <v>361</v>
      </c>
    </row>
    <row r="1715" spans="4:5" ht="15">
      <c r="D1715" s="147">
        <v>10128595</v>
      </c>
      <c r="E1715" s="147" t="s">
        <v>361</v>
      </c>
    </row>
    <row r="1716" spans="4:5" ht="15">
      <c r="D1716" s="147">
        <v>10128596</v>
      </c>
      <c r="E1716" s="147" t="s">
        <v>353</v>
      </c>
    </row>
    <row r="1717" spans="4:5" ht="15">
      <c r="D1717" s="147">
        <v>10128597</v>
      </c>
      <c r="E1717" s="147" t="s">
        <v>358</v>
      </c>
    </row>
    <row r="1718" spans="4:5" ht="15">
      <c r="D1718" s="147">
        <v>10128598</v>
      </c>
      <c r="E1718" s="147" t="s">
        <v>361</v>
      </c>
    </row>
    <row r="1719" spans="4:5" ht="15">
      <c r="D1719" s="147">
        <v>10128599</v>
      </c>
      <c r="E1719" s="147" t="s">
        <v>354</v>
      </c>
    </row>
    <row r="1720" spans="4:5" ht="15">
      <c r="D1720" s="147">
        <v>10128600</v>
      </c>
      <c r="E1720" s="147" t="s">
        <v>358</v>
      </c>
    </row>
    <row r="1721" spans="4:5" ht="15">
      <c r="D1721" s="147">
        <v>10128579</v>
      </c>
      <c r="E1721" s="147" t="s">
        <v>354</v>
      </c>
    </row>
    <row r="1722" spans="4:5" ht="15">
      <c r="D1722" s="147">
        <v>10128580</v>
      </c>
      <c r="E1722" s="147" t="s">
        <v>358</v>
      </c>
    </row>
    <row r="1723" spans="4:5" ht="15">
      <c r="D1723" s="147">
        <v>10128581</v>
      </c>
      <c r="E1723" s="147" t="s">
        <v>358</v>
      </c>
    </row>
    <row r="1724" spans="4:5" ht="15">
      <c r="D1724" s="147">
        <v>10128582</v>
      </c>
      <c r="E1724" s="147" t="s">
        <v>361</v>
      </c>
    </row>
    <row r="1725" spans="4:5" ht="15">
      <c r="D1725" s="147">
        <v>10128595</v>
      </c>
      <c r="E1725" s="147" t="s">
        <v>361</v>
      </c>
    </row>
    <row r="1726" spans="4:5" ht="15">
      <c r="D1726" s="147">
        <v>10128596</v>
      </c>
      <c r="E1726" s="147" t="s">
        <v>353</v>
      </c>
    </row>
    <row r="1727" spans="4:5" ht="15">
      <c r="D1727" s="147">
        <v>10128597</v>
      </c>
      <c r="E1727" s="147" t="s">
        <v>358</v>
      </c>
    </row>
    <row r="1728" spans="4:5" ht="15">
      <c r="D1728" s="147">
        <v>10128598</v>
      </c>
      <c r="E1728" s="147" t="s">
        <v>361</v>
      </c>
    </row>
    <row r="1729" spans="4:5" ht="15">
      <c r="D1729" s="147">
        <v>10128599</v>
      </c>
      <c r="E1729" s="147" t="s">
        <v>354</v>
      </c>
    </row>
    <row r="1730" spans="4:5" ht="15">
      <c r="D1730" s="147">
        <v>10128600</v>
      </c>
      <c r="E1730" s="147" t="s">
        <v>358</v>
      </c>
    </row>
    <row r="1731" spans="4:5" ht="15">
      <c r="D1731" s="147">
        <v>10128579</v>
      </c>
      <c r="E1731" s="147" t="s">
        <v>354</v>
      </c>
    </row>
    <row r="1732" spans="4:5" ht="15">
      <c r="D1732" s="147">
        <v>10128580</v>
      </c>
      <c r="E1732" s="147" t="s">
        <v>358</v>
      </c>
    </row>
    <row r="1733" spans="4:5" ht="15">
      <c r="D1733" s="147">
        <v>10128581</v>
      </c>
      <c r="E1733" s="147" t="s">
        <v>358</v>
      </c>
    </row>
    <row r="1734" spans="4:5" ht="15">
      <c r="D1734" s="147">
        <v>10128582</v>
      </c>
      <c r="E1734" s="147" t="s">
        <v>361</v>
      </c>
    </row>
    <row r="1735" spans="4:5" ht="15">
      <c r="D1735" s="147">
        <v>10128595</v>
      </c>
      <c r="E1735" s="147" t="s">
        <v>361</v>
      </c>
    </row>
    <row r="1736" spans="4:5" ht="15">
      <c r="D1736" s="147">
        <v>10128596</v>
      </c>
      <c r="E1736" s="147" t="s">
        <v>353</v>
      </c>
    </row>
    <row r="1737" spans="4:5" ht="15">
      <c r="D1737" s="147">
        <v>10128597</v>
      </c>
      <c r="E1737" s="147" t="s">
        <v>358</v>
      </c>
    </row>
    <row r="1738" spans="4:5" ht="15">
      <c r="D1738" s="147">
        <v>10128598</v>
      </c>
      <c r="E1738" s="147" t="s">
        <v>361</v>
      </c>
    </row>
    <row r="1739" spans="4:5" ht="15">
      <c r="D1739" s="147">
        <v>10128599</v>
      </c>
      <c r="E1739" s="147" t="s">
        <v>354</v>
      </c>
    </row>
    <row r="1740" spans="4:5" ht="15">
      <c r="D1740" s="147">
        <v>10128600</v>
      </c>
      <c r="E1740" s="147" t="s">
        <v>358</v>
      </c>
    </row>
    <row r="1741" spans="4:5" ht="15">
      <c r="D1741" s="147">
        <v>10128579</v>
      </c>
      <c r="E1741" s="147" t="s">
        <v>354</v>
      </c>
    </row>
    <row r="1742" spans="4:5" ht="15">
      <c r="D1742" s="147">
        <v>10128580</v>
      </c>
      <c r="E1742" s="147" t="s">
        <v>358</v>
      </c>
    </row>
    <row r="1743" spans="4:5" ht="15">
      <c r="D1743" s="147">
        <v>10128581</v>
      </c>
      <c r="E1743" s="147" t="s">
        <v>358</v>
      </c>
    </row>
    <row r="1744" spans="4:5" ht="15">
      <c r="D1744" s="147">
        <v>10128582</v>
      </c>
      <c r="E1744" s="147" t="s">
        <v>361</v>
      </c>
    </row>
    <row r="1745" spans="4:5" ht="15">
      <c r="D1745" s="147">
        <v>10128595</v>
      </c>
      <c r="E1745" s="147" t="s">
        <v>361</v>
      </c>
    </row>
    <row r="1746" spans="4:5" ht="15">
      <c r="D1746" s="147">
        <v>10128596</v>
      </c>
      <c r="E1746" s="147" t="s">
        <v>353</v>
      </c>
    </row>
    <row r="1747" spans="4:5" ht="15">
      <c r="D1747" s="147">
        <v>10128597</v>
      </c>
      <c r="E1747" s="147" t="s">
        <v>358</v>
      </c>
    </row>
    <row r="1748" spans="4:5" ht="15">
      <c r="D1748" s="147">
        <v>10128598</v>
      </c>
      <c r="E1748" s="147" t="s">
        <v>361</v>
      </c>
    </row>
    <row r="1749" spans="4:5" ht="15">
      <c r="D1749" s="147">
        <v>10128599</v>
      </c>
      <c r="E1749" s="147" t="s">
        <v>354</v>
      </c>
    </row>
    <row r="1750" spans="4:5" ht="15">
      <c r="D1750" s="147">
        <v>10128600</v>
      </c>
      <c r="E1750" s="147" t="s">
        <v>358</v>
      </c>
    </row>
    <row r="1751" spans="4:5" ht="15">
      <c r="D1751" s="147">
        <v>10128579</v>
      </c>
      <c r="E1751" s="147" t="s">
        <v>354</v>
      </c>
    </row>
    <row r="1752" spans="4:5" ht="15">
      <c r="D1752" s="147">
        <v>10128580</v>
      </c>
      <c r="E1752" s="147" t="s">
        <v>358</v>
      </c>
    </row>
    <row r="1753" spans="4:5" ht="15">
      <c r="D1753" s="147">
        <v>10128581</v>
      </c>
      <c r="E1753" s="147" t="s">
        <v>358</v>
      </c>
    </row>
    <row r="1754" spans="4:5" ht="15">
      <c r="D1754" s="147">
        <v>10128582</v>
      </c>
      <c r="E1754" s="147" t="s">
        <v>361</v>
      </c>
    </row>
    <row r="1755" spans="4:5" ht="15">
      <c r="D1755" s="147">
        <v>10128595</v>
      </c>
      <c r="E1755" s="147" t="s">
        <v>361</v>
      </c>
    </row>
    <row r="1756" spans="4:5" ht="15">
      <c r="D1756" s="147">
        <v>10128596</v>
      </c>
      <c r="E1756" s="147" t="s">
        <v>353</v>
      </c>
    </row>
    <row r="1757" spans="4:5" ht="15">
      <c r="D1757" s="147">
        <v>10128597</v>
      </c>
      <c r="E1757" s="147" t="s">
        <v>358</v>
      </c>
    </row>
    <row r="1758" spans="4:5" ht="15">
      <c r="D1758" s="147">
        <v>10128598</v>
      </c>
      <c r="E1758" s="147" t="s">
        <v>361</v>
      </c>
    </row>
    <row r="1759" spans="4:5" ht="15">
      <c r="D1759" s="147">
        <v>10128599</v>
      </c>
      <c r="E1759" s="147" t="s">
        <v>354</v>
      </c>
    </row>
    <row r="1760" spans="4:5" ht="15">
      <c r="D1760" s="147">
        <v>10128600</v>
      </c>
      <c r="E1760" s="147" t="s">
        <v>358</v>
      </c>
    </row>
    <row r="1761" spans="4:5" ht="15">
      <c r="D1761" s="147">
        <v>10128579</v>
      </c>
      <c r="E1761" s="147" t="s">
        <v>354</v>
      </c>
    </row>
    <row r="1762" spans="4:5" ht="15">
      <c r="D1762" s="147">
        <v>10128580</v>
      </c>
      <c r="E1762" s="147" t="s">
        <v>358</v>
      </c>
    </row>
    <row r="1763" spans="4:5" ht="15">
      <c r="D1763" s="147">
        <v>10128581</v>
      </c>
      <c r="E1763" s="147" t="s">
        <v>358</v>
      </c>
    </row>
    <row r="1764" spans="4:5" ht="15">
      <c r="D1764" s="147">
        <v>10128582</v>
      </c>
      <c r="E1764" s="147" t="s">
        <v>361</v>
      </c>
    </row>
    <row r="1765" spans="4:5" ht="15">
      <c r="D1765" s="147">
        <v>10128595</v>
      </c>
      <c r="E1765" s="147" t="s">
        <v>361</v>
      </c>
    </row>
    <row r="1766" spans="4:5" ht="15">
      <c r="D1766" s="147">
        <v>10128596</v>
      </c>
      <c r="E1766" s="147" t="s">
        <v>353</v>
      </c>
    </row>
    <row r="1767" spans="4:5" ht="15">
      <c r="D1767" s="147">
        <v>10128597</v>
      </c>
      <c r="E1767" s="147" t="s">
        <v>358</v>
      </c>
    </row>
    <row r="1768" spans="4:5" ht="15">
      <c r="D1768" s="147">
        <v>10128598</v>
      </c>
      <c r="E1768" s="147" t="s">
        <v>361</v>
      </c>
    </row>
    <row r="1769" spans="4:5" ht="15">
      <c r="D1769" s="147">
        <v>10128599</v>
      </c>
      <c r="E1769" s="147" t="s">
        <v>354</v>
      </c>
    </row>
    <row r="1770" spans="4:5" ht="15">
      <c r="D1770" s="147">
        <v>10128600</v>
      </c>
      <c r="E1770" s="147" t="s">
        <v>358</v>
      </c>
    </row>
    <row r="1771" spans="4:5" ht="15">
      <c r="D1771" s="147">
        <v>10128579</v>
      </c>
      <c r="E1771" s="147" t="s">
        <v>354</v>
      </c>
    </row>
    <row r="1772" spans="4:5" ht="15">
      <c r="D1772" s="147">
        <v>10128580</v>
      </c>
      <c r="E1772" s="147" t="s">
        <v>358</v>
      </c>
    </row>
    <row r="1773" spans="4:5" ht="15">
      <c r="D1773" s="147">
        <v>10128581</v>
      </c>
      <c r="E1773" s="147" t="s">
        <v>358</v>
      </c>
    </row>
    <row r="1774" spans="4:5" ht="15">
      <c r="D1774" s="147">
        <v>10128582</v>
      </c>
      <c r="E1774" s="147" t="s">
        <v>361</v>
      </c>
    </row>
    <row r="1775" spans="4:5" ht="15">
      <c r="D1775" s="147">
        <v>10128595</v>
      </c>
      <c r="E1775" s="147" t="s">
        <v>361</v>
      </c>
    </row>
    <row r="1776" spans="4:5" ht="15">
      <c r="D1776" s="147">
        <v>10128596</v>
      </c>
      <c r="E1776" s="147" t="s">
        <v>353</v>
      </c>
    </row>
    <row r="1777" spans="4:5" ht="15">
      <c r="D1777" s="147">
        <v>10128597</v>
      </c>
      <c r="E1777" s="147" t="s">
        <v>358</v>
      </c>
    </row>
    <row r="1778" spans="4:5" ht="15">
      <c r="D1778" s="147">
        <v>10128598</v>
      </c>
      <c r="E1778" s="147" t="s">
        <v>361</v>
      </c>
    </row>
    <row r="1779" spans="4:5" ht="15">
      <c r="D1779" s="147">
        <v>10128599</v>
      </c>
      <c r="E1779" s="147" t="s">
        <v>354</v>
      </c>
    </row>
    <row r="1780" spans="4:5" ht="15">
      <c r="D1780" s="147">
        <v>10128600</v>
      </c>
      <c r="E1780" s="147" t="s">
        <v>358</v>
      </c>
    </row>
    <row r="1781" spans="4:5" ht="15">
      <c r="D1781" s="147">
        <v>10128579</v>
      </c>
      <c r="E1781" s="147" t="s">
        <v>354</v>
      </c>
    </row>
    <row r="1782" spans="4:5" ht="15">
      <c r="D1782" s="147">
        <v>10128580</v>
      </c>
      <c r="E1782" s="147" t="s">
        <v>358</v>
      </c>
    </row>
    <row r="1783" spans="4:5" ht="15">
      <c r="D1783" s="147">
        <v>10128581</v>
      </c>
      <c r="E1783" s="147" t="s">
        <v>358</v>
      </c>
    </row>
    <row r="1784" spans="4:5" ht="15">
      <c r="D1784" s="147">
        <v>10128582</v>
      </c>
      <c r="E1784" s="147" t="s">
        <v>361</v>
      </c>
    </row>
    <row r="1785" spans="4:5" ht="15">
      <c r="D1785" s="147">
        <v>10128595</v>
      </c>
      <c r="E1785" s="147" t="s">
        <v>361</v>
      </c>
    </row>
    <row r="1786" spans="4:5" ht="15">
      <c r="D1786" s="147">
        <v>10128596</v>
      </c>
      <c r="E1786" s="147" t="s">
        <v>353</v>
      </c>
    </row>
    <row r="1787" spans="4:5" ht="15">
      <c r="D1787" s="147">
        <v>10128597</v>
      </c>
      <c r="E1787" s="147" t="s">
        <v>358</v>
      </c>
    </row>
    <row r="1788" spans="4:5" ht="15">
      <c r="D1788" s="147">
        <v>10128598</v>
      </c>
      <c r="E1788" s="147" t="s">
        <v>361</v>
      </c>
    </row>
    <row r="1789" spans="4:5" ht="15">
      <c r="D1789" s="147">
        <v>10128599</v>
      </c>
      <c r="E1789" s="147" t="s">
        <v>354</v>
      </c>
    </row>
    <row r="1790" spans="4:5" ht="15">
      <c r="D1790" s="147">
        <v>10128600</v>
      </c>
      <c r="E1790" s="147" t="s">
        <v>358</v>
      </c>
    </row>
    <row r="1791" spans="4:5" ht="15">
      <c r="D1791" s="147">
        <v>10128579</v>
      </c>
      <c r="E1791" s="147" t="s">
        <v>354</v>
      </c>
    </row>
    <row r="1792" spans="4:5" ht="15">
      <c r="D1792" s="147">
        <v>10128580</v>
      </c>
      <c r="E1792" s="147" t="s">
        <v>358</v>
      </c>
    </row>
    <row r="1793" spans="4:5" ht="15">
      <c r="D1793" s="147">
        <v>10128581</v>
      </c>
      <c r="E1793" s="147" t="s">
        <v>358</v>
      </c>
    </row>
    <row r="1794" spans="4:5" ht="15">
      <c r="D1794" s="147">
        <v>10128582</v>
      </c>
      <c r="E1794" s="147" t="s">
        <v>361</v>
      </c>
    </row>
    <row r="1795" spans="4:5" ht="15">
      <c r="D1795" s="147">
        <v>10128595</v>
      </c>
      <c r="E1795" s="147" t="s">
        <v>361</v>
      </c>
    </row>
    <row r="1796" spans="4:5" ht="15">
      <c r="D1796" s="147">
        <v>10128596</v>
      </c>
      <c r="E1796" s="147" t="s">
        <v>353</v>
      </c>
    </row>
    <row r="1797" spans="4:5" ht="15">
      <c r="D1797" s="147">
        <v>10128597</v>
      </c>
      <c r="E1797" s="147" t="s">
        <v>358</v>
      </c>
    </row>
    <row r="1798" spans="4:5" ht="15">
      <c r="D1798" s="147">
        <v>10128598</v>
      </c>
      <c r="E1798" s="147" t="s">
        <v>361</v>
      </c>
    </row>
    <row r="1799" spans="4:5" ht="15">
      <c r="D1799" s="147">
        <v>10128599</v>
      </c>
      <c r="E1799" s="147" t="s">
        <v>354</v>
      </c>
    </row>
    <row r="1800" spans="4:5" ht="15">
      <c r="D1800" s="147">
        <v>10128600</v>
      </c>
      <c r="E1800" s="147" t="s">
        <v>358</v>
      </c>
    </row>
    <row r="1801" spans="4:5" ht="15">
      <c r="D1801" s="147">
        <v>10128579</v>
      </c>
      <c r="E1801" s="147" t="s">
        <v>354</v>
      </c>
    </row>
    <row r="1802" spans="4:5" ht="15">
      <c r="D1802" s="147">
        <v>10128580</v>
      </c>
      <c r="E1802" s="147" t="s">
        <v>358</v>
      </c>
    </row>
    <row r="1803" spans="4:5" ht="15">
      <c r="D1803" s="147">
        <v>10128581</v>
      </c>
      <c r="E1803" s="147" t="s">
        <v>358</v>
      </c>
    </row>
    <row r="1804" spans="4:5" ht="15">
      <c r="D1804" s="147">
        <v>10128582</v>
      </c>
      <c r="E1804" s="147" t="s">
        <v>361</v>
      </c>
    </row>
    <row r="1805" spans="4:5" ht="15">
      <c r="D1805" s="147">
        <v>10128595</v>
      </c>
      <c r="E1805" s="147" t="s">
        <v>361</v>
      </c>
    </row>
    <row r="1806" spans="4:5" ht="15">
      <c r="D1806" s="147">
        <v>10128596</v>
      </c>
      <c r="E1806" s="147" t="s">
        <v>353</v>
      </c>
    </row>
    <row r="1807" spans="4:5" ht="15">
      <c r="D1807" s="147">
        <v>10128597</v>
      </c>
      <c r="E1807" s="147" t="s">
        <v>358</v>
      </c>
    </row>
    <row r="1808" spans="4:5" ht="15">
      <c r="D1808" s="147">
        <v>10128598</v>
      </c>
      <c r="E1808" s="147" t="s">
        <v>361</v>
      </c>
    </row>
    <row r="1809" spans="4:5" ht="15">
      <c r="D1809" s="147">
        <v>10128599</v>
      </c>
      <c r="E1809" s="147" t="s">
        <v>354</v>
      </c>
    </row>
    <row r="1810" spans="4:5" ht="15">
      <c r="D1810" s="147">
        <v>10128600</v>
      </c>
      <c r="E1810" s="147" t="s">
        <v>358</v>
      </c>
    </row>
    <row r="1811" spans="4:5" ht="15">
      <c r="D1811" s="147">
        <v>10128579</v>
      </c>
      <c r="E1811" s="147" t="s">
        <v>354</v>
      </c>
    </row>
    <row r="1812" spans="4:5" ht="15">
      <c r="D1812" s="147">
        <v>10128580</v>
      </c>
      <c r="E1812" s="147" t="s">
        <v>358</v>
      </c>
    </row>
    <row r="1813" spans="4:5" ht="15">
      <c r="D1813" s="147">
        <v>10128581</v>
      </c>
      <c r="E1813" s="147" t="s">
        <v>358</v>
      </c>
    </row>
    <row r="1814" spans="4:5" ht="15">
      <c r="D1814" s="147">
        <v>10128582</v>
      </c>
      <c r="E1814" s="147" t="s">
        <v>361</v>
      </c>
    </row>
    <row r="1815" spans="4:5" ht="15">
      <c r="D1815" s="147">
        <v>10128595</v>
      </c>
      <c r="E1815" s="147" t="s">
        <v>361</v>
      </c>
    </row>
    <row r="1816" spans="4:5" ht="15">
      <c r="D1816" s="147">
        <v>10128596</v>
      </c>
      <c r="E1816" s="147" t="s">
        <v>353</v>
      </c>
    </row>
    <row r="1817" spans="4:5" ht="15">
      <c r="D1817" s="147">
        <v>10128597</v>
      </c>
      <c r="E1817" s="147" t="s">
        <v>358</v>
      </c>
    </row>
    <row r="1818" spans="4:5" ht="15">
      <c r="D1818" s="147">
        <v>10128598</v>
      </c>
      <c r="E1818" s="147" t="s">
        <v>361</v>
      </c>
    </row>
    <row r="1819" spans="4:5" ht="15">
      <c r="D1819" s="147">
        <v>10128599</v>
      </c>
      <c r="E1819" s="147" t="s">
        <v>354</v>
      </c>
    </row>
    <row r="1820" spans="4:5" ht="15">
      <c r="D1820" s="147">
        <v>10128600</v>
      </c>
      <c r="E1820" s="147" t="s">
        <v>358</v>
      </c>
    </row>
    <row r="1821" spans="4:5" ht="15">
      <c r="D1821" s="147">
        <v>10128579</v>
      </c>
      <c r="E1821" s="147" t="s">
        <v>354</v>
      </c>
    </row>
    <row r="1822" spans="4:5" ht="15">
      <c r="D1822" s="147">
        <v>10128580</v>
      </c>
      <c r="E1822" s="147" t="s">
        <v>358</v>
      </c>
    </row>
    <row r="1823" spans="4:5" ht="15">
      <c r="D1823" s="147">
        <v>10128581</v>
      </c>
      <c r="E1823" s="147" t="s">
        <v>358</v>
      </c>
    </row>
    <row r="1824" spans="4:5" ht="15">
      <c r="D1824" s="147">
        <v>10128582</v>
      </c>
      <c r="E1824" s="147" t="s">
        <v>361</v>
      </c>
    </row>
    <row r="1825" spans="4:5" ht="15">
      <c r="D1825" s="147">
        <v>10128595</v>
      </c>
      <c r="E1825" s="147" t="s">
        <v>361</v>
      </c>
    </row>
    <row r="1826" spans="4:5" ht="15">
      <c r="D1826" s="147">
        <v>10128596</v>
      </c>
      <c r="E1826" s="147" t="s">
        <v>353</v>
      </c>
    </row>
    <row r="1827" spans="4:5" ht="15">
      <c r="D1827" s="147">
        <v>10128597</v>
      </c>
      <c r="E1827" s="147" t="s">
        <v>358</v>
      </c>
    </row>
    <row r="1828" spans="4:5" ht="15">
      <c r="D1828" s="147">
        <v>10128598</v>
      </c>
      <c r="E1828" s="147" t="s">
        <v>361</v>
      </c>
    </row>
    <row r="1829" spans="4:5" ht="15">
      <c r="D1829" s="147">
        <v>10128599</v>
      </c>
      <c r="E1829" s="147" t="s">
        <v>354</v>
      </c>
    </row>
    <row r="1830" spans="4:5" ht="15">
      <c r="D1830" s="147">
        <v>10128600</v>
      </c>
      <c r="E1830" s="147" t="s">
        <v>358</v>
      </c>
    </row>
    <row r="1831" spans="4:5" ht="15">
      <c r="D1831" s="147">
        <v>10128579</v>
      </c>
      <c r="E1831" s="147" t="s">
        <v>354</v>
      </c>
    </row>
    <row r="1832" spans="4:5" ht="15">
      <c r="D1832" s="147">
        <v>10128580</v>
      </c>
      <c r="E1832" s="147" t="s">
        <v>358</v>
      </c>
    </row>
    <row r="1833" spans="4:5" ht="15">
      <c r="D1833" s="147">
        <v>10128581</v>
      </c>
      <c r="E1833" s="147" t="s">
        <v>358</v>
      </c>
    </row>
    <row r="1834" spans="4:5" ht="15">
      <c r="D1834" s="147">
        <v>10128582</v>
      </c>
      <c r="E1834" s="147" t="s">
        <v>361</v>
      </c>
    </row>
    <row r="1835" spans="4:5" ht="15">
      <c r="D1835" s="147">
        <v>10128595</v>
      </c>
      <c r="E1835" s="147" t="s">
        <v>361</v>
      </c>
    </row>
    <row r="1836" spans="4:5" ht="15">
      <c r="D1836" s="147">
        <v>10128596</v>
      </c>
      <c r="E1836" s="147" t="s">
        <v>353</v>
      </c>
    </row>
    <row r="1837" spans="4:5" ht="15">
      <c r="D1837" s="147">
        <v>10128597</v>
      </c>
      <c r="E1837" s="147" t="s">
        <v>358</v>
      </c>
    </row>
    <row r="1838" spans="4:5" ht="15">
      <c r="D1838" s="147">
        <v>10128598</v>
      </c>
      <c r="E1838" s="147" t="s">
        <v>361</v>
      </c>
    </row>
    <row r="1839" spans="4:5" ht="15">
      <c r="D1839" s="147">
        <v>10128599</v>
      </c>
      <c r="E1839" s="147" t="s">
        <v>354</v>
      </c>
    </row>
    <row r="1840" spans="4:5" ht="15">
      <c r="D1840" s="147">
        <v>10128600</v>
      </c>
      <c r="E1840" s="147" t="s">
        <v>358</v>
      </c>
    </row>
    <row r="1841" spans="4:5" ht="15">
      <c r="D1841" s="147">
        <v>10128579</v>
      </c>
      <c r="E1841" s="147" t="s">
        <v>354</v>
      </c>
    </row>
    <row r="1842" spans="4:5" ht="15">
      <c r="D1842" s="147">
        <v>10128580</v>
      </c>
      <c r="E1842" s="147" t="s">
        <v>358</v>
      </c>
    </row>
    <row r="1843" spans="4:5" ht="15">
      <c r="D1843" s="147">
        <v>10128581</v>
      </c>
      <c r="E1843" s="147" t="s">
        <v>358</v>
      </c>
    </row>
    <row r="1844" spans="4:5" ht="15">
      <c r="D1844" s="147">
        <v>10128582</v>
      </c>
      <c r="E1844" s="147" t="s">
        <v>361</v>
      </c>
    </row>
    <row r="1845" spans="4:5" ht="15">
      <c r="D1845" s="147">
        <v>10128595</v>
      </c>
      <c r="E1845" s="147" t="s">
        <v>361</v>
      </c>
    </row>
    <row r="1846" spans="4:5" ht="15">
      <c r="D1846" s="147">
        <v>10128596</v>
      </c>
      <c r="E1846" s="147" t="s">
        <v>353</v>
      </c>
    </row>
    <row r="1847" spans="4:5" ht="15">
      <c r="D1847" s="147">
        <v>10128597</v>
      </c>
      <c r="E1847" s="147" t="s">
        <v>358</v>
      </c>
    </row>
    <row r="1848" spans="4:5" ht="15">
      <c r="D1848" s="147">
        <v>10128598</v>
      </c>
      <c r="E1848" s="147" t="s">
        <v>361</v>
      </c>
    </row>
    <row r="1849" spans="4:5" ht="15">
      <c r="D1849" s="147">
        <v>10128599</v>
      </c>
      <c r="E1849" s="147" t="s">
        <v>354</v>
      </c>
    </row>
    <row r="1850" spans="4:5" ht="15">
      <c r="D1850" s="147">
        <v>10128600</v>
      </c>
      <c r="E1850" s="147" t="s">
        <v>358</v>
      </c>
    </row>
    <row r="1851" spans="4:5" ht="15">
      <c r="D1851" s="147">
        <v>10128579</v>
      </c>
      <c r="E1851" s="147" t="s">
        <v>354</v>
      </c>
    </row>
    <row r="1852" spans="4:5" ht="15">
      <c r="D1852" s="147">
        <v>10128580</v>
      </c>
      <c r="E1852" s="147" t="s">
        <v>358</v>
      </c>
    </row>
    <row r="1853" spans="4:5" ht="15">
      <c r="D1853" s="147">
        <v>10128581</v>
      </c>
      <c r="E1853" s="147" t="s">
        <v>358</v>
      </c>
    </row>
    <row r="1854" spans="4:5" ht="15">
      <c r="D1854" s="147">
        <v>10128582</v>
      </c>
      <c r="E1854" s="147" t="s">
        <v>361</v>
      </c>
    </row>
    <row r="1855" spans="4:5" ht="15">
      <c r="D1855" s="147">
        <v>10128595</v>
      </c>
      <c r="E1855" s="147" t="s">
        <v>361</v>
      </c>
    </row>
    <row r="1856" spans="4:5" ht="15">
      <c r="D1856" s="147">
        <v>10128596</v>
      </c>
      <c r="E1856" s="147" t="s">
        <v>353</v>
      </c>
    </row>
    <row r="1857" spans="4:5" ht="15">
      <c r="D1857" s="147">
        <v>10128597</v>
      </c>
      <c r="E1857" s="147" t="s">
        <v>358</v>
      </c>
    </row>
    <row r="1858" spans="4:5" ht="15">
      <c r="D1858" s="147">
        <v>10128598</v>
      </c>
      <c r="E1858" s="147" t="s">
        <v>361</v>
      </c>
    </row>
    <row r="1859" spans="4:5" ht="15">
      <c r="D1859" s="147">
        <v>10128599</v>
      </c>
      <c r="E1859" s="147" t="s">
        <v>354</v>
      </c>
    </row>
    <row r="1860" spans="4:5" ht="15">
      <c r="D1860" s="147">
        <v>10128600</v>
      </c>
      <c r="E1860" s="147" t="s">
        <v>358</v>
      </c>
    </row>
    <row r="1861" spans="4:5" ht="15">
      <c r="D1861" s="147">
        <v>10128579</v>
      </c>
      <c r="E1861" s="147" t="s">
        <v>354</v>
      </c>
    </row>
    <row r="1862" spans="4:5" ht="15">
      <c r="D1862" s="147">
        <v>10128580</v>
      </c>
      <c r="E1862" s="147" t="s">
        <v>358</v>
      </c>
    </row>
    <row r="1863" spans="4:5" ht="15">
      <c r="D1863" s="147">
        <v>10128581</v>
      </c>
      <c r="E1863" s="147" t="s">
        <v>358</v>
      </c>
    </row>
    <row r="1864" spans="4:5" ht="15">
      <c r="D1864" s="147">
        <v>10128582</v>
      </c>
      <c r="E1864" s="147" t="s">
        <v>361</v>
      </c>
    </row>
    <row r="1865" spans="4:5" ht="15">
      <c r="D1865" s="147">
        <v>10128595</v>
      </c>
      <c r="E1865" s="147" t="s">
        <v>361</v>
      </c>
    </row>
    <row r="1866" spans="4:5" ht="15">
      <c r="D1866" s="147">
        <v>10128596</v>
      </c>
      <c r="E1866" s="147" t="s">
        <v>353</v>
      </c>
    </row>
    <row r="1867" spans="4:5" ht="15">
      <c r="D1867" s="147">
        <v>10128597</v>
      </c>
      <c r="E1867" s="147" t="s">
        <v>358</v>
      </c>
    </row>
    <row r="1868" spans="4:5" ht="15">
      <c r="D1868" s="147">
        <v>10128598</v>
      </c>
      <c r="E1868" s="147" t="s">
        <v>361</v>
      </c>
    </row>
    <row r="1869" spans="4:5" ht="15">
      <c r="D1869" s="147">
        <v>10128599</v>
      </c>
      <c r="E1869" s="147" t="s">
        <v>354</v>
      </c>
    </row>
    <row r="1870" spans="4:5" ht="15">
      <c r="D1870" s="147">
        <v>10128600</v>
      </c>
      <c r="E1870" s="147" t="s">
        <v>358</v>
      </c>
    </row>
    <row r="1871" spans="4:5" ht="15">
      <c r="D1871" s="147">
        <v>10128579</v>
      </c>
      <c r="E1871" s="147" t="s">
        <v>354</v>
      </c>
    </row>
    <row r="1872" spans="4:5" ht="15">
      <c r="D1872" s="147">
        <v>10128580</v>
      </c>
      <c r="E1872" s="147" t="s">
        <v>358</v>
      </c>
    </row>
    <row r="1873" spans="4:5" ht="15">
      <c r="D1873" s="147">
        <v>10128581</v>
      </c>
      <c r="E1873" s="147" t="s">
        <v>358</v>
      </c>
    </row>
    <row r="1874" spans="4:5" ht="15">
      <c r="D1874" s="147">
        <v>10128582</v>
      </c>
      <c r="E1874" s="147" t="s">
        <v>361</v>
      </c>
    </row>
    <row r="1875" spans="4:5" ht="15">
      <c r="D1875" s="147">
        <v>10128595</v>
      </c>
      <c r="E1875" s="147" t="s">
        <v>361</v>
      </c>
    </row>
    <row r="1876" spans="4:5" ht="15">
      <c r="D1876" s="147">
        <v>10128596</v>
      </c>
      <c r="E1876" s="147" t="s">
        <v>353</v>
      </c>
    </row>
    <row r="1877" spans="4:5" ht="15">
      <c r="D1877" s="147">
        <v>10128597</v>
      </c>
      <c r="E1877" s="147" t="s">
        <v>358</v>
      </c>
    </row>
    <row r="1878" spans="4:5" ht="15">
      <c r="D1878" s="147">
        <v>10128598</v>
      </c>
      <c r="E1878" s="147" t="s">
        <v>361</v>
      </c>
    </row>
    <row r="1879" spans="4:5" ht="15">
      <c r="D1879" s="147">
        <v>10128599</v>
      </c>
      <c r="E1879" s="147" t="s">
        <v>354</v>
      </c>
    </row>
    <row r="1880" spans="4:5" ht="15">
      <c r="D1880" s="147">
        <v>10128600</v>
      </c>
      <c r="E1880" s="147" t="s">
        <v>358</v>
      </c>
    </row>
    <row r="1881" spans="4:5" ht="15">
      <c r="D1881" s="147">
        <v>10128579</v>
      </c>
      <c r="E1881" s="147" t="s">
        <v>354</v>
      </c>
    </row>
    <row r="1882" spans="4:5" ht="15">
      <c r="D1882" s="147">
        <v>10128580</v>
      </c>
      <c r="E1882" s="147" t="s">
        <v>358</v>
      </c>
    </row>
    <row r="1883" spans="4:5" ht="15">
      <c r="D1883" s="147">
        <v>10128581</v>
      </c>
      <c r="E1883" s="147" t="s">
        <v>358</v>
      </c>
    </row>
    <row r="1884" spans="4:5" ht="15">
      <c r="D1884" s="147">
        <v>10128582</v>
      </c>
      <c r="E1884" s="147" t="s">
        <v>361</v>
      </c>
    </row>
    <row r="1885" spans="4:5" ht="15">
      <c r="D1885" s="147">
        <v>10128595</v>
      </c>
      <c r="E1885" s="147" t="s">
        <v>361</v>
      </c>
    </row>
    <row r="1886" spans="4:5" ht="15">
      <c r="D1886" s="147">
        <v>10128596</v>
      </c>
      <c r="E1886" s="147" t="s">
        <v>353</v>
      </c>
    </row>
    <row r="1887" spans="4:5" ht="15">
      <c r="D1887" s="147">
        <v>10128597</v>
      </c>
      <c r="E1887" s="147" t="s">
        <v>358</v>
      </c>
    </row>
    <row r="1888" spans="4:5" ht="15">
      <c r="D1888" s="147">
        <v>10128598</v>
      </c>
      <c r="E1888" s="147" t="s">
        <v>361</v>
      </c>
    </row>
    <row r="1889" spans="4:5" ht="15">
      <c r="D1889" s="147">
        <v>10128599</v>
      </c>
      <c r="E1889" s="147" t="s">
        <v>354</v>
      </c>
    </row>
    <row r="1890" spans="4:5" ht="15">
      <c r="D1890" s="147">
        <v>10128600</v>
      </c>
      <c r="E1890" s="147" t="s">
        <v>358</v>
      </c>
    </row>
    <row r="1891" spans="4:5" ht="15">
      <c r="D1891" s="147">
        <v>10128579</v>
      </c>
      <c r="E1891" s="147" t="s">
        <v>354</v>
      </c>
    </row>
    <row r="1892" spans="4:5" ht="15">
      <c r="D1892" s="147">
        <v>10128580</v>
      </c>
      <c r="E1892" s="147" t="s">
        <v>358</v>
      </c>
    </row>
    <row r="1893" spans="4:5" ht="15">
      <c r="D1893" s="147">
        <v>10128581</v>
      </c>
      <c r="E1893" s="147" t="s">
        <v>358</v>
      </c>
    </row>
    <row r="1894" spans="4:5" ht="15">
      <c r="D1894" s="147">
        <v>10128582</v>
      </c>
      <c r="E1894" s="147" t="s">
        <v>361</v>
      </c>
    </row>
    <row r="1895" spans="4:5" ht="15">
      <c r="D1895" s="147">
        <v>10128595</v>
      </c>
      <c r="E1895" s="147" t="s">
        <v>361</v>
      </c>
    </row>
    <row r="1896" spans="4:5" ht="15">
      <c r="D1896" s="147">
        <v>10128596</v>
      </c>
      <c r="E1896" s="147" t="s">
        <v>353</v>
      </c>
    </row>
    <row r="1897" spans="4:5" ht="15">
      <c r="D1897" s="147">
        <v>10128597</v>
      </c>
      <c r="E1897" s="147" t="s">
        <v>358</v>
      </c>
    </row>
    <row r="1898" spans="4:5" ht="15">
      <c r="D1898" s="147">
        <v>10128598</v>
      </c>
      <c r="E1898" s="147" t="s">
        <v>361</v>
      </c>
    </row>
    <row r="1899" spans="4:5" ht="15">
      <c r="D1899" s="147">
        <v>10128599</v>
      </c>
      <c r="E1899" s="147" t="s">
        <v>354</v>
      </c>
    </row>
    <row r="1900" spans="4:5" ht="15">
      <c r="D1900" s="147">
        <v>10128600</v>
      </c>
      <c r="E1900" s="147" t="s">
        <v>358</v>
      </c>
    </row>
    <row r="1901" spans="4:5" ht="15">
      <c r="D1901" s="147">
        <v>10128579</v>
      </c>
      <c r="E1901" s="147" t="s">
        <v>354</v>
      </c>
    </row>
    <row r="1902" spans="4:5" ht="15">
      <c r="D1902" s="147">
        <v>10128580</v>
      </c>
      <c r="E1902" s="147" t="s">
        <v>358</v>
      </c>
    </row>
    <row r="1903" spans="4:5" ht="15">
      <c r="D1903" s="147">
        <v>10128581</v>
      </c>
      <c r="E1903" s="147" t="s">
        <v>358</v>
      </c>
    </row>
    <row r="1904" spans="4:5" ht="15">
      <c r="D1904" s="147">
        <v>10128582</v>
      </c>
      <c r="E1904" s="147" t="s">
        <v>361</v>
      </c>
    </row>
    <row r="1905" spans="4:5" ht="15">
      <c r="D1905" s="147">
        <v>10128595</v>
      </c>
      <c r="E1905" s="147" t="s">
        <v>361</v>
      </c>
    </row>
    <row r="1906" spans="4:5" ht="15">
      <c r="D1906" s="147">
        <v>10128596</v>
      </c>
      <c r="E1906" s="147" t="s">
        <v>353</v>
      </c>
    </row>
    <row r="1907" spans="4:5" ht="15">
      <c r="D1907" s="147">
        <v>10128597</v>
      </c>
      <c r="E1907" s="147" t="s">
        <v>358</v>
      </c>
    </row>
    <row r="1908" spans="4:5" ht="15">
      <c r="D1908" s="147">
        <v>10128598</v>
      </c>
      <c r="E1908" s="147" t="s">
        <v>361</v>
      </c>
    </row>
    <row r="1909" spans="4:5" ht="15">
      <c r="D1909" s="147">
        <v>10128599</v>
      </c>
      <c r="E1909" s="147" t="s">
        <v>354</v>
      </c>
    </row>
    <row r="1910" spans="4:5" ht="15">
      <c r="D1910" s="147">
        <v>10128600</v>
      </c>
      <c r="E1910" s="147" t="s">
        <v>358</v>
      </c>
    </row>
    <row r="1911" spans="4:5" ht="15">
      <c r="D1911" s="147">
        <v>10128579</v>
      </c>
      <c r="E1911" s="147" t="s">
        <v>354</v>
      </c>
    </row>
    <row r="1912" spans="4:5" ht="15">
      <c r="D1912" s="147">
        <v>10128580</v>
      </c>
      <c r="E1912" s="147" t="s">
        <v>358</v>
      </c>
    </row>
    <row r="1913" spans="4:5" ht="15">
      <c r="D1913" s="147">
        <v>10128581</v>
      </c>
      <c r="E1913" s="147" t="s">
        <v>358</v>
      </c>
    </row>
    <row r="1914" spans="4:5" ht="15">
      <c r="D1914" s="147">
        <v>10128582</v>
      </c>
      <c r="E1914" s="147" t="s">
        <v>361</v>
      </c>
    </row>
    <row r="1915" spans="4:5" ht="15">
      <c r="D1915" s="147">
        <v>10128595</v>
      </c>
      <c r="E1915" s="147" t="s">
        <v>361</v>
      </c>
    </row>
    <row r="1916" spans="4:5" ht="15">
      <c r="D1916" s="147">
        <v>10128596</v>
      </c>
      <c r="E1916" s="147" t="s">
        <v>353</v>
      </c>
    </row>
    <row r="1917" spans="4:5" ht="15">
      <c r="D1917" s="147">
        <v>10128597</v>
      </c>
      <c r="E1917" s="147" t="s">
        <v>358</v>
      </c>
    </row>
    <row r="1918" spans="4:5" ht="15">
      <c r="D1918" s="147">
        <v>10128598</v>
      </c>
      <c r="E1918" s="147" t="s">
        <v>361</v>
      </c>
    </row>
    <row r="1919" spans="4:5" ht="15">
      <c r="D1919" s="147">
        <v>10128599</v>
      </c>
      <c r="E1919" s="147" t="s">
        <v>354</v>
      </c>
    </row>
    <row r="1920" spans="4:5" ht="15">
      <c r="D1920" s="147">
        <v>10128600</v>
      </c>
      <c r="E1920" s="147" t="s">
        <v>358</v>
      </c>
    </row>
    <row r="1921" spans="4:5" ht="15">
      <c r="D1921" s="147">
        <v>10128579</v>
      </c>
      <c r="E1921" s="147" t="s">
        <v>354</v>
      </c>
    </row>
    <row r="1922" spans="4:5" ht="15">
      <c r="D1922" s="147">
        <v>10128580</v>
      </c>
      <c r="E1922" s="147" t="s">
        <v>358</v>
      </c>
    </row>
    <row r="1923" spans="4:5" ht="15">
      <c r="D1923" s="147">
        <v>10128581</v>
      </c>
      <c r="E1923" s="147" t="s">
        <v>358</v>
      </c>
    </row>
    <row r="1924" spans="4:5" ht="15">
      <c r="D1924" s="147">
        <v>10128582</v>
      </c>
      <c r="E1924" s="147" t="s">
        <v>361</v>
      </c>
    </row>
    <row r="1925" spans="4:5" ht="15">
      <c r="D1925" s="147">
        <v>10128595</v>
      </c>
      <c r="E1925" s="147" t="s">
        <v>361</v>
      </c>
    </row>
    <row r="1926" spans="4:5" ht="15">
      <c r="D1926" s="147">
        <v>10128596</v>
      </c>
      <c r="E1926" s="147" t="s">
        <v>353</v>
      </c>
    </row>
    <row r="1927" spans="4:5" ht="15">
      <c r="D1927" s="147">
        <v>10128597</v>
      </c>
      <c r="E1927" s="147" t="s">
        <v>358</v>
      </c>
    </row>
    <row r="1928" spans="4:5" ht="15">
      <c r="D1928" s="147">
        <v>10128598</v>
      </c>
      <c r="E1928" s="147" t="s">
        <v>361</v>
      </c>
    </row>
    <row r="1929" spans="4:5" ht="15">
      <c r="D1929" s="147">
        <v>10128599</v>
      </c>
      <c r="E1929" s="147" t="s">
        <v>354</v>
      </c>
    </row>
    <row r="1930" spans="4:5" ht="15">
      <c r="D1930" s="147">
        <v>10128600</v>
      </c>
      <c r="E1930" s="147" t="s">
        <v>358</v>
      </c>
    </row>
    <row r="1931" spans="4:5" ht="15">
      <c r="D1931" s="147">
        <v>10128579</v>
      </c>
      <c r="E1931" s="147" t="s">
        <v>354</v>
      </c>
    </row>
    <row r="1932" spans="4:5" ht="15">
      <c r="D1932" s="147">
        <v>10128580</v>
      </c>
      <c r="E1932" s="147" t="s">
        <v>358</v>
      </c>
    </row>
    <row r="1933" spans="4:5" ht="15">
      <c r="D1933" s="147">
        <v>10128581</v>
      </c>
      <c r="E1933" s="147" t="s">
        <v>358</v>
      </c>
    </row>
    <row r="1934" spans="4:5" ht="15">
      <c r="D1934" s="147">
        <v>10128582</v>
      </c>
      <c r="E1934" s="147" t="s">
        <v>361</v>
      </c>
    </row>
    <row r="1935" spans="4:5" ht="15">
      <c r="D1935" s="147">
        <v>10128595</v>
      </c>
      <c r="E1935" s="147" t="s">
        <v>361</v>
      </c>
    </row>
    <row r="1936" spans="4:5" ht="15">
      <c r="D1936" s="147">
        <v>10128596</v>
      </c>
      <c r="E1936" s="147" t="s">
        <v>353</v>
      </c>
    </row>
    <row r="1937" spans="4:5" ht="15">
      <c r="D1937" s="147">
        <v>10128597</v>
      </c>
      <c r="E1937" s="147" t="s">
        <v>358</v>
      </c>
    </row>
    <row r="1938" spans="4:5" ht="15">
      <c r="D1938" s="147">
        <v>10128598</v>
      </c>
      <c r="E1938" s="147" t="s">
        <v>361</v>
      </c>
    </row>
    <row r="1939" spans="4:5" ht="15">
      <c r="D1939" s="147">
        <v>10128599</v>
      </c>
      <c r="E1939" s="147" t="s">
        <v>354</v>
      </c>
    </row>
    <row r="1940" spans="4:5" ht="15">
      <c r="D1940" s="147">
        <v>10128600</v>
      </c>
      <c r="E1940" s="147" t="s">
        <v>358</v>
      </c>
    </row>
    <row r="1941" spans="4:5" ht="15">
      <c r="D1941" s="147">
        <v>10128579</v>
      </c>
      <c r="E1941" s="147" t="s">
        <v>354</v>
      </c>
    </row>
    <row r="1942" spans="4:5" ht="15">
      <c r="D1942" s="147">
        <v>10128580</v>
      </c>
      <c r="E1942" s="147" t="s">
        <v>358</v>
      </c>
    </row>
    <row r="1943" spans="4:5" ht="15">
      <c r="D1943" s="147">
        <v>10128581</v>
      </c>
      <c r="E1943" s="147" t="s">
        <v>358</v>
      </c>
    </row>
    <row r="1944" spans="4:5" ht="15">
      <c r="D1944" s="147">
        <v>10128582</v>
      </c>
      <c r="E1944" s="147" t="s">
        <v>361</v>
      </c>
    </row>
    <row r="1945" spans="4:5" ht="15">
      <c r="D1945" s="147">
        <v>10128595</v>
      </c>
      <c r="E1945" s="147" t="s">
        <v>361</v>
      </c>
    </row>
    <row r="1946" spans="4:5" ht="15">
      <c r="D1946" s="147">
        <v>10128596</v>
      </c>
      <c r="E1946" s="147" t="s">
        <v>353</v>
      </c>
    </row>
    <row r="1947" spans="4:5" ht="15">
      <c r="D1947" s="147">
        <v>10128597</v>
      </c>
      <c r="E1947" s="147" t="s">
        <v>358</v>
      </c>
    </row>
    <row r="1948" spans="4:5" ht="15">
      <c r="D1948" s="147">
        <v>10128598</v>
      </c>
      <c r="E1948" s="147" t="s">
        <v>361</v>
      </c>
    </row>
    <row r="1949" spans="4:5" ht="15">
      <c r="D1949" s="147">
        <v>10128599</v>
      </c>
      <c r="E1949" s="147" t="s">
        <v>354</v>
      </c>
    </row>
    <row r="1950" spans="4:5" ht="15">
      <c r="D1950" s="147">
        <v>10128600</v>
      </c>
      <c r="E1950" s="147" t="s">
        <v>358</v>
      </c>
    </row>
    <row r="1951" spans="4:5" ht="15">
      <c r="D1951" s="147">
        <v>10128579</v>
      </c>
      <c r="E1951" s="147" t="s">
        <v>354</v>
      </c>
    </row>
    <row r="1952" spans="4:5" ht="15">
      <c r="D1952" s="147">
        <v>10128580</v>
      </c>
      <c r="E1952" s="147" t="s">
        <v>358</v>
      </c>
    </row>
    <row r="1953" spans="4:5" ht="15">
      <c r="D1953" s="147">
        <v>10128581</v>
      </c>
      <c r="E1953" s="147" t="s">
        <v>358</v>
      </c>
    </row>
    <row r="1954" spans="4:5" ht="15">
      <c r="D1954" s="147">
        <v>10128582</v>
      </c>
      <c r="E1954" s="147" t="s">
        <v>361</v>
      </c>
    </row>
    <row r="1955" spans="4:5" ht="15">
      <c r="D1955" s="147">
        <v>10128595</v>
      </c>
      <c r="E1955" s="147" t="s">
        <v>361</v>
      </c>
    </row>
    <row r="1956" spans="4:5" ht="15">
      <c r="D1956" s="147">
        <v>10128596</v>
      </c>
      <c r="E1956" s="147" t="s">
        <v>353</v>
      </c>
    </row>
    <row r="1957" spans="4:5" ht="15">
      <c r="D1957" s="147">
        <v>10128597</v>
      </c>
      <c r="E1957" s="147" t="s">
        <v>358</v>
      </c>
    </row>
    <row r="1958" spans="4:5" ht="15">
      <c r="D1958" s="147">
        <v>10128598</v>
      </c>
      <c r="E1958" s="147" t="s">
        <v>361</v>
      </c>
    </row>
    <row r="1959" spans="4:5" ht="15">
      <c r="D1959" s="147">
        <v>10128599</v>
      </c>
      <c r="E1959" s="147" t="s">
        <v>354</v>
      </c>
    </row>
    <row r="1960" spans="4:5" ht="15">
      <c r="D1960" s="147">
        <v>10128600</v>
      </c>
      <c r="E1960" s="147" t="s">
        <v>358</v>
      </c>
    </row>
    <row r="1961" spans="4:5" ht="15">
      <c r="D1961" s="147">
        <v>10128579</v>
      </c>
      <c r="E1961" s="147" t="s">
        <v>354</v>
      </c>
    </row>
    <row r="1962" spans="4:5" ht="15">
      <c r="D1962" s="147">
        <v>10128580</v>
      </c>
      <c r="E1962" s="147" t="s">
        <v>358</v>
      </c>
    </row>
    <row r="1963" spans="4:5" ht="15">
      <c r="D1963" s="147">
        <v>10128581</v>
      </c>
      <c r="E1963" s="147" t="s">
        <v>358</v>
      </c>
    </row>
    <row r="1964" spans="4:5" ht="15">
      <c r="D1964" s="147">
        <v>10128582</v>
      </c>
      <c r="E1964" s="147" t="s">
        <v>361</v>
      </c>
    </row>
    <row r="1965" spans="4:5" ht="15">
      <c r="D1965" s="147">
        <v>10128595</v>
      </c>
      <c r="E1965" s="147" t="s">
        <v>361</v>
      </c>
    </row>
    <row r="1966" spans="4:5" ht="15">
      <c r="D1966" s="147">
        <v>10128596</v>
      </c>
      <c r="E1966" s="147" t="s">
        <v>353</v>
      </c>
    </row>
    <row r="1967" spans="4:5" ht="15">
      <c r="D1967" s="147">
        <v>10128597</v>
      </c>
      <c r="E1967" s="147" t="s">
        <v>358</v>
      </c>
    </row>
    <row r="1968" spans="4:5" ht="15">
      <c r="D1968" s="147">
        <v>10128598</v>
      </c>
      <c r="E1968" s="147" t="s">
        <v>361</v>
      </c>
    </row>
    <row r="1969" spans="4:5" ht="15">
      <c r="D1969" s="147">
        <v>10128599</v>
      </c>
      <c r="E1969" s="147" t="s">
        <v>354</v>
      </c>
    </row>
    <row r="1970" spans="4:5" ht="15">
      <c r="D1970" s="147">
        <v>10128600</v>
      </c>
      <c r="E1970" s="147" t="s">
        <v>358</v>
      </c>
    </row>
    <row r="1971" spans="4:5" ht="15">
      <c r="D1971" s="147">
        <v>10128579</v>
      </c>
      <c r="E1971" s="147" t="s">
        <v>354</v>
      </c>
    </row>
    <row r="1972" spans="4:5" ht="15">
      <c r="D1972" s="147">
        <v>10128580</v>
      </c>
      <c r="E1972" s="147" t="s">
        <v>358</v>
      </c>
    </row>
    <row r="1973" spans="4:5" ht="15">
      <c r="D1973" s="147">
        <v>10128581</v>
      </c>
      <c r="E1973" s="147" t="s">
        <v>358</v>
      </c>
    </row>
    <row r="1974" spans="4:5" ht="15">
      <c r="D1974" s="147">
        <v>10128582</v>
      </c>
      <c r="E1974" s="147" t="s">
        <v>361</v>
      </c>
    </row>
    <row r="1975" spans="4:5" ht="15">
      <c r="D1975" s="147">
        <v>10128595</v>
      </c>
      <c r="E1975" s="147" t="s">
        <v>361</v>
      </c>
    </row>
    <row r="1976" spans="4:5" ht="15">
      <c r="D1976" s="147">
        <v>10128596</v>
      </c>
      <c r="E1976" s="147" t="s">
        <v>353</v>
      </c>
    </row>
    <row r="1977" spans="4:5" ht="15">
      <c r="D1977" s="147">
        <v>10128597</v>
      </c>
      <c r="E1977" s="147" t="s">
        <v>358</v>
      </c>
    </row>
    <row r="1978" spans="4:5" ht="15">
      <c r="D1978" s="147">
        <v>10128598</v>
      </c>
      <c r="E1978" s="147" t="s">
        <v>361</v>
      </c>
    </row>
    <row r="1979" spans="4:5" ht="15">
      <c r="D1979" s="147">
        <v>10128599</v>
      </c>
      <c r="E1979" s="147" t="s">
        <v>354</v>
      </c>
    </row>
    <row r="1980" spans="4:5" ht="15">
      <c r="D1980" s="147">
        <v>10128600</v>
      </c>
      <c r="E1980" s="147" t="s">
        <v>358</v>
      </c>
    </row>
    <row r="1981" spans="4:5" ht="15">
      <c r="D1981" s="147">
        <v>10128579</v>
      </c>
      <c r="E1981" s="147" t="s">
        <v>354</v>
      </c>
    </row>
    <row r="1982" spans="4:5" ht="15">
      <c r="D1982" s="147">
        <v>10128580</v>
      </c>
      <c r="E1982" s="147" t="s">
        <v>358</v>
      </c>
    </row>
    <row r="1983" spans="4:5" ht="15">
      <c r="D1983" s="147">
        <v>10128581</v>
      </c>
      <c r="E1983" s="147" t="s">
        <v>358</v>
      </c>
    </row>
    <row r="1984" spans="4:5" ht="15">
      <c r="D1984" s="147">
        <v>10128582</v>
      </c>
      <c r="E1984" s="147" t="s">
        <v>361</v>
      </c>
    </row>
    <row r="1985" spans="4:5" ht="15">
      <c r="D1985" s="147">
        <v>10128595</v>
      </c>
      <c r="E1985" s="147" t="s">
        <v>361</v>
      </c>
    </row>
    <row r="1986" spans="4:5" ht="15">
      <c r="D1986" s="147">
        <v>10128596</v>
      </c>
      <c r="E1986" s="147" t="s">
        <v>353</v>
      </c>
    </row>
    <row r="1987" spans="4:5" ht="15">
      <c r="D1987" s="147">
        <v>10128597</v>
      </c>
      <c r="E1987" s="147" t="s">
        <v>358</v>
      </c>
    </row>
    <row r="1988" spans="4:5" ht="15">
      <c r="D1988" s="147">
        <v>10128598</v>
      </c>
      <c r="E1988" s="147" t="s">
        <v>361</v>
      </c>
    </row>
    <row r="1989" spans="4:5" ht="15">
      <c r="D1989" s="147">
        <v>10128599</v>
      </c>
      <c r="E1989" s="147" t="s">
        <v>354</v>
      </c>
    </row>
    <row r="1990" spans="4:5" ht="15">
      <c r="D1990" s="147">
        <v>10128600</v>
      </c>
      <c r="E1990" s="147" t="s">
        <v>358</v>
      </c>
    </row>
    <row r="1991" spans="4:5" ht="15">
      <c r="D1991" s="147">
        <v>10128579</v>
      </c>
      <c r="E1991" s="147" t="s">
        <v>354</v>
      </c>
    </row>
    <row r="1992" spans="4:5" ht="15">
      <c r="D1992" s="147">
        <v>10128580</v>
      </c>
      <c r="E1992" s="147" t="s">
        <v>358</v>
      </c>
    </row>
    <row r="1993" spans="4:5" ht="15">
      <c r="D1993" s="147">
        <v>10128581</v>
      </c>
      <c r="E1993" s="147" t="s">
        <v>358</v>
      </c>
    </row>
    <row r="1994" spans="4:5" ht="15">
      <c r="D1994" s="147">
        <v>10128582</v>
      </c>
      <c r="E1994" s="147" t="s">
        <v>361</v>
      </c>
    </row>
    <row r="1995" spans="4:5" ht="15">
      <c r="D1995" s="147">
        <v>10128595</v>
      </c>
      <c r="E1995" s="147" t="s">
        <v>361</v>
      </c>
    </row>
    <row r="1996" spans="4:5" ht="15">
      <c r="D1996" s="147">
        <v>10128596</v>
      </c>
      <c r="E1996" s="147" t="s">
        <v>353</v>
      </c>
    </row>
    <row r="1997" spans="4:5" ht="15">
      <c r="D1997" s="147">
        <v>10128597</v>
      </c>
      <c r="E1997" s="147" t="s">
        <v>358</v>
      </c>
    </row>
    <row r="1998" spans="4:5" ht="15">
      <c r="D1998" s="147">
        <v>10128598</v>
      </c>
      <c r="E1998" s="147" t="s">
        <v>361</v>
      </c>
    </row>
    <row r="1999" spans="4:5" ht="15">
      <c r="D1999" s="147">
        <v>10128599</v>
      </c>
      <c r="E1999" s="147" t="s">
        <v>354</v>
      </c>
    </row>
    <row r="2000" spans="4:5" ht="15">
      <c r="D2000" s="147">
        <v>10128600</v>
      </c>
      <c r="E2000" s="147" t="s">
        <v>358</v>
      </c>
    </row>
    <row r="2001" spans="4:5" ht="15">
      <c r="D2001" s="147">
        <v>10128579</v>
      </c>
      <c r="E2001" s="147" t="s">
        <v>354</v>
      </c>
    </row>
    <row r="2002" spans="4:5" ht="15">
      <c r="D2002" s="147">
        <v>10128580</v>
      </c>
      <c r="E2002" s="147" t="s">
        <v>358</v>
      </c>
    </row>
    <row r="2003" spans="4:5" ht="15">
      <c r="D2003" s="147">
        <v>10128581</v>
      </c>
      <c r="E2003" s="147" t="s">
        <v>358</v>
      </c>
    </row>
    <row r="2004" spans="4:5" ht="15">
      <c r="D2004" s="147">
        <v>10128582</v>
      </c>
      <c r="E2004" s="147" t="s">
        <v>361</v>
      </c>
    </row>
    <row r="2005" spans="4:5" ht="15">
      <c r="D2005" s="147">
        <v>10128595</v>
      </c>
      <c r="E2005" s="147" t="s">
        <v>361</v>
      </c>
    </row>
    <row r="2006" spans="4:5" ht="15">
      <c r="D2006" s="147">
        <v>10128596</v>
      </c>
      <c r="E2006" s="147" t="s">
        <v>353</v>
      </c>
    </row>
    <row r="2007" spans="4:5" ht="15">
      <c r="D2007" s="147">
        <v>10128597</v>
      </c>
      <c r="E2007" s="147" t="s">
        <v>358</v>
      </c>
    </row>
    <row r="2008" spans="4:5" ht="15">
      <c r="D2008" s="147">
        <v>10128598</v>
      </c>
      <c r="E2008" s="147" t="s">
        <v>361</v>
      </c>
    </row>
    <row r="2009" spans="4:5" ht="15">
      <c r="D2009" s="147">
        <v>10128599</v>
      </c>
      <c r="E2009" s="147" t="s">
        <v>354</v>
      </c>
    </row>
    <row r="2010" spans="4:5" ht="15">
      <c r="D2010" s="147">
        <v>10128600</v>
      </c>
      <c r="E2010" s="147" t="s">
        <v>358</v>
      </c>
    </row>
    <row r="2011" spans="4:5" ht="15">
      <c r="D2011" s="147">
        <v>10128579</v>
      </c>
      <c r="E2011" s="147" t="s">
        <v>354</v>
      </c>
    </row>
    <row r="2012" spans="4:5" ht="15">
      <c r="D2012" s="147">
        <v>10128580</v>
      </c>
      <c r="E2012" s="147" t="s">
        <v>358</v>
      </c>
    </row>
    <row r="2013" spans="4:5" ht="15">
      <c r="D2013" s="147">
        <v>10128581</v>
      </c>
      <c r="E2013" s="147" t="s">
        <v>358</v>
      </c>
    </row>
    <row r="2014" spans="4:5" ht="15">
      <c r="D2014" s="147">
        <v>10128582</v>
      </c>
      <c r="E2014" s="147" t="s">
        <v>361</v>
      </c>
    </row>
    <row r="2015" spans="4:5" ht="15">
      <c r="D2015" s="147">
        <v>10128595</v>
      </c>
      <c r="E2015" s="147" t="s">
        <v>361</v>
      </c>
    </row>
    <row r="2016" spans="4:5" ht="15">
      <c r="D2016" s="147">
        <v>10128596</v>
      </c>
      <c r="E2016" s="147" t="s">
        <v>353</v>
      </c>
    </row>
    <row r="2017" spans="4:5" ht="15">
      <c r="D2017" s="147">
        <v>10128597</v>
      </c>
      <c r="E2017" s="147" t="s">
        <v>358</v>
      </c>
    </row>
    <row r="2018" spans="4:5" ht="15">
      <c r="D2018" s="147">
        <v>10128598</v>
      </c>
      <c r="E2018" s="147" t="s">
        <v>361</v>
      </c>
    </row>
    <row r="2019" spans="4:5" ht="15">
      <c r="D2019" s="147">
        <v>10128599</v>
      </c>
      <c r="E2019" s="147" t="s">
        <v>354</v>
      </c>
    </row>
    <row r="2020" spans="4:5" ht="15">
      <c r="D2020" s="147">
        <v>10128600</v>
      </c>
      <c r="E2020" s="147" t="s">
        <v>358</v>
      </c>
    </row>
    <row r="2021" spans="4:5" ht="15">
      <c r="D2021" s="147">
        <v>10128579</v>
      </c>
      <c r="E2021" s="147" t="s">
        <v>354</v>
      </c>
    </row>
    <row r="2022" spans="4:5" ht="15">
      <c r="D2022" s="147">
        <v>10128580</v>
      </c>
      <c r="E2022" s="147" t="s">
        <v>358</v>
      </c>
    </row>
    <row r="2023" spans="4:5" ht="15">
      <c r="D2023" s="147">
        <v>10128581</v>
      </c>
      <c r="E2023" s="147" t="s">
        <v>358</v>
      </c>
    </row>
    <row r="2024" spans="4:5" ht="15">
      <c r="D2024" s="147">
        <v>10128582</v>
      </c>
      <c r="E2024" s="147" t="s">
        <v>361</v>
      </c>
    </row>
    <row r="2025" spans="4:5" ht="15">
      <c r="D2025" s="147">
        <v>10128595</v>
      </c>
      <c r="E2025" s="147" t="s">
        <v>361</v>
      </c>
    </row>
    <row r="2026" spans="4:5" ht="15">
      <c r="D2026" s="147">
        <v>10128596</v>
      </c>
      <c r="E2026" s="147" t="s">
        <v>353</v>
      </c>
    </row>
    <row r="2027" spans="4:5" ht="15">
      <c r="D2027" s="147">
        <v>10128597</v>
      </c>
      <c r="E2027" s="147" t="s">
        <v>358</v>
      </c>
    </row>
    <row r="2028" spans="4:5" ht="15">
      <c r="D2028" s="147">
        <v>10128598</v>
      </c>
      <c r="E2028" s="147" t="s">
        <v>361</v>
      </c>
    </row>
    <row r="2029" spans="4:5" ht="15">
      <c r="D2029" s="147">
        <v>10128599</v>
      </c>
      <c r="E2029" s="147" t="s">
        <v>354</v>
      </c>
    </row>
    <row r="2030" spans="4:5" ht="15">
      <c r="D2030" s="147">
        <v>10128600</v>
      </c>
      <c r="E2030" s="147" t="s">
        <v>358</v>
      </c>
    </row>
    <row r="2031" spans="4:5" ht="15">
      <c r="D2031" s="147">
        <v>10128579</v>
      </c>
      <c r="E2031" s="147" t="s">
        <v>354</v>
      </c>
    </row>
    <row r="2032" spans="4:5" ht="15">
      <c r="D2032" s="147">
        <v>10128580</v>
      </c>
      <c r="E2032" s="147" t="s">
        <v>358</v>
      </c>
    </row>
    <row r="2033" spans="4:5" ht="15">
      <c r="D2033" s="147">
        <v>10128581</v>
      </c>
      <c r="E2033" s="147" t="s">
        <v>358</v>
      </c>
    </row>
    <row r="2034" spans="4:5" ht="15">
      <c r="D2034" s="147">
        <v>10128582</v>
      </c>
      <c r="E2034" s="147" t="s">
        <v>361</v>
      </c>
    </row>
    <row r="2035" spans="4:5" ht="15">
      <c r="D2035" s="147">
        <v>10128595</v>
      </c>
      <c r="E2035" s="147" t="s">
        <v>361</v>
      </c>
    </row>
    <row r="2036" spans="4:5" ht="15">
      <c r="D2036" s="147">
        <v>10128596</v>
      </c>
      <c r="E2036" s="147" t="s">
        <v>353</v>
      </c>
    </row>
    <row r="2037" spans="4:5" ht="15">
      <c r="D2037" s="147">
        <v>10128597</v>
      </c>
      <c r="E2037" s="147" t="s">
        <v>358</v>
      </c>
    </row>
    <row r="2038" spans="4:5" ht="15">
      <c r="D2038" s="147">
        <v>10128598</v>
      </c>
      <c r="E2038" s="147" t="s">
        <v>361</v>
      </c>
    </row>
    <row r="2039" spans="4:5" ht="15">
      <c r="D2039" s="147">
        <v>10128599</v>
      </c>
      <c r="E2039" s="147" t="s">
        <v>354</v>
      </c>
    </row>
    <row r="2040" spans="4:5" ht="15">
      <c r="D2040" s="147">
        <v>10128600</v>
      </c>
      <c r="E2040" s="147" t="s">
        <v>358</v>
      </c>
    </row>
    <row r="2041" spans="4:5" ht="15">
      <c r="D2041" s="147">
        <v>10128579</v>
      </c>
      <c r="E2041" s="147" t="s">
        <v>354</v>
      </c>
    </row>
    <row r="2042" spans="4:5" ht="15">
      <c r="D2042" s="147">
        <v>10128580</v>
      </c>
      <c r="E2042" s="147" t="s">
        <v>358</v>
      </c>
    </row>
    <row r="2043" spans="4:5" ht="15">
      <c r="D2043" s="147">
        <v>10128581</v>
      </c>
      <c r="E2043" s="147" t="s">
        <v>358</v>
      </c>
    </row>
    <row r="2044" spans="4:5" ht="15">
      <c r="D2044" s="147">
        <v>10128582</v>
      </c>
      <c r="E2044" s="147" t="s">
        <v>361</v>
      </c>
    </row>
    <row r="2045" spans="4:5" ht="15">
      <c r="D2045" s="147">
        <v>10128595</v>
      </c>
      <c r="E2045" s="147" t="s">
        <v>361</v>
      </c>
    </row>
    <row r="2046" spans="4:5" ht="15">
      <c r="D2046" s="147">
        <v>10128596</v>
      </c>
      <c r="E2046" s="147" t="s">
        <v>353</v>
      </c>
    </row>
    <row r="2047" spans="4:5" ht="15">
      <c r="D2047" s="147">
        <v>10128597</v>
      </c>
      <c r="E2047" s="147" t="s">
        <v>358</v>
      </c>
    </row>
    <row r="2048" spans="4:5" ht="15">
      <c r="D2048" s="147">
        <v>10128598</v>
      </c>
      <c r="E2048" s="147" t="s">
        <v>361</v>
      </c>
    </row>
    <row r="2049" spans="4:5" ht="15">
      <c r="D2049" s="147">
        <v>10128599</v>
      </c>
      <c r="E2049" s="147" t="s">
        <v>354</v>
      </c>
    </row>
    <row r="2050" spans="4:5" ht="15">
      <c r="D2050" s="147">
        <v>10128600</v>
      </c>
      <c r="E2050" s="147" t="s">
        <v>358</v>
      </c>
    </row>
    <row r="2051" spans="4:5" ht="15">
      <c r="D2051" s="147">
        <v>10128579</v>
      </c>
      <c r="E2051" s="147" t="s">
        <v>354</v>
      </c>
    </row>
    <row r="2052" spans="4:5" ht="15">
      <c r="D2052" s="147">
        <v>10128580</v>
      </c>
      <c r="E2052" s="147" t="s">
        <v>358</v>
      </c>
    </row>
    <row r="2053" spans="4:5" ht="15">
      <c r="D2053" s="147">
        <v>10128581</v>
      </c>
      <c r="E2053" s="147" t="s">
        <v>358</v>
      </c>
    </row>
    <row r="2054" spans="4:5" ht="15">
      <c r="D2054" s="147">
        <v>10128582</v>
      </c>
      <c r="E2054" s="147" t="s">
        <v>361</v>
      </c>
    </row>
    <row r="2055" spans="4:5" ht="15">
      <c r="D2055" s="147">
        <v>10128595</v>
      </c>
      <c r="E2055" s="147" t="s">
        <v>361</v>
      </c>
    </row>
    <row r="2056" spans="4:5" ht="15">
      <c r="D2056" s="147">
        <v>10128596</v>
      </c>
      <c r="E2056" s="147" t="s">
        <v>353</v>
      </c>
    </row>
    <row r="2057" spans="4:5" ht="15">
      <c r="D2057" s="147">
        <v>10128597</v>
      </c>
      <c r="E2057" s="147" t="s">
        <v>358</v>
      </c>
    </row>
    <row r="2058" spans="4:5" ht="15">
      <c r="D2058" s="147">
        <v>10128598</v>
      </c>
      <c r="E2058" s="147" t="s">
        <v>361</v>
      </c>
    </row>
    <row r="2059" spans="4:5" ht="15">
      <c r="D2059" s="147">
        <v>10128599</v>
      </c>
      <c r="E2059" s="147" t="s">
        <v>354</v>
      </c>
    </row>
    <row r="2060" spans="4:5" ht="15">
      <c r="D2060" s="147">
        <v>10128600</v>
      </c>
      <c r="E2060" s="147" t="s">
        <v>358</v>
      </c>
    </row>
    <row r="2061" spans="4:5" ht="15">
      <c r="D2061" s="147">
        <v>10128579</v>
      </c>
      <c r="E2061" s="147" t="s">
        <v>354</v>
      </c>
    </row>
    <row r="2062" spans="4:5" ht="15">
      <c r="D2062" s="147">
        <v>10128580</v>
      </c>
      <c r="E2062" s="147" t="s">
        <v>358</v>
      </c>
    </row>
    <row r="2063" spans="4:5" ht="15">
      <c r="D2063" s="147">
        <v>10128581</v>
      </c>
      <c r="E2063" s="147" t="s">
        <v>358</v>
      </c>
    </row>
    <row r="2064" spans="4:5" ht="15">
      <c r="D2064" s="147">
        <v>10128582</v>
      </c>
      <c r="E2064" s="147" t="s">
        <v>361</v>
      </c>
    </row>
    <row r="2065" spans="4:5" ht="15">
      <c r="D2065" s="147">
        <v>10128595</v>
      </c>
      <c r="E2065" s="147" t="s">
        <v>361</v>
      </c>
    </row>
    <row r="2066" spans="4:5" ht="15">
      <c r="D2066" s="147">
        <v>10128596</v>
      </c>
      <c r="E2066" s="147" t="s">
        <v>353</v>
      </c>
    </row>
    <row r="2067" spans="4:5" ht="15">
      <c r="D2067" s="147">
        <v>10128597</v>
      </c>
      <c r="E2067" s="147" t="s">
        <v>358</v>
      </c>
    </row>
    <row r="2068" spans="4:5" ht="15">
      <c r="D2068" s="147">
        <v>10128598</v>
      </c>
      <c r="E2068" s="147" t="s">
        <v>361</v>
      </c>
    </row>
    <row r="2069" spans="4:5" ht="15">
      <c r="D2069" s="147">
        <v>10128599</v>
      </c>
      <c r="E2069" s="147" t="s">
        <v>354</v>
      </c>
    </row>
    <row r="2070" spans="4:5" ht="15">
      <c r="D2070" s="147">
        <v>10128600</v>
      </c>
      <c r="E2070" s="147" t="s">
        <v>358</v>
      </c>
    </row>
    <row r="2071" spans="4:5" ht="15">
      <c r="D2071" s="147">
        <v>10128579</v>
      </c>
      <c r="E2071" s="147" t="s">
        <v>354</v>
      </c>
    </row>
    <row r="2072" spans="4:5" ht="15">
      <c r="D2072" s="147">
        <v>10128580</v>
      </c>
      <c r="E2072" s="147" t="s">
        <v>358</v>
      </c>
    </row>
    <row r="2073" spans="4:5" ht="15">
      <c r="D2073" s="147">
        <v>10128581</v>
      </c>
      <c r="E2073" s="147" t="s">
        <v>358</v>
      </c>
    </row>
    <row r="2074" spans="4:5" ht="15">
      <c r="D2074" s="147">
        <v>10128582</v>
      </c>
      <c r="E2074" s="147" t="s">
        <v>361</v>
      </c>
    </row>
    <row r="2075" spans="4:5" ht="15">
      <c r="D2075" s="147">
        <v>10128595</v>
      </c>
      <c r="E2075" s="147" t="s">
        <v>361</v>
      </c>
    </row>
    <row r="2076" spans="4:5" ht="15">
      <c r="D2076" s="147">
        <v>10128596</v>
      </c>
      <c r="E2076" s="147" t="s">
        <v>353</v>
      </c>
    </row>
    <row r="2077" spans="4:5" ht="15">
      <c r="D2077" s="147">
        <v>10128597</v>
      </c>
      <c r="E2077" s="147" t="s">
        <v>358</v>
      </c>
    </row>
    <row r="2078" spans="4:5" ht="15">
      <c r="D2078" s="147">
        <v>10128598</v>
      </c>
      <c r="E2078" s="147" t="s">
        <v>361</v>
      </c>
    </row>
    <row r="2079" spans="4:5" ht="15">
      <c r="D2079" s="147">
        <v>10128599</v>
      </c>
      <c r="E2079" s="147" t="s">
        <v>354</v>
      </c>
    </row>
    <row r="2080" spans="4:5" ht="15">
      <c r="D2080" s="147">
        <v>10128600</v>
      </c>
      <c r="E2080" s="147" t="s">
        <v>358</v>
      </c>
    </row>
    <row r="2081" spans="4:5" ht="15">
      <c r="D2081" s="147">
        <v>10128579</v>
      </c>
      <c r="E2081" s="147" t="s">
        <v>354</v>
      </c>
    </row>
    <row r="2082" spans="4:5" ht="15">
      <c r="D2082" s="147">
        <v>10128580</v>
      </c>
      <c r="E2082" s="147" t="s">
        <v>358</v>
      </c>
    </row>
    <row r="2083" spans="4:5" ht="15">
      <c r="D2083" s="147">
        <v>10128581</v>
      </c>
      <c r="E2083" s="147" t="s">
        <v>358</v>
      </c>
    </row>
    <row r="2084" spans="4:5" ht="15">
      <c r="D2084" s="147">
        <v>10128582</v>
      </c>
      <c r="E2084" s="147" t="s">
        <v>361</v>
      </c>
    </row>
    <row r="2085" spans="4:5" ht="15">
      <c r="D2085" s="147">
        <v>10128595</v>
      </c>
      <c r="E2085" s="147" t="s">
        <v>361</v>
      </c>
    </row>
    <row r="2086" spans="4:5" ht="15">
      <c r="D2086" s="147">
        <v>10128596</v>
      </c>
      <c r="E2086" s="147" t="s">
        <v>353</v>
      </c>
    </row>
    <row r="2087" spans="4:5" ht="15">
      <c r="D2087" s="147">
        <v>10128597</v>
      </c>
      <c r="E2087" s="147" t="s">
        <v>358</v>
      </c>
    </row>
    <row r="2088" spans="4:5" ht="15">
      <c r="D2088" s="147">
        <v>10128598</v>
      </c>
      <c r="E2088" s="147" t="s">
        <v>361</v>
      </c>
    </row>
    <row r="2089" spans="4:5" ht="15">
      <c r="D2089" s="147">
        <v>10128599</v>
      </c>
      <c r="E2089" s="147" t="s">
        <v>354</v>
      </c>
    </row>
    <row r="2090" spans="4:5" ht="15">
      <c r="D2090" s="147">
        <v>10128600</v>
      </c>
      <c r="E2090" s="147" t="s">
        <v>358</v>
      </c>
    </row>
    <row r="2091" spans="4:5" ht="15">
      <c r="D2091" s="147">
        <v>10128579</v>
      </c>
      <c r="E2091" s="147" t="s">
        <v>354</v>
      </c>
    </row>
    <row r="2092" spans="4:5" ht="15">
      <c r="D2092" s="147">
        <v>10128580</v>
      </c>
      <c r="E2092" s="147" t="s">
        <v>358</v>
      </c>
    </row>
    <row r="2093" spans="4:5" ht="15">
      <c r="D2093" s="147">
        <v>10128581</v>
      </c>
      <c r="E2093" s="147" t="s">
        <v>358</v>
      </c>
    </row>
    <row r="2094" spans="4:5" ht="15">
      <c r="D2094" s="147">
        <v>10128582</v>
      </c>
      <c r="E2094" s="147" t="s">
        <v>361</v>
      </c>
    </row>
    <row r="2095" spans="4:5" ht="15">
      <c r="D2095" s="147">
        <v>10128595</v>
      </c>
      <c r="E2095" s="147" t="s">
        <v>361</v>
      </c>
    </row>
    <row r="2096" spans="4:5" ht="15">
      <c r="D2096" s="147">
        <v>10128596</v>
      </c>
      <c r="E2096" s="147" t="s">
        <v>353</v>
      </c>
    </row>
    <row r="2097" spans="4:5" ht="15">
      <c r="D2097" s="147">
        <v>10128597</v>
      </c>
      <c r="E2097" s="147" t="s">
        <v>358</v>
      </c>
    </row>
    <row r="2098" spans="4:5" ht="15">
      <c r="D2098" s="147">
        <v>10128598</v>
      </c>
      <c r="E2098" s="147" t="s">
        <v>361</v>
      </c>
    </row>
    <row r="2099" spans="4:5" ht="15">
      <c r="D2099" s="147">
        <v>10128599</v>
      </c>
      <c r="E2099" s="147" t="s">
        <v>354</v>
      </c>
    </row>
    <row r="2100" spans="4:5" ht="15">
      <c r="D2100" s="147">
        <v>10128600</v>
      </c>
      <c r="E2100" s="147" t="s">
        <v>358</v>
      </c>
    </row>
    <row r="2101" spans="4:5" ht="15">
      <c r="D2101" s="147">
        <v>10128579</v>
      </c>
      <c r="E2101" s="147" t="s">
        <v>354</v>
      </c>
    </row>
    <row r="2102" spans="4:5" ht="15">
      <c r="D2102" s="147">
        <v>10128580</v>
      </c>
      <c r="E2102" s="147" t="s">
        <v>358</v>
      </c>
    </row>
    <row r="2103" spans="4:5" ht="15">
      <c r="D2103" s="147">
        <v>10128581</v>
      </c>
      <c r="E2103" s="147" t="s">
        <v>358</v>
      </c>
    </row>
    <row r="2104" spans="4:5" ht="15">
      <c r="D2104" s="147">
        <v>10128582</v>
      </c>
      <c r="E2104" s="147" t="s">
        <v>361</v>
      </c>
    </row>
    <row r="2105" spans="4:5" ht="15">
      <c r="D2105" s="147">
        <v>10128595</v>
      </c>
      <c r="E2105" s="147" t="s">
        <v>361</v>
      </c>
    </row>
    <row r="2106" spans="4:5" ht="15">
      <c r="D2106" s="147">
        <v>10128596</v>
      </c>
      <c r="E2106" s="147" t="s">
        <v>353</v>
      </c>
    </row>
    <row r="2107" spans="4:5" ht="15">
      <c r="D2107" s="147">
        <v>10128597</v>
      </c>
      <c r="E2107" s="147" t="s">
        <v>358</v>
      </c>
    </row>
    <row r="2108" spans="4:5" ht="15">
      <c r="D2108" s="147">
        <v>10128598</v>
      </c>
      <c r="E2108" s="147" t="s">
        <v>361</v>
      </c>
    </row>
    <row r="2109" spans="4:5" ht="15">
      <c r="D2109" s="147">
        <v>10128599</v>
      </c>
      <c r="E2109" s="147" t="s">
        <v>354</v>
      </c>
    </row>
    <row r="2110" spans="4:5" ht="15">
      <c r="D2110" s="147">
        <v>10128600</v>
      </c>
      <c r="E2110" s="147" t="s">
        <v>358</v>
      </c>
    </row>
    <row r="2111" spans="4:5" ht="15">
      <c r="D2111" s="147">
        <v>10128579</v>
      </c>
      <c r="E2111" s="147" t="s">
        <v>354</v>
      </c>
    </row>
    <row r="2112" spans="4:5" ht="15">
      <c r="D2112" s="147">
        <v>10128580</v>
      </c>
      <c r="E2112" s="147" t="s">
        <v>358</v>
      </c>
    </row>
    <row r="2113" spans="4:5" ht="15">
      <c r="D2113" s="147">
        <v>10128581</v>
      </c>
      <c r="E2113" s="147" t="s">
        <v>358</v>
      </c>
    </row>
    <row r="2114" spans="4:5" ht="15">
      <c r="D2114" s="147">
        <v>10128582</v>
      </c>
      <c r="E2114" s="147" t="s">
        <v>361</v>
      </c>
    </row>
    <row r="2115" spans="4:5" ht="15">
      <c r="D2115" s="147">
        <v>10128595</v>
      </c>
      <c r="E2115" s="147" t="s">
        <v>361</v>
      </c>
    </row>
    <row r="2116" spans="4:5" ht="15">
      <c r="D2116" s="147">
        <v>10128596</v>
      </c>
      <c r="E2116" s="147" t="s">
        <v>353</v>
      </c>
    </row>
    <row r="2117" spans="4:5" ht="15">
      <c r="D2117" s="147">
        <v>10128597</v>
      </c>
      <c r="E2117" s="147" t="s">
        <v>358</v>
      </c>
    </row>
    <row r="2118" spans="4:5" ht="15">
      <c r="D2118" s="147">
        <v>10128598</v>
      </c>
      <c r="E2118" s="147" t="s">
        <v>361</v>
      </c>
    </row>
    <row r="2119" spans="4:5" ht="15">
      <c r="D2119" s="147">
        <v>10128599</v>
      </c>
      <c r="E2119" s="147" t="s">
        <v>354</v>
      </c>
    </row>
    <row r="2120" spans="4:5" ht="15">
      <c r="D2120" s="147">
        <v>10128600</v>
      </c>
      <c r="E2120" s="147" t="s">
        <v>358</v>
      </c>
    </row>
    <row r="2121" spans="4:5" ht="15">
      <c r="D2121" s="147">
        <v>10128579</v>
      </c>
      <c r="E2121" s="147" t="s">
        <v>354</v>
      </c>
    </row>
    <row r="2122" spans="4:5" ht="15">
      <c r="D2122" s="147">
        <v>10128580</v>
      </c>
      <c r="E2122" s="147" t="s">
        <v>358</v>
      </c>
    </row>
    <row r="2123" spans="4:5" ht="15">
      <c r="D2123" s="147">
        <v>10128581</v>
      </c>
      <c r="E2123" s="147" t="s">
        <v>358</v>
      </c>
    </row>
    <row r="2124" spans="4:5" ht="15">
      <c r="D2124" s="147">
        <v>10128582</v>
      </c>
      <c r="E2124" s="147" t="s">
        <v>361</v>
      </c>
    </row>
    <row r="2125" spans="4:5" ht="15">
      <c r="D2125" s="147">
        <v>10128595</v>
      </c>
      <c r="E2125" s="147" t="s">
        <v>361</v>
      </c>
    </row>
    <row r="2126" spans="4:5" ht="15">
      <c r="D2126" s="147">
        <v>10128596</v>
      </c>
      <c r="E2126" s="147" t="s">
        <v>353</v>
      </c>
    </row>
    <row r="2127" spans="4:5" ht="15">
      <c r="D2127" s="147">
        <v>10128597</v>
      </c>
      <c r="E2127" s="147" t="s">
        <v>358</v>
      </c>
    </row>
    <row r="2128" spans="4:5" ht="15">
      <c r="D2128" s="147">
        <v>10128598</v>
      </c>
      <c r="E2128" s="147" t="s">
        <v>361</v>
      </c>
    </row>
    <row r="2129" spans="4:5" ht="15">
      <c r="D2129" s="147">
        <v>10128599</v>
      </c>
      <c r="E2129" s="147" t="s">
        <v>354</v>
      </c>
    </row>
    <row r="2130" spans="4:5" ht="15">
      <c r="D2130" s="147">
        <v>10128600</v>
      </c>
      <c r="E2130" s="147" t="s">
        <v>358</v>
      </c>
    </row>
    <row r="2131" spans="4:5" ht="15">
      <c r="D2131" s="147">
        <v>10128579</v>
      </c>
      <c r="E2131" s="147" t="s">
        <v>354</v>
      </c>
    </row>
    <row r="2132" spans="4:5" ht="15">
      <c r="D2132" s="147">
        <v>10128580</v>
      </c>
      <c r="E2132" s="147" t="s">
        <v>358</v>
      </c>
    </row>
    <row r="2133" spans="4:5" ht="15">
      <c r="D2133" s="147">
        <v>10128581</v>
      </c>
      <c r="E2133" s="147" t="s">
        <v>358</v>
      </c>
    </row>
    <row r="2134" spans="4:5" ht="15">
      <c r="D2134" s="147">
        <v>10128582</v>
      </c>
      <c r="E2134" s="147" t="s">
        <v>361</v>
      </c>
    </row>
    <row r="2135" spans="4:5" ht="15">
      <c r="D2135" s="147">
        <v>10128595</v>
      </c>
      <c r="E2135" s="147" t="s">
        <v>361</v>
      </c>
    </row>
    <row r="2136" spans="4:5" ht="15">
      <c r="D2136" s="147">
        <v>10128596</v>
      </c>
      <c r="E2136" s="147" t="s">
        <v>353</v>
      </c>
    </row>
    <row r="2137" spans="4:5" ht="15">
      <c r="D2137" s="147">
        <v>10128597</v>
      </c>
      <c r="E2137" s="147" t="s">
        <v>358</v>
      </c>
    </row>
    <row r="2138" spans="4:5" ht="15">
      <c r="D2138" s="147">
        <v>10128598</v>
      </c>
      <c r="E2138" s="147" t="s">
        <v>361</v>
      </c>
    </row>
    <row r="2139" spans="4:5" ht="15">
      <c r="D2139" s="147">
        <v>10128599</v>
      </c>
      <c r="E2139" s="147" t="s">
        <v>354</v>
      </c>
    </row>
    <row r="2140" spans="4:5" ht="15">
      <c r="D2140" s="147">
        <v>10128600</v>
      </c>
      <c r="E2140" s="147" t="s">
        <v>358</v>
      </c>
    </row>
    <row r="2141" spans="4:5" ht="15">
      <c r="D2141" s="147">
        <v>10128579</v>
      </c>
      <c r="E2141" s="147" t="s">
        <v>354</v>
      </c>
    </row>
    <row r="2142" spans="4:5" ht="15">
      <c r="D2142" s="147">
        <v>10128580</v>
      </c>
      <c r="E2142" s="147" t="s">
        <v>358</v>
      </c>
    </row>
    <row r="2143" spans="4:5" ht="15">
      <c r="D2143" s="147">
        <v>10128581</v>
      </c>
      <c r="E2143" s="147" t="s">
        <v>358</v>
      </c>
    </row>
    <row r="2144" spans="4:5" ht="15">
      <c r="D2144" s="147">
        <v>10128582</v>
      </c>
      <c r="E2144" s="147" t="s">
        <v>361</v>
      </c>
    </row>
    <row r="2145" spans="4:5" ht="15">
      <c r="D2145" s="147">
        <v>10128595</v>
      </c>
      <c r="E2145" s="147" t="s">
        <v>361</v>
      </c>
    </row>
    <row r="2146" spans="4:5" ht="15">
      <c r="D2146" s="147">
        <v>10128596</v>
      </c>
      <c r="E2146" s="147" t="s">
        <v>353</v>
      </c>
    </row>
    <row r="2147" spans="4:5" ht="15">
      <c r="D2147" s="147">
        <v>10128597</v>
      </c>
      <c r="E2147" s="147" t="s">
        <v>358</v>
      </c>
    </row>
    <row r="2148" spans="4:5" ht="15">
      <c r="D2148" s="147">
        <v>10128598</v>
      </c>
      <c r="E2148" s="147" t="s">
        <v>361</v>
      </c>
    </row>
    <row r="2149" spans="4:5" ht="15">
      <c r="D2149" s="147">
        <v>10128599</v>
      </c>
      <c r="E2149" s="147" t="s">
        <v>354</v>
      </c>
    </row>
    <row r="2150" spans="4:5" ht="15">
      <c r="D2150" s="147">
        <v>10128600</v>
      </c>
      <c r="E2150" s="147" t="s">
        <v>358</v>
      </c>
    </row>
    <row r="2151" spans="4:5" ht="15">
      <c r="D2151" s="147">
        <v>10128579</v>
      </c>
      <c r="E2151" s="147" t="s">
        <v>354</v>
      </c>
    </row>
    <row r="2152" spans="4:5" ht="15">
      <c r="D2152" s="147">
        <v>10128580</v>
      </c>
      <c r="E2152" s="147" t="s">
        <v>358</v>
      </c>
    </row>
    <row r="2153" spans="4:5" ht="15">
      <c r="D2153" s="147">
        <v>10128581</v>
      </c>
      <c r="E2153" s="147" t="s">
        <v>358</v>
      </c>
    </row>
    <row r="2154" spans="4:5" ht="15">
      <c r="D2154" s="147">
        <v>10128582</v>
      </c>
      <c r="E2154" s="147" t="s">
        <v>361</v>
      </c>
    </row>
    <row r="2155" spans="4:5" ht="15">
      <c r="D2155" s="147">
        <v>10128595</v>
      </c>
      <c r="E2155" s="147" t="s">
        <v>361</v>
      </c>
    </row>
    <row r="2156" spans="4:5" ht="15">
      <c r="D2156" s="147">
        <v>10128596</v>
      </c>
      <c r="E2156" s="147" t="s">
        <v>353</v>
      </c>
    </row>
    <row r="2157" spans="4:5" ht="15">
      <c r="D2157" s="147">
        <v>10128597</v>
      </c>
      <c r="E2157" s="147" t="s">
        <v>358</v>
      </c>
    </row>
    <row r="2158" spans="4:5" ht="15">
      <c r="D2158" s="147">
        <v>10128598</v>
      </c>
      <c r="E2158" s="147" t="s">
        <v>361</v>
      </c>
    </row>
    <row r="2159" spans="4:5" ht="15">
      <c r="D2159" s="147">
        <v>10128599</v>
      </c>
      <c r="E2159" s="147" t="s">
        <v>354</v>
      </c>
    </row>
    <row r="2160" spans="4:5" ht="15">
      <c r="D2160" s="147">
        <v>10128600</v>
      </c>
      <c r="E2160" s="147" t="s">
        <v>358</v>
      </c>
    </row>
    <row r="2161" spans="4:5" ht="15">
      <c r="D2161" s="147">
        <v>10128579</v>
      </c>
      <c r="E2161" s="147" t="s">
        <v>354</v>
      </c>
    </row>
    <row r="2162" spans="4:5" ht="15">
      <c r="D2162" s="147">
        <v>10128580</v>
      </c>
      <c r="E2162" s="147" t="s">
        <v>358</v>
      </c>
    </row>
    <row r="2163" spans="4:5" ht="15">
      <c r="D2163" s="147">
        <v>10128581</v>
      </c>
      <c r="E2163" s="147" t="s">
        <v>358</v>
      </c>
    </row>
    <row r="2164" spans="4:5" ht="15">
      <c r="D2164" s="147">
        <v>10128582</v>
      </c>
      <c r="E2164" s="147" t="s">
        <v>361</v>
      </c>
    </row>
    <row r="2165" spans="4:5" ht="15">
      <c r="D2165" s="147">
        <v>10128595</v>
      </c>
      <c r="E2165" s="147" t="s">
        <v>361</v>
      </c>
    </row>
    <row r="2166" spans="4:5" ht="15">
      <c r="D2166" s="147">
        <v>10128596</v>
      </c>
      <c r="E2166" s="147" t="s">
        <v>353</v>
      </c>
    </row>
    <row r="2167" spans="4:5" ht="15">
      <c r="D2167" s="147">
        <v>10128597</v>
      </c>
      <c r="E2167" s="147" t="s">
        <v>358</v>
      </c>
    </row>
    <row r="2168" spans="4:5" ht="15">
      <c r="D2168" s="147">
        <v>10128598</v>
      </c>
      <c r="E2168" s="147" t="s">
        <v>361</v>
      </c>
    </row>
    <row r="2169" spans="4:5" ht="15">
      <c r="D2169" s="147">
        <v>10128599</v>
      </c>
      <c r="E2169" s="147" t="s">
        <v>354</v>
      </c>
    </row>
    <row r="2170" spans="4:5" ht="15">
      <c r="D2170" s="147">
        <v>10128600</v>
      </c>
      <c r="E2170" s="147" t="s">
        <v>358</v>
      </c>
    </row>
    <row r="2171" spans="4:5" ht="15">
      <c r="D2171" s="147">
        <v>10128579</v>
      </c>
      <c r="E2171" s="147" t="s">
        <v>354</v>
      </c>
    </row>
    <row r="2172" spans="4:5" ht="15">
      <c r="D2172" s="147">
        <v>10128580</v>
      </c>
      <c r="E2172" s="147" t="s">
        <v>358</v>
      </c>
    </row>
    <row r="2173" spans="4:5" ht="15">
      <c r="D2173" s="147">
        <v>10128581</v>
      </c>
      <c r="E2173" s="147" t="s">
        <v>358</v>
      </c>
    </row>
    <row r="2174" spans="4:5" ht="15">
      <c r="D2174" s="147">
        <v>10128582</v>
      </c>
      <c r="E2174" s="147" t="s">
        <v>361</v>
      </c>
    </row>
    <row r="2175" spans="4:5" ht="15">
      <c r="D2175" s="147">
        <v>10128595</v>
      </c>
      <c r="E2175" s="147" t="s">
        <v>361</v>
      </c>
    </row>
    <row r="2176" spans="4:5" ht="15">
      <c r="D2176" s="147">
        <v>10128596</v>
      </c>
      <c r="E2176" s="147" t="s">
        <v>353</v>
      </c>
    </row>
    <row r="2177" spans="4:5" ht="15">
      <c r="D2177" s="147">
        <v>10128597</v>
      </c>
      <c r="E2177" s="147" t="s">
        <v>358</v>
      </c>
    </row>
    <row r="2178" spans="4:5" ht="15">
      <c r="D2178" s="147">
        <v>10128598</v>
      </c>
      <c r="E2178" s="147" t="s">
        <v>361</v>
      </c>
    </row>
    <row r="2179" spans="4:5" ht="15">
      <c r="D2179" s="147">
        <v>10128599</v>
      </c>
      <c r="E2179" s="147" t="s">
        <v>354</v>
      </c>
    </row>
    <row r="2180" spans="4:5" ht="15">
      <c r="D2180" s="147">
        <v>10128600</v>
      </c>
      <c r="E2180" s="147" t="s">
        <v>358</v>
      </c>
    </row>
    <row r="2181" spans="4:5" ht="15">
      <c r="D2181" s="147">
        <v>10128579</v>
      </c>
      <c r="E2181" s="147" t="s">
        <v>354</v>
      </c>
    </row>
    <row r="2182" spans="4:5" ht="15">
      <c r="D2182" s="147">
        <v>10128580</v>
      </c>
      <c r="E2182" s="147" t="s">
        <v>358</v>
      </c>
    </row>
    <row r="2183" spans="4:5" ht="15">
      <c r="D2183" s="147">
        <v>10128581</v>
      </c>
      <c r="E2183" s="147" t="s">
        <v>358</v>
      </c>
    </row>
    <row r="2184" spans="4:5" ht="15">
      <c r="D2184" s="147">
        <v>10128582</v>
      </c>
      <c r="E2184" s="147" t="s">
        <v>361</v>
      </c>
    </row>
    <row r="2185" spans="4:5" ht="15">
      <c r="D2185" s="147">
        <v>10128595</v>
      </c>
      <c r="E2185" s="147" t="s">
        <v>361</v>
      </c>
    </row>
    <row r="2186" spans="4:5" ht="15">
      <c r="D2186" s="147">
        <v>10128596</v>
      </c>
      <c r="E2186" s="147" t="s">
        <v>353</v>
      </c>
    </row>
    <row r="2187" spans="4:5" ht="15">
      <c r="D2187" s="147">
        <v>10128597</v>
      </c>
      <c r="E2187" s="147" t="s">
        <v>358</v>
      </c>
    </row>
    <row r="2188" spans="4:5" ht="15">
      <c r="D2188" s="147">
        <v>10128598</v>
      </c>
      <c r="E2188" s="147" t="s">
        <v>361</v>
      </c>
    </row>
    <row r="2189" spans="4:5" ht="15">
      <c r="D2189" s="147">
        <v>10128599</v>
      </c>
      <c r="E2189" s="147" t="s">
        <v>354</v>
      </c>
    </row>
    <row r="2190" spans="4:5" ht="15">
      <c r="D2190" s="147">
        <v>10128600</v>
      </c>
      <c r="E2190" s="147" t="s">
        <v>358</v>
      </c>
    </row>
    <row r="2191" spans="4:5" ht="15">
      <c r="D2191" s="147">
        <v>10128579</v>
      </c>
      <c r="E2191" s="147" t="s">
        <v>354</v>
      </c>
    </row>
    <row r="2192" spans="4:5" ht="15">
      <c r="D2192" s="147">
        <v>10128580</v>
      </c>
      <c r="E2192" s="147" t="s">
        <v>358</v>
      </c>
    </row>
    <row r="2193" spans="4:5" ht="15">
      <c r="D2193" s="147">
        <v>10128581</v>
      </c>
      <c r="E2193" s="147" t="s">
        <v>358</v>
      </c>
    </row>
    <row r="2194" spans="4:5" ht="15">
      <c r="D2194" s="147">
        <v>10128582</v>
      </c>
      <c r="E2194" s="147" t="s">
        <v>361</v>
      </c>
    </row>
    <row r="2195" spans="4:5" ht="15">
      <c r="D2195" s="147">
        <v>10128595</v>
      </c>
      <c r="E2195" s="147" t="s">
        <v>361</v>
      </c>
    </row>
    <row r="2196" spans="4:5" ht="15">
      <c r="D2196" s="147">
        <v>10128596</v>
      </c>
      <c r="E2196" s="147" t="s">
        <v>353</v>
      </c>
    </row>
    <row r="2197" spans="4:5" ht="15">
      <c r="D2197" s="147">
        <v>10128597</v>
      </c>
      <c r="E2197" s="147" t="s">
        <v>358</v>
      </c>
    </row>
    <row r="2198" spans="4:5" ht="15">
      <c r="D2198" s="147">
        <v>10128598</v>
      </c>
      <c r="E2198" s="147" t="s">
        <v>361</v>
      </c>
    </row>
    <row r="2199" spans="4:5" ht="15">
      <c r="D2199" s="147">
        <v>10128599</v>
      </c>
      <c r="E2199" s="147" t="s">
        <v>354</v>
      </c>
    </row>
    <row r="2200" spans="4:5" ht="15">
      <c r="D2200" s="147">
        <v>10128600</v>
      </c>
      <c r="E2200" s="147" t="s">
        <v>358</v>
      </c>
    </row>
    <row r="2201" spans="4:5" ht="15">
      <c r="D2201" s="147">
        <v>10128579</v>
      </c>
      <c r="E2201" s="147" t="s">
        <v>354</v>
      </c>
    </row>
    <row r="2202" spans="4:5" ht="15">
      <c r="D2202" s="147">
        <v>10128580</v>
      </c>
      <c r="E2202" s="147" t="s">
        <v>358</v>
      </c>
    </row>
    <row r="2203" spans="4:5" ht="15">
      <c r="D2203" s="147">
        <v>10128581</v>
      </c>
      <c r="E2203" s="147" t="s">
        <v>358</v>
      </c>
    </row>
    <row r="2204" spans="4:5" ht="15">
      <c r="D2204" s="147">
        <v>10128582</v>
      </c>
      <c r="E2204" s="147" t="s">
        <v>361</v>
      </c>
    </row>
    <row r="2205" spans="4:5" ht="15">
      <c r="D2205" s="147">
        <v>10128595</v>
      </c>
      <c r="E2205" s="147" t="s">
        <v>361</v>
      </c>
    </row>
    <row r="2206" spans="4:5" ht="15">
      <c r="D2206" s="147">
        <v>10128596</v>
      </c>
      <c r="E2206" s="147" t="s">
        <v>353</v>
      </c>
    </row>
    <row r="2207" spans="4:5" ht="15">
      <c r="D2207" s="147">
        <v>10128597</v>
      </c>
      <c r="E2207" s="147" t="s">
        <v>358</v>
      </c>
    </row>
    <row r="2208" spans="4:5" ht="15">
      <c r="D2208" s="147">
        <v>10128598</v>
      </c>
      <c r="E2208" s="147" t="s">
        <v>361</v>
      </c>
    </row>
    <row r="2209" spans="4:5" ht="15">
      <c r="D2209" s="147">
        <v>10128599</v>
      </c>
      <c r="E2209" s="147" t="s">
        <v>354</v>
      </c>
    </row>
    <row r="2210" spans="4:5" ht="15">
      <c r="D2210" s="147">
        <v>10128600</v>
      </c>
      <c r="E2210" s="147" t="s">
        <v>358</v>
      </c>
    </row>
    <row r="2211" spans="4:5" ht="15">
      <c r="D2211" s="147">
        <v>10128579</v>
      </c>
      <c r="E2211" s="147" t="s">
        <v>354</v>
      </c>
    </row>
    <row r="2212" spans="4:5" ht="15">
      <c r="D2212" s="147">
        <v>10128580</v>
      </c>
      <c r="E2212" s="147" t="s">
        <v>358</v>
      </c>
    </row>
    <row r="2213" spans="4:5" ht="15">
      <c r="D2213" s="147">
        <v>10128581</v>
      </c>
      <c r="E2213" s="147" t="s">
        <v>358</v>
      </c>
    </row>
    <row r="2214" spans="4:5" ht="15">
      <c r="D2214" s="147">
        <v>10128582</v>
      </c>
      <c r="E2214" s="147" t="s">
        <v>361</v>
      </c>
    </row>
    <row r="2215" spans="4:5" ht="15">
      <c r="D2215" s="147">
        <v>10128595</v>
      </c>
      <c r="E2215" s="147" t="s">
        <v>361</v>
      </c>
    </row>
    <row r="2216" spans="4:5" ht="15">
      <c r="D2216" s="147">
        <v>10128596</v>
      </c>
      <c r="E2216" s="147" t="s">
        <v>353</v>
      </c>
    </row>
    <row r="2217" spans="4:5" ht="15">
      <c r="D2217" s="147">
        <v>10128597</v>
      </c>
      <c r="E2217" s="147" t="s">
        <v>358</v>
      </c>
    </row>
    <row r="2218" spans="4:5" ht="15">
      <c r="D2218" s="147">
        <v>10128598</v>
      </c>
      <c r="E2218" s="147" t="s">
        <v>361</v>
      </c>
    </row>
    <row r="2219" spans="4:5" ht="15">
      <c r="D2219" s="147">
        <v>10128599</v>
      </c>
      <c r="E2219" s="147" t="s">
        <v>354</v>
      </c>
    </row>
    <row r="2220" spans="4:5" ht="15">
      <c r="D2220" s="147">
        <v>10128600</v>
      </c>
      <c r="E2220" s="147" t="s">
        <v>358</v>
      </c>
    </row>
    <row r="2221" spans="4:5" ht="15">
      <c r="D2221" s="147">
        <v>10128579</v>
      </c>
      <c r="E2221" s="147" t="s">
        <v>354</v>
      </c>
    </row>
    <row r="2222" spans="4:5" ht="15">
      <c r="D2222" s="147">
        <v>10128580</v>
      </c>
      <c r="E2222" s="147" t="s">
        <v>358</v>
      </c>
    </row>
    <row r="2223" spans="4:5" ht="15">
      <c r="D2223" s="147">
        <v>10128581</v>
      </c>
      <c r="E2223" s="147" t="s">
        <v>358</v>
      </c>
    </row>
    <row r="2224" spans="4:5" ht="15">
      <c r="D2224" s="147">
        <v>10128582</v>
      </c>
      <c r="E2224" s="147" t="s">
        <v>361</v>
      </c>
    </row>
    <row r="2225" spans="4:5" ht="15">
      <c r="D2225" s="147">
        <v>10128595</v>
      </c>
      <c r="E2225" s="147" t="s">
        <v>361</v>
      </c>
    </row>
    <row r="2226" spans="4:5" ht="15">
      <c r="D2226" s="147">
        <v>10128596</v>
      </c>
      <c r="E2226" s="147" t="s">
        <v>353</v>
      </c>
    </row>
    <row r="2227" spans="4:5" ht="15">
      <c r="D2227" s="147">
        <v>10128597</v>
      </c>
      <c r="E2227" s="147" t="s">
        <v>358</v>
      </c>
    </row>
    <row r="2228" spans="4:5" ht="15">
      <c r="D2228" s="147">
        <v>10128598</v>
      </c>
      <c r="E2228" s="147" t="s">
        <v>361</v>
      </c>
    </row>
    <row r="2229" spans="4:5" ht="15">
      <c r="D2229" s="147">
        <v>10128599</v>
      </c>
      <c r="E2229" s="147" t="s">
        <v>354</v>
      </c>
    </row>
    <row r="2230" spans="4:5" ht="15">
      <c r="D2230" s="147">
        <v>10128600</v>
      </c>
      <c r="E2230" s="147" t="s">
        <v>358</v>
      </c>
    </row>
    <row r="2231" spans="4:5" ht="15">
      <c r="D2231" s="147">
        <v>10128579</v>
      </c>
      <c r="E2231" s="147" t="s">
        <v>354</v>
      </c>
    </row>
    <row r="2232" spans="4:5" ht="15">
      <c r="D2232" s="147">
        <v>10128580</v>
      </c>
      <c r="E2232" s="147" t="s">
        <v>358</v>
      </c>
    </row>
    <row r="2233" spans="4:5" ht="15">
      <c r="D2233" s="147">
        <v>10128581</v>
      </c>
      <c r="E2233" s="147" t="s">
        <v>358</v>
      </c>
    </row>
    <row r="2234" spans="4:5" ht="15">
      <c r="D2234" s="147">
        <v>10128582</v>
      </c>
      <c r="E2234" s="147" t="s">
        <v>361</v>
      </c>
    </row>
    <row r="2235" spans="4:5" ht="15">
      <c r="D2235" s="147">
        <v>10128595</v>
      </c>
      <c r="E2235" s="147" t="s">
        <v>361</v>
      </c>
    </row>
    <row r="2236" spans="4:5" ht="15">
      <c r="D2236" s="147">
        <v>10128596</v>
      </c>
      <c r="E2236" s="147" t="s">
        <v>353</v>
      </c>
    </row>
    <row r="2237" spans="4:5" ht="15">
      <c r="D2237" s="147">
        <v>10128597</v>
      </c>
      <c r="E2237" s="147" t="s">
        <v>358</v>
      </c>
    </row>
    <row r="2238" spans="4:5" ht="15">
      <c r="D2238" s="147">
        <v>10128598</v>
      </c>
      <c r="E2238" s="147" t="s">
        <v>361</v>
      </c>
    </row>
    <row r="2239" spans="4:5" ht="15">
      <c r="D2239" s="147">
        <v>10128599</v>
      </c>
      <c r="E2239" s="147" t="s">
        <v>354</v>
      </c>
    </row>
    <row r="2240" spans="4:5" ht="15">
      <c r="D2240" s="147">
        <v>10128600</v>
      </c>
      <c r="E2240" s="147" t="s">
        <v>358</v>
      </c>
    </row>
    <row r="2241" spans="4:5" ht="15">
      <c r="D2241" s="147">
        <v>10128579</v>
      </c>
      <c r="E2241" s="147" t="s">
        <v>354</v>
      </c>
    </row>
    <row r="2242" spans="4:5" ht="15">
      <c r="D2242" s="147">
        <v>10128580</v>
      </c>
      <c r="E2242" s="147" t="s">
        <v>358</v>
      </c>
    </row>
    <row r="2243" spans="4:5" ht="15">
      <c r="D2243" s="147">
        <v>10128581</v>
      </c>
      <c r="E2243" s="147" t="s">
        <v>358</v>
      </c>
    </row>
    <row r="2244" spans="4:5" ht="15">
      <c r="D2244" s="147">
        <v>10128582</v>
      </c>
      <c r="E2244" s="147" t="s">
        <v>361</v>
      </c>
    </row>
    <row r="2245" spans="4:5" ht="15">
      <c r="D2245" s="147">
        <v>10128595</v>
      </c>
      <c r="E2245" s="147" t="s">
        <v>361</v>
      </c>
    </row>
    <row r="2246" spans="4:5" ht="15">
      <c r="D2246" s="147">
        <v>10128596</v>
      </c>
      <c r="E2246" s="147" t="s">
        <v>353</v>
      </c>
    </row>
    <row r="2247" spans="4:5" ht="15">
      <c r="D2247" s="147">
        <v>10128597</v>
      </c>
      <c r="E2247" s="147" t="s">
        <v>358</v>
      </c>
    </row>
    <row r="2248" spans="4:5" ht="15">
      <c r="D2248" s="147">
        <v>10128598</v>
      </c>
      <c r="E2248" s="147" t="s">
        <v>361</v>
      </c>
    </row>
    <row r="2249" spans="4:5" ht="15">
      <c r="D2249" s="147">
        <v>10128599</v>
      </c>
      <c r="E2249" s="147" t="s">
        <v>354</v>
      </c>
    </row>
    <row r="2250" spans="4:5" ht="15">
      <c r="D2250" s="147">
        <v>10128600</v>
      </c>
      <c r="E2250" s="147" t="s">
        <v>358</v>
      </c>
    </row>
    <row r="2251" spans="4:5" ht="15">
      <c r="D2251" s="147">
        <v>10128579</v>
      </c>
      <c r="E2251" s="147" t="s">
        <v>354</v>
      </c>
    </row>
    <row r="2252" spans="4:5" ht="15">
      <c r="D2252" s="147">
        <v>10128580</v>
      </c>
      <c r="E2252" s="147" t="s">
        <v>358</v>
      </c>
    </row>
    <row r="2253" spans="4:5" ht="15">
      <c r="D2253" s="147">
        <v>10128581</v>
      </c>
      <c r="E2253" s="147" t="s">
        <v>358</v>
      </c>
    </row>
    <row r="2254" spans="4:5" ht="15">
      <c r="D2254" s="147">
        <v>10128582</v>
      </c>
      <c r="E2254" s="147" t="s">
        <v>361</v>
      </c>
    </row>
    <row r="2255" spans="4:5" ht="15">
      <c r="D2255" s="147">
        <v>10128595</v>
      </c>
      <c r="E2255" s="147" t="s">
        <v>361</v>
      </c>
    </row>
    <row r="2256" spans="4:5" ht="15">
      <c r="D2256" s="147">
        <v>10128596</v>
      </c>
      <c r="E2256" s="147" t="s">
        <v>353</v>
      </c>
    </row>
    <row r="2257" spans="4:5" ht="15">
      <c r="D2257" s="147">
        <v>10128597</v>
      </c>
      <c r="E2257" s="147" t="s">
        <v>358</v>
      </c>
    </row>
    <row r="2258" spans="4:5" ht="15">
      <c r="D2258" s="147">
        <v>10128598</v>
      </c>
      <c r="E2258" s="147" t="s">
        <v>361</v>
      </c>
    </row>
    <row r="2259" spans="4:5" ht="15">
      <c r="D2259" s="147">
        <v>10128599</v>
      </c>
      <c r="E2259" s="147" t="s">
        <v>354</v>
      </c>
    </row>
    <row r="2260" spans="4:5" ht="15">
      <c r="D2260" s="147">
        <v>10128600</v>
      </c>
      <c r="E2260" s="147" t="s">
        <v>358</v>
      </c>
    </row>
    <row r="2261" spans="4:5" ht="15">
      <c r="D2261" s="147">
        <v>10128579</v>
      </c>
      <c r="E2261" s="147" t="s">
        <v>354</v>
      </c>
    </row>
    <row r="2262" spans="4:5" ht="15">
      <c r="D2262" s="147">
        <v>10128580</v>
      </c>
      <c r="E2262" s="147" t="s">
        <v>358</v>
      </c>
    </row>
    <row r="2263" spans="4:5" ht="15">
      <c r="D2263" s="147">
        <v>10128581</v>
      </c>
      <c r="E2263" s="147" t="s">
        <v>358</v>
      </c>
    </row>
    <row r="2264" spans="4:5" ht="15">
      <c r="D2264" s="147">
        <v>10128582</v>
      </c>
      <c r="E2264" s="147" t="s">
        <v>361</v>
      </c>
    </row>
    <row r="2265" spans="4:5" ht="15">
      <c r="D2265" s="147">
        <v>10128595</v>
      </c>
      <c r="E2265" s="147" t="s">
        <v>361</v>
      </c>
    </row>
    <row r="2266" spans="4:5" ht="15">
      <c r="D2266" s="147">
        <v>10128596</v>
      </c>
      <c r="E2266" s="147" t="s">
        <v>353</v>
      </c>
    </row>
    <row r="2267" spans="4:5" ht="15">
      <c r="D2267" s="147">
        <v>10128597</v>
      </c>
      <c r="E2267" s="147" t="s">
        <v>358</v>
      </c>
    </row>
    <row r="2268" spans="4:5" ht="15">
      <c r="D2268" s="147">
        <v>10128598</v>
      </c>
      <c r="E2268" s="147" t="s">
        <v>361</v>
      </c>
    </row>
    <row r="2269" spans="4:5" ht="15">
      <c r="D2269" s="147">
        <v>10128599</v>
      </c>
      <c r="E2269" s="147" t="s">
        <v>354</v>
      </c>
    </row>
    <row r="2270" spans="4:5" ht="15">
      <c r="D2270" s="147">
        <v>10128600</v>
      </c>
      <c r="E2270" s="147" t="s">
        <v>358</v>
      </c>
    </row>
    <row r="2271" spans="4:5" ht="15">
      <c r="D2271" s="147">
        <v>10128579</v>
      </c>
      <c r="E2271" s="147" t="s">
        <v>354</v>
      </c>
    </row>
    <row r="2272" spans="4:5" ht="15">
      <c r="D2272" s="147">
        <v>10128580</v>
      </c>
      <c r="E2272" s="147" t="s">
        <v>358</v>
      </c>
    </row>
    <row r="2273" spans="4:5" ht="15">
      <c r="D2273" s="147">
        <v>10128581</v>
      </c>
      <c r="E2273" s="147" t="s">
        <v>358</v>
      </c>
    </row>
    <row r="2274" spans="4:5" ht="15">
      <c r="D2274" s="147">
        <v>10128582</v>
      </c>
      <c r="E2274" s="147" t="s">
        <v>361</v>
      </c>
    </row>
    <row r="2275" spans="4:5" ht="15">
      <c r="D2275" s="147">
        <v>10128595</v>
      </c>
      <c r="E2275" s="147" t="s">
        <v>361</v>
      </c>
    </row>
    <row r="2276" spans="4:5" ht="15">
      <c r="D2276" s="147">
        <v>10128596</v>
      </c>
      <c r="E2276" s="147" t="s">
        <v>353</v>
      </c>
    </row>
    <row r="2277" spans="4:5" ht="15">
      <c r="D2277" s="147">
        <v>10128597</v>
      </c>
      <c r="E2277" s="147" t="s">
        <v>358</v>
      </c>
    </row>
    <row r="2278" spans="4:5" ht="15">
      <c r="D2278" s="147">
        <v>10128598</v>
      </c>
      <c r="E2278" s="147" t="s">
        <v>361</v>
      </c>
    </row>
    <row r="2279" spans="4:5" ht="15">
      <c r="D2279" s="147">
        <v>10128599</v>
      </c>
      <c r="E2279" s="147" t="s">
        <v>354</v>
      </c>
    </row>
    <row r="2280" spans="4:5" ht="15">
      <c r="D2280" s="147">
        <v>10128600</v>
      </c>
      <c r="E2280" s="147" t="s">
        <v>358</v>
      </c>
    </row>
    <row r="2281" spans="4:5" ht="15">
      <c r="D2281" s="147">
        <v>10128579</v>
      </c>
      <c r="E2281" s="147" t="s">
        <v>354</v>
      </c>
    </row>
    <row r="2282" spans="4:5" ht="15">
      <c r="D2282" s="147">
        <v>10128580</v>
      </c>
      <c r="E2282" s="147" t="s">
        <v>358</v>
      </c>
    </row>
    <row r="2283" spans="4:5" ht="15">
      <c r="D2283" s="147">
        <v>10128581</v>
      </c>
      <c r="E2283" s="147" t="s">
        <v>358</v>
      </c>
    </row>
    <row r="2284" spans="4:5" ht="15">
      <c r="D2284" s="147">
        <v>10128582</v>
      </c>
      <c r="E2284" s="147" t="s">
        <v>361</v>
      </c>
    </row>
    <row r="2285" spans="4:5" ht="15">
      <c r="D2285" s="147">
        <v>10128595</v>
      </c>
      <c r="E2285" s="147" t="s">
        <v>361</v>
      </c>
    </row>
    <row r="2286" spans="4:5" ht="15">
      <c r="D2286" s="147">
        <v>10128596</v>
      </c>
      <c r="E2286" s="147" t="s">
        <v>353</v>
      </c>
    </row>
    <row r="2287" spans="4:5" ht="15">
      <c r="D2287" s="147">
        <v>10128597</v>
      </c>
      <c r="E2287" s="147" t="s">
        <v>358</v>
      </c>
    </row>
    <row r="2288" spans="4:5" ht="15">
      <c r="D2288" s="147">
        <v>10128598</v>
      </c>
      <c r="E2288" s="147" t="s">
        <v>361</v>
      </c>
    </row>
    <row r="2289" spans="4:5" ht="15">
      <c r="D2289" s="147">
        <v>10128599</v>
      </c>
      <c r="E2289" s="147" t="s">
        <v>354</v>
      </c>
    </row>
    <row r="2290" spans="4:5" ht="15">
      <c r="D2290" s="147">
        <v>10128600</v>
      </c>
      <c r="E2290" s="147" t="s">
        <v>358</v>
      </c>
    </row>
    <row r="2291" spans="4:5" ht="15">
      <c r="D2291" s="147">
        <v>10128579</v>
      </c>
      <c r="E2291" s="147" t="s">
        <v>354</v>
      </c>
    </row>
    <row r="2292" spans="4:5" ht="15">
      <c r="D2292" s="147">
        <v>10128580</v>
      </c>
      <c r="E2292" s="147" t="s">
        <v>358</v>
      </c>
    </row>
    <row r="2293" spans="4:5" ht="15">
      <c r="D2293" s="147">
        <v>10128581</v>
      </c>
      <c r="E2293" s="147" t="s">
        <v>358</v>
      </c>
    </row>
    <row r="2294" spans="4:5" ht="15">
      <c r="D2294" s="147">
        <v>10128582</v>
      </c>
      <c r="E2294" s="147" t="s">
        <v>361</v>
      </c>
    </row>
    <row r="2295" spans="4:5" ht="15">
      <c r="D2295" s="147">
        <v>10128595</v>
      </c>
      <c r="E2295" s="147" t="s">
        <v>361</v>
      </c>
    </row>
    <row r="2296" spans="4:5" ht="15">
      <c r="D2296" s="147">
        <v>10128596</v>
      </c>
      <c r="E2296" s="147" t="s">
        <v>353</v>
      </c>
    </row>
    <row r="2297" spans="4:5" ht="15">
      <c r="D2297" s="147">
        <v>10128597</v>
      </c>
      <c r="E2297" s="147" t="s">
        <v>358</v>
      </c>
    </row>
    <row r="2298" spans="4:5" ht="15">
      <c r="D2298" s="147">
        <v>10128598</v>
      </c>
      <c r="E2298" s="147" t="s">
        <v>361</v>
      </c>
    </row>
    <row r="2299" spans="4:5" ht="15">
      <c r="D2299" s="147">
        <v>10128599</v>
      </c>
      <c r="E2299" s="147" t="s">
        <v>354</v>
      </c>
    </row>
    <row r="2300" spans="4:5" ht="15">
      <c r="D2300" s="147">
        <v>10128600</v>
      </c>
      <c r="E2300" s="147" t="s">
        <v>358</v>
      </c>
    </row>
    <row r="2301" spans="4:5" ht="15">
      <c r="D2301" s="147">
        <v>10128579</v>
      </c>
      <c r="E2301" s="147" t="s">
        <v>354</v>
      </c>
    </row>
    <row r="2302" spans="4:5" ht="15">
      <c r="D2302" s="147">
        <v>10128580</v>
      </c>
      <c r="E2302" s="147" t="s">
        <v>358</v>
      </c>
    </row>
    <row r="2303" spans="4:5" ht="15">
      <c r="D2303" s="147">
        <v>10128581</v>
      </c>
      <c r="E2303" s="147" t="s">
        <v>358</v>
      </c>
    </row>
    <row r="2304" spans="4:5" ht="15">
      <c r="D2304" s="147">
        <v>10128582</v>
      </c>
      <c r="E2304" s="147" t="s">
        <v>361</v>
      </c>
    </row>
    <row r="2305" spans="4:5" ht="15">
      <c r="D2305" s="147">
        <v>10128595</v>
      </c>
      <c r="E2305" s="147" t="s">
        <v>361</v>
      </c>
    </row>
    <row r="2306" spans="4:5" ht="15">
      <c r="D2306" s="147">
        <v>10128596</v>
      </c>
      <c r="E2306" s="147" t="s">
        <v>353</v>
      </c>
    </row>
    <row r="2307" spans="4:5" ht="15">
      <c r="D2307" s="147">
        <v>10128597</v>
      </c>
      <c r="E2307" s="147" t="s">
        <v>358</v>
      </c>
    </row>
    <row r="2308" spans="4:5" ht="15">
      <c r="D2308" s="147">
        <v>10128598</v>
      </c>
      <c r="E2308" s="147" t="s">
        <v>361</v>
      </c>
    </row>
    <row r="2309" spans="4:5" ht="15">
      <c r="D2309" s="147">
        <v>10128599</v>
      </c>
      <c r="E2309" s="147" t="s">
        <v>354</v>
      </c>
    </row>
    <row r="2310" spans="4:5" ht="15">
      <c r="D2310" s="147">
        <v>10128600</v>
      </c>
      <c r="E2310" s="147" t="s">
        <v>358</v>
      </c>
    </row>
    <row r="2311" spans="4:5" ht="15">
      <c r="D2311" s="147">
        <v>10128579</v>
      </c>
      <c r="E2311" s="147" t="s">
        <v>354</v>
      </c>
    </row>
    <row r="2312" spans="4:5" ht="15">
      <c r="D2312" s="147">
        <v>10128580</v>
      </c>
      <c r="E2312" s="147" t="s">
        <v>358</v>
      </c>
    </row>
    <row r="2313" spans="4:5" ht="15">
      <c r="D2313" s="147">
        <v>10128581</v>
      </c>
      <c r="E2313" s="147" t="s">
        <v>358</v>
      </c>
    </row>
    <row r="2314" spans="4:5" ht="15">
      <c r="D2314" s="147">
        <v>10128582</v>
      </c>
      <c r="E2314" s="147" t="s">
        <v>361</v>
      </c>
    </row>
    <row r="2315" spans="4:5" ht="15">
      <c r="D2315" s="147">
        <v>10128595</v>
      </c>
      <c r="E2315" s="147" t="s">
        <v>361</v>
      </c>
    </row>
    <row r="2316" spans="4:5" ht="15">
      <c r="D2316" s="147">
        <v>10128596</v>
      </c>
      <c r="E2316" s="147" t="s">
        <v>353</v>
      </c>
    </row>
    <row r="2317" spans="4:5" ht="15">
      <c r="D2317" s="147">
        <v>10128597</v>
      </c>
      <c r="E2317" s="147" t="s">
        <v>358</v>
      </c>
    </row>
    <row r="2318" spans="4:5" ht="15">
      <c r="D2318" s="147">
        <v>10128598</v>
      </c>
      <c r="E2318" s="147" t="s">
        <v>361</v>
      </c>
    </row>
    <row r="2319" spans="4:5" ht="15">
      <c r="D2319" s="147">
        <v>10128599</v>
      </c>
      <c r="E2319" s="147" t="s">
        <v>354</v>
      </c>
    </row>
    <row r="2320" spans="4:5" ht="15">
      <c r="D2320" s="147">
        <v>10128600</v>
      </c>
      <c r="E2320" s="147" t="s">
        <v>358</v>
      </c>
    </row>
  </sheetData>
  <pageMargins left="0.7" right="0.7" top="0.75" bottom="0.75" header="0.3" footer="0.3"/>
  <pageSetup orientation="portrait" paperSize="9" r:id="rId1"/>
</worksheet>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PAL2G</dc:creator>
  <cp:keywords/>
  <dc:description/>
  <cp:lastModifiedBy>Tocy Tom (MariApps)</cp:lastModifiedBy>
  <cp:category/>
  <cp:contentType/>
  <cp:contentStatus/>
</cp:coreProperties>
</file>