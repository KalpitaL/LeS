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Quote!$A$29</definedName>
    <definedName name="Enquiry_To_Vendor_ID" comment="Enquiry to Vendor ID">Quote!$C$29</definedName>
    <definedName name="GrandTotal">Quote!$N$28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Quote!$A$21</definedName>
    <definedName name="ItemListStartupRow" comment="Item List Start Up Row">Quote!$A$19</definedName>
    <definedName name="ItemSubTotal">Quote!$N$27</definedName>
    <definedName name="ItemSubTotalTitle">Quote!$J$27</definedName>
    <definedName name="LeadDay">Quote!$M$11</definedName>
    <definedName name="Lock">Quote!$M$29</definedName>
    <definedName name="LoggedInEmailID">Quote!$N$29</definedName>
    <definedName name="LoggedInPwd">Quote!$O$29</definedName>
    <definedName name="OtherCharges">Quote!$C$23</definedName>
    <definedName name="OtherChargesLastRow">Quote!$A$27</definedName>
    <definedName name="OtherChargesStartRow">Quote!$A$22</definedName>
    <definedName name="Port">Quote!$P$29</definedName>
    <definedName name="PortOfDelivery" comment="Port of Delivery">Quote!$M$9</definedName>
    <definedName name="PurchaserName">Quote!$J$29</definedName>
    <definedName name="QuoteBefore">Quote!$M$8</definedName>
    <definedName name="QuoteID">MasterData!$N$7</definedName>
    <definedName name="QuoteSubject">Quote!$E$29</definedName>
    <definedName name="Remarks">Quote!$E$31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Quote!$K$29</definedName>
    <definedName name="SentIndex">Quote!$L$29</definedName>
    <definedName name="Server">Quote!$Q$29</definedName>
    <definedName name="Terms">Quote!$A$35:$T$56</definedName>
    <definedName name="ToEmailID">Quote!$I$29</definedName>
    <definedName name="ToEmailPwd">Quote!$H$29</definedName>
    <definedName name="VAL">Quote!$F$29</definedName>
    <definedName name="VAT_All">Quote!$M$16</definedName>
    <definedName name="Vendor_ID" comment="Vendor ID">Quote!$B$29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Quote!$D$29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Quote!$E$32</definedName>
    <definedName name="VesselETA" comment="Vessel ETA">Quote!$M$10</definedName>
    <definedName name="VesselName" comment="Vessel Name">Quote!$M$4</definedName>
    <definedName name="ItmPrice">Quote!$N$20:$N$20</definedName>
  </definedNames>
  <calcPr fullCalcOnLoad="1"/>
</workbook>
</file>

<file path=xl/sharedStrings.xml><?xml version="1.0" encoding="utf-8"?>
<sst xmlns="http://schemas.openxmlformats.org/spreadsheetml/2006/main" count="174" uniqueCount="152">
  <si>
    <t>RFQ</t>
  </si>
  <si>
    <t>Request for Quote</t>
  </si>
  <si>
    <t>Invoice To</t>
  </si>
  <si>
    <t>Bernhard Schulte Shipmanagement (India) Private Ltd.
MASTER &amp; OWNER OF UNITED CROWN (NSS504)
REGD. OWNER : NSM Shipping 1 SA
BERNHARD SCHULTE SHIPMANGEMENT (L) LTD. (AS AGENTS ONLY)
401, OLYMPIA, HIRANANDANI GARDENS
POWAI, MUMBAI - 4000076.
TEL: +91 22 40017300
FAX: +91 22 40017333
NOTE : PLEASE NOTE INVOICES WILL BE ACCEPTED ONLY IN SOFT COPIES
EMAIL : in-smc-invoices@bs-shipmanagement.com</t>
  </si>
  <si>
    <t>Vessel</t>
  </si>
  <si>
    <t>United Crown</t>
  </si>
  <si>
    <t>RFQ No.</t>
  </si>
  <si>
    <t>UNC/O0066/RF19</t>
  </si>
  <si>
    <t>RFQ Date</t>
  </si>
  <si>
    <t>Submit Quote Before:</t>
  </si>
  <si>
    <t>Port of Delivery</t>
  </si>
  <si>
    <t>Caofeidian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</si>
  <si>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</si>
  <si>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</si>
  <si>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</si>
  <si>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</si>
  <si>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</si>
  <si>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</si>
  <si>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</si>
  <si>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</si>
  <si>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</si>
  <si>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</si>
  <si>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</si>
  <si>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</si>
  <si>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</si>
  <si>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</si>
  <si>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</si>
  <si>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</si>
  <si>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</si>
  <si>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</si>
  <si>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</si>
  <si>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</si>
  <si>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</si>
  <si>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</si>
  <si>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</si>
  <si>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</si>
  <si>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</si>
  <si>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</si>
  <si>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</si>
  <si>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</si>
  <si>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LINE THROWING APPARATUS K-19, KORYO PYROTECHNICS</t>
  </si>
  <si>
    <t>SET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</si>
  <si>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</si>
  <si>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</si>
  <si>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</si>
  <si>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</si>
  <si>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</si>
  <si>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</si>
  <si>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</si>
  <si>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</si>
  <si>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</si>
  <si>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</si>
  <si>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</si>
  <si>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</si>
  <si>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</si>
  <si>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</si>
  <si>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</si>
  <si>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</si>
  <si>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</si>
  <si>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</si>
  <si>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</si>
  <si>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</si>
  <si>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</si>
  <si>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</si>
  <si>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</si>
  <si>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</si>
  <si>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</si>
  <si>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</si>
  <si>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CP - SS : SAFETY EQUIP STORES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</si>
  <si>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</si>
  <si>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</si>
  <si>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</si>
  <si>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</si>
  <si>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</si>
  <si>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</si>
  <si>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</si>
  <si>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</si>
  <si>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</si>
  <si>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</si>
  <si>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</si>
  <si>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</si>
  <si>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</si>
  <si>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</si>
  <si>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</si>
  <si>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</si>
  <si>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</si>
  <si>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</si>
  <si>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</si>
  <si>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</si>
  <si>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</si>
  <si>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</si>
  <si>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</si>
  <si>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</si>
  <si>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</si>
  <si>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</si>
  <si>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</si>
  <si>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</si>
  <si>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</si>
  <si>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</si>
  <si>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</si>
  <si>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</si>
  <si>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</si>
  <si>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</si>
  <si>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</si>
  <si>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</si>
  <si>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</si>
  <si>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</si>
  <si>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</si>
  <si>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</si>
  <si>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</si>
  <si>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</si>
  <si>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</si>
  <si>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</si>
  <si>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</si>
  <si>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</si>
  <si>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</si>
  <si>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</si>
  <si>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</si>
  <si>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</si>
  <si>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</si>
  <si>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</si>
  <si>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</si>
  <si>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</si>
  <si>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</si>
  <si>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</si>
  <si>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</si>
  <si>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</si>
  <si>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</si>
  <si>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</si>
  <si>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</si>
  <si>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</si>
  <si>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</si>
  <si>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</si>
  <si>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</si>
  <si>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</si>
  <si>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</si>
  <si>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</si>
  <si>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</si>
  <si>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</si>
  <si>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</si>
  <si>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</si>
  <si>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</si>
  <si>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</si>
  <si>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</si>
  <si>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</si>
  <si>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</si>
  <si>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</si>
  <si>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</si>
  <si>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</si>
  <si>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BJD1907102005435LET</t>
  </si>
  <si>
    <t>GOOD BROTHER,WITH EC CERT.</t>
  </si>
  <si>
    <t xml:space="preserve">
Date promised : 2019-07-14
Quote validity : 2019-08-10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</si>
</sst>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 locked="0"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0" fontId="27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43656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43656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43658.50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2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149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142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99990009868615</v>
      </c>
      <c r="C20" s="227">
        <v>331302</v>
      </c>
      <c r="D20" s="228" t="s">
        <v>40</v>
      </c>
      <c r="E20" s="229"/>
      <c r="F20" s="229">
        <v>331302</v>
      </c>
      <c r="G20" s="229" t="s">
        <v>41</v>
      </c>
      <c r="H20" s="230">
        <v>0</v>
      </c>
      <c r="I20" s="231">
        <v>1</v>
      </c>
      <c r="J20" s="232">
        <v>130.54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150</v>
      </c>
      <c r="Q20" s="236"/>
      <c r="R20" s="237"/>
      <c r="S20" s="238"/>
      <c r="T20" s="239"/>
    </row>
    <row r="21" spans="1:20" ht="15" customHeight="1">
      <c r="A21" s="32"/>
      <c r="B21" s="240"/>
      <c r="C21" s="241"/>
      <c r="D21" s="241"/>
      <c r="E21" s="241"/>
      <c r="F21" s="241"/>
      <c r="G21" s="241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2"/>
      <c r="T21" s="243"/>
    </row>
    <row r="22" spans="1:20" ht="12.75" customHeight="1">
      <c r="A22" s="244" t="s">
        <v>28</v>
      </c>
      <c r="B22" s="244"/>
      <c r="C22" s="245" t="s">
        <v>42</v>
      </c>
      <c r="D22" s="246"/>
      <c r="E22" s="246"/>
      <c r="F22" s="246"/>
      <c r="G22" s="246"/>
      <c r="H22" s="246"/>
      <c r="I22" s="247"/>
      <c r="J22" s="247" t="s">
        <v>43</v>
      </c>
      <c r="K22" s="247"/>
      <c r="L22" s="247" t="s">
        <v>35</v>
      </c>
      <c r="M22" s="247" t="s">
        <v>36</v>
      </c>
      <c r="N22" s="248" t="s">
        <v>44</v>
      </c>
      <c r="O22" s="249" t="s">
        <v>38</v>
      </c>
      <c r="P22" s="249"/>
      <c r="Q22" s="249"/>
      <c r="R22" s="249"/>
      <c r="S22" s="249"/>
      <c r="T22" s="225"/>
    </row>
    <row r="23" spans="1:20" ht="15" customHeight="1">
      <c r="A23" s="250">
        <v>1</v>
      </c>
      <c r="B23" s="251"/>
      <c r="C23" s="252" t="s">
        <v>45</v>
      </c>
      <c r="D23" s="253" t="s">
        <v>45</v>
      </c>
      <c r="E23" s="253" t="s">
        <v>45</v>
      </c>
      <c r="F23" s="253" t="s">
        <v>45</v>
      </c>
      <c r="G23" s="253" t="s">
        <v>45</v>
      </c>
      <c r="H23" s="254" t="s">
        <v>45</v>
      </c>
      <c r="I23" s="255"/>
      <c r="J23" s="256">
        <v>0</v>
      </c>
      <c r="K23" s="257"/>
      <c r="L23" s="258">
        <v>0</v>
      </c>
      <c r="M23" s="258">
        <v>0</v>
      </c>
      <c r="N23" s="259">
        <f>(J23-(J23*L23/100)+((J23-(J23*L23/100))*M23/100))</f>
      </c>
      <c r="O23" s="260"/>
      <c r="P23" s="261"/>
      <c r="Q23" s="261"/>
      <c r="R23" s="261"/>
      <c r="S23" s="262"/>
      <c r="T23" s="263"/>
    </row>
    <row r="24" spans="1:20" ht="15" customHeight="1">
      <c r="A24" s="250">
        <v>2</v>
      </c>
      <c r="B24" s="251"/>
      <c r="C24" s="252" t="s">
        <v>46</v>
      </c>
      <c r="D24" s="253" t="s">
        <v>46</v>
      </c>
      <c r="E24" s="253" t="s">
        <v>46</v>
      </c>
      <c r="F24" s="253" t="s">
        <v>46</v>
      </c>
      <c r="G24" s="253" t="s">
        <v>46</v>
      </c>
      <c r="H24" s="254" t="s">
        <v>46</v>
      </c>
      <c r="I24" s="264"/>
      <c r="J24" s="256">
        <v>0</v>
      </c>
      <c r="K24" s="257"/>
      <c r="L24" s="258">
        <v>0</v>
      </c>
      <c r="M24" s="258">
        <v>0</v>
      </c>
      <c r="N24" s="265">
        <f>(J24-(J24*L24/100)+((J24-(J24*L24/100))*M24/100))</f>
      </c>
      <c r="O24" s="266"/>
      <c r="P24" s="267"/>
      <c r="Q24" s="267"/>
      <c r="R24" s="267"/>
      <c r="S24" s="268"/>
      <c r="T24" s="263"/>
    </row>
    <row r="25" spans="1:20" ht="15" customHeight="1">
      <c r="A25" s="250">
        <v>3</v>
      </c>
      <c r="B25" s="251"/>
      <c r="C25" s="252"/>
      <c r="D25" s="253"/>
      <c r="E25" s="253"/>
      <c r="F25" s="253"/>
      <c r="G25" s="253"/>
      <c r="H25" s="254"/>
      <c r="I25" s="255"/>
      <c r="J25" s="256">
        <v>0</v>
      </c>
      <c r="K25" s="257"/>
      <c r="L25" s="258">
        <v>0</v>
      </c>
      <c r="M25" s="258">
        <v>0</v>
      </c>
      <c r="N25" s="265">
        <f>(J25-(J25*L25/100)+((J25-(J25*L25/100))*M25/100))</f>
      </c>
      <c r="O25" s="266"/>
      <c r="P25" s="267"/>
      <c r="Q25" s="267"/>
      <c r="R25" s="267"/>
      <c r="S25" s="268"/>
      <c r="T25" s="263"/>
    </row>
    <row r="26" spans="1:20" ht="15.75" customHeight="1">
      <c r="A26" s="250">
        <v>4</v>
      </c>
      <c r="B26" s="251"/>
      <c r="C26" s="252"/>
      <c r="D26" s="253"/>
      <c r="E26" s="253"/>
      <c r="F26" s="253"/>
      <c r="G26" s="253"/>
      <c r="H26" s="254"/>
      <c r="I26" s="255"/>
      <c r="J26" s="256">
        <v>0</v>
      </c>
      <c r="K26" s="257"/>
      <c r="L26" s="258">
        <v>0</v>
      </c>
      <c r="M26" s="269">
        <v>0</v>
      </c>
      <c r="N26" s="265">
        <f>(J26-(J26*L26/100)+((J26-(J26*L26/100))*M26/100))</f>
      </c>
      <c r="O26" s="266"/>
      <c r="P26" s="267"/>
      <c r="Q26" s="267"/>
      <c r="R26" s="267"/>
      <c r="S26" s="268"/>
      <c r="T26" s="263"/>
    </row>
    <row r="27" spans="1:16" ht="15.95" customHeight="1">
      <c r="A27" s="270"/>
      <c r="B27" s="270"/>
      <c r="C27" s="271"/>
      <c r="D27" s="271"/>
      <c r="I27" s="163"/>
      <c r="J27" s="58" t="s">
        <v>47</v>
      </c>
      <c r="K27" s="59"/>
      <c r="L27" s="58"/>
      <c r="M27" s="59"/>
      <c r="N27" s="272">
        <f>SUM(ItmPrice)</f>
      </c>
      <c r="O27" s="273"/>
      <c r="P27" s="274"/>
    </row>
    <row r="28" spans="1:16" ht="15" customHeight="1">
      <c r="A28" s="270"/>
      <c r="B28" s="270"/>
      <c r="C28" s="271"/>
      <c r="D28" s="271"/>
      <c r="I28" s="163"/>
      <c r="J28" s="123" t="s">
        <v>48</v>
      </c>
      <c r="K28" s="124"/>
      <c r="L28" s="124"/>
      <c r="M28" s="125"/>
      <c r="N28" s="272">
        <f>SUM(N23:N27)</f>
      </c>
      <c r="O28" s="275"/>
      <c r="P28" s="276"/>
    </row>
    <row r="29" spans="1:19" ht="2.25" customHeight="1" hidden="1">
      <c r="A29" s="277">
        <v>0</v>
      </c>
      <c r="B29" s="277">
        <v>0</v>
      </c>
      <c r="C29" s="278">
        <v>0</v>
      </c>
      <c r="D29" s="271"/>
      <c r="E29" s="271"/>
      <c r="F29" s="279">
        <v>1</v>
      </c>
      <c r="G29" s="271"/>
      <c r="H29" s="271"/>
      <c r="I29" s="271"/>
      <c r="J29" s="271"/>
      <c r="K29" s="280"/>
      <c r="L29" s="281">
        <v>0</v>
      </c>
      <c r="M29" s="282">
        <v>0</v>
      </c>
      <c r="N29" s="162" t="s">
        <v>49</v>
      </c>
      <c r="O29" s="283"/>
      <c r="P29" s="282">
        <v>995</v>
      </c>
      <c r="Q29" s="271" t="s">
        <v>50</v>
      </c>
      <c r="R29" s="271"/>
      <c r="S29" s="271"/>
    </row>
    <row r="30" spans="1:19" ht="18.75" customHeight="1">
      <c r="A30" s="270"/>
      <c r="B30" s="270"/>
      <c r="C30" s="270"/>
      <c r="H30" s="283"/>
      <c r="I30" s="163"/>
      <c r="J30" s="271"/>
      <c r="K30" s="271"/>
      <c r="L30" s="271"/>
      <c r="M30" s="271"/>
      <c r="N30" s="271"/>
      <c r="O30" s="271"/>
      <c r="P30" s="271"/>
      <c r="R30" s="271"/>
      <c r="S30" s="271"/>
    </row>
    <row r="31" spans="1:20" ht="127.5" customHeight="1">
      <c r="A31" s="284" t="s">
        <v>51</v>
      </c>
      <c r="B31" s="284"/>
      <c r="C31" s="284"/>
      <c r="D31" s="285"/>
      <c r="E31" s="286"/>
      <c r="F31" s="287"/>
      <c r="G31" s="287"/>
      <c r="H31" s="287"/>
      <c r="I31" s="287"/>
      <c r="J31" s="287"/>
      <c r="K31" s="287"/>
      <c r="L31" s="287"/>
      <c r="M31" s="287"/>
      <c r="N31" s="287"/>
      <c r="O31" s="287"/>
      <c r="P31" s="287"/>
      <c r="Q31" s="287"/>
      <c r="R31" s="287"/>
      <c r="S31" s="287"/>
      <c r="T31" s="288"/>
    </row>
    <row r="32" spans="1:20" ht="129.75" customHeight="1">
      <c r="A32" s="284" t="s">
        <v>38</v>
      </c>
      <c r="B32" s="284"/>
      <c r="C32" s="284"/>
      <c r="D32" s="285"/>
      <c r="E32" s="289" t="s">
        <v>151</v>
      </c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1"/>
    </row>
    <row r="33" spans="1:19" ht="15.95" customHeight="1">
      <c r="A33" s="270"/>
      <c r="B33" s="270"/>
      <c r="C33" s="270"/>
      <c r="H33" s="271"/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1"/>
    </row>
    <row r="34" spans="1:20" ht="15.95" customHeight="1">
      <c r="A34" s="292" t="s">
        <v>52</v>
      </c>
      <c r="B34" s="292"/>
      <c r="C34" s="292"/>
      <c r="D34" s="292"/>
      <c r="E34" s="29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3"/>
    </row>
    <row r="35" spans="1:20" ht="12.75" customHeight="1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5"/>
    </row>
    <row r="36" spans="1:20" ht="12.75" customHeight="1">
      <c r="A36" s="294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5"/>
    </row>
    <row r="37" spans="1:20" ht="7.5" customHeight="1">
      <c r="A37" s="294"/>
      <c r="B37" s="294"/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4"/>
      <c r="R37" s="294"/>
      <c r="S37" s="294"/>
      <c r="T37" s="295"/>
    </row>
    <row r="38" spans="1:20" ht="12.75" customHeight="1">
      <c r="A38" s="294"/>
      <c r="B38" s="294"/>
      <c r="C38" s="294"/>
      <c r="D38" s="294"/>
      <c r="E38" s="294"/>
      <c r="F38" s="294"/>
      <c r="G38" s="294"/>
      <c r="H38" s="294"/>
      <c r="I38" s="294"/>
      <c r="J38" s="294"/>
      <c r="K38" s="294"/>
      <c r="L38" s="294"/>
      <c r="M38" s="294"/>
      <c r="N38" s="294"/>
      <c r="O38" s="294"/>
      <c r="P38" s="294"/>
      <c r="Q38" s="294"/>
      <c r="R38" s="294"/>
      <c r="S38" s="294"/>
      <c r="T38" s="295"/>
    </row>
    <row r="39" spans="1:20" ht="12.75" customHeight="1">
      <c r="A39" s="294"/>
      <c r="B39" s="294"/>
      <c r="C39" s="294"/>
      <c r="D39" s="294"/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4"/>
      <c r="S39" s="294"/>
      <c r="T39" s="295"/>
    </row>
    <row r="40" spans="1:20" ht="12.75" customHeight="1">
      <c r="A40" s="294"/>
      <c r="B40" s="294"/>
      <c r="C40" s="294"/>
      <c r="D40" s="294"/>
      <c r="E40" s="294"/>
      <c r="F40" s="294"/>
      <c r="G40" s="294"/>
      <c r="H40" s="294"/>
      <c r="I40" s="294"/>
      <c r="J40" s="294"/>
      <c r="K40" s="294"/>
      <c r="L40" s="294"/>
      <c r="M40" s="294"/>
      <c r="N40" s="294"/>
      <c r="O40" s="294"/>
      <c r="P40" s="294"/>
      <c r="Q40" s="294"/>
      <c r="R40" s="294"/>
      <c r="S40" s="294"/>
      <c r="T40" s="295"/>
    </row>
    <row r="41" spans="1:20" ht="7.5" customHeight="1">
      <c r="A41" s="294"/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  <c r="R41" s="294"/>
      <c r="S41" s="294"/>
      <c r="T41" s="295"/>
    </row>
    <row r="42" spans="1:20" ht="12.75" customHeight="1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5"/>
    </row>
    <row r="43" spans="1:20" ht="12.75" customHeight="1">
      <c r="A43" s="294"/>
      <c r="B43" s="294"/>
      <c r="C43" s="294"/>
      <c r="D43" s="294"/>
      <c r="E43" s="294"/>
      <c r="F43" s="294"/>
      <c r="G43" s="294"/>
      <c r="H43" s="294"/>
      <c r="I43" s="294"/>
      <c r="J43" s="294"/>
      <c r="K43" s="294"/>
      <c r="L43" s="294"/>
      <c r="M43" s="294"/>
      <c r="N43" s="294"/>
      <c r="O43" s="294"/>
      <c r="P43" s="294"/>
      <c r="Q43" s="294"/>
      <c r="R43" s="294"/>
      <c r="S43" s="294"/>
      <c r="T43" s="295"/>
    </row>
    <row r="44" spans="1:20" ht="12.75" customHeight="1">
      <c r="A44" s="294"/>
      <c r="B44" s="294"/>
      <c r="C44" s="294"/>
      <c r="D44" s="294"/>
      <c r="E44" s="294"/>
      <c r="F44" s="294"/>
      <c r="G44" s="294"/>
      <c r="H44" s="294"/>
      <c r="I44" s="294"/>
      <c r="J44" s="294"/>
      <c r="K44" s="294"/>
      <c r="L44" s="294"/>
      <c r="M44" s="294"/>
      <c r="N44" s="294"/>
      <c r="O44" s="294"/>
      <c r="P44" s="294"/>
      <c r="Q44" s="294"/>
      <c r="R44" s="294"/>
      <c r="S44" s="294"/>
      <c r="T44" s="295"/>
    </row>
    <row r="45" spans="1:20" ht="12.75" customHeight="1">
      <c r="A45" s="294"/>
      <c r="B45" s="294"/>
      <c r="C45" s="294"/>
      <c r="D45" s="294"/>
      <c r="E45" s="294"/>
      <c r="F45" s="294"/>
      <c r="G45" s="294"/>
      <c r="H45" s="294"/>
      <c r="I45" s="294"/>
      <c r="J45" s="294"/>
      <c r="K45" s="294"/>
      <c r="L45" s="294"/>
      <c r="M45" s="294"/>
      <c r="N45" s="294"/>
      <c r="O45" s="294"/>
      <c r="P45" s="294"/>
      <c r="Q45" s="294"/>
      <c r="R45" s="294"/>
      <c r="S45" s="294"/>
      <c r="T45" s="295"/>
    </row>
    <row r="46" spans="1:20" ht="12.75" customHeight="1">
      <c r="A46" s="294"/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5"/>
    </row>
    <row r="47" spans="1:20" ht="12.75" customHeight="1">
      <c r="A47" s="294"/>
      <c r="B47" s="294"/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5"/>
    </row>
    <row r="48" spans="1:20" ht="7.5" customHeight="1">
      <c r="A48" s="294"/>
      <c r="B48" s="294"/>
      <c r="C48" s="294"/>
      <c r="D48" s="294"/>
      <c r="E48" s="294"/>
      <c r="F48" s="294"/>
      <c r="G48" s="294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94"/>
      <c r="S48" s="294"/>
      <c r="T48" s="295"/>
    </row>
    <row r="49" spans="1:20" ht="12.75" customHeight="1">
      <c r="A49" s="294"/>
      <c r="B49" s="294"/>
      <c r="C49" s="294"/>
      <c r="D49" s="294"/>
      <c r="E49" s="294"/>
      <c r="F49" s="294"/>
      <c r="G49" s="294"/>
      <c r="H49" s="294"/>
      <c r="I49" s="294"/>
      <c r="J49" s="294"/>
      <c r="K49" s="294"/>
      <c r="L49" s="294"/>
      <c r="M49" s="294"/>
      <c r="N49" s="294"/>
      <c r="O49" s="294"/>
      <c r="P49" s="294"/>
      <c r="Q49" s="294"/>
      <c r="R49" s="294"/>
      <c r="S49" s="294"/>
      <c r="T49" s="295"/>
    </row>
    <row r="50" spans="1:20" ht="12.75" customHeight="1">
      <c r="A50" s="294"/>
      <c r="B50" s="294"/>
      <c r="C50" s="294"/>
      <c r="D50" s="294"/>
      <c r="E50" s="294"/>
      <c r="F50" s="294"/>
      <c r="G50" s="294"/>
      <c r="H50" s="294"/>
      <c r="I50" s="294"/>
      <c r="J50" s="294"/>
      <c r="K50" s="294"/>
      <c r="L50" s="294"/>
      <c r="M50" s="294"/>
      <c r="N50" s="294"/>
      <c r="O50" s="294"/>
      <c r="P50" s="294"/>
      <c r="Q50" s="294"/>
      <c r="R50" s="294"/>
      <c r="S50" s="294"/>
      <c r="T50" s="295"/>
    </row>
    <row r="51" spans="1:20" ht="12.75" customHeight="1">
      <c r="A51" s="294"/>
      <c r="B51" s="294"/>
      <c r="C51" s="294"/>
      <c r="D51" s="294"/>
      <c r="E51" s="294"/>
      <c r="F51" s="294"/>
      <c r="G51" s="294"/>
      <c r="H51" s="294"/>
      <c r="I51" s="294"/>
      <c r="J51" s="294"/>
      <c r="K51" s="294"/>
      <c r="L51" s="294"/>
      <c r="M51" s="294"/>
      <c r="N51" s="294"/>
      <c r="O51" s="294"/>
      <c r="P51" s="294"/>
      <c r="Q51" s="294"/>
      <c r="R51" s="294"/>
      <c r="S51" s="294"/>
      <c r="T51" s="295"/>
    </row>
    <row r="52" spans="1:20" ht="12.75" customHeight="1">
      <c r="A52" s="294"/>
      <c r="B52" s="294"/>
      <c r="C52" s="294"/>
      <c r="D52" s="294"/>
      <c r="E52" s="294"/>
      <c r="F52" s="294"/>
      <c r="G52" s="294"/>
      <c r="H52" s="294"/>
      <c r="I52" s="294"/>
      <c r="J52" s="294"/>
      <c r="K52" s="294"/>
      <c r="L52" s="294"/>
      <c r="M52" s="294"/>
      <c r="N52" s="294"/>
      <c r="O52" s="294"/>
      <c r="P52" s="294"/>
      <c r="Q52" s="294"/>
      <c r="R52" s="294"/>
      <c r="S52" s="294"/>
      <c r="T52" s="295"/>
    </row>
    <row r="53" spans="1:20" ht="12.75" customHeight="1">
      <c r="A53" s="294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94"/>
      <c r="N53" s="294"/>
      <c r="O53" s="294"/>
      <c r="P53" s="294"/>
      <c r="Q53" s="294"/>
      <c r="R53" s="294"/>
      <c r="S53" s="294"/>
      <c r="T53" s="295"/>
    </row>
    <row r="54" spans="1:20" ht="7.5" customHeight="1">
      <c r="A54" s="294"/>
      <c r="B54" s="294"/>
      <c r="C54" s="294"/>
      <c r="D54" s="294"/>
      <c r="E54" s="294"/>
      <c r="F54" s="294"/>
      <c r="G54" s="294"/>
      <c r="H54" s="294"/>
      <c r="I54" s="294"/>
      <c r="J54" s="294"/>
      <c r="K54" s="294"/>
      <c r="L54" s="294"/>
      <c r="M54" s="294"/>
      <c r="N54" s="294"/>
      <c r="O54" s="294"/>
      <c r="P54" s="294"/>
      <c r="Q54" s="294"/>
      <c r="R54" s="294"/>
      <c r="S54" s="294"/>
      <c r="T54" s="295"/>
    </row>
    <row r="55" spans="1:20" ht="12.75" customHeight="1">
      <c r="A55" s="294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5"/>
    </row>
    <row r="56" spans="1:20" ht="12.75" customHeight="1">
      <c r="A56" s="294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  <c r="S56" s="294"/>
      <c r="T56" s="295"/>
    </row>
    <row r="57" spans="1:20" ht="12.75" customHeight="1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7"/>
    </row>
    <row r="58" spans="1:9" ht="12.75">
      <c r="A58" s="298" t="s">
        <v>53</v>
      </c>
      <c r="B58" s="298"/>
      <c r="C58" s="298"/>
      <c r="D58" s="298"/>
      <c r="E58" s="298"/>
      <c r="F58" s="298"/>
      <c r="G58" s="298"/>
      <c r="I5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7">
    <mergeCell ref="E31:S31"/>
    <mergeCell ref="E32:S32"/>
    <mergeCell ref="E34:S34"/>
    <mergeCell ref="A35:S56"/>
    <mergeCell ref="A57:S57"/>
    <mergeCell ref="A31:D31"/>
    <mergeCell ref="A32:D32"/>
    <mergeCell ref="K1:R1"/>
    <mergeCell ref="R19:S19"/>
    <mergeCell ref="R20:S20"/>
    <mergeCell ref="O23:S23"/>
    <mergeCell ref="O24:S24"/>
    <mergeCell ref="O22:S22"/>
    <mergeCell ref="J22:K22"/>
    <mergeCell ref="K4:L4"/>
    <mergeCell ref="M4:P4"/>
    <mergeCell ref="K5:L5"/>
    <mergeCell ref="M5:P5"/>
    <mergeCell ref="M7:Q7"/>
    <mergeCell ref="P20:Q20"/>
    <mergeCell ref="M12:O12"/>
    <mergeCell ref="K12:L12"/>
    <mergeCell ref="O27:P27"/>
    <mergeCell ref="O28:P28"/>
    <mergeCell ref="J28:M28"/>
    <mergeCell ref="O25:S25"/>
    <mergeCell ref="O26:S2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2:H2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C23:H23"/>
    <mergeCell ref="J23:K23"/>
    <mergeCell ref="C24:H24"/>
    <mergeCell ref="J24:K24"/>
    <mergeCell ref="C25:H25"/>
    <mergeCell ref="J25:K25"/>
    <mergeCell ref="C26:H26"/>
    <mergeCell ref="J26:K26"/>
  </mergeCells>
  <dataValidations count="15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list" allowBlank="1" showInputMessage="1" showErrorMessage="1" sqref="C23:H23">
      <formula1>'MasterData'!$H$1:$H$20</formula1>
    </dataValidation>
    <dataValidation type="list" allowBlank="1" showInputMessage="1" showErrorMessage="1" sqref="C24:H24">
      <formula1>'MasterData'!$H$1:$H$20</formula1>
    </dataValidation>
    <dataValidation type="list" allowBlank="1" showInputMessage="1" showErrorMessage="1" sqref="C25:H25">
      <formula1>'MasterData'!$H$1:$H$20</formula1>
    </dataValidation>
    <dataValidation type="list" allowBlank="1" showInputMessage="1" showErrorMessage="1" sqref="C26:H26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45</v>
      </c>
      <c r="M1" s="300" t="s">
        <v>54</v>
      </c>
      <c r="N1" s="301" t="s">
        <v>0</v>
      </c>
      <c r="O1" s="162" t="s">
        <v>55</v>
      </c>
    </row>
    <row r="2" spans="7:15" ht="12.75">
      <c r="G2" s="162">
        <v>1001310</v>
      </c>
      <c r="H2" s="162" t="s">
        <v>46</v>
      </c>
      <c r="M2" s="300" t="s">
        <v>56</v>
      </c>
      <c r="N2" s="301">
        <v>1020643655</v>
      </c>
      <c r="O2" s="162" t="s">
        <v>57</v>
      </c>
    </row>
    <row r="3" spans="7:15" ht="12.75">
      <c r="G3" s="162">
        <v>1001352</v>
      </c>
      <c r="H3" s="162" t="s">
        <v>42</v>
      </c>
      <c r="M3" s="300" t="s">
        <v>58</v>
      </c>
      <c r="N3" s="301">
        <v>99990000410834</v>
      </c>
      <c r="O3" s="162" t="s">
        <v>59</v>
      </c>
    </row>
    <row r="4" spans="7:15" ht="12.75">
      <c r="G4" s="162">
        <v>1012729</v>
      </c>
      <c r="H4" s="162" t="s">
        <v>60</v>
      </c>
      <c r="M4" s="300" t="s">
        <v>61</v>
      </c>
      <c r="N4" s="301">
        <v>1021595709</v>
      </c>
      <c r="O4" s="162" t="s">
        <v>62</v>
      </c>
    </row>
    <row r="5" spans="7:15" ht="12.75">
      <c r="G5" s="162">
        <v>1012730</v>
      </c>
      <c r="H5" s="162" t="s">
        <v>63</v>
      </c>
      <c r="M5" s="300" t="s">
        <v>64</v>
      </c>
      <c r="N5" s="301"/>
      <c r="O5" s="162" t="s">
        <v>65</v>
      </c>
    </row>
    <row r="6" spans="7:15" ht="12.75">
      <c r="G6" s="162">
        <v>1012731</v>
      </c>
      <c r="H6" s="162" t="s">
        <v>66</v>
      </c>
      <c r="M6" s="300" t="s">
        <v>67</v>
      </c>
      <c r="N6" s="301" t="s">
        <v>68</v>
      </c>
      <c r="O6" s="162" t="s">
        <v>69</v>
      </c>
    </row>
    <row r="7" spans="7:15" ht="12.75">
      <c r="G7" s="162">
        <v>1012732</v>
      </c>
      <c r="H7" s="162" t="s">
        <v>70</v>
      </c>
      <c r="M7" s="300" t="s">
        <v>71</v>
      </c>
      <c r="N7" s="301">
        <v>0</v>
      </c>
      <c r="O7" s="162" t="s">
        <v>72</v>
      </c>
    </row>
    <row r="8" spans="7:15" ht="12.75">
      <c r="G8" s="162">
        <v>1012733</v>
      </c>
      <c r="H8" s="162" t="s">
        <v>73</v>
      </c>
      <c r="O8" s="162" t="s">
        <v>74</v>
      </c>
    </row>
    <row r="9" spans="7:15" ht="12.75">
      <c r="G9" s="162">
        <v>1012735</v>
      </c>
      <c r="H9" s="162" t="s">
        <v>75</v>
      </c>
      <c r="O9" s="162" t="s">
        <v>76</v>
      </c>
    </row>
    <row r="10" spans="7:15" ht="12.75">
      <c r="G10" s="162">
        <v>1012736</v>
      </c>
      <c r="H10" s="162" t="s">
        <v>77</v>
      </c>
      <c r="O10" s="162" t="s">
        <v>78</v>
      </c>
    </row>
    <row r="11" spans="7:15" ht="12.75">
      <c r="G11" s="162">
        <v>1012737</v>
      </c>
      <c r="H11" s="162" t="s">
        <v>79</v>
      </c>
      <c r="O11" s="162" t="s">
        <v>80</v>
      </c>
    </row>
    <row r="12" spans="7:15" ht="12.75">
      <c r="G12" s="162">
        <v>1012738</v>
      </c>
      <c r="H12" s="162" t="s">
        <v>81</v>
      </c>
      <c r="O12" s="162" t="s">
        <v>82</v>
      </c>
    </row>
    <row r="13" spans="7:15" ht="12.75">
      <c r="G13" s="162">
        <v>1012739</v>
      </c>
      <c r="H13" s="162" t="s">
        <v>83</v>
      </c>
      <c r="O13" s="162" t="s">
        <v>84</v>
      </c>
    </row>
    <row r="14" spans="7:15" ht="12.75">
      <c r="G14" s="162">
        <v>1012740</v>
      </c>
      <c r="H14" s="162" t="s">
        <v>85</v>
      </c>
      <c r="O14" s="162" t="s">
        <v>86</v>
      </c>
    </row>
    <row r="15" spans="7:15" ht="12.75">
      <c r="G15" s="162">
        <v>1012741</v>
      </c>
      <c r="H15" s="162" t="s">
        <v>87</v>
      </c>
      <c r="O15" s="162" t="s">
        <v>88</v>
      </c>
    </row>
    <row r="16" spans="7:15" ht="12.75">
      <c r="G16" s="162">
        <v>1012742</v>
      </c>
      <c r="H16" s="162" t="s">
        <v>89</v>
      </c>
      <c r="O16" s="162" t="s">
        <v>90</v>
      </c>
    </row>
    <row r="17" spans="7:15" ht="12.75">
      <c r="G17" s="162">
        <v>1012743</v>
      </c>
      <c r="H17" s="162" t="s">
        <v>91</v>
      </c>
      <c r="O17" s="162" t="s">
        <v>92</v>
      </c>
    </row>
    <row r="18" spans="7:15" ht="12.75">
      <c r="G18" s="162">
        <v>1012744</v>
      </c>
      <c r="H18" s="162" t="s">
        <v>93</v>
      </c>
      <c r="O18" s="162" t="s">
        <v>94</v>
      </c>
    </row>
    <row r="19" spans="7:15" ht="12.75">
      <c r="G19" s="162">
        <v>1020032</v>
      </c>
      <c r="H19" s="162" t="s">
        <v>95</v>
      </c>
      <c r="O19" s="162" t="s">
        <v>96</v>
      </c>
    </row>
    <row r="20" spans="7:15" ht="12.75">
      <c r="G20" s="162">
        <v>1020033</v>
      </c>
      <c r="H20" s="162" t="s">
        <v>97</v>
      </c>
      <c r="O20" s="162" t="s">
        <v>98</v>
      </c>
    </row>
    <row r="21" ht="12.75">
      <c r="O21" s="162" t="s">
        <v>99</v>
      </c>
    </row>
    <row r="22" ht="12.75">
      <c r="O22" s="162" t="s">
        <v>100</v>
      </c>
    </row>
    <row r="23" ht="12.75">
      <c r="O23" s="162" t="s">
        <v>101</v>
      </c>
    </row>
    <row r="24" ht="12.75">
      <c r="O24" s="162" t="s">
        <v>102</v>
      </c>
    </row>
    <row r="25" ht="12.75">
      <c r="O25" s="162" t="s">
        <v>103</v>
      </c>
    </row>
    <row r="26" ht="12.75">
      <c r="O26" s="162" t="s">
        <v>104</v>
      </c>
    </row>
    <row r="27" ht="12.75">
      <c r="O27" s="162" t="s">
        <v>105</v>
      </c>
    </row>
    <row r="28" ht="12.75">
      <c r="O28" s="162" t="s">
        <v>106</v>
      </c>
    </row>
    <row r="29" ht="12.75">
      <c r="O29" s="162" t="s">
        <v>107</v>
      </c>
    </row>
    <row r="30" ht="12.75">
      <c r="O30" s="162" t="s">
        <v>108</v>
      </c>
    </row>
    <row r="31" ht="12.75">
      <c r="O31" s="162" t="s">
        <v>109</v>
      </c>
    </row>
    <row r="32" ht="12.75">
      <c r="O32" s="162" t="s">
        <v>110</v>
      </c>
    </row>
    <row r="33" ht="12.75">
      <c r="O33" s="162" t="s">
        <v>111</v>
      </c>
    </row>
    <row r="34" ht="12.75">
      <c r="O34" s="162" t="s">
        <v>112</v>
      </c>
    </row>
    <row r="35" ht="12.75">
      <c r="O35" s="162" t="s">
        <v>113</v>
      </c>
    </row>
    <row r="36" ht="12.75">
      <c r="O36" s="162" t="s">
        <v>114</v>
      </c>
    </row>
    <row r="37" ht="12.75">
      <c r="O37" s="162" t="s">
        <v>115</v>
      </c>
    </row>
    <row r="38" ht="12.75">
      <c r="O38" s="162" t="s">
        <v>116</v>
      </c>
    </row>
    <row r="39" ht="12.75">
      <c r="O39" s="162" t="s">
        <v>117</v>
      </c>
    </row>
    <row r="40" ht="12.75">
      <c r="O40" s="162" t="s">
        <v>118</v>
      </c>
    </row>
    <row r="41" ht="12.75">
      <c r="O41" s="162" t="s">
        <v>119</v>
      </c>
    </row>
    <row r="42" ht="12.75">
      <c r="O42" s="162" t="s">
        <v>120</v>
      </c>
    </row>
    <row r="43" ht="12.75">
      <c r="O43" s="162" t="s">
        <v>121</v>
      </c>
    </row>
    <row r="44" ht="12.75">
      <c r="O44" s="162" t="s">
        <v>122</v>
      </c>
    </row>
    <row r="45" ht="12.75">
      <c r="O45" s="162" t="s">
        <v>123</v>
      </c>
    </row>
    <row r="46" ht="12.75">
      <c r="O46" s="162" t="s">
        <v>124</v>
      </c>
    </row>
    <row r="47" ht="12.75">
      <c r="O47" s="162" t="s">
        <v>125</v>
      </c>
    </row>
    <row r="48" ht="12.75">
      <c r="O48" s="162" t="s">
        <v>126</v>
      </c>
    </row>
    <row r="49" ht="12.75">
      <c r="O49" s="162" t="s">
        <v>127</v>
      </c>
    </row>
    <row r="50" ht="12.75">
      <c r="O50" s="162" t="s">
        <v>128</v>
      </c>
    </row>
    <row r="51" ht="12.75">
      <c r="O51" s="162" t="s">
        <v>129</v>
      </c>
    </row>
    <row r="52" ht="12.75">
      <c r="O52" s="162" t="s">
        <v>130</v>
      </c>
    </row>
    <row r="53" ht="12.75">
      <c r="O53" s="162" t="s">
        <v>131</v>
      </c>
    </row>
    <row r="54" ht="12.75">
      <c r="O54" s="162" t="s">
        <v>132</v>
      </c>
    </row>
    <row r="55" ht="12.75">
      <c r="O55" s="162" t="s">
        <v>133</v>
      </c>
    </row>
    <row r="56" ht="12.75">
      <c r="O56" s="162" t="s">
        <v>134</v>
      </c>
    </row>
    <row r="57" ht="12.75">
      <c r="O57" s="162" t="s">
        <v>135</v>
      </c>
    </row>
    <row r="58" ht="12.75">
      <c r="O58" s="162" t="s">
        <v>136</v>
      </c>
    </row>
    <row r="59" ht="12.75">
      <c r="O59" s="162" t="s">
        <v>137</v>
      </c>
    </row>
    <row r="60" ht="12.75">
      <c r="O60" s="162" t="s">
        <v>138</v>
      </c>
    </row>
    <row r="61" ht="12.75">
      <c r="O61" s="162" t="s">
        <v>139</v>
      </c>
    </row>
    <row r="62" ht="12.75">
      <c r="O62" s="162" t="s">
        <v>140</v>
      </c>
    </row>
    <row r="63" ht="12.75">
      <c r="O63" s="162" t="s">
        <v>141</v>
      </c>
    </row>
    <row r="64" ht="12.75">
      <c r="O64" s="162" t="s">
        <v>142</v>
      </c>
    </row>
    <row r="65" ht="12.75">
      <c r="O65" s="162" t="s">
        <v>143</v>
      </c>
    </row>
    <row r="66" ht="12.75">
      <c r="O66" s="162" t="s">
        <v>144</v>
      </c>
    </row>
    <row r="67" ht="12.75">
      <c r="O67" s="162" t="s">
        <v>145</v>
      </c>
    </row>
    <row r="68" ht="12.75">
      <c r="O68" s="162" t="s">
        <v>146</v>
      </c>
    </row>
    <row r="69" ht="12.75">
      <c r="O69" s="162" t="s">
        <v>147</v>
      </c>
    </row>
    <row r="70" ht="12.75">
      <c r="O70" s="162" t="s">
        <v>148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