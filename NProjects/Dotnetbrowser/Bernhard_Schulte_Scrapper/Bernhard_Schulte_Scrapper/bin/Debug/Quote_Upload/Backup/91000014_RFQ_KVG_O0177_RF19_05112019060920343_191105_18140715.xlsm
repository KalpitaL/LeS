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Quote!$A$1:$S$198</definedName>
    <definedName name="BCCEmailId">Quote!$N$178</definedName>
    <definedName name="BuyerRemarks">Quote!$F$180</definedName>
    <definedName name="CompanyAddress">Quote!$A$5</definedName>
    <definedName name="CompanyName">Quote!$A$4</definedName>
    <definedName name="Currency">Quote!$O$14</definedName>
    <definedName name="Days">Quote!$Q$11</definedName>
    <definedName name="Discount_All">Quote!$O$15</definedName>
    <definedName name="Enquiry_ID">Quote!$A$178</definedName>
    <definedName name="Enquiry_To_Vendor_ID">Quote!$C$178</definedName>
    <definedName name="ErrorMessage">Quote!$Q$178</definedName>
    <definedName name="GrandTotal">Quote!$P$177</definedName>
    <definedName name="HeaderID">MasterData!$N$4</definedName>
    <definedName name="ItemID">Quote!$B$19</definedName>
    <definedName name="ItemListEndRow">Quote!$A$170</definedName>
    <definedName name="ItemListStartupRow">Quote!$A$19</definedName>
    <definedName name="ItemSubTotal">Quote!$P$176</definedName>
    <definedName name="ItemSubTotalTitle">Quote!$L$176</definedName>
    <definedName name="LoggedInEmailID">Quote!$J$178</definedName>
    <definedName name="LoggedInPwd">Quote!$K$178</definedName>
    <definedName name="OtherChargesLastRow">Quote!$A$176</definedName>
    <definedName name="OtherChargesStartRow">Quote!$A$171</definedName>
    <definedName name="PackingInstruction">Quote!$F$181</definedName>
    <definedName name="Payment_Terms">Quote!$O$11</definedName>
    <definedName name="PortOfDelivery">Quote!$O$9</definedName>
    <definedName name="QuoteBefore">Quote!$O$8</definedName>
    <definedName name="QuoteID">MasterData!$N$7</definedName>
    <definedName name="QuoteSubject">Quote!$E$178</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Quote!$M$178</definedName>
    <definedName name="SentIndex">Quote!$F$178</definedName>
    <definedName name="ToEmailID">Quote!$G$178</definedName>
    <definedName name="ToEmailPwd">Quote!$H$178</definedName>
    <definedName name="VAT_All">Quote!$O$16</definedName>
    <definedName name="Vendor_ID">Quote!$B$178</definedName>
    <definedName name="VendorAddress">Quote!$D$14</definedName>
    <definedName name="VendorAddressCity">Quote!$D$15</definedName>
    <definedName name="VendorAddressEmail">Quote!$D$17</definedName>
    <definedName name="VendorAddressPhone">Quote!$D$16</definedName>
    <definedName name="VendorEmailID">Quote!$D$178</definedName>
    <definedName name="VendorID">MasterData!$N$5</definedName>
    <definedName name="VendorName">Quote!$D$13</definedName>
    <definedName name="VendorReference">Quote!$O$12</definedName>
    <definedName name="VendorRemarks">Quote!$F$182</definedName>
    <definedName name="VesselETA">Quote!$O$10</definedName>
    <definedName name="VesselName">Quote!$O$4</definedName>
    <definedName name="SubItemTotal">Quote!$P$168:$P$168</definedName>
  </definedNames>
  <calcPr fullCalcOnLoad="1"/>
</workbook>
</file>

<file path=xl/sharedStrings.xml><?xml version="1.0" encoding="utf-8"?>
<sst xmlns="http://schemas.openxmlformats.org/spreadsheetml/2006/main" count="2191" uniqueCount="472">
  <si>
    <t>Request for Quote</t>
  </si>
  <si>
    <t>Vessel \ Company Details</t>
  </si>
  <si>
    <t>BERNHARD SCHULTE SHIPMANAGEMENT (SINGAPORE) PTE. LTD.</t>
  </si>
  <si>
    <t>Vessel</t>
  </si>
  <si>
    <t>Kokuka Vigorous</t>
  </si>
  <si>
    <t>SEACHEF - HOSPITALITY SERVICES,</t>
  </si>
  <si>
    <t>RFQ No.</t>
  </si>
  <si>
    <t>KVG/O0177/RF19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</si>
  <si>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</si>
  <si>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</si>
  <si>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</si>
  <si>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</si>
  <si>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</si>
  <si>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</si>
  <si>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</si>
  <si>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Singapore</t>
  </si>
  <si>
    <t>Email:</t>
  </si>
  <si>
    <t>seachef@seachef.com</t>
  </si>
  <si>
    <t>Vessel ETA</t>
  </si>
  <si>
    <t>Web:</t>
  </si>
  <si>
    <t>www.seachef.com /  www.bs-shipmanagement.com</t>
  </si>
  <si>
    <t>Payment Terms</t>
  </si>
  <si>
    <t>Credit</t>
  </si>
  <si>
    <t>Days</t>
  </si>
  <si>
    <t>Vendor Details</t>
  </si>
  <si>
    <t xml:space="preserve">Vendor Reference </t>
  </si>
  <si>
    <t>Name</t>
  </si>
  <si>
    <t>AMOS INTERNATIONAL (S) PTE LTD</t>
  </si>
  <si>
    <t>Address</t>
  </si>
  <si>
    <t>156 Gul Circle, Singapore 629613</t>
  </si>
  <si>
    <r>
      <rPr>
        <b/>
        <sz val="10"/>
        <color theme="0" tint="-0.249970003962517"/>
        <rFont val="Calibri"/>
        <family val="2"/>
      </rPr>
      <t xml:space="preserve">Select Currency </t>
    </r>
    <r>
      <rPr>
        <b/>
        <sz val="12"/>
        <color rgb="FFFF0000"/>
        <rFont val="Calibri"/>
        <family val="2"/>
      </rPr>
      <t>*</t>
    </r>
  </si>
  <si>
    <t>SGD</t>
  </si>
  <si>
    <t>City</t>
  </si>
  <si>
    <t>Discount (%) for all items</t>
  </si>
  <si>
    <t>0</t>
  </si>
  <si>
    <t>Phone</t>
  </si>
  <si>
    <t>VAT(%) for all items</t>
  </si>
  <si>
    <t>Email</t>
  </si>
  <si>
    <t>sales.ms.sg@amosgroup.com,sales.ms.sg@amosgroup.com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</si>
  <si>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</si>
  <si>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</si>
  <si>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</si>
  <si>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</si>
  <si>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</si>
  <si>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</si>
  <si>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</si>
  <si>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</si>
  <si>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</si>
  <si>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</si>
  <si>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</si>
  <si>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</si>
  <si>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</si>
  <si>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</si>
  <si>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</si>
  <si>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BALL BEARING SINGLE ROW DEEP GROOVE NO.6306ZZ Only "SKF" Bearing</t>
  </si>
  <si>
    <t>PCS</t>
  </si>
  <si>
    <t>**SKF</t>
  </si>
  <si>
    <t>BALL BEARING SINGLE ROW DEEP GROOVE NO.6308ZZ Only "SKF" Bearing</t>
  </si>
  <si>
    <t>BALL BEARING SINGLE ROW DEEP GROOVE NO.6309ZZ Only "SKF" Bearing</t>
  </si>
  <si>
    <t xml:space="preserve">FAUCET SHOWER THERMOSTATIC, 130-170MM 1/2" SA847005 </t>
  </si>
  <si>
    <t>AIR DUSTERS  (Nozzle L-25mm) (Alternative equivalent make)</t>
  </si>
  <si>
    <t>** LOCAL BRAND**</t>
  </si>
  <si>
    <t xml:space="preserve">BRUSH HAND BRASS, STRAIGHT HANDLE </t>
  </si>
  <si>
    <t>**OFFER : LOCAL BRAND**</t>
  </si>
  <si>
    <t xml:space="preserve">BRUSH SWEEP W/HAIR MIX, PLASTIC VIKAN#3150 280MM WIDTH </t>
  </si>
  <si>
    <t>**OFFER EQUIVALENT**</t>
  </si>
  <si>
    <t xml:space="preserve">BRUSH TUBE NYLON CONDENSER, 13MM X 1/4" MALE THREAD </t>
  </si>
  <si>
    <t xml:space="preserve">BRUSH WIRE OVAL 130X60MM </t>
  </si>
  <si>
    <t xml:space="preserve">BRUSH WIRE WHEEL THREADED NUT TYPE 75MMXM10THREAD </t>
  </si>
  <si>
    <t xml:space="preserve"> ALCONA" BRAND**</t>
  </si>
  <si>
    <t>DIAPHRAGM PUMP AIR-OPERATED, WILDEN P-2 PLASTIC BODY ('ARO' or equivalent)</t>
  </si>
  <si>
    <t>SET</t>
  </si>
  <si>
    <t>**OFFER DIAPHRAGM PUMP AIR-OPERATED  P-2 PLASTIC BODY STROKE" BR</t>
  </si>
  <si>
    <t xml:space="preserve">FAN VENTILATION ELEC PORTABLE, 280MM AC200V 1-PHASE </t>
  </si>
  <si>
    <t>**OFFER 300MM</t>
  </si>
  <si>
    <t xml:space="preserve">HEX HEAD BOLT/NUT STAINLESS, STEEL M8 X 35MM </t>
  </si>
  <si>
    <t>**LOCAL</t>
  </si>
  <si>
    <t xml:space="preserve">OIL SORBENT, SHEET, 500 X 500 MM, 100 SHT/BOX </t>
  </si>
  <si>
    <t>BOX</t>
  </si>
  <si>
    <t>** OIL SORBENT SHEET  400X450MM 100SHT**</t>
  </si>
  <si>
    <t xml:space="preserve">VACUUM CLEANER 220V </t>
  </si>
  <si>
    <t>** 'OFFER 'ELECTROLUX'' 1600W BAGLESS VACUUM CLEANER 220V**</t>
  </si>
  <si>
    <t xml:space="preserve">YACHT MOP COMPLETE </t>
  </si>
  <si>
    <t>**ALCONA</t>
  </si>
  <si>
    <t xml:space="preserve">BATTERY ALKALINE LR6(AM-3), 1.5V </t>
  </si>
  <si>
    <t xml:space="preserve">BATTERY RECHARGEABLE R6, 1.2V 500MAH </t>
  </si>
  <si>
    <t>**GP OR JAPANESE BRAND</t>
  </si>
  <si>
    <t xml:space="preserve">CABLE SHOE CLAMPING TYPE R-TG, NOMINAL SIZE 1.25-3 </t>
  </si>
  <si>
    <t xml:space="preserve">CABLE SHOE CLAMPING TYPE R-TG, NOMINAL SIZE 2.0-4 </t>
  </si>
  <si>
    <t xml:space="preserve">FL LIGHTBULB COMPACT GLOBELESS, E-26 220V 40W DAYLIGHT </t>
  </si>
  <si>
    <t>**CHINA / KOREA</t>
  </si>
  <si>
    <t xml:space="preserve">FUSE GLASS TUBE TYPE 125V 2AMP DIA5.2XL20MM </t>
  </si>
  <si>
    <t xml:space="preserve">FUSE GLASS TUBE TYPE 125V, 4AMP DIA5.2XL20MM </t>
  </si>
  <si>
    <t xml:space="preserve">FUSE GLASS TUBE TYPE 250V, 2AMP DIA6.35XL30MM </t>
  </si>
  <si>
    <t xml:space="preserve">FUSE GLASS TUBE TYPE 250V, 4AMP DIA6.35XL30MM </t>
  </si>
  <si>
    <t>SCF-S-ELE648</t>
  </si>
  <si>
    <t xml:space="preserve">HAND LAMP FLUORESCENT, WATERTIGHT 200V 20W </t>
  </si>
  <si>
    <t xml:space="preserve">LAMP FLUORESCENT DAYLIGHT, FL-20SSCW/18-24 40W 27X588.7MM </t>
  </si>
  <si>
    <t>**OFFER FL-20S/EL 18W 26X588MM, CHINA / KOREA</t>
  </si>
  <si>
    <t xml:space="preserve">LAMP HOLDER PORCELAIN TUBULAR TE-39 </t>
  </si>
  <si>
    <t xml:space="preserve">LAMP HOLDER PORCELAIN TUBULAR, TE-26 </t>
  </si>
  <si>
    <t xml:space="preserve">LAMP SODIUM HIGH PRESSURE, T-BULB NHT1000 E-39 1000W </t>
  </si>
  <si>
    <t xml:space="preserve">PLUG ADAPTOR 2-ROUND PIN PLUG &amp; 2-FLAT PIN RECEPTACLE </t>
  </si>
  <si>
    <t xml:space="preserve">PLUG WATERTIGHT 3PIN TYPE HNA, SYNTHETIC RESIN </t>
  </si>
  <si>
    <t xml:space="preserve">SOLDERING PASTE 50GRM </t>
  </si>
  <si>
    <t>TIN</t>
  </si>
  <si>
    <t xml:space="preserve">TAPE PVC INSULATION 19MMX20MTR (BLACK) </t>
  </si>
  <si>
    <t>SPL</t>
  </si>
  <si>
    <t>**OFFER 8MTR/ROLL, LOCAL</t>
  </si>
  <si>
    <t xml:space="preserve">TAPE RUBBER INSULATION, 20MMX10MTR </t>
  </si>
  <si>
    <t>RLS</t>
  </si>
  <si>
    <t xml:space="preserve">TORCH SAFETY PERSONAL ISSUE, WOLF M-80 LED MIDI TORCH   </t>
  </si>
  <si>
    <t xml:space="preserve">AIR FILTER 10X1600MM </t>
  </si>
  <si>
    <t>MTR</t>
  </si>
  <si>
    <t>**OFFER 15X1600MM WHITE, 10MTR/ROLL, LOCAL BRAND</t>
  </si>
  <si>
    <t xml:space="preserve">ANTI-SEIZE COMPOUND 500GRM </t>
  </si>
  <si>
    <t>**OFFER SEALXPERT HIGH TEMPERATURE ANTI-SEIZE COMPOUND</t>
  </si>
  <si>
    <t xml:space="preserve">LUBRICANT WD-40 SPRAY 360ML </t>
  </si>
  <si>
    <t>**OFFER EQUIVALENT BRAND**</t>
  </si>
  <si>
    <t xml:space="preserve">O-RING KIT 17SIZES/222PCS, IN ACRYL CASE </t>
  </si>
  <si>
    <t>**LOCAL BRAND</t>
  </si>
  <si>
    <t xml:space="preserve">RAG COTTON 100% STERILIZED, WHITE </t>
  </si>
  <si>
    <t>KGS</t>
  </si>
  <si>
    <t>**OFFER : 25KG**</t>
  </si>
  <si>
    <t xml:space="preserve">SILICON SEALANT WHITE 300GRM </t>
  </si>
  <si>
    <t>TUB</t>
  </si>
  <si>
    <t xml:space="preserve">TAPE SEAL TEFLON, 0.1X13MMX5MTR </t>
  </si>
  <si>
    <t>**OFFER W-13MMX8MTR, LOCAL</t>
  </si>
  <si>
    <t xml:space="preserve">VASELINE 500GRM </t>
  </si>
  <si>
    <t>JAR</t>
  </si>
  <si>
    <t xml:space="preserve">WATER FINDING PASTE 75GRM, YELLOW TO RED </t>
  </si>
  <si>
    <t xml:space="preserve"> VECOM BRAND</t>
  </si>
  <si>
    <t xml:space="preserve">REPLACEABLE HEAD FOR YACHT MOP </t>
  </si>
  <si>
    <t>**OFFER : REPLACEMENT HEAD ONLY**</t>
  </si>
  <si>
    <t xml:space="preserve">WRENCH SINGLE OPEN END 41MM </t>
  </si>
  <si>
    <t xml:space="preserve">WRENCH SINGLE OPEN END 46MM </t>
  </si>
  <si>
    <t xml:space="preserve">COUPLER QUICK-CONNECT STAINLESS STEEL 20PH 1/4" </t>
  </si>
  <si>
    <t>**OFFER : S/STEEL TYPE**</t>
  </si>
  <si>
    <t xml:space="preserve">COUPLER QUICK-CONNECT STAINLESS STEEL 20SH 1/4" </t>
  </si>
  <si>
    <t xml:space="preserve">COUPLER QUICK-CONNECT STAINLESS STEEL 30SH 3/8" </t>
  </si>
  <si>
    <t xml:space="preserve">GAUGE PRESSURE W/GLYCERINE, BOTTOM/BACK 0-10BAR 63MM G1/4" </t>
  </si>
  <si>
    <t xml:space="preserve">GAUGE PRESSURE W/GLYCERINE, REAR/U-CLAMP 0-6BAR 63MM G1/4" </t>
  </si>
  <si>
    <t xml:space="preserve">RULE STRAIGHT STAINLESS STEEL, 300MM </t>
  </si>
  <si>
    <t xml:space="preserve">THICKNESS GAUGE #100A25, 0.03-1.0MM 100MM LENGTH </t>
  </si>
  <si>
    <t xml:space="preserve">TRY SQUARE PRECISION FLAT, 1ST-GRADE(+_0.02) 200X130MM </t>
  </si>
  <si>
    <t xml:space="preserve">BRASS ROUND 40MM 4MTR </t>
  </si>
  <si>
    <t>LGH</t>
  </si>
  <si>
    <t>**OFFER 1-1/2" X 3.6MTR, CHINA OR KOREA</t>
  </si>
  <si>
    <t xml:space="preserve">COPPER SHEET 1.0X365X1200MM  </t>
  </si>
  <si>
    <t>SHT</t>
  </si>
  <si>
    <t>**CHINA OR KOREA</t>
  </si>
  <si>
    <t xml:space="preserve">STEEL PLATE UNGALV HOT-ROLLED, 1.6X1219X2438MM </t>
  </si>
  <si>
    <t xml:space="preserve">DUCT PACKING GLASS, 3MMX25MMX15MTR </t>
  </si>
  <si>
    <t xml:space="preserve">DUCT PACKING GLASS, 3MMX38MMX15MTR </t>
  </si>
  <si>
    <t xml:space="preserve">GLUE THREADLOCKER RED, LOCTITE 263 50ML </t>
  </si>
  <si>
    <t>BTL</t>
  </si>
  <si>
    <t xml:space="preserve">JOINT SHEET NATURAL RUBBER 3.0X1000X1000MM </t>
  </si>
  <si>
    <t xml:space="preserve">JOINT SHEET NATURAL RUBBER 4.0X1000X1000MM </t>
  </si>
  <si>
    <t xml:space="preserve">JOINT SHT GASKET PILLAR #5611 NON-ASBESTOS 2.0X1200X1200MM </t>
  </si>
  <si>
    <t>**OFFER GTMR, 2.0X1000X1000MM</t>
  </si>
  <si>
    <t xml:space="preserve">JOINT SHT GASKET PILLAR #5611 NON-ASBESTOS 3.0X1200X1200MM </t>
  </si>
  <si>
    <t>**OFFER GTMR, 3.0X1000X1000MM</t>
  </si>
  <si>
    <t xml:space="preserve">QUICK BONDING ADHESIVE, NO.201 20GRM </t>
  </si>
  <si>
    <t xml:space="preserve">BRUSH PAINT ROLLER MINI, WITH HANDLE 100MM WIDTH </t>
  </si>
  <si>
    <t>**OFFER MINI ROLLER YELLOW LINE BRUSH C/SET**</t>
  </si>
  <si>
    <t xml:space="preserve">BRUSH RADIATOR ANGLE(DOG LEG), 25MM WIDTH </t>
  </si>
  <si>
    <t xml:space="preserve">BRUSH RADIATOR ANGLE(DOG LEG), 40MM WIDTH </t>
  </si>
  <si>
    <t xml:space="preserve">SPARE MINI ROLLER 100MM WIDTH </t>
  </si>
  <si>
    <t>**OFFER SPARE MINI ROLLER YELLOW LINE**</t>
  </si>
  <si>
    <t xml:space="preserve">WOOD HANDLE PUSH 1200MM, FOR BRUSH </t>
  </si>
  <si>
    <t xml:space="preserve"> UNION REDUCING STAINLESS STEEL, FLARELESS 8MMX10MM </t>
  </si>
  <si>
    <t xml:space="preserve">ELBOW MALLEABLE CAST IRON GALV, 90DEG 2 </t>
  </si>
  <si>
    <t xml:space="preserve">SOCKET BRASS 1 THREADED </t>
  </si>
  <si>
    <t xml:space="preserve">TUBE COPPER ANNEALED SEAMLESS, 10X1MM,  </t>
  </si>
  <si>
    <t>**OFFER UOM IN METER (NO STANDARD LENGTH), LOCAL</t>
  </si>
  <si>
    <t xml:space="preserve">TUBE COPPER ANNEALED SEAMLESS, 6X1MM,  </t>
  </si>
  <si>
    <t xml:space="preserve">TUBE COPPER ANNEALED SEAMLESS, 8X1MM,  </t>
  </si>
  <si>
    <t xml:space="preserve">UNION FLARELESS BRASS 10MMXPT3/8 </t>
  </si>
  <si>
    <t xml:space="preserve">UNION FLARELESS BRASS 6MMXPT1/4 </t>
  </si>
  <si>
    <t xml:space="preserve">UNION FLARELESS BRASS 8MMXPT1/4 </t>
  </si>
  <si>
    <t xml:space="preserve">UNION REDUCING STAINLESS STEEL, FLARELESS 6MMX8MM </t>
  </si>
  <si>
    <t xml:space="preserve">UNION STAINLESS STEEL 10MM, FLARELESS </t>
  </si>
  <si>
    <t xml:space="preserve">UNION STAINLESS STEEL 6MM, FLARELESS </t>
  </si>
  <si>
    <t xml:space="preserve">UNION STAINLESS STEEL 8MM, FLARELESS </t>
  </si>
  <si>
    <t xml:space="preserve">VENTILATION TUBE FOLDING-TYPE, PVC 200MM X 10MTR </t>
  </si>
  <si>
    <t xml:space="preserve">BAG SLUDGE POLYPROPYLENE, W/INNER BAG W600MMXL1000MM </t>
  </si>
  <si>
    <t>**OFFER W/SIDE LINE, 600MM X 1000MM**</t>
  </si>
  <si>
    <t xml:space="preserve">WALNUT SHELL DRY GRIT #20, 840-1190 MICRON 20KGS </t>
  </si>
  <si>
    <t>BAG</t>
  </si>
  <si>
    <t xml:space="preserve">HEX HEAD BOLT/NUT STAINLESS, STEEL M10 X 65MM </t>
  </si>
  <si>
    <t xml:space="preserve">HEX HEAD BOLT/NUT STAINLESS, STEEL M5 X 30MM </t>
  </si>
  <si>
    <t xml:space="preserve">HEX HEAD BOLT/NUT STAINLESS, STEEL M6 X 30MM </t>
  </si>
  <si>
    <t xml:space="preserve">HEX HEAD BOLT/NUT STEEL UNGALV, M10 X 60MM </t>
  </si>
  <si>
    <t xml:space="preserve">HEX HEAD BOLT/NUT STEEL UNGALV, M12 X 60MM </t>
  </si>
  <si>
    <t xml:space="preserve">HEX HEAD BOLT/NUT STEEL UNGALV, M16 X 65MM </t>
  </si>
  <si>
    <t xml:space="preserve">TAPE OIL GAUGE STAINLESS STEEL, METRIC 30MTR </t>
  </si>
  <si>
    <t xml:space="preserve"> ALCONA BRAND</t>
  </si>
  <si>
    <t xml:space="preserve">TAPE OIL GAUGE STEEL, WHITE TAPE METRIC 30MTR </t>
  </si>
  <si>
    <t xml:space="preserve">BLADE HACKSAW HAND, HIGH SPEED STEEL 300MMX18TEETH </t>
  </si>
  <si>
    <t>ECLISPE U.K BRAND</t>
  </si>
  <si>
    <t xml:space="preserve">BLADE HACKSAW HAND, HIGH SPEED STEEL 300MMX24TEETH </t>
  </si>
  <si>
    <t xml:space="preserve">CHISEL COLD 16X175MM </t>
  </si>
  <si>
    <t>LOCAL TYPE</t>
  </si>
  <si>
    <t xml:space="preserve">CHISEL COLD 22X200MM </t>
  </si>
  <si>
    <t xml:space="preserve"> LOCAL TYPE</t>
  </si>
  <si>
    <t xml:space="preserve">COMBINATION SPANNER, 10MM </t>
  </si>
  <si>
    <t>** "ALCONA OR ASAKI JAPAN **</t>
  </si>
  <si>
    <t xml:space="preserve">CROWBAR 1150MM </t>
  </si>
  <si>
    <t xml:space="preserve">CUTTER DIAGONAL INSULATED UPTO, 1000V L:140MM </t>
  </si>
  <si>
    <t>PRS</t>
  </si>
  <si>
    <t xml:space="preserve">EXTRACTOR SCREW SET 6'S, FOR DRILL SIZE 2.0-10.3MM </t>
  </si>
  <si>
    <t>**AMMECH</t>
  </si>
  <si>
    <t xml:space="preserve">FILE HALF-ROUND DOUBLE-CUT, SMOOTH 300MM </t>
  </si>
  <si>
    <t xml:space="preserve">FLEXIBLE EXTENSION HOSE PT 1/8 FOR HYDRAULIC/STRAIGHT NIPPLE </t>
  </si>
  <si>
    <t>**LOCAL BRAND**</t>
  </si>
  <si>
    <t xml:space="preserve">FLEXIBLE EXTENSION HOSE PT 1/8 FOR PIN TYPE GREASE NIPPLE </t>
  </si>
  <si>
    <t xml:space="preserve">FRAME HACKSAW ADJUSTABLE PIPE, 250-300MM </t>
  </si>
  <si>
    <t>LOCAL BRAND</t>
  </si>
  <si>
    <t xml:space="preserve">GREASE GUN LEVER TYPE KH-500, STANDARD 500CC </t>
  </si>
  <si>
    <t>**OFFER PRESSOL GREASE GUN LEVER TYPE STANDARD 500CC</t>
  </si>
  <si>
    <t xml:space="preserve">HAMMER BALL PEIN HANDLED, NO.1 (450GRM) </t>
  </si>
  <si>
    <t xml:space="preserve"> CHINA</t>
  </si>
  <si>
    <t xml:space="preserve">HAMMER BALL PEIN HANDLED, NO.2 (900GRM) </t>
  </si>
  <si>
    <t xml:space="preserve">OIL SYRINGE BRASS 600 CC </t>
  </si>
  <si>
    <t xml:space="preserve">PISTON PUMP PNEUMATIC, W/DRUM JOINT &amp; PIPE COMPLETE </t>
  </si>
  <si>
    <t>**OFFER PISTON PUMP PNEUMATIC FOR DRUM STROKE" BRAND**</t>
  </si>
  <si>
    <t xml:space="preserve">PLIER LONG NEEDLE NOSE, PLASTIC COVERED HANDLE 125MM </t>
  </si>
  <si>
    <t>**  ALCONA" BRAND **</t>
  </si>
  <si>
    <t xml:space="preserve">PLIER SIDE-CUTTING INSULATED, 150MM </t>
  </si>
  <si>
    <t>**OFFER P.U COVER HANDLE 150MM ALCONA" BRAND **</t>
  </si>
  <si>
    <t xml:space="preserve">PLIER STOP RING STRAIGHT, EXTERNAL 10-25MM </t>
  </si>
  <si>
    <t xml:space="preserve">  "ALCONA" BRAND</t>
  </si>
  <si>
    <t xml:space="preserve">PLIER STOP RING STRAIGHT, INTERNAL 15-25MM </t>
  </si>
  <si>
    <t>WESS OR IRENO BRAND</t>
  </si>
  <si>
    <t xml:space="preserve">PUMP HAND PLASTIC FOR DRUM  </t>
  </si>
  <si>
    <t xml:space="preserve">PUMP HAND PLASTIC FOR PAIL CAN  </t>
  </si>
  <si>
    <t xml:space="preserve">PUNCH SET CENTER COMBINATION, L-150MM (9'S) </t>
  </si>
  <si>
    <t>LOCAL</t>
  </si>
  <si>
    <t xml:space="preserve">PUNCH SET PIN COMBINATION, 2.5-10MM 150MM LENGTH 8'S </t>
  </si>
  <si>
    <t xml:space="preserve">SCREWDRIVER INSULATED HANDLE, HEAVY-DUTY PHILLIPS NO.2 100MM </t>
  </si>
  <si>
    <t xml:space="preserve"> OFFER AMTOOLS BRAND INSULATED HANDLE</t>
  </si>
  <si>
    <t xml:space="preserve">SCREWDRIVER INSULATED HANDLE, HEAVY-DUTY SLOTTED 7X125MM </t>
  </si>
  <si>
    <t>OFFER AMTOOLS BRAND INSULATED HANDLE</t>
  </si>
  <si>
    <t xml:space="preserve">SCREWDRIVER WOOD HANDLE  PHILIPS #3 150MM </t>
  </si>
  <si>
    <t xml:space="preserve">ALCONA" BRAND </t>
  </si>
  <si>
    <t xml:space="preserve">SCREWDRIVER WOOD HANDLE SLOTTED 8.0X150MM </t>
  </si>
  <si>
    <t>"ALCONA" BRAND 
OR (B) ALCONA OR AMTOOS PLASTIC SCREWDRIVER BLU</t>
  </si>
  <si>
    <t xml:space="preserve">SCREWDRIVERS WOOD HANDLE SLOTTED 6.0X100MM </t>
  </si>
  <si>
    <t>ALCONA" BRAND **</t>
  </si>
  <si>
    <t xml:space="preserve">SOCKET WRENCH 12-POINT, 9.5MM/SQ DRIVEX13MM </t>
  </si>
  <si>
    <t>**OFFER FORCE BRAND**</t>
  </si>
  <si>
    <t xml:space="preserve">SOCKET WRENCH 12-POINT, 9.5MM/SQ DRIVEX14MM </t>
  </si>
  <si>
    <t xml:space="preserve">
**OFFER FORCE BRAND**</t>
  </si>
  <si>
    <t xml:space="preserve">SPARE BLADE ELECTRIC JIGSAW #6 PLASTIC/M.STL/ALUM/HARD BOARD </t>
  </si>
  <si>
    <t>**OFFER HITACHI" **</t>
  </si>
  <si>
    <t xml:space="preserve">WHEEL CUT-OFF RESINOID GRAIN36 100X2.0X15.88MM 4300MTR/MIN </t>
  </si>
  <si>
    <t>ALCONA BRAND</t>
  </si>
  <si>
    <t xml:space="preserve">WHEEL FREE SWIVEL TYPE 200MM, FOR PLATFORM TRUCK </t>
  </si>
  <si>
    <t xml:space="preserve">WHEEL GRINDING OFFSET RESINOID, 100X6X15MM GRAIN36 4300MTR/MIN </t>
  </si>
  <si>
    <t xml:space="preserve">WRENCH ALLEN HEXAGON 5MM </t>
  </si>
  <si>
    <t xml:space="preserve"> CAPITAL  BRAND</t>
  </si>
  <si>
    <t xml:space="preserve">WRENCH ALLEN HEXAGON 6MM </t>
  </si>
  <si>
    <t xml:space="preserve">WRENCH OPEN &amp; 12-POINT BOX, 13MM </t>
  </si>
  <si>
    <t>**  ALCONA" OR ASAKI JAPAN **</t>
  </si>
  <si>
    <t xml:space="preserve">WRENCH OPEN &amp; 12-POINT BOX, 14MM </t>
  </si>
  <si>
    <t>** ALCONA" OR ASAKI JAPAN **</t>
  </si>
  <si>
    <t xml:space="preserve">WRENCH OPEN &amp; 12-POINT BOX, 15MM </t>
  </si>
  <si>
    <t xml:space="preserve">WRENCH OPEN &amp; 12-POINT BOX, 16MM </t>
  </si>
  <si>
    <t xml:space="preserve"> **  ALCONA" OR ASAKI JAPAN **</t>
  </si>
  <si>
    <t xml:space="preserve">WRENCH OPEN &amp; 12-POINT BOX, 17MM </t>
  </si>
  <si>
    <t xml:space="preserve">WRENCH OPEN &amp; 12-POINT BOX, 19MM </t>
  </si>
  <si>
    <t xml:space="preserve">WRENCH OPEN &amp; 12-POINT BOX, 22MM </t>
  </si>
  <si>
    <t>*  ALCONA" OR ASAKI JAPAN **</t>
  </si>
  <si>
    <t xml:space="preserve">WRENCH OPEN &amp; 12-POINT BOX, 24MM </t>
  </si>
  <si>
    <t xml:space="preserve">WRENCH PIPE STRAIGHT, HEAVY-DUTY 450MM </t>
  </si>
  <si>
    <t xml:space="preserve"> ** ALCONA OR ASAKI JAPAN "**</t>
  </si>
  <si>
    <t xml:space="preserve">WRENCH SET ALLEN HEXAGON, 2.5-12MM 8'S </t>
  </si>
  <si>
    <t>**"ALCONA" BRAND**
OR (B) STANLEY BRAND WRENCH SET ALLEN HEXAGO</t>
  </si>
  <si>
    <t xml:space="preserve">WRENCH SINGLE OPEN END 36MM </t>
  </si>
  <si>
    <t>** DIN  BRAND**</t>
  </si>
  <si>
    <t xml:space="preserve">WRENCH SINGLE OPEN END 50MM </t>
  </si>
  <si>
    <t xml:space="preserve">WRENCH SINGLE OPEN END 55MM </t>
  </si>
  <si>
    <t>Item Sub Total :</t>
  </si>
  <si>
    <t>Other Charges</t>
  </si>
  <si>
    <t>Amount</t>
  </si>
  <si>
    <t>Price</t>
  </si>
  <si>
    <t>Packing cost</t>
  </si>
  <si>
    <t>Freight charge</t>
  </si>
  <si>
    <t>aaa</t>
  </si>
  <si>
    <t>Grand Total :</t>
  </si>
  <si>
    <t>Buyer Remarks</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</si>
  <si>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</si>
  <si>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</si>
  <si>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</si>
  <si>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</si>
  <si>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</si>
  <si>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</si>
  <si>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</si>
  <si>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</si>
  <si>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</si>
  <si>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</si>
  <si>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</si>
  <si>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</si>
  <si>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</si>
  <si>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</si>
  <si>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</si>
  <si>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</si>
  <si>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</si>
  <si>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</si>
  <si>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</si>
  <si>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</si>
  <si>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</si>
  <si>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</si>
  <si>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</si>
  <si>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</si>
  <si>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</si>
  <si>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</si>
  <si>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</si>
  <si>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</si>
  <si>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</si>
  <si>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</si>
  <si>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</si>
  <si>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</si>
  <si>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</si>
  <si>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</si>
  <si>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</si>
  <si>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</si>
  <si>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</si>
  <si>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</si>
  <si>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</si>
  <si>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</si>
  <si>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</si>
  <si>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</si>
  <si>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</si>
  <si>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</si>
  <si>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</si>
  <si>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</si>
  <si>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</si>
  <si>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</si>
  <si>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</si>
  <si>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</si>
  <si>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</si>
  <si>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</si>
  <si>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</si>
  <si>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</si>
  <si>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</si>
  <si>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</si>
  <si>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</si>
  <si>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</si>
  <si>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</si>
  <si>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</si>
  <si>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</si>
  <si>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</si>
  <si>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</si>
  <si>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</si>
  <si>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</si>
  <si>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</si>
  <si>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</si>
  <si>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</si>
  <si>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</si>
  <si>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</si>
  <si>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</si>
  <si>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</si>
  <si>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</si>
  <si>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</si>
  <si>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</si>
  <si>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</si>
  <si>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</si>
  <si>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</si>
  <si>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</si>
  <si>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</si>
  <si>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</si>
  <si>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</si>
  <si>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</si>
  <si>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</si>
  <si>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</si>
  <si>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</si>
  <si>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</si>
  <si>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</si>
  <si>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</si>
  <si>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</si>
  <si>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</si>
  <si>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</si>
  <si>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</si>
  <si>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</si>
  <si>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</si>
  <si>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</si>
  <si>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</si>
  <si>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</si>
  <si>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</si>
  <si>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</si>
  <si>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</si>
  <si>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</si>
  <si>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</si>
  <si>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</si>
  <si>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</si>
  <si>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</si>
  <si>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</si>
  <si>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</si>
  <si>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</si>
  <si>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</si>
  <si>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SLL</t>
  </si>
  <si>
    <t>STD</t>
  </si>
  <si>
    <t>THB</t>
  </si>
  <si>
    <t>TRY</t>
  </si>
  <si>
    <t>TWD</t>
  </si>
  <si>
    <t>UAH</t>
  </si>
  <si>
    <t>UAK</t>
  </si>
  <si>
    <t>UGS</t>
  </si>
  <si>
    <t>USD</t>
  </si>
  <si>
    <t>UYU</t>
  </si>
  <si>
    <t>VEF</t>
  </si>
  <si>
    <t>VND</t>
  </si>
  <si>
    <t>ZAR</t>
  </si>
  <si>
    <t>ZRZ</t>
  </si>
  <si>
    <t>ZWD</t>
  </si>
  <si>
    <t>T-SQ-191101036</t>
  </si>
  <si>
    <t>SKF</t>
  </si>
  <si>
    <t xml:space="preserve"> LOCAL BRAND</t>
  </si>
  <si>
    <t>OFFER : LOCAL BRAND</t>
  </si>
  <si>
    <t>OFFER EQUIVALENTOFFER EQUIVALENT</t>
  </si>
  <si>
    <t>OFFER : LOCAL BRANDOFFER RECTANGULAR STEEL WIRE</t>
  </si>
  <si>
    <t>OFFER DIAPHRAGM PUMP AIR-OPERATED P-2 PLASTIC BODY STROKE" BR</t>
  </si>
  <si>
    <t>OFFER 300MM</t>
  </si>
  <si>
    <t xml:space="preserve"> OIL SORBENT SHEET 400X450MM 100SHTOFFER 400X450MM 100SHT</t>
  </si>
  <si>
    <t xml:space="preserve"> OFFER ELECTROLUX 1600W BAGLESS VACUUM CLEANER 220VOFFER ''ELECTROLUX'' 1600W BAGLESS VACUUM CLEANER 220V</t>
  </si>
  <si>
    <t>ALCONA</t>
  </si>
  <si>
    <t>GP OR JAPANESE BRAND</t>
  </si>
  <si>
    <t>CHINA / KOREAOFFER ALCONA COMPACT ENERGY SAVING  BULB  E27 8W 220V WITH C.E STANDARD</t>
  </si>
  <si>
    <t>CHINA / KOREA</t>
  </si>
  <si>
    <t>OFFER 220V 8W</t>
  </si>
  <si>
    <t>OFFER FL-20S/EL 18W 26X588MM, CHINA / KOREAOFFER FL-20S/EL 18W 26 MM 588MM</t>
  </si>
  <si>
    <t>OFFER 8MTR/ROLL, LOCALOFFER 19MM X 8 MTR (BLACK) |  QTY : 40 | UOM : RLS</t>
  </si>
  <si>
    <t>OFFER 15X1600MM WHITE, 10MTR/ROLL, LOCAL BRANDOFFER 15X1600MM WHITE (MIN 10MTR/ROLL) |  QTY : 150 | UOM : MTR-1</t>
  </si>
  <si>
    <t>OFFER SEALXPERT HIGH TEMPERATURE ANTI-SEIZE COMPOUND |  QTY : 5 | UOM : CAN</t>
  </si>
  <si>
    <t>OFFER EQUIVALENT BRAND OFFER EQUIVALENT BRAND, 450ML  |  QTY : 10 | UOM : CAN</t>
  </si>
  <si>
    <t>OFFER : 25KGOFFER 90% 25KG/BAG |  QTY : 20 | UOM : BAG</t>
  </si>
  <si>
    <t>LOCAL BRAND |  QTY : 10 | UOM : PCS</t>
  </si>
  <si>
    <t>OFFER W-13MMX8MTR, LOCALOFFER W-13MM X8MTR</t>
  </si>
  <si>
    <t>LOCAL BRAND |  QTY : 3 | UOM : CAN</t>
  </si>
  <si>
    <t xml:space="preserve"> QTY : 6 | UOM : PCS</t>
  </si>
  <si>
    <t>OFFER : REPLACEMENT HEAD ONLY</t>
  </si>
  <si>
    <t>OFFER : S/STEEL TYPE</t>
  </si>
  <si>
    <t>"ELORA"</t>
  </si>
  <si>
    <t>OFFER 1-1/2" X 3.6MTR, CHINA OR KOREAOFFER 1-1/2" X 3.6MTR/LGH |  QTY : 1 | UOM : LGH-1</t>
  </si>
  <si>
    <t>CHINA OR KOREA</t>
  </si>
  <si>
    <t>CHINA OR KOREA |  QTY : 4 | UOM : SHT-1</t>
  </si>
  <si>
    <t>OFFER FIBERGLASS TAPE 30MTR |  QTY : 2 | UOM : RLS</t>
  </si>
  <si>
    <t>OFFER FIBERGLASS TAPE 20MTR |  QTY : 3 | UOM : RLS</t>
  </si>
  <si>
    <t xml:space="preserve">OFFER GLUE #262 50CC  EQUIVALENT BRAND </t>
  </si>
  <si>
    <t>OFFER GTMR, 2.0X1000X1000MMOFFER GTMR, 2.0X1000X1000MM</t>
  </si>
  <si>
    <t>OFFER GTMR, 3.0X1000X1000MMOFFER GTMR, 3.0X1000X1000MM</t>
  </si>
  <si>
    <t>OFFER MINI ROLLER YELLOW LINE BRUSH C/SET</t>
  </si>
  <si>
    <t>OFFER SPARE MINI ROLLER YELLOW LINE</t>
  </si>
  <si>
    <t>OFFER UOM IN METER (NO STANDARD LENGTH), LOCALCUT LGH, NON-RETURNABLE</t>
  </si>
  <si>
    <t>OFFER SPIRAL TYPE 200MMX10MTR</t>
  </si>
  <si>
    <t>OFFER W/SIDE LINE, 600MM X 1000MM</t>
  </si>
  <si>
    <t>OFFER SIZE 1.2-2.0MM  20KGS/BAG</t>
  </si>
  <si>
    <t xml:space="preserve"> "ALCONA OR ASAKI JAPAN </t>
  </si>
  <si>
    <t xml:space="preserve"> QTY : 2 | UOM : PCS</t>
  </si>
  <si>
    <t>AMMECH</t>
  </si>
  <si>
    <t>OFFER PRESSOL GREASE GUN LEVER TYPE STANDARD 500CC</t>
  </si>
  <si>
    <t>OFFER PISTON PUMP PNEUMATIC FOR DRUM STROKE" BRAND OFFER STROKE/ TERYAIR BRAND  |  QTY : 1 | UOM : PCS</t>
  </si>
  <si>
    <t xml:space="preserve"> ALCONA" BRAND  |  QTY : 1 | UOM : PCS</t>
  </si>
  <si>
    <t>OFFER P.U COVER HANDLE 150MM ALCONA" BRAND  |  QTY : 2 | UOM : PCS</t>
  </si>
  <si>
    <t>OFFER PLASTIC HANDLE</t>
  </si>
  <si>
    <t>OFFER FORCE BRANDOFFER FORCE BRAND</t>
  </si>
  <si>
    <t>OFFER HITACHI"  OFFER:  "BOSCH" 5'S/SET  |  QTY : 2 | UOM : PKT</t>
  </si>
  <si>
    <t xml:space="preserve"> ALCONA" OR ASAKI JAPAN </t>
  </si>
  <si>
    <t xml:space="preserve"> ALCONA OR ASAKI JAPAN "</t>
  </si>
  <si>
    <t>"ALCONA" BRAND |  QTY : 2 | UOM : PCS</t>
  </si>
  <si>
    <t xml:space="preserve"> DIN BRAND</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</si>
</sst>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207"/>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43774</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43774</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43785.50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10</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416</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v>6562622323</v>
      </c>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99990009554046</v>
      </c>
      <c r="C21" s="77">
        <v>2124583</v>
      </c>
      <c r="D21" s="78" t="s">
        <v>54</v>
      </c>
      <c r="E21" s="79"/>
      <c r="F21" s="77"/>
      <c r="G21" s="92">
        <v>0</v>
      </c>
      <c r="H21" s="77" t="s">
        <v>55</v>
      </c>
      <c r="I21" s="77"/>
      <c r="J21" s="79">
        <v>8.05</v>
      </c>
      <c r="K21" s="256">
        <v>10</v>
      </c>
      <c r="L21" s="257"/>
      <c r="M21" s="258">
        <v>8.05</v>
      </c>
      <c r="N21" s="259">
        <v>0</v>
      </c>
      <c r="O21" s="259">
        <v>0</v>
      </c>
      <c r="P21" s="260">
        <f>ROUND(((K21*M21)-(K21*M21*N21/100))+(((K21*M21)-(K21*M21*N21/100))*O21/100),2)</f>
      </c>
      <c r="Q21" s="261" t="s">
        <v>417</v>
      </c>
      <c r="R21" s="261"/>
      <c r="S21" s="81" t="s">
        <v>56</v>
      </c>
      <c r="T21" s="209"/>
      <c r="U21" s="210"/>
    </row>
    <row r="22" spans="1:21" ht="15">
      <c r="A22" s="76">
        <v>2</v>
      </c>
      <c r="B22" s="76">
        <v>99990009554048</v>
      </c>
      <c r="C22" s="77">
        <v>2124585</v>
      </c>
      <c r="D22" s="78" t="s">
        <v>57</v>
      </c>
      <c r="E22" s="79"/>
      <c r="F22" s="77"/>
      <c r="G22" s="92">
        <v>0</v>
      </c>
      <c r="H22" s="77" t="s">
        <v>55</v>
      </c>
      <c r="I22" s="77"/>
      <c r="J22" s="79">
        <v>14.16</v>
      </c>
      <c r="K22" s="256">
        <v>10</v>
      </c>
      <c r="L22" s="257"/>
      <c r="M22" s="258">
        <v>14.16</v>
      </c>
      <c r="N22" s="259">
        <v>0</v>
      </c>
      <c r="O22" s="259">
        <v>0</v>
      </c>
      <c r="P22" s="260">
        <f>ROUND(((K22*M22)-(K22*M22*N22/100))+(((K22*M22)-(K22*M22*N22/100))*O22/100),2)</f>
      </c>
      <c r="Q22" s="261" t="s">
        <v>417</v>
      </c>
      <c r="R22" s="261"/>
      <c r="S22" s="81" t="s">
        <v>56</v>
      </c>
      <c r="T22" s="209"/>
      <c r="U22" s="210"/>
    </row>
    <row r="23" spans="1:21" ht="15">
      <c r="A23" s="76">
        <v>3</v>
      </c>
      <c r="B23" s="76">
        <v>99990009554049</v>
      </c>
      <c r="C23" s="77">
        <v>2124586</v>
      </c>
      <c r="D23" s="78" t="s">
        <v>58</v>
      </c>
      <c r="E23" s="79"/>
      <c r="F23" s="77"/>
      <c r="G23" s="92">
        <v>0</v>
      </c>
      <c r="H23" s="77" t="s">
        <v>55</v>
      </c>
      <c r="I23" s="77"/>
      <c r="J23" s="79">
        <v>19.15</v>
      </c>
      <c r="K23" s="256">
        <v>10</v>
      </c>
      <c r="L23" s="257"/>
      <c r="M23" s="258">
        <v>19.15</v>
      </c>
      <c r="N23" s="259">
        <v>0</v>
      </c>
      <c r="O23" s="259">
        <v>0</v>
      </c>
      <c r="P23" s="260">
        <f>ROUND(((K23*M23)-(K23*M23*N23/100))+(((K23*M23)-(K23*M23*N23/100))*O23/100),2)</f>
      </c>
      <c r="Q23" s="261" t="s">
        <v>417</v>
      </c>
      <c r="R23" s="261"/>
      <c r="S23" s="81" t="s">
        <v>56</v>
      </c>
      <c r="T23" s="209"/>
      <c r="U23" s="210"/>
    </row>
    <row r="24" spans="1:21" ht="15">
      <c r="A24" s="76">
        <v>4</v>
      </c>
      <c r="B24" s="76">
        <v>99990009838684</v>
      </c>
      <c r="C24" s="77">
        <v>531136</v>
      </c>
      <c r="D24" s="78" t="s">
        <v>59</v>
      </c>
      <c r="E24" s="79"/>
      <c r="F24" s="77"/>
      <c r="G24" s="92">
        <v>0</v>
      </c>
      <c r="H24" s="80" t="s">
        <v>55</v>
      </c>
      <c r="I24" s="80"/>
      <c r="J24" s="79">
        <v>0</v>
      </c>
      <c r="K24" s="256">
        <v>8</v>
      </c>
      <c r="L24" s="257"/>
      <c r="M24" s="258">
        <v>60.7</v>
      </c>
      <c r="N24" s="259">
        <v>0</v>
      </c>
      <c r="O24" s="259">
        <v>0</v>
      </c>
      <c r="P24" s="260">
        <f>ROUND(((K24*M24)-(K24*M24*N24/100))+(((K24*M24)-(K24*M24*N24/100))*O24/100),2)</f>
      </c>
      <c r="Q24" s="261"/>
      <c r="R24" s="261"/>
      <c r="S24" s="81"/>
      <c r="T24" s="209"/>
      <c r="U24" s="210"/>
    </row>
    <row r="25" spans="1:21" ht="15">
      <c r="A25" s="76">
        <v>5</v>
      </c>
      <c r="B25" s="76">
        <v>99990008655524</v>
      </c>
      <c r="C25" s="77">
        <v>270611</v>
      </c>
      <c r="D25" s="78" t="s">
        <v>60</v>
      </c>
      <c r="E25" s="79"/>
      <c r="F25" s="77"/>
      <c r="G25" s="92">
        <v>0</v>
      </c>
      <c r="H25" s="77" t="s">
        <v>55</v>
      </c>
      <c r="I25" s="77"/>
      <c r="J25" s="79">
        <v>2.84</v>
      </c>
      <c r="K25" s="256">
        <v>3</v>
      </c>
      <c r="L25" s="257"/>
      <c r="M25" s="258">
        <v>2.84</v>
      </c>
      <c r="N25" s="259">
        <v>0</v>
      </c>
      <c r="O25" s="259">
        <v>0</v>
      </c>
      <c r="P25" s="260">
        <f>ROUND(((K25*M25)-(K25*M25*N25/100))+(((K25*M25)-(K25*M25*N25/100))*O25/100),2)</f>
      </c>
      <c r="Q25" s="261" t="s">
        <v>418</v>
      </c>
      <c r="R25" s="261"/>
      <c r="S25" s="81" t="s">
        <v>61</v>
      </c>
      <c r="T25" s="209"/>
      <c r="U25" s="210"/>
    </row>
    <row r="26" spans="1:21" ht="15">
      <c r="A26" s="76">
        <v>6</v>
      </c>
      <c r="B26" s="76">
        <v>99990009574315</v>
      </c>
      <c r="C26" s="77">
        <v>2137186</v>
      </c>
      <c r="D26" s="78" t="s">
        <v>62</v>
      </c>
      <c r="E26" s="79"/>
      <c r="F26" s="77"/>
      <c r="G26" s="92">
        <v>0</v>
      </c>
      <c r="H26" s="77" t="s">
        <v>55</v>
      </c>
      <c r="I26" s="77"/>
      <c r="J26" s="79">
        <v>0.87</v>
      </c>
      <c r="K26" s="256">
        <v>4</v>
      </c>
      <c r="L26" s="257"/>
      <c r="M26" s="258">
        <v>0.87</v>
      </c>
      <c r="N26" s="259">
        <v>0</v>
      </c>
      <c r="O26" s="259">
        <v>0</v>
      </c>
      <c r="P26" s="260">
        <f>ROUND(((K26*M26)-(K26*M26*N26/100))+(((K26*M26)-(K26*M26*N26/100))*O26/100),2)</f>
      </c>
      <c r="Q26" s="261" t="s">
        <v>419</v>
      </c>
      <c r="R26" s="261"/>
      <c r="S26" s="81" t="s">
        <v>63</v>
      </c>
      <c r="T26" s="209"/>
      <c r="U26" s="210"/>
    </row>
    <row r="27" spans="1:21" ht="15">
      <c r="A27" s="76">
        <v>7</v>
      </c>
      <c r="B27" s="76">
        <v>99990009630906</v>
      </c>
      <c r="C27" s="77">
        <v>510888</v>
      </c>
      <c r="D27" s="78" t="s">
        <v>64</v>
      </c>
      <c r="E27" s="79"/>
      <c r="F27" s="77"/>
      <c r="G27" s="92">
        <v>0</v>
      </c>
      <c r="H27" s="77" t="s">
        <v>55</v>
      </c>
      <c r="I27" s="77"/>
      <c r="J27" s="79">
        <v>5</v>
      </c>
      <c r="K27" s="256">
        <v>6</v>
      </c>
      <c r="L27" s="257"/>
      <c r="M27" s="258">
        <v>5</v>
      </c>
      <c r="N27" s="259">
        <v>0</v>
      </c>
      <c r="O27" s="259">
        <v>0</v>
      </c>
      <c r="P27" s="260">
        <f>ROUND(((K27*M27)-(K27*M27*N27/100))+(((K27*M27)-(K27*M27*N27/100))*O27/100),2)</f>
      </c>
      <c r="Q27" s="261" t="s">
        <v>420</v>
      </c>
      <c r="R27" s="261"/>
      <c r="S27" s="81" t="s">
        <v>65</v>
      </c>
      <c r="T27" s="209"/>
      <c r="U27" s="210"/>
    </row>
    <row r="28" spans="1:21" ht="15">
      <c r="A28" s="76">
        <v>8</v>
      </c>
      <c r="B28" s="76">
        <v>99990009696728</v>
      </c>
      <c r="C28" s="77">
        <v>510737</v>
      </c>
      <c r="D28" s="78" t="s">
        <v>66</v>
      </c>
      <c r="E28" s="79"/>
      <c r="F28" s="77"/>
      <c r="G28" s="92">
        <v>0</v>
      </c>
      <c r="H28" s="80" t="s">
        <v>55</v>
      </c>
      <c r="I28" s="80"/>
      <c r="J28" s="79">
        <v>0</v>
      </c>
      <c r="K28" s="256">
        <v>10</v>
      </c>
      <c r="L28" s="257"/>
      <c r="M28" s="258">
        <v>1.65</v>
      </c>
      <c r="N28" s="259">
        <v>0</v>
      </c>
      <c r="O28" s="259">
        <v>0</v>
      </c>
      <c r="P28" s="260">
        <f>ROUND(((K28*M28)-(K28*M28*N28/100))+(((K28*M28)-(K28*M28*N28/100))*O28/100),2)</f>
      </c>
      <c r="Q28" s="261"/>
      <c r="R28" s="261"/>
      <c r="S28" s="81"/>
      <c r="T28" s="209"/>
      <c r="U28" s="210"/>
    </row>
    <row r="29" spans="1:21" ht="15">
      <c r="A29" s="76">
        <v>9</v>
      </c>
      <c r="B29" s="76">
        <v>99990009574304</v>
      </c>
      <c r="C29" s="77">
        <v>2137175</v>
      </c>
      <c r="D29" s="78" t="s">
        <v>67</v>
      </c>
      <c r="E29" s="79"/>
      <c r="F29" s="77"/>
      <c r="G29" s="92">
        <v>0</v>
      </c>
      <c r="H29" s="77" t="s">
        <v>55</v>
      </c>
      <c r="I29" s="77"/>
      <c r="J29" s="79">
        <v>1.13</v>
      </c>
      <c r="K29" s="256">
        <v>6</v>
      </c>
      <c r="L29" s="257"/>
      <c r="M29" s="258">
        <v>1.13</v>
      </c>
      <c r="N29" s="259">
        <v>0</v>
      </c>
      <c r="O29" s="259">
        <v>0</v>
      </c>
      <c r="P29" s="260">
        <f>ROUND(((K29*M29)-(K29*M29*N29/100))+(((K29*M29)-(K29*M29*N29/100))*O29/100),2)</f>
      </c>
      <c r="Q29" s="261" t="s">
        <v>421</v>
      </c>
      <c r="R29" s="261"/>
      <c r="S29" s="81" t="s">
        <v>63</v>
      </c>
      <c r="T29" s="209"/>
      <c r="U29" s="210"/>
    </row>
    <row r="30" spans="1:21" ht="15">
      <c r="A30" s="76">
        <v>10</v>
      </c>
      <c r="B30" s="76">
        <v>99990008655536</v>
      </c>
      <c r="C30" s="77">
        <v>510785</v>
      </c>
      <c r="D30" s="78" t="s">
        <v>68</v>
      </c>
      <c r="E30" s="79"/>
      <c r="F30" s="77"/>
      <c r="G30" s="92">
        <v>0</v>
      </c>
      <c r="H30" s="77" t="s">
        <v>55</v>
      </c>
      <c r="I30" s="77"/>
      <c r="J30" s="79">
        <v>1.70</v>
      </c>
      <c r="K30" s="256">
        <v>10</v>
      </c>
      <c r="L30" s="257"/>
      <c r="M30" s="258">
        <v>1.7</v>
      </c>
      <c r="N30" s="259">
        <v>0</v>
      </c>
      <c r="O30" s="259">
        <v>0</v>
      </c>
      <c r="P30" s="260">
        <f>ROUND(((K30*M30)-(K30*M30*N30/100))+(((K30*M30)-(K30*M30*N30/100))*O30/100),2)</f>
      </c>
      <c r="Q30" s="261"/>
      <c r="R30" s="261"/>
      <c r="S30" s="81" t="s">
        <v>69</v>
      </c>
      <c r="T30" s="209"/>
      <c r="U30" s="210"/>
    </row>
    <row r="31" spans="1:21" ht="15">
      <c r="A31" s="76">
        <v>11</v>
      </c>
      <c r="B31" s="76">
        <v>99990008656625</v>
      </c>
      <c r="C31" s="77">
        <v>591612</v>
      </c>
      <c r="D31" s="78" t="s">
        <v>70</v>
      </c>
      <c r="E31" s="79"/>
      <c r="F31" s="77"/>
      <c r="G31" s="92">
        <v>0</v>
      </c>
      <c r="H31" s="77" t="s">
        <v>71</v>
      </c>
      <c r="I31" s="77"/>
      <c r="J31" s="79">
        <v>585.89</v>
      </c>
      <c r="K31" s="256">
        <v>1</v>
      </c>
      <c r="L31" s="257"/>
      <c r="M31" s="258">
        <v>585.89</v>
      </c>
      <c r="N31" s="259">
        <v>0</v>
      </c>
      <c r="O31" s="259">
        <v>0</v>
      </c>
      <c r="P31" s="260">
        <f>ROUND(((K31*M31)-(K31*M31*N31/100))+(((K31*M31)-(K31*M31*N31/100))*O31/100),2)</f>
      </c>
      <c r="Q31" s="261" t="s">
        <v>422</v>
      </c>
      <c r="R31" s="261"/>
      <c r="S31" s="81" t="s">
        <v>72</v>
      </c>
      <c r="T31" s="209"/>
      <c r="U31" s="210"/>
    </row>
    <row r="32" spans="1:21" ht="15">
      <c r="A32" s="76">
        <v>12</v>
      </c>
      <c r="B32" s="76">
        <v>99990008656619</v>
      </c>
      <c r="C32" s="77">
        <v>591407</v>
      </c>
      <c r="D32" s="78" t="s">
        <v>73</v>
      </c>
      <c r="E32" s="79"/>
      <c r="F32" s="77"/>
      <c r="G32" s="92">
        <v>0</v>
      </c>
      <c r="H32" s="77" t="s">
        <v>71</v>
      </c>
      <c r="I32" s="77"/>
      <c r="J32" s="79">
        <v>84.51</v>
      </c>
      <c r="K32" s="256">
        <v>1</v>
      </c>
      <c r="L32" s="257"/>
      <c r="M32" s="258">
        <v>84.51</v>
      </c>
      <c r="N32" s="259">
        <v>0</v>
      </c>
      <c r="O32" s="259">
        <v>0</v>
      </c>
      <c r="P32" s="260">
        <f>ROUND(((K32*M32)-(K32*M32*N32/100))+(((K32*M32)-(K32*M32*N32/100))*O32/100),2)</f>
      </c>
      <c r="Q32" s="261" t="s">
        <v>423</v>
      </c>
      <c r="R32" s="261"/>
      <c r="S32" s="81" t="s">
        <v>74</v>
      </c>
      <c r="T32" s="209"/>
      <c r="U32" s="210"/>
    </row>
    <row r="33" spans="1:21" ht="15">
      <c r="A33" s="76">
        <v>13</v>
      </c>
      <c r="B33" s="76">
        <v>99990009456488</v>
      </c>
      <c r="C33" s="77">
        <v>2112555</v>
      </c>
      <c r="D33" s="78" t="s">
        <v>75</v>
      </c>
      <c r="E33" s="79"/>
      <c r="F33" s="77"/>
      <c r="G33" s="92">
        <v>0</v>
      </c>
      <c r="H33" s="77" t="s">
        <v>71</v>
      </c>
      <c r="I33" s="77"/>
      <c r="J33" s="79">
        <v>0.19</v>
      </c>
      <c r="K33" s="256">
        <v>100</v>
      </c>
      <c r="L33" s="257"/>
      <c r="M33" s="258">
        <v>0.19</v>
      </c>
      <c r="N33" s="259">
        <v>0</v>
      </c>
      <c r="O33" s="259">
        <v>0</v>
      </c>
      <c r="P33" s="260">
        <f>ROUND(((K33*M33)-(K33*M33*N33/100))+(((K33*M33)-(K33*M33*N33/100))*O33/100),2)</f>
      </c>
      <c r="Q33" s="261" t="s">
        <v>237</v>
      </c>
      <c r="R33" s="261"/>
      <c r="S33" s="81" t="s">
        <v>76</v>
      </c>
      <c r="T33" s="209"/>
      <c r="U33" s="210"/>
    </row>
    <row r="34" spans="1:21" ht="15">
      <c r="A34" s="76">
        <v>14</v>
      </c>
      <c r="B34" s="76">
        <v>99990008655495</v>
      </c>
      <c r="C34" s="77">
        <v>232518</v>
      </c>
      <c r="D34" s="78" t="s">
        <v>77</v>
      </c>
      <c r="E34" s="79"/>
      <c r="F34" s="77"/>
      <c r="G34" s="92">
        <v>0</v>
      </c>
      <c r="H34" s="77" t="s">
        <v>78</v>
      </c>
      <c r="I34" s="77"/>
      <c r="J34" s="79">
        <v>22.58</v>
      </c>
      <c r="K34" s="256">
        <v>2</v>
      </c>
      <c r="L34" s="257"/>
      <c r="M34" s="258">
        <v>22.58</v>
      </c>
      <c r="N34" s="259">
        <v>0</v>
      </c>
      <c r="O34" s="259">
        <v>0</v>
      </c>
      <c r="P34" s="260">
        <f>ROUND(((K34*M34)-(K34*M34*N34/100))+(((K34*M34)-(K34*M34*N34/100))*O34/100),2)</f>
      </c>
      <c r="Q34" s="261" t="s">
        <v>424</v>
      </c>
      <c r="R34" s="261"/>
      <c r="S34" s="81" t="s">
        <v>79</v>
      </c>
      <c r="T34" s="209"/>
      <c r="U34" s="210"/>
    </row>
    <row r="35" spans="1:21" ht="15">
      <c r="A35" s="76">
        <v>15</v>
      </c>
      <c r="B35" s="76">
        <v>99990008655469</v>
      </c>
      <c r="C35" s="77">
        <v>174672</v>
      </c>
      <c r="D35" s="78" t="s">
        <v>80</v>
      </c>
      <c r="E35" s="79"/>
      <c r="F35" s="77"/>
      <c r="G35" s="92">
        <v>0</v>
      </c>
      <c r="H35" s="77" t="s">
        <v>71</v>
      </c>
      <c r="I35" s="77"/>
      <c r="J35" s="79">
        <v>112.68</v>
      </c>
      <c r="K35" s="256">
        <v>1</v>
      </c>
      <c r="L35" s="257"/>
      <c r="M35" s="258">
        <v>112.68</v>
      </c>
      <c r="N35" s="259">
        <v>0</v>
      </c>
      <c r="O35" s="259">
        <v>0</v>
      </c>
      <c r="P35" s="260">
        <f>ROUND(((K35*M35)-(K35*M35*N35/100))+(((K35*M35)-(K35*M35*N35/100))*O35/100),2)</f>
      </c>
      <c r="Q35" s="261" t="s">
        <v>425</v>
      </c>
      <c r="R35" s="261"/>
      <c r="S35" s="81" t="s">
        <v>81</v>
      </c>
      <c r="T35" s="209"/>
      <c r="U35" s="210"/>
    </row>
    <row r="36" spans="1:21" ht="15">
      <c r="A36" s="76">
        <v>16</v>
      </c>
      <c r="B36" s="76">
        <v>99990008655454</v>
      </c>
      <c r="C36" s="77">
        <v>174271</v>
      </c>
      <c r="D36" s="78" t="s">
        <v>82</v>
      </c>
      <c r="E36" s="79"/>
      <c r="F36" s="77"/>
      <c r="G36" s="92">
        <v>0</v>
      </c>
      <c r="H36" s="77" t="s">
        <v>55</v>
      </c>
      <c r="I36" s="77"/>
      <c r="J36" s="79">
        <v>1.38</v>
      </c>
      <c r="K36" s="256">
        <v>6</v>
      </c>
      <c r="L36" s="257"/>
      <c r="M36" s="258">
        <v>1.38</v>
      </c>
      <c r="N36" s="259">
        <v>0</v>
      </c>
      <c r="O36" s="259">
        <v>0</v>
      </c>
      <c r="P36" s="260">
        <f>ROUND(((K36*M36)-(K36*M36*N36/100))+(((K36*M36)-(K36*M36*N36/100))*O36/100),2)</f>
      </c>
      <c r="Q36" s="261" t="s">
        <v>426</v>
      </c>
      <c r="R36" s="261"/>
      <c r="S36" s="81" t="s">
        <v>83</v>
      </c>
      <c r="T36" s="209"/>
      <c r="U36" s="210"/>
    </row>
    <row r="37" spans="1:21" ht="15">
      <c r="A37" s="76">
        <v>17</v>
      </c>
      <c r="B37" s="76">
        <v>99990009843184</v>
      </c>
      <c r="C37" s="77">
        <v>792423</v>
      </c>
      <c r="D37" s="78" t="s">
        <v>84</v>
      </c>
      <c r="E37" s="79"/>
      <c r="F37" s="77"/>
      <c r="G37" s="92">
        <v>0</v>
      </c>
      <c r="H37" s="80" t="s">
        <v>55</v>
      </c>
      <c r="I37" s="80"/>
      <c r="J37" s="79">
        <v>0</v>
      </c>
      <c r="K37" s="256">
        <v>100</v>
      </c>
      <c r="L37" s="257"/>
      <c r="M37" s="258">
        <v>0.39</v>
      </c>
      <c r="N37" s="259">
        <v>0</v>
      </c>
      <c r="O37" s="259">
        <v>0</v>
      </c>
      <c r="P37" s="260">
        <f>ROUND(((K37*M37)-(K37*M37*N37/100))+(((K37*M37)-(K37*M37*N37/100))*O37/100),2)</f>
      </c>
      <c r="Q37" s="261"/>
      <c r="R37" s="261"/>
      <c r="S37" s="81"/>
      <c r="T37" s="209"/>
      <c r="U37" s="210"/>
    </row>
    <row r="38" spans="1:21" ht="15">
      <c r="A38" s="76">
        <v>18</v>
      </c>
      <c r="B38" s="76">
        <v>99990009572165</v>
      </c>
      <c r="C38" s="77">
        <v>2135971</v>
      </c>
      <c r="D38" s="78" t="s">
        <v>85</v>
      </c>
      <c r="E38" s="79"/>
      <c r="F38" s="77"/>
      <c r="G38" s="92">
        <v>0</v>
      </c>
      <c r="H38" s="77" t="s">
        <v>55</v>
      </c>
      <c r="I38" s="77"/>
      <c r="J38" s="79">
        <v>1.36</v>
      </c>
      <c r="K38" s="256">
        <v>20</v>
      </c>
      <c r="L38" s="257"/>
      <c r="M38" s="258">
        <v>1.36</v>
      </c>
      <c r="N38" s="259">
        <v>0</v>
      </c>
      <c r="O38" s="259">
        <v>0</v>
      </c>
      <c r="P38" s="260">
        <f>ROUND(((K38*M38)-(K38*M38*N38/100))+(((K38*M38)-(K38*M38*N38/100))*O38/100),2)</f>
      </c>
      <c r="Q38" s="261" t="s">
        <v>427</v>
      </c>
      <c r="R38" s="261"/>
      <c r="S38" s="81" t="s">
        <v>86</v>
      </c>
      <c r="T38" s="209"/>
      <c r="U38" s="210"/>
    </row>
    <row r="39" spans="1:21" ht="15">
      <c r="A39" s="76">
        <v>19</v>
      </c>
      <c r="B39" s="76">
        <v>99990009813415</v>
      </c>
      <c r="C39" s="77">
        <v>794701</v>
      </c>
      <c r="D39" s="78" t="s">
        <v>87</v>
      </c>
      <c r="E39" s="79"/>
      <c r="F39" s="77"/>
      <c r="G39" s="92">
        <v>0</v>
      </c>
      <c r="H39" s="80" t="s">
        <v>55</v>
      </c>
      <c r="I39" s="80"/>
      <c r="J39" s="79">
        <v>0</v>
      </c>
      <c r="K39" s="256">
        <v>50</v>
      </c>
      <c r="L39" s="257"/>
      <c r="M39" s="258">
        <v>0.1</v>
      </c>
      <c r="N39" s="259">
        <v>0</v>
      </c>
      <c r="O39" s="259">
        <v>0</v>
      </c>
      <c r="P39" s="260">
        <f>ROUND(((K39*M39)-(K39*M39*N39/100))+(((K39*M39)-(K39*M39*N39/100))*O39/100),2)</f>
      </c>
      <c r="Q39" s="261"/>
      <c r="R39" s="261"/>
      <c r="S39" s="81"/>
      <c r="T39" s="209"/>
      <c r="U39" s="210"/>
    </row>
    <row r="40" spans="1:21" ht="15">
      <c r="A40" s="76">
        <v>20</v>
      </c>
      <c r="B40" s="76">
        <v>99990011442928</v>
      </c>
      <c r="C40" s="77">
        <v>794704</v>
      </c>
      <c r="D40" s="78" t="s">
        <v>88</v>
      </c>
      <c r="E40" s="79"/>
      <c r="F40" s="77"/>
      <c r="G40" s="92">
        <v>0</v>
      </c>
      <c r="H40" s="80" t="s">
        <v>55</v>
      </c>
      <c r="I40" s="80"/>
      <c r="J40" s="79">
        <v>0</v>
      </c>
      <c r="K40" s="256">
        <v>50</v>
      </c>
      <c r="L40" s="257"/>
      <c r="M40" s="258">
        <v>0.07</v>
      </c>
      <c r="N40" s="259">
        <v>0</v>
      </c>
      <c r="O40" s="259">
        <v>0</v>
      </c>
      <c r="P40" s="260">
        <f>ROUND(((K40*M40)-(K40*M40*N40/100))+(((K40*M40)-(K40*M40*N40/100))*O40/100),2)</f>
      </c>
      <c r="Q40" s="261"/>
      <c r="R40" s="261"/>
      <c r="S40" s="81"/>
      <c r="T40" s="209"/>
      <c r="U40" s="210"/>
    </row>
    <row r="41" spans="1:21" ht="15">
      <c r="A41" s="76">
        <v>21</v>
      </c>
      <c r="B41" s="76">
        <v>99990009546042</v>
      </c>
      <c r="C41" s="77">
        <v>2120813</v>
      </c>
      <c r="D41" s="78" t="s">
        <v>89</v>
      </c>
      <c r="E41" s="79"/>
      <c r="F41" s="77"/>
      <c r="G41" s="92">
        <v>0</v>
      </c>
      <c r="H41" s="77" t="s">
        <v>55</v>
      </c>
      <c r="I41" s="77"/>
      <c r="J41" s="79">
        <v>2.67</v>
      </c>
      <c r="K41" s="256">
        <v>100</v>
      </c>
      <c r="L41" s="257"/>
      <c r="M41" s="258">
        <v>2.67</v>
      </c>
      <c r="N41" s="259">
        <v>0</v>
      </c>
      <c r="O41" s="259">
        <v>0</v>
      </c>
      <c r="P41" s="260">
        <f>ROUND(((K41*M41)-(K41*M41*N41/100))+(((K41*M41)-(K41*M41*N41/100))*O41/100),2)</f>
      </c>
      <c r="Q41" s="261" t="s">
        <v>428</v>
      </c>
      <c r="R41" s="261"/>
      <c r="S41" s="81" t="s">
        <v>90</v>
      </c>
      <c r="T41" s="209"/>
      <c r="U41" s="210"/>
    </row>
    <row r="42" spans="1:21" ht="15">
      <c r="A42" s="76">
        <v>22</v>
      </c>
      <c r="B42" s="76">
        <v>99990008656805</v>
      </c>
      <c r="C42" s="77">
        <v>793610</v>
      </c>
      <c r="D42" s="78" t="s">
        <v>91</v>
      </c>
      <c r="E42" s="79"/>
      <c r="F42" s="77"/>
      <c r="G42" s="92">
        <v>0</v>
      </c>
      <c r="H42" s="77" t="s">
        <v>55</v>
      </c>
      <c r="I42" s="77"/>
      <c r="J42" s="79">
        <v>0.13</v>
      </c>
      <c r="K42" s="256">
        <v>50</v>
      </c>
      <c r="L42" s="257"/>
      <c r="M42" s="258">
        <v>0.13</v>
      </c>
      <c r="N42" s="259">
        <v>0</v>
      </c>
      <c r="O42" s="259">
        <v>0</v>
      </c>
      <c r="P42" s="260">
        <f>ROUND(((K42*M42)-(K42*M42*N42/100))+(((K42*M42)-(K42*M42*N42/100))*O42/100),2)</f>
      </c>
      <c r="Q42" s="261" t="s">
        <v>429</v>
      </c>
      <c r="R42" s="261"/>
      <c r="S42" s="81" t="s">
        <v>90</v>
      </c>
      <c r="T42" s="209"/>
      <c r="U42" s="210"/>
    </row>
    <row r="43" spans="1:21" ht="15">
      <c r="A43" s="76">
        <v>23</v>
      </c>
      <c r="B43" s="76">
        <v>99990010474407</v>
      </c>
      <c r="C43" s="77">
        <v>793612</v>
      </c>
      <c r="D43" s="78" t="s">
        <v>92</v>
      </c>
      <c r="E43" s="79"/>
      <c r="F43" s="77"/>
      <c r="G43" s="92">
        <v>0</v>
      </c>
      <c r="H43" s="80" t="s">
        <v>55</v>
      </c>
      <c r="I43" s="80"/>
      <c r="J43" s="79">
        <v>0</v>
      </c>
      <c r="K43" s="256">
        <v>50</v>
      </c>
      <c r="L43" s="257"/>
      <c r="M43" s="258">
        <v>0.15</v>
      </c>
      <c r="N43" s="259">
        <v>0</v>
      </c>
      <c r="O43" s="259">
        <v>0</v>
      </c>
      <c r="P43" s="260">
        <f>ROUND(((K43*M43)-(K43*M43*N43/100))+(((K43*M43)-(K43*M43*N43/100))*O43/100),2)</f>
      </c>
      <c r="Q43" s="261"/>
      <c r="R43" s="261"/>
      <c r="S43" s="81"/>
      <c r="T43" s="209"/>
      <c r="U43" s="210"/>
    </row>
    <row r="44" spans="1:21" ht="15">
      <c r="A44" s="76">
        <v>24</v>
      </c>
      <c r="B44" s="76">
        <v>99990010092105</v>
      </c>
      <c r="C44" s="77">
        <v>793650</v>
      </c>
      <c r="D44" s="78" t="s">
        <v>93</v>
      </c>
      <c r="E44" s="79"/>
      <c r="F44" s="77"/>
      <c r="G44" s="92">
        <v>0</v>
      </c>
      <c r="H44" s="80" t="s">
        <v>55</v>
      </c>
      <c r="I44" s="80"/>
      <c r="J44" s="79">
        <v>0</v>
      </c>
      <c r="K44" s="256">
        <v>50</v>
      </c>
      <c r="L44" s="257"/>
      <c r="M44" s="258">
        <v>0.15</v>
      </c>
      <c r="N44" s="259">
        <v>0</v>
      </c>
      <c r="O44" s="259">
        <v>0</v>
      </c>
      <c r="P44" s="260">
        <f>ROUND(((K44*M44)-(K44*M44*N44/100))+(((K44*M44)-(K44*M44*N44/100))*O44/100),2)</f>
      </c>
      <c r="Q44" s="261"/>
      <c r="R44" s="261"/>
      <c r="S44" s="81"/>
      <c r="T44" s="209"/>
      <c r="U44" s="210"/>
    </row>
    <row r="45" spans="1:21" ht="15">
      <c r="A45" s="76">
        <v>25</v>
      </c>
      <c r="B45" s="76">
        <v>99990010092106</v>
      </c>
      <c r="C45" s="77">
        <v>793652</v>
      </c>
      <c r="D45" s="78" t="s">
        <v>94</v>
      </c>
      <c r="E45" s="79"/>
      <c r="F45" s="77"/>
      <c r="G45" s="92">
        <v>0</v>
      </c>
      <c r="H45" s="80" t="s">
        <v>55</v>
      </c>
      <c r="I45" s="80"/>
      <c r="J45" s="79">
        <v>0</v>
      </c>
      <c r="K45" s="256">
        <v>50</v>
      </c>
      <c r="L45" s="257"/>
      <c r="M45" s="258">
        <v>0.15</v>
      </c>
      <c r="N45" s="259">
        <v>0</v>
      </c>
      <c r="O45" s="259">
        <v>0</v>
      </c>
      <c r="P45" s="260">
        <f>ROUND(((K45*M45)-(K45*M45*N45/100))+(((K45*M45)-(K45*M45*N45/100))*O45/100),2)</f>
      </c>
      <c r="Q45" s="261"/>
      <c r="R45" s="261"/>
      <c r="S45" s="81"/>
      <c r="T45" s="209"/>
      <c r="U45" s="210"/>
    </row>
    <row r="46" spans="1:21" ht="15">
      <c r="A46" s="76">
        <v>26</v>
      </c>
      <c r="B46" s="76">
        <v>99990009869823</v>
      </c>
      <c r="C46" s="77" t="s">
        <v>95</v>
      </c>
      <c r="D46" s="78" t="s">
        <v>96</v>
      </c>
      <c r="E46" s="79"/>
      <c r="F46" s="77"/>
      <c r="G46" s="92">
        <v>0</v>
      </c>
      <c r="H46" s="80" t="s">
        <v>55</v>
      </c>
      <c r="I46" s="80"/>
      <c r="J46" s="79">
        <v>0</v>
      </c>
      <c r="K46" s="256">
        <v>5</v>
      </c>
      <c r="L46" s="257"/>
      <c r="M46" s="258">
        <v>17</v>
      </c>
      <c r="N46" s="259">
        <v>0</v>
      </c>
      <c r="O46" s="259">
        <v>0</v>
      </c>
      <c r="P46" s="260">
        <f>ROUND(((K46*M46)-(K46*M46*N46/100))+(((K46*M46)-(K46*M46*N46/100))*O46/100),2)</f>
      </c>
      <c r="Q46" s="261" t="s">
        <v>430</v>
      </c>
      <c r="R46" s="261"/>
      <c r="S46" s="81"/>
      <c r="T46" s="209"/>
      <c r="U46" s="210"/>
    </row>
    <row r="47" spans="1:21" ht="15">
      <c r="A47" s="76">
        <v>27</v>
      </c>
      <c r="B47" s="76">
        <v>99990008656722</v>
      </c>
      <c r="C47" s="77">
        <v>791432</v>
      </c>
      <c r="D47" s="78" t="s">
        <v>97</v>
      </c>
      <c r="E47" s="79"/>
      <c r="F47" s="77"/>
      <c r="G47" s="92">
        <v>0</v>
      </c>
      <c r="H47" s="77" t="s">
        <v>55</v>
      </c>
      <c r="I47" s="77"/>
      <c r="J47" s="79">
        <v>1.06</v>
      </c>
      <c r="K47" s="256">
        <v>150</v>
      </c>
      <c r="L47" s="257"/>
      <c r="M47" s="258">
        <v>1.06</v>
      </c>
      <c r="N47" s="259">
        <v>0</v>
      </c>
      <c r="O47" s="259">
        <v>0</v>
      </c>
      <c r="P47" s="260">
        <f>ROUND(((K47*M47)-(K47*M47*N47/100))+(((K47*M47)-(K47*M47*N47/100))*O47/100),2)</f>
      </c>
      <c r="Q47" s="261" t="s">
        <v>431</v>
      </c>
      <c r="R47" s="261"/>
      <c r="S47" s="81" t="s">
        <v>98</v>
      </c>
      <c r="T47" s="209"/>
      <c r="U47" s="210"/>
    </row>
    <row r="48" spans="1:21" ht="15">
      <c r="A48" s="76">
        <v>28</v>
      </c>
      <c r="B48" s="76">
        <v>99990008656801</v>
      </c>
      <c r="C48" s="77">
        <v>793509</v>
      </c>
      <c r="D48" s="78" t="s">
        <v>99</v>
      </c>
      <c r="E48" s="79"/>
      <c r="F48" s="77"/>
      <c r="G48" s="92">
        <v>0</v>
      </c>
      <c r="H48" s="77" t="s">
        <v>55</v>
      </c>
      <c r="I48" s="77"/>
      <c r="J48" s="79">
        <v>2.49</v>
      </c>
      <c r="K48" s="256">
        <v>20</v>
      </c>
      <c r="L48" s="257"/>
      <c r="M48" s="258">
        <v>2.49</v>
      </c>
      <c r="N48" s="259">
        <v>0</v>
      </c>
      <c r="O48" s="259">
        <v>0</v>
      </c>
      <c r="P48" s="260">
        <f>ROUND(((K48*M48)-(K48*M48*N48/100))+(((K48*M48)-(K48*M48*N48/100))*O48/100),2)</f>
      </c>
      <c r="Q48" s="261" t="s">
        <v>429</v>
      </c>
      <c r="R48" s="261"/>
      <c r="S48" s="81" t="s">
        <v>90</v>
      </c>
      <c r="T48" s="209"/>
      <c r="U48" s="210"/>
    </row>
    <row r="49" spans="1:21" ht="15">
      <c r="A49" s="76">
        <v>29</v>
      </c>
      <c r="B49" s="76">
        <v>99990009568287</v>
      </c>
      <c r="C49" s="77">
        <v>2133056</v>
      </c>
      <c r="D49" s="78" t="s">
        <v>100</v>
      </c>
      <c r="E49" s="79"/>
      <c r="F49" s="77"/>
      <c r="G49" s="92">
        <v>0</v>
      </c>
      <c r="H49" s="77" t="s">
        <v>55</v>
      </c>
      <c r="I49" s="77"/>
      <c r="J49" s="79">
        <v>1.47</v>
      </c>
      <c r="K49" s="256">
        <v>20</v>
      </c>
      <c r="L49" s="257"/>
      <c r="M49" s="258">
        <v>1.47</v>
      </c>
      <c r="N49" s="259">
        <v>0</v>
      </c>
      <c r="O49" s="259">
        <v>0</v>
      </c>
      <c r="P49" s="260">
        <f>ROUND(((K49*M49)-(K49*M49*N49/100))+(((K49*M49)-(K49*M49*N49/100))*O49/100),2)</f>
      </c>
      <c r="Q49" s="261" t="s">
        <v>429</v>
      </c>
      <c r="R49" s="261"/>
      <c r="S49" s="81" t="s">
        <v>90</v>
      </c>
      <c r="T49" s="209"/>
      <c r="U49" s="210"/>
    </row>
    <row r="50" spans="1:21" ht="15">
      <c r="A50" s="76">
        <v>30</v>
      </c>
      <c r="B50" s="76">
        <v>99990008209634</v>
      </c>
      <c r="C50" s="77">
        <v>791215</v>
      </c>
      <c r="D50" s="78" t="s">
        <v>101</v>
      </c>
      <c r="E50" s="79"/>
      <c r="F50" s="77"/>
      <c r="G50" s="92">
        <v>0</v>
      </c>
      <c r="H50" s="80" t="s">
        <v>55</v>
      </c>
      <c r="I50" s="80"/>
      <c r="J50" s="79">
        <v>0</v>
      </c>
      <c r="K50" s="256">
        <v>15</v>
      </c>
      <c r="L50" s="257"/>
      <c r="M50" s="258">
        <v>73.64</v>
      </c>
      <c r="N50" s="259">
        <v>0</v>
      </c>
      <c r="O50" s="259">
        <v>0</v>
      </c>
      <c r="P50" s="260">
        <f>ROUND(((K50*M50)-(K50*M50*N50/100))+(((K50*M50)-(K50*M50*N50/100))*O50/100),2)</f>
      </c>
      <c r="Q50" s="261"/>
      <c r="R50" s="261"/>
      <c r="S50" s="81"/>
      <c r="T50" s="209"/>
      <c r="U50" s="210"/>
    </row>
    <row r="51" spans="1:21" ht="15">
      <c r="A51" s="76">
        <v>31</v>
      </c>
      <c r="B51" s="76">
        <v>99990008656795</v>
      </c>
      <c r="C51" s="77">
        <v>792962</v>
      </c>
      <c r="D51" s="78" t="s">
        <v>102</v>
      </c>
      <c r="E51" s="79"/>
      <c r="F51" s="77"/>
      <c r="G51" s="92">
        <v>0</v>
      </c>
      <c r="H51" s="77" t="s">
        <v>55</v>
      </c>
      <c r="I51" s="77"/>
      <c r="J51" s="79">
        <v>0.32</v>
      </c>
      <c r="K51" s="256">
        <v>30</v>
      </c>
      <c r="L51" s="257"/>
      <c r="M51" s="258">
        <v>0.32</v>
      </c>
      <c r="N51" s="259">
        <v>0</v>
      </c>
      <c r="O51" s="259">
        <v>0</v>
      </c>
      <c r="P51" s="260">
        <f>ROUND(((K51*M51)-(K51*M51*N51/100))+(((K51*M51)-(K51*M51*N51/100))*O51/100),2)</f>
      </c>
      <c r="Q51" s="261" t="s">
        <v>429</v>
      </c>
      <c r="R51" s="261"/>
      <c r="S51" s="81" t="s">
        <v>90</v>
      </c>
      <c r="T51" s="209"/>
      <c r="U51" s="210"/>
    </row>
    <row r="52" spans="1:21" ht="15">
      <c r="A52" s="76">
        <v>32</v>
      </c>
      <c r="B52" s="76">
        <v>99990008656783</v>
      </c>
      <c r="C52" s="77">
        <v>792881</v>
      </c>
      <c r="D52" s="78" t="s">
        <v>103</v>
      </c>
      <c r="E52" s="79"/>
      <c r="F52" s="77"/>
      <c r="G52" s="92">
        <v>0</v>
      </c>
      <c r="H52" s="77" t="s">
        <v>55</v>
      </c>
      <c r="I52" s="77"/>
      <c r="J52" s="79">
        <v>6.52</v>
      </c>
      <c r="K52" s="256">
        <v>15</v>
      </c>
      <c r="L52" s="257"/>
      <c r="M52" s="258">
        <v>6.52</v>
      </c>
      <c r="N52" s="259">
        <v>0</v>
      </c>
      <c r="O52" s="259">
        <v>0</v>
      </c>
      <c r="P52" s="260">
        <f>ROUND(((K52*M52)-(K52*M52*N52/100))+(((K52*M52)-(K52*M52*N52/100))*O52/100),2)</f>
      </c>
      <c r="Q52" s="261" t="s">
        <v>429</v>
      </c>
      <c r="R52" s="261"/>
      <c r="S52" s="81" t="s">
        <v>90</v>
      </c>
      <c r="T52" s="209"/>
      <c r="U52" s="210"/>
    </row>
    <row r="53" spans="1:21" ht="15">
      <c r="A53" s="76">
        <v>33</v>
      </c>
      <c r="B53" s="76">
        <v>99990008656885</v>
      </c>
      <c r="C53" s="77">
        <v>795174</v>
      </c>
      <c r="D53" s="78" t="s">
        <v>104</v>
      </c>
      <c r="E53" s="79"/>
      <c r="F53" s="77"/>
      <c r="G53" s="92">
        <v>0</v>
      </c>
      <c r="H53" s="77" t="s">
        <v>105</v>
      </c>
      <c r="I53" s="77"/>
      <c r="J53" s="79">
        <v>1.47</v>
      </c>
      <c r="K53" s="256">
        <v>1</v>
      </c>
      <c r="L53" s="257"/>
      <c r="M53" s="258">
        <v>1.47</v>
      </c>
      <c r="N53" s="259">
        <v>0</v>
      </c>
      <c r="O53" s="259">
        <v>0</v>
      </c>
      <c r="P53" s="260">
        <f>ROUND(((K53*M53)-(K53*M53*N53/100))+(((K53*M53)-(K53*M53*N53/100))*O53/100),2)</f>
      </c>
      <c r="Q53" s="261" t="s">
        <v>429</v>
      </c>
      <c r="R53" s="261"/>
      <c r="S53" s="81" t="s">
        <v>90</v>
      </c>
      <c r="T53" s="209"/>
      <c r="U53" s="210"/>
    </row>
    <row r="54" spans="1:21" ht="15">
      <c r="A54" s="76">
        <v>34</v>
      </c>
      <c r="B54" s="76">
        <v>99990008656891</v>
      </c>
      <c r="C54" s="77">
        <v>795431</v>
      </c>
      <c r="D54" s="78" t="s">
        <v>106</v>
      </c>
      <c r="E54" s="79"/>
      <c r="F54" s="77"/>
      <c r="G54" s="92">
        <v>0</v>
      </c>
      <c r="H54" s="77" t="s">
        <v>107</v>
      </c>
      <c r="I54" s="77"/>
      <c r="J54" s="79">
        <v>0.23</v>
      </c>
      <c r="K54" s="256">
        <v>40</v>
      </c>
      <c r="L54" s="257"/>
      <c r="M54" s="258">
        <v>0.23</v>
      </c>
      <c r="N54" s="259">
        <v>0</v>
      </c>
      <c r="O54" s="259">
        <v>0</v>
      </c>
      <c r="P54" s="260">
        <f>ROUND(((K54*M54)-(K54*M54*N54/100))+(((K54*M54)-(K54*M54*N54/100))*O54/100),2)</f>
      </c>
      <c r="Q54" s="261" t="s">
        <v>432</v>
      </c>
      <c r="R54" s="261"/>
      <c r="S54" s="81" t="s">
        <v>108</v>
      </c>
      <c r="T54" s="209"/>
      <c r="U54" s="210"/>
    </row>
    <row r="55" spans="1:21" ht="15">
      <c r="A55" s="76">
        <v>35</v>
      </c>
      <c r="B55" s="76">
        <v>99990008656894</v>
      </c>
      <c r="C55" s="77">
        <v>795436</v>
      </c>
      <c r="D55" s="78" t="s">
        <v>109</v>
      </c>
      <c r="E55" s="79"/>
      <c r="F55" s="77"/>
      <c r="G55" s="92">
        <v>0</v>
      </c>
      <c r="H55" s="77" t="s">
        <v>110</v>
      </c>
      <c r="I55" s="77"/>
      <c r="J55" s="79">
        <v>2.72</v>
      </c>
      <c r="K55" s="256">
        <v>10</v>
      </c>
      <c r="L55" s="257"/>
      <c r="M55" s="258">
        <v>2.72</v>
      </c>
      <c r="N55" s="259">
        <v>0</v>
      </c>
      <c r="O55" s="259">
        <v>0</v>
      </c>
      <c r="P55" s="260">
        <f>ROUND(((K55*M55)-(K55*M55*N55/100))+(((K55*M55)-(K55*M55*N55/100))*O55/100),2)</f>
      </c>
      <c r="Q55" s="261" t="s">
        <v>429</v>
      </c>
      <c r="R55" s="261"/>
      <c r="S55" s="81" t="s">
        <v>90</v>
      </c>
      <c r="T55" s="209"/>
      <c r="U55" s="210"/>
    </row>
    <row r="56" spans="1:21" ht="15">
      <c r="A56" s="76">
        <v>36</v>
      </c>
      <c r="B56" s="76">
        <v>99990011074651</v>
      </c>
      <c r="C56" s="77">
        <v>792280</v>
      </c>
      <c r="D56" s="78" t="s">
        <v>111</v>
      </c>
      <c r="E56" s="79"/>
      <c r="F56" s="77"/>
      <c r="G56" s="92">
        <v>0</v>
      </c>
      <c r="H56" s="80" t="s">
        <v>55</v>
      </c>
      <c r="I56" s="80"/>
      <c r="J56" s="79">
        <v>0</v>
      </c>
      <c r="K56" s="256">
        <v>8</v>
      </c>
      <c r="L56" s="257"/>
      <c r="M56" s="258">
        <v>103.7</v>
      </c>
      <c r="N56" s="259">
        <v>0</v>
      </c>
      <c r="O56" s="259">
        <v>0</v>
      </c>
      <c r="P56" s="260">
        <f>ROUND(((K56*M56)-(K56*M56*N56/100))+(((K56*M56)-(K56*M56*N56/100))*O56/100),2)</f>
      </c>
      <c r="Q56" s="261"/>
      <c r="R56" s="261"/>
      <c r="S56" s="81"/>
      <c r="T56" s="209"/>
      <c r="U56" s="210"/>
    </row>
    <row r="57" spans="1:21" ht="15">
      <c r="A57" s="76">
        <v>37</v>
      </c>
      <c r="B57" s="76">
        <v>99990008656965</v>
      </c>
      <c r="C57" s="77">
        <v>813101</v>
      </c>
      <c r="D57" s="78" t="s">
        <v>112</v>
      </c>
      <c r="E57" s="79"/>
      <c r="F57" s="77"/>
      <c r="G57" s="92">
        <v>0</v>
      </c>
      <c r="H57" s="77" t="s">
        <v>113</v>
      </c>
      <c r="I57" s="77"/>
      <c r="J57" s="79">
        <v>1.65</v>
      </c>
      <c r="K57" s="256">
        <v>150</v>
      </c>
      <c r="L57" s="257"/>
      <c r="M57" s="258">
        <v>1.6</v>
      </c>
      <c r="N57" s="259">
        <v>0</v>
      </c>
      <c r="O57" s="259">
        <v>0</v>
      </c>
      <c r="P57" s="260">
        <f>ROUND(((K57*M57)-(K57*M57*N57/100))+(((K57*M57)-(K57*M57*N57/100))*O57/100),2)</f>
      </c>
      <c r="Q57" s="261" t="s">
        <v>433</v>
      </c>
      <c r="R57" s="261"/>
      <c r="S57" s="81" t="s">
        <v>114</v>
      </c>
      <c r="T57" s="209"/>
      <c r="U57" s="210"/>
    </row>
    <row r="58" spans="1:21" ht="15">
      <c r="A58" s="76">
        <v>38</v>
      </c>
      <c r="B58" s="76">
        <v>99990008655556</v>
      </c>
      <c r="C58" s="77">
        <v>450566</v>
      </c>
      <c r="D58" s="78" t="s">
        <v>115</v>
      </c>
      <c r="E58" s="79"/>
      <c r="F58" s="77"/>
      <c r="G58" s="92">
        <v>0</v>
      </c>
      <c r="H58" s="77" t="s">
        <v>105</v>
      </c>
      <c r="I58" s="77"/>
      <c r="J58" s="79">
        <v>8.20</v>
      </c>
      <c r="K58" s="256">
        <v>5</v>
      </c>
      <c r="L58" s="257"/>
      <c r="M58" s="258">
        <v>8.2</v>
      </c>
      <c r="N58" s="259">
        <v>0</v>
      </c>
      <c r="O58" s="259">
        <v>0</v>
      </c>
      <c r="P58" s="260">
        <f>ROUND(((K58*M58)-(K58*M58*N58/100))+(((K58*M58)-(K58*M58*N58/100))*O58/100),2)</f>
      </c>
      <c r="Q58" s="261" t="s">
        <v>434</v>
      </c>
      <c r="R58" s="261"/>
      <c r="S58" s="81" t="s">
        <v>116</v>
      </c>
      <c r="T58" s="209"/>
      <c r="U58" s="210"/>
    </row>
    <row r="59" spans="1:21" ht="15">
      <c r="A59" s="76">
        <v>39</v>
      </c>
      <c r="B59" s="76">
        <v>99990008655559</v>
      </c>
      <c r="C59" s="77">
        <v>450702</v>
      </c>
      <c r="D59" s="78" t="s">
        <v>117</v>
      </c>
      <c r="E59" s="79"/>
      <c r="F59" s="77"/>
      <c r="G59" s="92">
        <v>0</v>
      </c>
      <c r="H59" s="77" t="s">
        <v>105</v>
      </c>
      <c r="I59" s="77"/>
      <c r="J59" s="79">
        <v>1.89</v>
      </c>
      <c r="K59" s="256">
        <v>10</v>
      </c>
      <c r="L59" s="257"/>
      <c r="M59" s="258">
        <v>1.89</v>
      </c>
      <c r="N59" s="259">
        <v>0</v>
      </c>
      <c r="O59" s="259">
        <v>0</v>
      </c>
      <c r="P59" s="260">
        <f>ROUND(((K59*M59)-(K59*M59*N59/100))+(((K59*M59)-(K59*M59*N59/100))*O59/100),2)</f>
      </c>
      <c r="Q59" s="261" t="s">
        <v>435</v>
      </c>
      <c r="R59" s="261"/>
      <c r="S59" s="81" t="s">
        <v>118</v>
      </c>
      <c r="T59" s="209"/>
      <c r="U59" s="210"/>
    </row>
    <row r="60" spans="1:21" ht="15">
      <c r="A60" s="76">
        <v>40</v>
      </c>
      <c r="B60" s="76">
        <v>99990008656963</v>
      </c>
      <c r="C60" s="77">
        <v>813072</v>
      </c>
      <c r="D60" s="78" t="s">
        <v>119</v>
      </c>
      <c r="E60" s="79"/>
      <c r="F60" s="77"/>
      <c r="G60" s="92">
        <v>0</v>
      </c>
      <c r="H60" s="77" t="s">
        <v>71</v>
      </c>
      <c r="I60" s="77"/>
      <c r="J60" s="79">
        <v>3.18</v>
      </c>
      <c r="K60" s="256">
        <v>2</v>
      </c>
      <c r="L60" s="257"/>
      <c r="M60" s="258">
        <v>3.18</v>
      </c>
      <c r="N60" s="259">
        <v>0</v>
      </c>
      <c r="O60" s="259">
        <v>0</v>
      </c>
      <c r="P60" s="260">
        <f>ROUND(((K60*M60)-(K60*M60*N60/100))+(((K60*M60)-(K60*M60*N60/100))*O60/100),2)</f>
      </c>
      <c r="Q60" s="261" t="s">
        <v>217</v>
      </c>
      <c r="R60" s="261"/>
      <c r="S60" s="81" t="s">
        <v>120</v>
      </c>
      <c r="T60" s="209"/>
      <c r="U60" s="210"/>
    </row>
    <row r="61" spans="1:21" ht="15">
      <c r="A61" s="76">
        <v>41</v>
      </c>
      <c r="B61" s="76">
        <v>99990008655515</v>
      </c>
      <c r="C61" s="77">
        <v>232907</v>
      </c>
      <c r="D61" s="78" t="s">
        <v>121</v>
      </c>
      <c r="E61" s="79"/>
      <c r="F61" s="77"/>
      <c r="G61" s="92">
        <v>0</v>
      </c>
      <c r="H61" s="77" t="s">
        <v>122</v>
      </c>
      <c r="I61" s="77"/>
      <c r="J61" s="79">
        <v>1.60</v>
      </c>
      <c r="K61" s="256">
        <v>500</v>
      </c>
      <c r="L61" s="257"/>
      <c r="M61" s="258">
        <v>1</v>
      </c>
      <c r="N61" s="259">
        <v>0</v>
      </c>
      <c r="O61" s="259">
        <v>0</v>
      </c>
      <c r="P61" s="260">
        <f>ROUND(((K61*M61)-(K61*M61*N61/100))+(((K61*M61)-(K61*M61*N61/100))*O61/100),2)</f>
      </c>
      <c r="Q61" s="261" t="s">
        <v>436</v>
      </c>
      <c r="R61" s="261"/>
      <c r="S61" s="81" t="s">
        <v>123</v>
      </c>
      <c r="T61" s="209"/>
      <c r="U61" s="210"/>
    </row>
    <row r="62" spans="1:21" ht="15">
      <c r="A62" s="76">
        <v>42</v>
      </c>
      <c r="B62" s="76">
        <v>99990008656939</v>
      </c>
      <c r="C62" s="77">
        <v>812605</v>
      </c>
      <c r="D62" s="78" t="s">
        <v>124</v>
      </c>
      <c r="E62" s="79"/>
      <c r="F62" s="77"/>
      <c r="G62" s="92">
        <v>0</v>
      </c>
      <c r="H62" s="77" t="s">
        <v>125</v>
      </c>
      <c r="I62" s="77"/>
      <c r="J62" s="79">
        <v>1.81</v>
      </c>
      <c r="K62" s="256">
        <v>10</v>
      </c>
      <c r="L62" s="257"/>
      <c r="M62" s="258">
        <v>1.81</v>
      </c>
      <c r="N62" s="259">
        <v>0</v>
      </c>
      <c r="O62" s="259">
        <v>0</v>
      </c>
      <c r="P62" s="260">
        <f>ROUND(((K62*M62)-(K62*M62*N62/100))+(((K62*M62)-(K62*M62*N62/100))*O62/100),2)</f>
      </c>
      <c r="Q62" s="261" t="s">
        <v>437</v>
      </c>
      <c r="R62" s="261"/>
      <c r="S62" s="81" t="s">
        <v>120</v>
      </c>
      <c r="T62" s="209"/>
      <c r="U62" s="210"/>
    </row>
    <row r="63" spans="1:21" ht="15">
      <c r="A63" s="76">
        <v>43</v>
      </c>
      <c r="B63" s="76">
        <v>99990008655869</v>
      </c>
      <c r="C63" s="77">
        <v>812501</v>
      </c>
      <c r="D63" s="78" t="s">
        <v>126</v>
      </c>
      <c r="E63" s="79"/>
      <c r="F63" s="77"/>
      <c r="G63" s="92">
        <v>0</v>
      </c>
      <c r="H63" s="77" t="s">
        <v>110</v>
      </c>
      <c r="I63" s="77"/>
      <c r="J63" s="79">
        <v>0.14</v>
      </c>
      <c r="K63" s="256">
        <v>60</v>
      </c>
      <c r="L63" s="257"/>
      <c r="M63" s="258">
        <v>0.14</v>
      </c>
      <c r="N63" s="259">
        <v>0</v>
      </c>
      <c r="O63" s="259">
        <v>0</v>
      </c>
      <c r="P63" s="260">
        <f>ROUND(((K63*M63)-(K63*M63*N63/100))+(((K63*M63)-(K63*M63*N63/100))*O63/100),2)</f>
      </c>
      <c r="Q63" s="261" t="s">
        <v>438</v>
      </c>
      <c r="R63" s="261"/>
      <c r="S63" s="81" t="s">
        <v>127</v>
      </c>
      <c r="T63" s="209"/>
      <c r="U63" s="210"/>
    </row>
    <row r="64" spans="1:21" ht="15">
      <c r="A64" s="76">
        <v>44</v>
      </c>
      <c r="B64" s="76">
        <v>99990008655587</v>
      </c>
      <c r="C64" s="77">
        <v>550276</v>
      </c>
      <c r="D64" s="78" t="s">
        <v>128</v>
      </c>
      <c r="E64" s="79"/>
      <c r="F64" s="77"/>
      <c r="G64" s="92">
        <v>0</v>
      </c>
      <c r="H64" s="77" t="s">
        <v>129</v>
      </c>
      <c r="I64" s="77"/>
      <c r="J64" s="79">
        <v>4.28</v>
      </c>
      <c r="K64" s="256">
        <v>3</v>
      </c>
      <c r="L64" s="257"/>
      <c r="M64" s="258">
        <v>4.28</v>
      </c>
      <c r="N64" s="259">
        <v>0</v>
      </c>
      <c r="O64" s="259">
        <v>0</v>
      </c>
      <c r="P64" s="260">
        <f>ROUND(((K64*M64)-(K64*M64*N64/100))+(((K64*M64)-(K64*M64*N64/100))*O64/100),2)</f>
      </c>
      <c r="Q64" s="261" t="s">
        <v>439</v>
      </c>
      <c r="R64" s="261"/>
      <c r="S64" s="81" t="s">
        <v>120</v>
      </c>
      <c r="T64" s="209"/>
      <c r="U64" s="210"/>
    </row>
    <row r="65" spans="1:21" ht="15">
      <c r="A65" s="76">
        <v>45</v>
      </c>
      <c r="B65" s="76">
        <v>99990008655762</v>
      </c>
      <c r="C65" s="77">
        <v>650890</v>
      </c>
      <c r="D65" s="78" t="s">
        <v>130</v>
      </c>
      <c r="E65" s="79"/>
      <c r="F65" s="77"/>
      <c r="G65" s="92">
        <v>0</v>
      </c>
      <c r="H65" s="77" t="s">
        <v>125</v>
      </c>
      <c r="I65" s="77"/>
      <c r="J65" s="79">
        <v>1.96</v>
      </c>
      <c r="K65" s="256">
        <v>6</v>
      </c>
      <c r="L65" s="257"/>
      <c r="M65" s="258">
        <v>1.96</v>
      </c>
      <c r="N65" s="259">
        <v>0</v>
      </c>
      <c r="O65" s="259">
        <v>0</v>
      </c>
      <c r="P65" s="260">
        <f>ROUND(((K65*M65)-(K65*M65*N65/100))+(((K65*M65)-(K65*M65*N65/100))*O65/100),2)</f>
      </c>
      <c r="Q65" s="261" t="s">
        <v>440</v>
      </c>
      <c r="R65" s="261"/>
      <c r="S65" s="81" t="s">
        <v>131</v>
      </c>
      <c r="T65" s="209"/>
      <c r="U65" s="210"/>
    </row>
    <row r="66" spans="1:21" ht="15">
      <c r="A66" s="76">
        <v>46</v>
      </c>
      <c r="B66" s="76">
        <v>99990008655455</v>
      </c>
      <c r="C66" s="77">
        <v>174272</v>
      </c>
      <c r="D66" s="78" t="s">
        <v>132</v>
      </c>
      <c r="E66" s="79"/>
      <c r="F66" s="77"/>
      <c r="G66" s="92">
        <v>0</v>
      </c>
      <c r="H66" s="77" t="s">
        <v>55</v>
      </c>
      <c r="I66" s="77"/>
      <c r="J66" s="79">
        <v>0.94</v>
      </c>
      <c r="K66" s="256">
        <v>30</v>
      </c>
      <c r="L66" s="257"/>
      <c r="M66" s="258">
        <v>0.94</v>
      </c>
      <c r="N66" s="259">
        <v>0</v>
      </c>
      <c r="O66" s="259">
        <v>0</v>
      </c>
      <c r="P66" s="260">
        <f>ROUND(((K66*M66)-(K66*M66*N66/100))+(((K66*M66)-(K66*M66*N66/100))*O66/100),2)</f>
      </c>
      <c r="Q66" s="261" t="s">
        <v>441</v>
      </c>
      <c r="R66" s="261"/>
      <c r="S66" s="81" t="s">
        <v>133</v>
      </c>
      <c r="T66" s="209"/>
      <c r="U66" s="210"/>
    </row>
    <row r="67" spans="1:21" ht="15">
      <c r="A67" s="76">
        <v>47</v>
      </c>
      <c r="B67" s="76">
        <v>99990008188515</v>
      </c>
      <c r="C67" s="77">
        <v>610625</v>
      </c>
      <c r="D67" s="78" t="s">
        <v>134</v>
      </c>
      <c r="E67" s="79"/>
      <c r="F67" s="77"/>
      <c r="G67" s="92">
        <v>0</v>
      </c>
      <c r="H67" s="80" t="s">
        <v>55</v>
      </c>
      <c r="I67" s="80"/>
      <c r="J67" s="79">
        <v>0</v>
      </c>
      <c r="K67" s="256">
        <v>1</v>
      </c>
      <c r="L67" s="257"/>
      <c r="M67" s="258">
        <v>10.15</v>
      </c>
      <c r="N67" s="259">
        <v>0</v>
      </c>
      <c r="O67" s="259">
        <v>0</v>
      </c>
      <c r="P67" s="260">
        <f>ROUND(((K67*M67)-(K67*M67*N67/100))+(((K67*M67)-(K67*M67*N67/100))*O67/100),2)</f>
      </c>
      <c r="Q67" s="261"/>
      <c r="R67" s="261"/>
      <c r="S67" s="81"/>
      <c r="T67" s="209"/>
      <c r="U67" s="210"/>
    </row>
    <row r="68" spans="1:21" ht="15">
      <c r="A68" s="76">
        <v>48</v>
      </c>
      <c r="B68" s="76">
        <v>99990008188516</v>
      </c>
      <c r="C68" s="77">
        <v>610626</v>
      </c>
      <c r="D68" s="78" t="s">
        <v>135</v>
      </c>
      <c r="E68" s="79"/>
      <c r="F68" s="77"/>
      <c r="G68" s="92">
        <v>0</v>
      </c>
      <c r="H68" s="80" t="s">
        <v>55</v>
      </c>
      <c r="I68" s="80"/>
      <c r="J68" s="79">
        <v>0</v>
      </c>
      <c r="K68" s="256">
        <v>1</v>
      </c>
      <c r="L68" s="257"/>
      <c r="M68" s="258">
        <v>12.15</v>
      </c>
      <c r="N68" s="259">
        <v>0</v>
      </c>
      <c r="O68" s="259">
        <v>0</v>
      </c>
      <c r="P68" s="260">
        <f>ROUND(((K68*M68)-(K68*M68*N68/100))+(((K68*M68)-(K68*M68*N68/100))*O68/100),2)</f>
      </c>
      <c r="Q68" s="261"/>
      <c r="R68" s="261"/>
      <c r="S68" s="81"/>
      <c r="T68" s="209"/>
      <c r="U68" s="210"/>
    </row>
    <row r="69" spans="1:21" ht="15">
      <c r="A69" s="76">
        <v>49</v>
      </c>
      <c r="B69" s="76">
        <v>99990008657469</v>
      </c>
      <c r="C69" s="77">
        <v>351251</v>
      </c>
      <c r="D69" s="78" t="s">
        <v>136</v>
      </c>
      <c r="E69" s="79"/>
      <c r="F69" s="77"/>
      <c r="G69" s="92">
        <v>0</v>
      </c>
      <c r="H69" s="77" t="s">
        <v>55</v>
      </c>
      <c r="I69" s="77"/>
      <c r="J69" s="79">
        <v>1.24</v>
      </c>
      <c r="K69" s="256">
        <v>4</v>
      </c>
      <c r="L69" s="257"/>
      <c r="M69" s="258">
        <v>1.24</v>
      </c>
      <c r="N69" s="259">
        <v>0</v>
      </c>
      <c r="O69" s="259">
        <v>0</v>
      </c>
      <c r="P69" s="260">
        <f>ROUND(((K69*M69)-(K69*M69*N69/100))+(((K69*M69)-(K69*M69*N69/100))*O69/100),2)</f>
      </c>
      <c r="Q69" s="261" t="s">
        <v>442</v>
      </c>
      <c r="R69" s="261"/>
      <c r="S69" s="81" t="s">
        <v>137</v>
      </c>
      <c r="T69" s="209"/>
      <c r="U69" s="210"/>
    </row>
    <row r="70" spans="1:21" ht="15">
      <c r="A70" s="76">
        <v>50</v>
      </c>
      <c r="B70" s="76">
        <v>99990008657463</v>
      </c>
      <c r="C70" s="77">
        <v>351221</v>
      </c>
      <c r="D70" s="78" t="s">
        <v>138</v>
      </c>
      <c r="E70" s="79"/>
      <c r="F70" s="77"/>
      <c r="G70" s="92">
        <v>0</v>
      </c>
      <c r="H70" s="77" t="s">
        <v>55</v>
      </c>
      <c r="I70" s="77"/>
      <c r="J70" s="79">
        <v>4.90</v>
      </c>
      <c r="K70" s="256">
        <v>4</v>
      </c>
      <c r="L70" s="257"/>
      <c r="M70" s="258">
        <v>4.9</v>
      </c>
      <c r="N70" s="259">
        <v>0</v>
      </c>
      <c r="O70" s="259">
        <v>0</v>
      </c>
      <c r="P70" s="260">
        <f>ROUND(((K70*M70)-(K70*M70*N70/100))+(((K70*M70)-(K70*M70*N70/100))*O70/100),2)</f>
      </c>
      <c r="Q70" s="261" t="s">
        <v>442</v>
      </c>
      <c r="R70" s="261"/>
      <c r="S70" s="81" t="s">
        <v>137</v>
      </c>
      <c r="T70" s="209"/>
      <c r="U70" s="210"/>
    </row>
    <row r="71" spans="1:21" ht="15">
      <c r="A71" s="76">
        <v>51</v>
      </c>
      <c r="B71" s="76">
        <v>99990008657464</v>
      </c>
      <c r="C71" s="77">
        <v>351222</v>
      </c>
      <c r="D71" s="78" t="s">
        <v>139</v>
      </c>
      <c r="E71" s="79"/>
      <c r="F71" s="77"/>
      <c r="G71" s="92">
        <v>0</v>
      </c>
      <c r="H71" s="77" t="s">
        <v>55</v>
      </c>
      <c r="I71" s="77"/>
      <c r="J71" s="79">
        <v>5.10</v>
      </c>
      <c r="K71" s="256">
        <v>10</v>
      </c>
      <c r="L71" s="257"/>
      <c r="M71" s="258">
        <v>5.1</v>
      </c>
      <c r="N71" s="259">
        <v>0</v>
      </c>
      <c r="O71" s="259">
        <v>0</v>
      </c>
      <c r="P71" s="260">
        <f>ROUND(((K71*M71)-(K71*M71*N71/100))+(((K71*M71)-(K71*M71*N71/100))*O71/100),2)</f>
      </c>
      <c r="Q71" s="261" t="s">
        <v>442</v>
      </c>
      <c r="R71" s="261"/>
      <c r="S71" s="81" t="s">
        <v>137</v>
      </c>
      <c r="T71" s="209"/>
      <c r="U71" s="210"/>
    </row>
    <row r="72" spans="1:21" ht="15">
      <c r="A72" s="76">
        <v>52</v>
      </c>
      <c r="B72" s="76">
        <v>99990010228090</v>
      </c>
      <c r="C72" s="77">
        <v>653169</v>
      </c>
      <c r="D72" s="78" t="s">
        <v>140</v>
      </c>
      <c r="E72" s="79"/>
      <c r="F72" s="77"/>
      <c r="G72" s="92">
        <v>0</v>
      </c>
      <c r="H72" s="80" t="s">
        <v>55</v>
      </c>
      <c r="I72" s="80"/>
      <c r="J72" s="79">
        <v>0</v>
      </c>
      <c r="K72" s="256">
        <v>10</v>
      </c>
      <c r="L72" s="257"/>
      <c r="M72" s="258">
        <v>12.65</v>
      </c>
      <c r="N72" s="259">
        <v>0</v>
      </c>
      <c r="O72" s="259">
        <v>0</v>
      </c>
      <c r="P72" s="260">
        <f>ROUND(((K72*M72)-(K72*M72*N72/100))+(((K72*M72)-(K72*M72*N72/100))*O72/100),2)</f>
      </c>
      <c r="Q72" s="261"/>
      <c r="R72" s="261"/>
      <c r="S72" s="81"/>
      <c r="T72" s="209"/>
      <c r="U72" s="210"/>
    </row>
    <row r="73" spans="1:21" ht="15">
      <c r="A73" s="76">
        <v>53</v>
      </c>
      <c r="B73" s="76">
        <v>99990010150681</v>
      </c>
      <c r="C73" s="77">
        <v>653316</v>
      </c>
      <c r="D73" s="78" t="s">
        <v>141</v>
      </c>
      <c r="E73" s="79"/>
      <c r="F73" s="77"/>
      <c r="G73" s="92">
        <v>0</v>
      </c>
      <c r="H73" s="80" t="s">
        <v>55</v>
      </c>
      <c r="I73" s="80"/>
      <c r="J73" s="79">
        <v>0</v>
      </c>
      <c r="K73" s="256">
        <v>10</v>
      </c>
      <c r="L73" s="257"/>
      <c r="M73" s="258">
        <v>20.25</v>
      </c>
      <c r="N73" s="259">
        <v>0</v>
      </c>
      <c r="O73" s="259">
        <v>0</v>
      </c>
      <c r="P73" s="260">
        <f>ROUND(((K73*M73)-(K73*M73*N73/100))+(((K73*M73)-(K73*M73*N73/100))*O73/100),2)</f>
      </c>
      <c r="Q73" s="261"/>
      <c r="R73" s="261"/>
      <c r="S73" s="81"/>
      <c r="T73" s="209"/>
      <c r="U73" s="210"/>
    </row>
    <row r="74" spans="1:21" ht="15">
      <c r="A74" s="76">
        <v>54</v>
      </c>
      <c r="B74" s="76">
        <v>99990008655750</v>
      </c>
      <c r="C74" s="77">
        <v>650802</v>
      </c>
      <c r="D74" s="78" t="s">
        <v>142</v>
      </c>
      <c r="E74" s="79"/>
      <c r="F74" s="77"/>
      <c r="G74" s="92">
        <v>0</v>
      </c>
      <c r="H74" s="77" t="s">
        <v>55</v>
      </c>
      <c r="I74" s="77"/>
      <c r="J74" s="79">
        <v>1.38</v>
      </c>
      <c r="K74" s="256">
        <v>2</v>
      </c>
      <c r="L74" s="257"/>
      <c r="M74" s="258">
        <v>1.38</v>
      </c>
      <c r="N74" s="259">
        <v>0</v>
      </c>
      <c r="O74" s="259">
        <v>0</v>
      </c>
      <c r="P74" s="260">
        <f>ROUND(((K74*M74)-(K74*M74*N74/100))+(((K74*M74)-(K74*M74*N74/100))*O74/100),2)</f>
      </c>
      <c r="Q74" s="261" t="s">
        <v>237</v>
      </c>
      <c r="R74" s="261"/>
      <c r="S74" s="81" t="s">
        <v>76</v>
      </c>
      <c r="T74" s="209"/>
      <c r="U74" s="210"/>
    </row>
    <row r="75" spans="1:21" ht="15">
      <c r="A75" s="76">
        <v>55</v>
      </c>
      <c r="B75" s="76">
        <v>99990010149725</v>
      </c>
      <c r="C75" s="77">
        <v>650563</v>
      </c>
      <c r="D75" s="78" t="s">
        <v>143</v>
      </c>
      <c r="E75" s="79"/>
      <c r="F75" s="77"/>
      <c r="G75" s="92">
        <v>0</v>
      </c>
      <c r="H75" s="80" t="s">
        <v>55</v>
      </c>
      <c r="I75" s="80"/>
      <c r="J75" s="79">
        <v>0</v>
      </c>
      <c r="K75" s="256">
        <v>1</v>
      </c>
      <c r="L75" s="257"/>
      <c r="M75" s="258">
        <v>3.8</v>
      </c>
      <c r="N75" s="259">
        <v>0</v>
      </c>
      <c r="O75" s="259">
        <v>0</v>
      </c>
      <c r="P75" s="260">
        <f>ROUND(((K75*M75)-(K75*M75*N75/100))+(((K75*M75)-(K75*M75*N75/100))*O75/100),2)</f>
      </c>
      <c r="Q75" s="261"/>
      <c r="R75" s="261"/>
      <c r="S75" s="81"/>
      <c r="T75" s="209"/>
      <c r="U75" s="210"/>
    </row>
    <row r="76" spans="1:21" ht="15">
      <c r="A76" s="76">
        <v>56</v>
      </c>
      <c r="B76" s="76">
        <v>99990010009981</v>
      </c>
      <c r="C76" s="77">
        <v>650941</v>
      </c>
      <c r="D76" s="78" t="s">
        <v>144</v>
      </c>
      <c r="E76" s="79"/>
      <c r="F76" s="77"/>
      <c r="G76" s="92">
        <v>0</v>
      </c>
      <c r="H76" s="80" t="s">
        <v>55</v>
      </c>
      <c r="I76" s="80"/>
      <c r="J76" s="79">
        <v>0</v>
      </c>
      <c r="K76" s="256">
        <v>1</v>
      </c>
      <c r="L76" s="257"/>
      <c r="M76" s="258">
        <v>17.85</v>
      </c>
      <c r="N76" s="259">
        <v>0</v>
      </c>
      <c r="O76" s="259">
        <v>0</v>
      </c>
      <c r="P76" s="260">
        <f>ROUND(((K76*M76)-(K76*M76*N76/100))+(((K76*M76)-(K76*M76*N76/100))*O76/100),2)</f>
      </c>
      <c r="Q76" s="261" t="s">
        <v>443</v>
      </c>
      <c r="R76" s="261"/>
      <c r="S76" s="81"/>
      <c r="T76" s="209"/>
      <c r="U76" s="210"/>
    </row>
    <row r="77" spans="1:21" ht="15">
      <c r="A77" s="76">
        <v>57</v>
      </c>
      <c r="B77" s="76">
        <v>99990009647069</v>
      </c>
      <c r="C77" s="77">
        <v>672136</v>
      </c>
      <c r="D77" s="78" t="s">
        <v>145</v>
      </c>
      <c r="E77" s="79"/>
      <c r="F77" s="77"/>
      <c r="G77" s="92">
        <v>0</v>
      </c>
      <c r="H77" s="77" t="s">
        <v>146</v>
      </c>
      <c r="I77" s="77"/>
      <c r="J77" s="79">
        <v>461.63</v>
      </c>
      <c r="K77" s="256">
        <v>1</v>
      </c>
      <c r="L77" s="257"/>
      <c r="M77" s="258">
        <v>461.63</v>
      </c>
      <c r="N77" s="259">
        <v>0</v>
      </c>
      <c r="O77" s="259">
        <v>0</v>
      </c>
      <c r="P77" s="260">
        <f>ROUND(((K77*M77)-(K77*M77*N77/100))+(((K77*M77)-(K77*M77*N77/100))*O77/100),2)</f>
      </c>
      <c r="Q77" s="261" t="s">
        <v>444</v>
      </c>
      <c r="R77" s="261"/>
      <c r="S77" s="81" t="s">
        <v>147</v>
      </c>
      <c r="T77" s="209"/>
      <c r="U77" s="210"/>
    </row>
    <row r="78" spans="1:21" ht="15">
      <c r="A78" s="76">
        <v>58</v>
      </c>
      <c r="B78" s="76">
        <v>99990008657514</v>
      </c>
      <c r="C78" s="77">
        <v>671906</v>
      </c>
      <c r="D78" s="78" t="s">
        <v>148</v>
      </c>
      <c r="E78" s="79"/>
      <c r="F78" s="77"/>
      <c r="G78" s="92">
        <v>0</v>
      </c>
      <c r="H78" s="77" t="s">
        <v>149</v>
      </c>
      <c r="I78" s="77"/>
      <c r="J78" s="79">
        <v>85.92</v>
      </c>
      <c r="K78" s="256">
        <v>1</v>
      </c>
      <c r="L78" s="257"/>
      <c r="M78" s="258">
        <v>85.92</v>
      </c>
      <c r="N78" s="259">
        <v>0</v>
      </c>
      <c r="O78" s="259">
        <v>0</v>
      </c>
      <c r="P78" s="260">
        <f>ROUND(((K78*M78)-(K78*M78*N78/100))+(((K78*M78)-(K78*M78*N78/100))*O78/100),2)</f>
      </c>
      <c r="Q78" s="261" t="s">
        <v>445</v>
      </c>
      <c r="R78" s="261"/>
      <c r="S78" s="81" t="s">
        <v>150</v>
      </c>
      <c r="T78" s="209"/>
      <c r="U78" s="210"/>
    </row>
    <row r="79" spans="1:21" ht="15">
      <c r="A79" s="76">
        <v>59</v>
      </c>
      <c r="B79" s="76">
        <v>99990009630956</v>
      </c>
      <c r="C79" s="77">
        <v>670741</v>
      </c>
      <c r="D79" s="78" t="s">
        <v>151</v>
      </c>
      <c r="E79" s="79"/>
      <c r="F79" s="77"/>
      <c r="G79" s="92">
        <v>0</v>
      </c>
      <c r="H79" s="77" t="s">
        <v>149</v>
      </c>
      <c r="I79" s="77"/>
      <c r="J79" s="79">
        <v>45.10</v>
      </c>
      <c r="K79" s="256">
        <v>4</v>
      </c>
      <c r="L79" s="257"/>
      <c r="M79" s="258">
        <v>45.1</v>
      </c>
      <c r="N79" s="259">
        <v>0</v>
      </c>
      <c r="O79" s="259">
        <v>0</v>
      </c>
      <c r="P79" s="260">
        <f>ROUND(((K79*M79)-(K79*M79*N79/100))+(((K79*M79)-(K79*M79*N79/100))*O79/100),2)</f>
      </c>
      <c r="Q79" s="261" t="s">
        <v>446</v>
      </c>
      <c r="R79" s="261"/>
      <c r="S79" s="81" t="s">
        <v>150</v>
      </c>
      <c r="T79" s="209"/>
      <c r="U79" s="210"/>
    </row>
    <row r="80" spans="1:21" ht="15">
      <c r="A80" s="76">
        <v>60</v>
      </c>
      <c r="B80" s="76">
        <v>99990008212323</v>
      </c>
      <c r="C80" s="77">
        <v>811724</v>
      </c>
      <c r="D80" s="78" t="s">
        <v>152</v>
      </c>
      <c r="E80" s="79"/>
      <c r="F80" s="77"/>
      <c r="G80" s="92">
        <v>0</v>
      </c>
      <c r="H80" s="80" t="s">
        <v>110</v>
      </c>
      <c r="I80" s="80"/>
      <c r="J80" s="79">
        <v>0</v>
      </c>
      <c r="K80" s="256">
        <v>4</v>
      </c>
      <c r="L80" s="257"/>
      <c r="M80" s="258">
        <v>2.225</v>
      </c>
      <c r="N80" s="259">
        <v>0</v>
      </c>
      <c r="O80" s="259">
        <v>0</v>
      </c>
      <c r="P80" s="260">
        <f>ROUND(((K80*M80)-(K80*M80*N80/100))+(((K80*M80)-(K80*M80*N80/100))*O80/100),2)</f>
      </c>
      <c r="Q80" s="261" t="s">
        <v>447</v>
      </c>
      <c r="R80" s="261"/>
      <c r="S80" s="81"/>
      <c r="T80" s="209"/>
      <c r="U80" s="210"/>
    </row>
    <row r="81" spans="1:21" ht="15">
      <c r="A81" s="76">
        <v>61</v>
      </c>
      <c r="B81" s="76">
        <v>99990008212325</v>
      </c>
      <c r="C81" s="77">
        <v>811726</v>
      </c>
      <c r="D81" s="78" t="s">
        <v>153</v>
      </c>
      <c r="E81" s="79"/>
      <c r="F81" s="77"/>
      <c r="G81" s="92">
        <v>0</v>
      </c>
      <c r="H81" s="80" t="s">
        <v>110</v>
      </c>
      <c r="I81" s="80"/>
      <c r="J81" s="79">
        <v>0</v>
      </c>
      <c r="K81" s="256">
        <v>4</v>
      </c>
      <c r="L81" s="257"/>
      <c r="M81" s="258">
        <v>4.7625</v>
      </c>
      <c r="N81" s="259">
        <v>0</v>
      </c>
      <c r="O81" s="259">
        <v>0</v>
      </c>
      <c r="P81" s="260">
        <f>ROUND(((K81*M81)-(K81*M81*N81/100))+(((K81*M81)-(K81*M81*N81/100))*O81/100),2)</f>
      </c>
      <c r="Q81" s="261" t="s">
        <v>448</v>
      </c>
      <c r="R81" s="261"/>
      <c r="S81" s="81"/>
      <c r="T81" s="209"/>
      <c r="U81" s="210"/>
    </row>
    <row r="82" spans="1:21" ht="15">
      <c r="A82" s="76">
        <v>62</v>
      </c>
      <c r="B82" s="76">
        <v>99990011440752</v>
      </c>
      <c r="C82" s="77">
        <v>812846</v>
      </c>
      <c r="D82" s="78" t="s">
        <v>154</v>
      </c>
      <c r="E82" s="79"/>
      <c r="F82" s="77"/>
      <c r="G82" s="92">
        <v>0</v>
      </c>
      <c r="H82" s="80" t="s">
        <v>155</v>
      </c>
      <c r="I82" s="80"/>
      <c r="J82" s="79">
        <v>0</v>
      </c>
      <c r="K82" s="256">
        <v>5</v>
      </c>
      <c r="L82" s="257"/>
      <c r="M82" s="258">
        <v>9.07</v>
      </c>
      <c r="N82" s="259">
        <v>0</v>
      </c>
      <c r="O82" s="259">
        <v>0</v>
      </c>
      <c r="P82" s="260">
        <f>ROUND(((K82*M82)-(K82*M82*N82/100))+(((K82*M82)-(K82*M82*N82/100))*O82/100),2)</f>
      </c>
      <c r="Q82" s="261" t="s">
        <v>449</v>
      </c>
      <c r="R82" s="261"/>
      <c r="S82" s="81"/>
      <c r="T82" s="209"/>
      <c r="U82" s="210"/>
    </row>
    <row r="83" spans="1:21" ht="15">
      <c r="A83" s="76">
        <v>63</v>
      </c>
      <c r="B83" s="76">
        <v>99990008657533</v>
      </c>
      <c r="C83" s="77">
        <v>811114</v>
      </c>
      <c r="D83" s="78" t="s">
        <v>156</v>
      </c>
      <c r="E83" s="79"/>
      <c r="F83" s="77"/>
      <c r="G83" s="92">
        <v>0</v>
      </c>
      <c r="H83" s="77" t="s">
        <v>113</v>
      </c>
      <c r="I83" s="77"/>
      <c r="J83" s="79">
        <v>4.54</v>
      </c>
      <c r="K83" s="256">
        <v>2</v>
      </c>
      <c r="L83" s="257"/>
      <c r="M83" s="258">
        <v>4.54</v>
      </c>
      <c r="N83" s="259">
        <v>0</v>
      </c>
      <c r="O83" s="259">
        <v>0</v>
      </c>
      <c r="P83" s="260">
        <f>ROUND(((K83*M83)-(K83*M83*N83/100))+(((K83*M83)-(K83*M83*N83/100))*O83/100),2)</f>
      </c>
      <c r="Q83" s="261" t="s">
        <v>217</v>
      </c>
      <c r="R83" s="261"/>
      <c r="S83" s="81" t="s">
        <v>120</v>
      </c>
      <c r="T83" s="209"/>
      <c r="U83" s="210"/>
    </row>
    <row r="84" spans="1:21" ht="15">
      <c r="A84" s="76">
        <v>64</v>
      </c>
      <c r="B84" s="76">
        <v>99990008657534</v>
      </c>
      <c r="C84" s="77">
        <v>811115</v>
      </c>
      <c r="D84" s="78" t="s">
        <v>157</v>
      </c>
      <c r="E84" s="79"/>
      <c r="F84" s="77"/>
      <c r="G84" s="92">
        <v>0</v>
      </c>
      <c r="H84" s="77" t="s">
        <v>113</v>
      </c>
      <c r="I84" s="77"/>
      <c r="J84" s="79">
        <v>6.12</v>
      </c>
      <c r="K84" s="256">
        <v>2</v>
      </c>
      <c r="L84" s="257"/>
      <c r="M84" s="258">
        <v>6.12</v>
      </c>
      <c r="N84" s="259">
        <v>0</v>
      </c>
      <c r="O84" s="259">
        <v>0</v>
      </c>
      <c r="P84" s="260">
        <f>ROUND(((K84*M84)-(K84*M84*N84/100))+(((K84*M84)-(K84*M84*N84/100))*O84/100),2)</f>
      </c>
      <c r="Q84" s="261" t="s">
        <v>217</v>
      </c>
      <c r="R84" s="261"/>
      <c r="S84" s="81" t="s">
        <v>120</v>
      </c>
      <c r="T84" s="209"/>
      <c r="U84" s="210"/>
    </row>
    <row r="85" spans="1:21" ht="15">
      <c r="A85" s="76">
        <v>65</v>
      </c>
      <c r="B85" s="76">
        <v>99990008657523</v>
      </c>
      <c r="C85" s="77">
        <v>811075</v>
      </c>
      <c r="D85" s="78" t="s">
        <v>158</v>
      </c>
      <c r="E85" s="79"/>
      <c r="F85" s="77"/>
      <c r="G85" s="92">
        <v>0</v>
      </c>
      <c r="H85" s="77" t="s">
        <v>149</v>
      </c>
      <c r="I85" s="77"/>
      <c r="J85" s="79">
        <v>14.73</v>
      </c>
      <c r="K85" s="256">
        <v>2</v>
      </c>
      <c r="L85" s="257"/>
      <c r="M85" s="258">
        <v>14.73</v>
      </c>
      <c r="N85" s="259">
        <v>0</v>
      </c>
      <c r="O85" s="259">
        <v>0</v>
      </c>
      <c r="P85" s="260">
        <f>ROUND(((K85*M85)-(K85*M85*N85/100))+(((K85*M85)-(K85*M85*N85/100))*O85/100),2)</f>
      </c>
      <c r="Q85" s="261" t="s">
        <v>450</v>
      </c>
      <c r="R85" s="261"/>
      <c r="S85" s="81" t="s">
        <v>159</v>
      </c>
      <c r="T85" s="209"/>
      <c r="U85" s="210"/>
    </row>
    <row r="86" spans="1:21" ht="15">
      <c r="A86" s="76">
        <v>66</v>
      </c>
      <c r="B86" s="76">
        <v>99990008657524</v>
      </c>
      <c r="C86" s="77">
        <v>811076</v>
      </c>
      <c r="D86" s="78" t="s">
        <v>160</v>
      </c>
      <c r="E86" s="79"/>
      <c r="F86" s="77"/>
      <c r="G86" s="92">
        <v>0</v>
      </c>
      <c r="H86" s="77" t="s">
        <v>149</v>
      </c>
      <c r="I86" s="77"/>
      <c r="J86" s="79">
        <v>18.13</v>
      </c>
      <c r="K86" s="256">
        <v>2</v>
      </c>
      <c r="L86" s="257"/>
      <c r="M86" s="258">
        <v>18.13</v>
      </c>
      <c r="N86" s="259">
        <v>0</v>
      </c>
      <c r="O86" s="259">
        <v>0</v>
      </c>
      <c r="P86" s="260">
        <f>ROUND(((K86*M86)-(K86*M86*N86/100))+(((K86*M86)-(K86*M86*N86/100))*O86/100),2)</f>
      </c>
      <c r="Q86" s="261" t="s">
        <v>451</v>
      </c>
      <c r="R86" s="261"/>
      <c r="S86" s="81" t="s">
        <v>161</v>
      </c>
      <c r="T86" s="209"/>
      <c r="U86" s="210"/>
    </row>
    <row r="87" spans="1:21" ht="15">
      <c r="A87" s="76">
        <v>67</v>
      </c>
      <c r="B87" s="76">
        <v>99990009572810</v>
      </c>
      <c r="C87" s="77">
        <v>2136360</v>
      </c>
      <c r="D87" s="78" t="s">
        <v>162</v>
      </c>
      <c r="E87" s="79"/>
      <c r="F87" s="77"/>
      <c r="G87" s="92">
        <v>0</v>
      </c>
      <c r="H87" s="77" t="s">
        <v>125</v>
      </c>
      <c r="I87" s="77"/>
      <c r="J87" s="79">
        <v>9.07</v>
      </c>
      <c r="K87" s="256">
        <v>12</v>
      </c>
      <c r="L87" s="257"/>
      <c r="M87" s="258">
        <v>9.07</v>
      </c>
      <c r="N87" s="259">
        <v>0</v>
      </c>
      <c r="O87" s="259">
        <v>0</v>
      </c>
      <c r="P87" s="260">
        <f>ROUND(((K87*M87)-(K87*M87*N87/100))+(((K87*M87)-(K87*M87*N87/100))*O87/100),2)</f>
      </c>
      <c r="Q87" s="261" t="s">
        <v>217</v>
      </c>
      <c r="R87" s="261"/>
      <c r="S87" s="81" t="s">
        <v>120</v>
      </c>
      <c r="T87" s="209"/>
      <c r="U87" s="210"/>
    </row>
    <row r="88" spans="1:21" ht="15">
      <c r="A88" s="76">
        <v>68</v>
      </c>
      <c r="B88" s="76">
        <v>99990008655905</v>
      </c>
      <c r="C88" s="77">
        <v>510461</v>
      </c>
      <c r="D88" s="78" t="s">
        <v>163</v>
      </c>
      <c r="E88" s="79"/>
      <c r="F88" s="77"/>
      <c r="G88" s="92">
        <v>0</v>
      </c>
      <c r="H88" s="77" t="s">
        <v>71</v>
      </c>
      <c r="I88" s="77"/>
      <c r="J88" s="79">
        <v>0.57</v>
      </c>
      <c r="K88" s="256">
        <v>12</v>
      </c>
      <c r="L88" s="257"/>
      <c r="M88" s="258">
        <v>0.57</v>
      </c>
      <c r="N88" s="259">
        <v>0</v>
      </c>
      <c r="O88" s="259">
        <v>0</v>
      </c>
      <c r="P88" s="260">
        <f>ROUND(((K88*M88)-(K88*M88*N88/100))+(((K88*M88)-(K88*M88*N88/100))*O88/100),2)</f>
      </c>
      <c r="Q88" s="261" t="s">
        <v>452</v>
      </c>
      <c r="R88" s="261"/>
      <c r="S88" s="81" t="s">
        <v>164</v>
      </c>
      <c r="T88" s="209"/>
      <c r="U88" s="210"/>
    </row>
    <row r="89" spans="1:21" ht="15">
      <c r="A89" s="76">
        <v>69</v>
      </c>
      <c r="B89" s="76">
        <v>99990008657588</v>
      </c>
      <c r="C89" s="77">
        <v>510165</v>
      </c>
      <c r="D89" s="78" t="s">
        <v>165</v>
      </c>
      <c r="E89" s="79"/>
      <c r="F89" s="77"/>
      <c r="G89" s="92">
        <v>0</v>
      </c>
      <c r="H89" s="77" t="s">
        <v>55</v>
      </c>
      <c r="I89" s="77"/>
      <c r="J89" s="79">
        <v>0.35</v>
      </c>
      <c r="K89" s="256">
        <v>30</v>
      </c>
      <c r="L89" s="257"/>
      <c r="M89" s="258">
        <v>0.35</v>
      </c>
      <c r="N89" s="259">
        <v>0</v>
      </c>
      <c r="O89" s="259">
        <v>0</v>
      </c>
      <c r="P89" s="260">
        <f>ROUND(((K89*M89)-(K89*M89*N89/100))+(((K89*M89)-(K89*M89*N89/100))*O89/100),2)</f>
      </c>
      <c r="Q89" s="261" t="s">
        <v>419</v>
      </c>
      <c r="R89" s="261"/>
      <c r="S89" s="81" t="s">
        <v>63</v>
      </c>
      <c r="T89" s="209"/>
      <c r="U89" s="210"/>
    </row>
    <row r="90" spans="1:21" ht="15">
      <c r="A90" s="76">
        <v>70</v>
      </c>
      <c r="B90" s="76">
        <v>99990008655872</v>
      </c>
      <c r="C90" s="77">
        <v>510166</v>
      </c>
      <c r="D90" s="78" t="s">
        <v>166</v>
      </c>
      <c r="E90" s="79"/>
      <c r="F90" s="77"/>
      <c r="G90" s="92">
        <v>0</v>
      </c>
      <c r="H90" s="77" t="s">
        <v>55</v>
      </c>
      <c r="I90" s="77"/>
      <c r="J90" s="79">
        <v>0.45</v>
      </c>
      <c r="K90" s="256">
        <v>30</v>
      </c>
      <c r="L90" s="257"/>
      <c r="M90" s="258">
        <v>0.45</v>
      </c>
      <c r="N90" s="259">
        <v>0</v>
      </c>
      <c r="O90" s="259">
        <v>0</v>
      </c>
      <c r="P90" s="260">
        <f>ROUND(((K90*M90)-(K90*M90*N90/100))+(((K90*M90)-(K90*M90*N90/100))*O90/100),2)</f>
      </c>
      <c r="Q90" s="261" t="s">
        <v>419</v>
      </c>
      <c r="R90" s="261"/>
      <c r="S90" s="81" t="s">
        <v>63</v>
      </c>
      <c r="T90" s="209"/>
      <c r="U90" s="210"/>
    </row>
    <row r="91" spans="1:21" ht="15">
      <c r="A91" s="76">
        <v>71</v>
      </c>
      <c r="B91" s="76">
        <v>99990008655906</v>
      </c>
      <c r="C91" s="77">
        <v>510462</v>
      </c>
      <c r="D91" s="78" t="s">
        <v>167</v>
      </c>
      <c r="E91" s="79"/>
      <c r="F91" s="77"/>
      <c r="G91" s="92">
        <v>0</v>
      </c>
      <c r="H91" s="77" t="s">
        <v>55</v>
      </c>
      <c r="I91" s="77"/>
      <c r="J91" s="79">
        <v>0.17</v>
      </c>
      <c r="K91" s="256">
        <v>100</v>
      </c>
      <c r="L91" s="257"/>
      <c r="M91" s="258">
        <v>0.17</v>
      </c>
      <c r="N91" s="259">
        <v>0</v>
      </c>
      <c r="O91" s="259">
        <v>0</v>
      </c>
      <c r="P91" s="260">
        <f>ROUND(((K91*M91)-(K91*M91*N91/100))+(((K91*M91)-(K91*M91*N91/100))*O91/100),2)</f>
      </c>
      <c r="Q91" s="261" t="s">
        <v>453</v>
      </c>
      <c r="R91" s="261"/>
      <c r="S91" s="81" t="s">
        <v>168</v>
      </c>
      <c r="T91" s="209"/>
      <c r="U91" s="210"/>
    </row>
    <row r="92" spans="1:21" ht="15">
      <c r="A92" s="76">
        <v>72</v>
      </c>
      <c r="B92" s="76">
        <v>99990008655921</v>
      </c>
      <c r="C92" s="77">
        <v>510642</v>
      </c>
      <c r="D92" s="78" t="s">
        <v>169</v>
      </c>
      <c r="E92" s="79"/>
      <c r="F92" s="77"/>
      <c r="G92" s="92">
        <v>0</v>
      </c>
      <c r="H92" s="77" t="s">
        <v>55</v>
      </c>
      <c r="I92" s="77"/>
      <c r="J92" s="79">
        <v>0.35</v>
      </c>
      <c r="K92" s="256">
        <v>12</v>
      </c>
      <c r="L92" s="257"/>
      <c r="M92" s="258">
        <v>0.35</v>
      </c>
      <c r="N92" s="259">
        <v>0</v>
      </c>
      <c r="O92" s="259">
        <v>0</v>
      </c>
      <c r="P92" s="260">
        <f>ROUND(((K92*M92)-(K92*M92*N92/100))+(((K92*M92)-(K92*M92*N92/100))*O92/100),2)</f>
      </c>
      <c r="Q92" s="261" t="s">
        <v>419</v>
      </c>
      <c r="R92" s="261"/>
      <c r="S92" s="81" t="s">
        <v>63</v>
      </c>
      <c r="T92" s="209"/>
      <c r="U92" s="210"/>
    </row>
    <row r="93" spans="1:21" ht="15">
      <c r="A93" s="76">
        <v>73</v>
      </c>
      <c r="B93" s="76">
        <v>99990010155462</v>
      </c>
      <c r="C93" s="77">
        <v>734407</v>
      </c>
      <c r="D93" s="78" t="s">
        <v>170</v>
      </c>
      <c r="E93" s="79"/>
      <c r="F93" s="77"/>
      <c r="G93" s="92">
        <v>0</v>
      </c>
      <c r="H93" s="80" t="s">
        <v>55</v>
      </c>
      <c r="I93" s="80"/>
      <c r="J93" s="79">
        <v>0</v>
      </c>
      <c r="K93" s="256">
        <v>20</v>
      </c>
      <c r="L93" s="257"/>
      <c r="M93" s="258">
        <v>13.95</v>
      </c>
      <c r="N93" s="259">
        <v>0</v>
      </c>
      <c r="O93" s="259">
        <v>0</v>
      </c>
      <c r="P93" s="260">
        <f>ROUND(((K93*M93)-(K93*M93*N93/100))+(((K93*M93)-(K93*M93*N93/100))*O93/100),2)</f>
      </c>
      <c r="Q93" s="261"/>
      <c r="R93" s="261"/>
      <c r="S93" s="81"/>
      <c r="T93" s="209"/>
      <c r="U93" s="210"/>
    </row>
    <row r="94" spans="1:21" ht="15">
      <c r="A94" s="76">
        <v>74</v>
      </c>
      <c r="B94" s="76">
        <v>99990011528388</v>
      </c>
      <c r="C94" s="77">
        <v>730169</v>
      </c>
      <c r="D94" s="78" t="s">
        <v>171</v>
      </c>
      <c r="E94" s="79"/>
      <c r="F94" s="77"/>
      <c r="G94" s="92">
        <v>0</v>
      </c>
      <c r="H94" s="80" t="s">
        <v>55</v>
      </c>
      <c r="I94" s="80"/>
      <c r="J94" s="79">
        <v>0</v>
      </c>
      <c r="K94" s="256">
        <v>10</v>
      </c>
      <c r="L94" s="257"/>
      <c r="M94" s="258">
        <v>3.2</v>
      </c>
      <c r="N94" s="259">
        <v>0</v>
      </c>
      <c r="O94" s="259">
        <v>0</v>
      </c>
      <c r="P94" s="260">
        <f>ROUND(((K94*M94)-(K94*M94*N94/100))+(((K94*M94)-(K94*M94*N94/100))*O94/100),2)</f>
      </c>
      <c r="Q94" s="261"/>
      <c r="R94" s="261"/>
      <c r="S94" s="81"/>
      <c r="T94" s="209"/>
      <c r="U94" s="210"/>
    </row>
    <row r="95" spans="1:21" ht="15">
      <c r="A95" s="76">
        <v>75</v>
      </c>
      <c r="B95" s="76">
        <v>99990010274368</v>
      </c>
      <c r="C95" s="77">
        <v>732196</v>
      </c>
      <c r="D95" s="78" t="s">
        <v>172</v>
      </c>
      <c r="E95" s="79"/>
      <c r="F95" s="77"/>
      <c r="G95" s="92">
        <v>0</v>
      </c>
      <c r="H95" s="80" t="s">
        <v>55</v>
      </c>
      <c r="I95" s="80"/>
      <c r="J95" s="79">
        <v>0</v>
      </c>
      <c r="K95" s="256">
        <v>10</v>
      </c>
      <c r="L95" s="257"/>
      <c r="M95" s="258">
        <v>3.7</v>
      </c>
      <c r="N95" s="259">
        <v>0</v>
      </c>
      <c r="O95" s="259">
        <v>0</v>
      </c>
      <c r="P95" s="260">
        <f>ROUND(((K95*M95)-(K95*M95*N95/100))+(((K95*M95)-(K95*M95*N95/100))*O95/100),2)</f>
      </c>
      <c r="Q95" s="261"/>
      <c r="R95" s="261"/>
      <c r="S95" s="81"/>
      <c r="T95" s="209"/>
      <c r="U95" s="210"/>
    </row>
    <row r="96" spans="1:21" ht="15">
      <c r="A96" s="76">
        <v>76</v>
      </c>
      <c r="B96" s="76">
        <v>99990008655973</v>
      </c>
      <c r="C96" s="77">
        <v>711506</v>
      </c>
      <c r="D96" s="78" t="s">
        <v>173</v>
      </c>
      <c r="E96" s="79"/>
      <c r="F96" s="77"/>
      <c r="G96" s="92">
        <v>0</v>
      </c>
      <c r="H96" s="77" t="s">
        <v>113</v>
      </c>
      <c r="I96" s="77"/>
      <c r="J96" s="79">
        <v>4.59</v>
      </c>
      <c r="K96" s="256">
        <v>3</v>
      </c>
      <c r="L96" s="257"/>
      <c r="M96" s="258">
        <v>4.59</v>
      </c>
      <c r="N96" s="259">
        <v>0</v>
      </c>
      <c r="O96" s="259">
        <v>0</v>
      </c>
      <c r="P96" s="260">
        <f>ROUND(((K96*M96)-(K96*M96*N96/100))+(((K96*M96)-(K96*M96*N96/100))*O96/100),2)</f>
      </c>
      <c r="Q96" s="261" t="s">
        <v>454</v>
      </c>
      <c r="R96" s="261"/>
      <c r="S96" s="81" t="s">
        <v>174</v>
      </c>
      <c r="T96" s="209"/>
      <c r="U96" s="210"/>
    </row>
    <row r="97" spans="1:21" ht="15">
      <c r="A97" s="76">
        <v>77</v>
      </c>
      <c r="B97" s="76">
        <v>99990008655971</v>
      </c>
      <c r="C97" s="77">
        <v>711502</v>
      </c>
      <c r="D97" s="78" t="s">
        <v>175</v>
      </c>
      <c r="E97" s="79"/>
      <c r="F97" s="77"/>
      <c r="G97" s="92">
        <v>0</v>
      </c>
      <c r="H97" s="77" t="s">
        <v>113</v>
      </c>
      <c r="I97" s="77"/>
      <c r="J97" s="79">
        <v>2.75</v>
      </c>
      <c r="K97" s="256">
        <v>3</v>
      </c>
      <c r="L97" s="257"/>
      <c r="M97" s="258">
        <v>2.75</v>
      </c>
      <c r="N97" s="259">
        <v>0</v>
      </c>
      <c r="O97" s="259">
        <v>0</v>
      </c>
      <c r="P97" s="260">
        <f>ROUND(((K97*M97)-(K97*M97*N97/100))+(((K97*M97)-(K97*M97*N97/100))*O97/100),2)</f>
      </c>
      <c r="Q97" s="261" t="s">
        <v>454</v>
      </c>
      <c r="R97" s="261"/>
      <c r="S97" s="81" t="s">
        <v>174</v>
      </c>
      <c r="T97" s="209"/>
      <c r="U97" s="210"/>
    </row>
    <row r="98" spans="1:21" ht="15">
      <c r="A98" s="76">
        <v>78</v>
      </c>
      <c r="B98" s="76">
        <v>99990008655972</v>
      </c>
      <c r="C98" s="77">
        <v>711504</v>
      </c>
      <c r="D98" s="78" t="s">
        <v>176</v>
      </c>
      <c r="E98" s="79"/>
      <c r="F98" s="77"/>
      <c r="G98" s="92">
        <v>0</v>
      </c>
      <c r="H98" s="77" t="s">
        <v>113</v>
      </c>
      <c r="I98" s="77"/>
      <c r="J98" s="79">
        <v>3.44</v>
      </c>
      <c r="K98" s="256">
        <v>3</v>
      </c>
      <c r="L98" s="257"/>
      <c r="M98" s="258">
        <v>3.44</v>
      </c>
      <c r="N98" s="259">
        <v>0</v>
      </c>
      <c r="O98" s="259">
        <v>0</v>
      </c>
      <c r="P98" s="260">
        <f>ROUND(((K98*M98)-(K98*M98*N98/100))+(((K98*M98)-(K98*M98*N98/100))*O98/100),2)</f>
      </c>
      <c r="Q98" s="261" t="s">
        <v>454</v>
      </c>
      <c r="R98" s="261"/>
      <c r="S98" s="81" t="s">
        <v>174</v>
      </c>
      <c r="T98" s="209"/>
      <c r="U98" s="210"/>
    </row>
    <row r="99" spans="1:21" ht="15">
      <c r="A99" s="76">
        <v>79</v>
      </c>
      <c r="B99" s="76">
        <v>99990008655986</v>
      </c>
      <c r="C99" s="77">
        <v>734024</v>
      </c>
      <c r="D99" s="78" t="s">
        <v>177</v>
      </c>
      <c r="E99" s="79"/>
      <c r="F99" s="77"/>
      <c r="G99" s="92">
        <v>0</v>
      </c>
      <c r="H99" s="77" t="s">
        <v>55</v>
      </c>
      <c r="I99" s="77"/>
      <c r="J99" s="79">
        <v>1.49</v>
      </c>
      <c r="K99" s="256">
        <v>20</v>
      </c>
      <c r="L99" s="257"/>
      <c r="M99" s="258">
        <v>1.49</v>
      </c>
      <c r="N99" s="259">
        <v>0</v>
      </c>
      <c r="O99" s="259">
        <v>0</v>
      </c>
      <c r="P99" s="260">
        <f>ROUND(((K99*M99)-(K99*M99*N99/100))+(((K99*M99)-(K99*M99*N99/100))*O99/100),2)</f>
      </c>
      <c r="Q99" s="261" t="s">
        <v>237</v>
      </c>
      <c r="R99" s="261"/>
      <c r="S99" s="81" t="s">
        <v>76</v>
      </c>
      <c r="T99" s="209"/>
      <c r="U99" s="210"/>
    </row>
    <row r="100" spans="1:21" ht="15">
      <c r="A100" s="76">
        <v>80</v>
      </c>
      <c r="B100" s="76">
        <v>99990008655984</v>
      </c>
      <c r="C100" s="77">
        <v>734022</v>
      </c>
      <c r="D100" s="78" t="s">
        <v>178</v>
      </c>
      <c r="E100" s="79"/>
      <c r="F100" s="77"/>
      <c r="G100" s="92">
        <v>0</v>
      </c>
      <c r="H100" s="77" t="s">
        <v>55</v>
      </c>
      <c r="I100" s="77"/>
      <c r="J100" s="79">
        <v>1.03</v>
      </c>
      <c r="K100" s="256">
        <v>10</v>
      </c>
      <c r="L100" s="257"/>
      <c r="M100" s="258">
        <v>1.03</v>
      </c>
      <c r="N100" s="259">
        <v>0</v>
      </c>
      <c r="O100" s="259">
        <v>0</v>
      </c>
      <c r="P100" s="260">
        <f>ROUND(((K100*M100)-(K100*M100*N100/100))+(((K100*M100)-(K100*M100*N100/100))*O100/100),2)</f>
      </c>
      <c r="Q100" s="261" t="s">
        <v>237</v>
      </c>
      <c r="R100" s="261"/>
      <c r="S100" s="81" t="s">
        <v>76</v>
      </c>
      <c r="T100" s="209"/>
      <c r="U100" s="210"/>
    </row>
    <row r="101" spans="1:21" ht="15">
      <c r="A101" s="76">
        <v>81</v>
      </c>
      <c r="B101" s="76">
        <v>99990008655985</v>
      </c>
      <c r="C101" s="77">
        <v>734023</v>
      </c>
      <c r="D101" s="78" t="s">
        <v>179</v>
      </c>
      <c r="E101" s="79"/>
      <c r="F101" s="77"/>
      <c r="G101" s="92">
        <v>0</v>
      </c>
      <c r="H101" s="77" t="s">
        <v>55</v>
      </c>
      <c r="I101" s="77"/>
      <c r="J101" s="79">
        <v>1.27</v>
      </c>
      <c r="K101" s="256">
        <v>10</v>
      </c>
      <c r="L101" s="257"/>
      <c r="M101" s="258">
        <v>1.27</v>
      </c>
      <c r="N101" s="259">
        <v>0</v>
      </c>
      <c r="O101" s="259">
        <v>0</v>
      </c>
      <c r="P101" s="260">
        <f>ROUND(((K101*M101)-(K101*M101*N101/100))+(((K101*M101)-(K101*M101*N101/100))*O101/100),2)</f>
      </c>
      <c r="Q101" s="261" t="s">
        <v>237</v>
      </c>
      <c r="R101" s="261"/>
      <c r="S101" s="81" t="s">
        <v>76</v>
      </c>
      <c r="T101" s="209"/>
      <c r="U101" s="210"/>
    </row>
    <row r="102" spans="1:21" ht="15">
      <c r="A102" s="76">
        <v>82</v>
      </c>
      <c r="B102" s="76">
        <v>99990010155461</v>
      </c>
      <c r="C102" s="77">
        <v>734406</v>
      </c>
      <c r="D102" s="78" t="s">
        <v>180</v>
      </c>
      <c r="E102" s="79"/>
      <c r="F102" s="77"/>
      <c r="G102" s="92">
        <v>0</v>
      </c>
      <c r="H102" s="80" t="s">
        <v>55</v>
      </c>
      <c r="I102" s="80"/>
      <c r="J102" s="79">
        <v>0</v>
      </c>
      <c r="K102" s="256">
        <v>20</v>
      </c>
      <c r="L102" s="257"/>
      <c r="M102" s="258">
        <v>11.4</v>
      </c>
      <c r="N102" s="259">
        <v>0</v>
      </c>
      <c r="O102" s="259">
        <v>0</v>
      </c>
      <c r="P102" s="260">
        <f>ROUND(((K102*M102)-(K102*M102*N102/100))+(((K102*M102)-(K102*M102*N102/100))*O102/100),2)</f>
      </c>
      <c r="Q102" s="261"/>
      <c r="R102" s="261"/>
      <c r="S102" s="81"/>
      <c r="T102" s="209"/>
      <c r="U102" s="210"/>
    </row>
    <row r="103" spans="1:21" ht="15">
      <c r="A103" s="76">
        <v>83</v>
      </c>
      <c r="B103" s="76">
        <v>99990008656010</v>
      </c>
      <c r="C103" s="77">
        <v>734403</v>
      </c>
      <c r="D103" s="78" t="s">
        <v>181</v>
      </c>
      <c r="E103" s="79"/>
      <c r="F103" s="77"/>
      <c r="G103" s="92">
        <v>0</v>
      </c>
      <c r="H103" s="77" t="s">
        <v>55</v>
      </c>
      <c r="I103" s="77"/>
      <c r="J103" s="79">
        <v>9.07</v>
      </c>
      <c r="K103" s="256">
        <v>20</v>
      </c>
      <c r="L103" s="257"/>
      <c r="M103" s="258">
        <v>9.07</v>
      </c>
      <c r="N103" s="259">
        <v>0</v>
      </c>
      <c r="O103" s="259">
        <v>0</v>
      </c>
      <c r="P103" s="260">
        <f>ROUND(((K103*M103)-(K103*M103*N103/100))+(((K103*M103)-(K103*M103*N103/100))*O103/100),2)</f>
      </c>
      <c r="Q103" s="261" t="s">
        <v>237</v>
      </c>
      <c r="R103" s="261"/>
      <c r="S103" s="81" t="s">
        <v>76</v>
      </c>
      <c r="T103" s="209"/>
      <c r="U103" s="210"/>
    </row>
    <row r="104" spans="1:21" ht="15">
      <c r="A104" s="76">
        <v>84</v>
      </c>
      <c r="B104" s="76">
        <v>99990009546293</v>
      </c>
      <c r="C104" s="77">
        <v>2121044</v>
      </c>
      <c r="D104" s="78" t="s">
        <v>182</v>
      </c>
      <c r="E104" s="79"/>
      <c r="F104" s="77"/>
      <c r="G104" s="92">
        <v>0</v>
      </c>
      <c r="H104" s="77" t="s">
        <v>55</v>
      </c>
      <c r="I104" s="77"/>
      <c r="J104" s="79">
        <v>6.24</v>
      </c>
      <c r="K104" s="256">
        <v>20</v>
      </c>
      <c r="L104" s="257"/>
      <c r="M104" s="258">
        <v>6.24</v>
      </c>
      <c r="N104" s="259">
        <v>0</v>
      </c>
      <c r="O104" s="259">
        <v>0</v>
      </c>
      <c r="P104" s="260">
        <f>ROUND(((K104*M104)-(K104*M104*N104/100))+(((K104*M104)-(K104*M104*N104/100))*O104/100),2)</f>
      </c>
      <c r="Q104" s="261" t="s">
        <v>237</v>
      </c>
      <c r="R104" s="261"/>
      <c r="S104" s="81" t="s">
        <v>76</v>
      </c>
      <c r="T104" s="209"/>
      <c r="U104" s="210"/>
    </row>
    <row r="105" spans="1:21" ht="15">
      <c r="A105" s="76">
        <v>85</v>
      </c>
      <c r="B105" s="76">
        <v>99990008656009</v>
      </c>
      <c r="C105" s="77">
        <v>734402</v>
      </c>
      <c r="D105" s="78" t="s">
        <v>183</v>
      </c>
      <c r="E105" s="79"/>
      <c r="F105" s="77"/>
      <c r="G105" s="92">
        <v>0</v>
      </c>
      <c r="H105" s="77" t="s">
        <v>55</v>
      </c>
      <c r="I105" s="77"/>
      <c r="J105" s="79">
        <v>6.80</v>
      </c>
      <c r="K105" s="256">
        <v>30</v>
      </c>
      <c r="L105" s="257"/>
      <c r="M105" s="258">
        <v>6.8</v>
      </c>
      <c r="N105" s="259">
        <v>0</v>
      </c>
      <c r="O105" s="259">
        <v>0</v>
      </c>
      <c r="P105" s="260">
        <f>ROUND(((K105*M105)-(K105*M105*N105/100))+(((K105*M105)-(K105*M105*N105/100))*O105/100),2)</f>
      </c>
      <c r="Q105" s="261" t="s">
        <v>237</v>
      </c>
      <c r="R105" s="261"/>
      <c r="S105" s="81" t="s">
        <v>76</v>
      </c>
      <c r="T105" s="209"/>
      <c r="U105" s="210"/>
    </row>
    <row r="106" spans="1:21" ht="15">
      <c r="A106" s="76">
        <v>86</v>
      </c>
      <c r="B106" s="76">
        <v>99990008187896</v>
      </c>
      <c r="C106" s="77">
        <v>591461</v>
      </c>
      <c r="D106" s="78" t="s">
        <v>184</v>
      </c>
      <c r="E106" s="79"/>
      <c r="F106" s="77"/>
      <c r="G106" s="92">
        <v>0</v>
      </c>
      <c r="H106" s="80" t="s">
        <v>146</v>
      </c>
      <c r="I106" s="80"/>
      <c r="J106" s="79">
        <v>0</v>
      </c>
      <c r="K106" s="256">
        <v>1</v>
      </c>
      <c r="L106" s="257"/>
      <c r="M106" s="258">
        <v>58.8</v>
      </c>
      <c r="N106" s="259">
        <v>0</v>
      </c>
      <c r="O106" s="259">
        <v>0</v>
      </c>
      <c r="P106" s="260">
        <f>ROUND(((K106*M106)-(K106*M106*N106/100))+(((K106*M106)-(K106*M106*N106/100))*O106/100),2)</f>
      </c>
      <c r="Q106" s="261" t="s">
        <v>455</v>
      </c>
      <c r="R106" s="261"/>
      <c r="S106" s="81"/>
      <c r="T106" s="209"/>
      <c r="U106" s="210"/>
    </row>
    <row r="107" spans="1:21" ht="15">
      <c r="A107" s="76">
        <v>87</v>
      </c>
      <c r="B107" s="76">
        <v>99990008656110</v>
      </c>
      <c r="C107" s="77">
        <v>232940</v>
      </c>
      <c r="D107" s="78" t="s">
        <v>185</v>
      </c>
      <c r="E107" s="79"/>
      <c r="F107" s="77"/>
      <c r="G107" s="92">
        <v>0</v>
      </c>
      <c r="H107" s="77" t="s">
        <v>55</v>
      </c>
      <c r="I107" s="77"/>
      <c r="J107" s="79">
        <v>0.50</v>
      </c>
      <c r="K107" s="256">
        <v>250</v>
      </c>
      <c r="L107" s="257"/>
      <c r="M107" s="258">
        <v>0.5</v>
      </c>
      <c r="N107" s="259">
        <v>0</v>
      </c>
      <c r="O107" s="259">
        <v>0</v>
      </c>
      <c r="P107" s="260">
        <f>ROUND(((K107*M107)-(K107*M107*N107/100))+(((K107*M107)-(K107*M107*N107/100))*O107/100),2)</f>
      </c>
      <c r="Q107" s="261" t="s">
        <v>456</v>
      </c>
      <c r="R107" s="261"/>
      <c r="S107" s="81" t="s">
        <v>186</v>
      </c>
      <c r="T107" s="209"/>
      <c r="U107" s="210"/>
    </row>
    <row r="108" spans="1:21" ht="15">
      <c r="A108" s="76">
        <v>88</v>
      </c>
      <c r="B108" s="76">
        <v>99990011491599</v>
      </c>
      <c r="C108" s="77">
        <v>232973</v>
      </c>
      <c r="D108" s="78" t="s">
        <v>187</v>
      </c>
      <c r="E108" s="79"/>
      <c r="F108" s="77"/>
      <c r="G108" s="92">
        <v>0</v>
      </c>
      <c r="H108" s="80" t="s">
        <v>188</v>
      </c>
      <c r="I108" s="80"/>
      <c r="J108" s="79">
        <v>0</v>
      </c>
      <c r="K108" s="256">
        <v>4</v>
      </c>
      <c r="L108" s="257"/>
      <c r="M108" s="258">
        <v>14.69</v>
      </c>
      <c r="N108" s="259">
        <v>0</v>
      </c>
      <c r="O108" s="259">
        <v>0</v>
      </c>
      <c r="P108" s="260">
        <f>ROUND(((K108*M108)-(K108*M108*N108/100))+(((K108*M108)-(K108*M108*N108/100))*O108/100),2)</f>
      </c>
      <c r="Q108" s="261" t="s">
        <v>457</v>
      </c>
      <c r="R108" s="261"/>
      <c r="S108" s="81"/>
      <c r="T108" s="209"/>
      <c r="U108" s="210"/>
    </row>
    <row r="109" spans="1:21" ht="15">
      <c r="A109" s="76">
        <v>89</v>
      </c>
      <c r="B109" s="76">
        <v>99990010101193</v>
      </c>
      <c r="C109" s="77">
        <v>692716</v>
      </c>
      <c r="D109" s="78" t="s">
        <v>189</v>
      </c>
      <c r="E109" s="79"/>
      <c r="F109" s="77"/>
      <c r="G109" s="92">
        <v>0</v>
      </c>
      <c r="H109" s="80" t="s">
        <v>71</v>
      </c>
      <c r="I109" s="80"/>
      <c r="J109" s="79">
        <v>0</v>
      </c>
      <c r="K109" s="256">
        <v>50</v>
      </c>
      <c r="L109" s="257"/>
      <c r="M109" s="258">
        <v>0.5</v>
      </c>
      <c r="N109" s="259">
        <v>0</v>
      </c>
      <c r="O109" s="259">
        <v>0</v>
      </c>
      <c r="P109" s="260">
        <f>ROUND(((K109*M109)-(K109*M109*N109/100))+(((K109*M109)-(K109*M109*N109/100))*O109/100),2)</f>
      </c>
      <c r="Q109" s="261"/>
      <c r="R109" s="261"/>
      <c r="S109" s="81"/>
      <c r="T109" s="209"/>
      <c r="U109" s="210"/>
    </row>
    <row r="110" spans="1:21" ht="15">
      <c r="A110" s="76">
        <v>90</v>
      </c>
      <c r="B110" s="76">
        <v>99990009669812</v>
      </c>
      <c r="C110" s="77">
        <v>692362</v>
      </c>
      <c r="D110" s="78" t="s">
        <v>190</v>
      </c>
      <c r="E110" s="79"/>
      <c r="F110" s="77"/>
      <c r="G110" s="92">
        <v>0</v>
      </c>
      <c r="H110" s="77" t="s">
        <v>71</v>
      </c>
      <c r="I110" s="77"/>
      <c r="J110" s="79">
        <v>0.15</v>
      </c>
      <c r="K110" s="256">
        <v>30</v>
      </c>
      <c r="L110" s="257"/>
      <c r="M110" s="258">
        <v>0.15</v>
      </c>
      <c r="N110" s="259">
        <v>0</v>
      </c>
      <c r="O110" s="259">
        <v>0</v>
      </c>
      <c r="P110" s="260">
        <f>ROUND(((K110*M110)-(K110*M110*N110/100))+(((K110*M110)-(K110*M110*N110/100))*O110/100),2)</f>
      </c>
      <c r="Q110" s="261" t="s">
        <v>237</v>
      </c>
      <c r="R110" s="261"/>
      <c r="S110" s="81" t="s">
        <v>76</v>
      </c>
      <c r="T110" s="209"/>
      <c r="U110" s="210"/>
    </row>
    <row r="111" spans="1:21" ht="15">
      <c r="A111" s="76">
        <v>91</v>
      </c>
      <c r="B111" s="76">
        <v>99990011013631</v>
      </c>
      <c r="C111" s="77">
        <v>692511</v>
      </c>
      <c r="D111" s="78" t="s">
        <v>191</v>
      </c>
      <c r="E111" s="79"/>
      <c r="F111" s="77"/>
      <c r="G111" s="92">
        <v>0</v>
      </c>
      <c r="H111" s="80" t="s">
        <v>71</v>
      </c>
      <c r="I111" s="80"/>
      <c r="J111" s="79">
        <v>0</v>
      </c>
      <c r="K111" s="256">
        <v>30</v>
      </c>
      <c r="L111" s="257"/>
      <c r="M111" s="258">
        <v>0.15</v>
      </c>
      <c r="N111" s="259">
        <v>0</v>
      </c>
      <c r="O111" s="259">
        <v>0</v>
      </c>
      <c r="P111" s="260">
        <f>ROUND(((K111*M111)-(K111*M111*N111/100))+(((K111*M111)-(K111*M111*N111/100))*O111/100),2)</f>
      </c>
      <c r="Q111" s="261"/>
      <c r="R111" s="261"/>
      <c r="S111" s="81"/>
      <c r="T111" s="209"/>
      <c r="U111" s="210"/>
    </row>
    <row r="112" spans="1:21" ht="15">
      <c r="A112" s="76">
        <v>92</v>
      </c>
      <c r="B112" s="76">
        <v>99990009838387</v>
      </c>
      <c r="C112" s="77">
        <v>691185</v>
      </c>
      <c r="D112" s="78" t="s">
        <v>192</v>
      </c>
      <c r="E112" s="79"/>
      <c r="F112" s="77"/>
      <c r="G112" s="92">
        <v>0</v>
      </c>
      <c r="H112" s="80" t="s">
        <v>71</v>
      </c>
      <c r="I112" s="80"/>
      <c r="J112" s="79">
        <v>0</v>
      </c>
      <c r="K112" s="256">
        <v>100</v>
      </c>
      <c r="L112" s="257"/>
      <c r="M112" s="258">
        <v>0.2</v>
      </c>
      <c r="N112" s="259">
        <v>0</v>
      </c>
      <c r="O112" s="259">
        <v>0</v>
      </c>
      <c r="P112" s="260">
        <f>ROUND(((K112*M112)-(K112*M112*N112/100))+(((K112*M112)-(K112*M112*N112/100))*O112/100),2)</f>
      </c>
      <c r="Q112" s="261"/>
      <c r="R112" s="261"/>
      <c r="S112" s="81"/>
      <c r="T112" s="209"/>
      <c r="U112" s="210"/>
    </row>
    <row r="113" spans="1:21" ht="15">
      <c r="A113" s="76">
        <v>93</v>
      </c>
      <c r="B113" s="76">
        <v>99990009573498</v>
      </c>
      <c r="C113" s="77">
        <v>2136450</v>
      </c>
      <c r="D113" s="78" t="s">
        <v>193</v>
      </c>
      <c r="E113" s="79"/>
      <c r="F113" s="77"/>
      <c r="G113" s="92">
        <v>0</v>
      </c>
      <c r="H113" s="77" t="s">
        <v>71</v>
      </c>
      <c r="I113" s="77"/>
      <c r="J113" s="79">
        <v>0.26</v>
      </c>
      <c r="K113" s="256">
        <v>100</v>
      </c>
      <c r="L113" s="257"/>
      <c r="M113" s="258">
        <v>0.26</v>
      </c>
      <c r="N113" s="259">
        <v>0</v>
      </c>
      <c r="O113" s="259">
        <v>0</v>
      </c>
      <c r="P113" s="260">
        <f>ROUND(((K113*M113)-(K113*M113*N113/100))+(((K113*M113)-(K113*M113*N113/100))*O113/100),2)</f>
      </c>
      <c r="Q113" s="261" t="s">
        <v>237</v>
      </c>
      <c r="R113" s="261"/>
      <c r="S113" s="81" t="s">
        <v>76</v>
      </c>
      <c r="T113" s="209"/>
      <c r="U113" s="210"/>
    </row>
    <row r="114" spans="1:21" ht="15">
      <c r="A114" s="76">
        <v>94</v>
      </c>
      <c r="B114" s="76">
        <v>99990009630983</v>
      </c>
      <c r="C114" s="77">
        <v>691284</v>
      </c>
      <c r="D114" s="78" t="s">
        <v>194</v>
      </c>
      <c r="E114" s="79"/>
      <c r="F114" s="77"/>
      <c r="G114" s="92">
        <v>0</v>
      </c>
      <c r="H114" s="77" t="s">
        <v>71</v>
      </c>
      <c r="I114" s="77"/>
      <c r="J114" s="79">
        <v>0.45</v>
      </c>
      <c r="K114" s="256">
        <v>100</v>
      </c>
      <c r="L114" s="257"/>
      <c r="M114" s="258">
        <v>0.45</v>
      </c>
      <c r="N114" s="259">
        <v>0</v>
      </c>
      <c r="O114" s="259">
        <v>0</v>
      </c>
      <c r="P114" s="260">
        <f>ROUND(((K114*M114)-(K114*M114*N114/100))+(((K114*M114)-(K114*M114*N114/100))*O114/100),2)</f>
      </c>
      <c r="Q114" s="261" t="s">
        <v>237</v>
      </c>
      <c r="R114" s="261"/>
      <c r="S114" s="81" t="s">
        <v>76</v>
      </c>
      <c r="T114" s="209"/>
      <c r="U114" s="210"/>
    </row>
    <row r="115" spans="1:21" ht="15">
      <c r="A115" s="76">
        <v>95</v>
      </c>
      <c r="B115" s="76">
        <v>99990008655761</v>
      </c>
      <c r="C115" s="77">
        <v>650873</v>
      </c>
      <c r="D115" s="78" t="s">
        <v>195</v>
      </c>
      <c r="E115" s="79"/>
      <c r="F115" s="77"/>
      <c r="G115" s="92">
        <v>0</v>
      </c>
      <c r="H115" s="77" t="s">
        <v>55</v>
      </c>
      <c r="I115" s="77"/>
      <c r="J115" s="79">
        <v>26.49</v>
      </c>
      <c r="K115" s="256">
        <v>3</v>
      </c>
      <c r="L115" s="257"/>
      <c r="M115" s="258">
        <v>26.49</v>
      </c>
      <c r="N115" s="259">
        <v>0</v>
      </c>
      <c r="O115" s="259">
        <v>0</v>
      </c>
      <c r="P115" s="260">
        <f>ROUND(((K115*M115)-(K115*M115*N115/100))+(((K115*M115)-(K115*M115*N115/100))*O115/100),2)</f>
      </c>
      <c r="Q115" s="261"/>
      <c r="R115" s="261"/>
      <c r="S115" s="81" t="s">
        <v>196</v>
      </c>
      <c r="T115" s="209"/>
      <c r="U115" s="210"/>
    </row>
    <row r="116" spans="1:21" ht="15">
      <c r="A116" s="76">
        <v>96</v>
      </c>
      <c r="B116" s="76">
        <v>99990008655759</v>
      </c>
      <c r="C116" s="77">
        <v>650853</v>
      </c>
      <c r="D116" s="78" t="s">
        <v>197</v>
      </c>
      <c r="E116" s="79"/>
      <c r="F116" s="77"/>
      <c r="G116" s="92">
        <v>0</v>
      </c>
      <c r="H116" s="77" t="s">
        <v>55</v>
      </c>
      <c r="I116" s="77"/>
      <c r="J116" s="79">
        <v>20.05</v>
      </c>
      <c r="K116" s="256">
        <v>3</v>
      </c>
      <c r="L116" s="257"/>
      <c r="M116" s="258">
        <v>20.05</v>
      </c>
      <c r="N116" s="259">
        <v>0</v>
      </c>
      <c r="O116" s="259">
        <v>0</v>
      </c>
      <c r="P116" s="260">
        <f>ROUND(((K116*M116)-(K116*M116*N116/100))+(((K116*M116)-(K116*M116*N116/100))*O116/100),2)</f>
      </c>
      <c r="Q116" s="261"/>
      <c r="R116" s="261"/>
      <c r="S116" s="81" t="s">
        <v>196</v>
      </c>
      <c r="T116" s="209"/>
      <c r="U116" s="210"/>
    </row>
    <row r="117" spans="1:21" ht="15">
      <c r="A117" s="76">
        <v>97</v>
      </c>
      <c r="B117" s="76">
        <v>99990008658046</v>
      </c>
      <c r="C117" s="77">
        <v>613456</v>
      </c>
      <c r="D117" s="78" t="s">
        <v>198</v>
      </c>
      <c r="E117" s="79"/>
      <c r="F117" s="77"/>
      <c r="G117" s="92">
        <v>0</v>
      </c>
      <c r="H117" s="77" t="s">
        <v>55</v>
      </c>
      <c r="I117" s="77"/>
      <c r="J117" s="79">
        <v>0.36</v>
      </c>
      <c r="K117" s="256">
        <v>3</v>
      </c>
      <c r="L117" s="257"/>
      <c r="M117" s="258">
        <v>0.36</v>
      </c>
      <c r="N117" s="259">
        <v>0</v>
      </c>
      <c r="O117" s="259">
        <v>0</v>
      </c>
      <c r="P117" s="260">
        <f>ROUND(((K117*M117)-(K117*M117*N117/100))+(((K117*M117)-(K117*M117*N117/100))*O117/100),2)</f>
      </c>
      <c r="Q117" s="261"/>
      <c r="R117" s="261"/>
      <c r="S117" s="81" t="s">
        <v>199</v>
      </c>
      <c r="T117" s="209"/>
      <c r="U117" s="210"/>
    </row>
    <row r="118" spans="1:21" ht="15">
      <c r="A118" s="76">
        <v>98</v>
      </c>
      <c r="B118" s="76">
        <v>99990008658047</v>
      </c>
      <c r="C118" s="77">
        <v>613457</v>
      </c>
      <c r="D118" s="78" t="s">
        <v>200</v>
      </c>
      <c r="E118" s="79"/>
      <c r="F118" s="77"/>
      <c r="G118" s="92">
        <v>0</v>
      </c>
      <c r="H118" s="77" t="s">
        <v>55</v>
      </c>
      <c r="I118" s="77"/>
      <c r="J118" s="79">
        <v>0.36</v>
      </c>
      <c r="K118" s="256">
        <v>3</v>
      </c>
      <c r="L118" s="257"/>
      <c r="M118" s="258">
        <v>0.36</v>
      </c>
      <c r="N118" s="259">
        <v>0</v>
      </c>
      <c r="O118" s="259">
        <v>0</v>
      </c>
      <c r="P118" s="260">
        <f>ROUND(((K118*M118)-(K118*M118*N118/100))+(((K118*M118)-(K118*M118*N118/100))*O118/100),2)</f>
      </c>
      <c r="Q118" s="261"/>
      <c r="R118" s="261"/>
      <c r="S118" s="81" t="s">
        <v>199</v>
      </c>
      <c r="T118" s="209"/>
      <c r="U118" s="210"/>
    </row>
    <row r="119" spans="1:21" ht="15">
      <c r="A119" s="76">
        <v>99</v>
      </c>
      <c r="B119" s="76">
        <v>99990008657999</v>
      </c>
      <c r="C119" s="77">
        <v>612904</v>
      </c>
      <c r="D119" s="78" t="s">
        <v>201</v>
      </c>
      <c r="E119" s="79"/>
      <c r="F119" s="77"/>
      <c r="G119" s="92">
        <v>0</v>
      </c>
      <c r="H119" s="77" t="s">
        <v>55</v>
      </c>
      <c r="I119" s="77"/>
      <c r="J119" s="79">
        <v>1.60</v>
      </c>
      <c r="K119" s="256">
        <v>2</v>
      </c>
      <c r="L119" s="257"/>
      <c r="M119" s="258">
        <v>1.6</v>
      </c>
      <c r="N119" s="259">
        <v>0</v>
      </c>
      <c r="O119" s="259">
        <v>0</v>
      </c>
      <c r="P119" s="260">
        <f>ROUND(((K119*M119)-(K119*M119*N119/100))+(((K119*M119)-(K119*M119*N119/100))*O119/100),2)</f>
      </c>
      <c r="Q119" s="261"/>
      <c r="R119" s="261"/>
      <c r="S119" s="81" t="s">
        <v>202</v>
      </c>
      <c r="T119" s="209"/>
      <c r="U119" s="210"/>
    </row>
    <row r="120" spans="1:21" ht="15">
      <c r="A120" s="76">
        <v>100</v>
      </c>
      <c r="B120" s="76">
        <v>99990008658001</v>
      </c>
      <c r="C120" s="77">
        <v>612906</v>
      </c>
      <c r="D120" s="78" t="s">
        <v>203</v>
      </c>
      <c r="E120" s="79"/>
      <c r="F120" s="77"/>
      <c r="G120" s="92">
        <v>0</v>
      </c>
      <c r="H120" s="77" t="s">
        <v>55</v>
      </c>
      <c r="I120" s="77"/>
      <c r="J120" s="79">
        <v>2.37</v>
      </c>
      <c r="K120" s="256">
        <v>2</v>
      </c>
      <c r="L120" s="257"/>
      <c r="M120" s="258">
        <v>2.37</v>
      </c>
      <c r="N120" s="259">
        <v>0</v>
      </c>
      <c r="O120" s="259">
        <v>0</v>
      </c>
      <c r="P120" s="260">
        <f>ROUND(((K120*M120)-(K120*M120*N120/100))+(((K120*M120)-(K120*M120*N120/100))*O120/100),2)</f>
      </c>
      <c r="Q120" s="261"/>
      <c r="R120" s="261"/>
      <c r="S120" s="81" t="s">
        <v>204</v>
      </c>
      <c r="T120" s="209"/>
      <c r="U120" s="210"/>
    </row>
    <row r="121" spans="1:21" ht="15">
      <c r="A121" s="76">
        <v>101</v>
      </c>
      <c r="B121" s="76">
        <v>99990008656310</v>
      </c>
      <c r="C121" s="77">
        <v>610765</v>
      </c>
      <c r="D121" s="78" t="s">
        <v>205</v>
      </c>
      <c r="E121" s="79"/>
      <c r="F121" s="77"/>
      <c r="G121" s="92">
        <v>0</v>
      </c>
      <c r="H121" s="77" t="s">
        <v>55</v>
      </c>
      <c r="I121" s="77"/>
      <c r="J121" s="79">
        <v>1.53</v>
      </c>
      <c r="K121" s="256">
        <v>4</v>
      </c>
      <c r="L121" s="257"/>
      <c r="M121" s="258">
        <v>1.53</v>
      </c>
      <c r="N121" s="259">
        <v>0</v>
      </c>
      <c r="O121" s="259">
        <v>0</v>
      </c>
      <c r="P121" s="260">
        <f>ROUND(((K121*M121)-(K121*M121*N121/100))+(((K121*M121)-(K121*M121*N121/100))*O121/100),2)</f>
      </c>
      <c r="Q121" s="261" t="s">
        <v>458</v>
      </c>
      <c r="R121" s="261"/>
      <c r="S121" s="81" t="s">
        <v>206</v>
      </c>
      <c r="T121" s="209"/>
      <c r="U121" s="210"/>
    </row>
    <row r="122" spans="1:21" ht="15">
      <c r="A122" s="76">
        <v>102</v>
      </c>
      <c r="B122" s="76">
        <v>99990010055186</v>
      </c>
      <c r="C122" s="77">
        <v>612883</v>
      </c>
      <c r="D122" s="78" t="s">
        <v>207</v>
      </c>
      <c r="E122" s="79"/>
      <c r="F122" s="77"/>
      <c r="G122" s="92">
        <v>0</v>
      </c>
      <c r="H122" s="80" t="s">
        <v>55</v>
      </c>
      <c r="I122" s="80"/>
      <c r="J122" s="79">
        <v>0</v>
      </c>
      <c r="K122" s="256">
        <v>2</v>
      </c>
      <c r="L122" s="257"/>
      <c r="M122" s="258">
        <v>8.85</v>
      </c>
      <c r="N122" s="259">
        <v>0</v>
      </c>
      <c r="O122" s="259">
        <v>0</v>
      </c>
      <c r="P122" s="260">
        <f>ROUND(((K122*M122)-(K122*M122*N122/100))+(((K122*M122)-(K122*M122*N122/100))*O122/100),2)</f>
      </c>
      <c r="Q122" s="261"/>
      <c r="R122" s="261"/>
      <c r="S122" s="81"/>
      <c r="T122" s="209"/>
      <c r="U122" s="210"/>
    </row>
    <row r="123" spans="1:21" ht="15">
      <c r="A123" s="76">
        <v>103</v>
      </c>
      <c r="B123" s="76">
        <v>99990009813266</v>
      </c>
      <c r="C123" s="77">
        <v>611726</v>
      </c>
      <c r="D123" s="78" t="s">
        <v>208</v>
      </c>
      <c r="E123" s="79"/>
      <c r="F123" s="77"/>
      <c r="G123" s="92">
        <v>0</v>
      </c>
      <c r="H123" s="80" t="s">
        <v>209</v>
      </c>
      <c r="I123" s="80"/>
      <c r="J123" s="79">
        <v>0</v>
      </c>
      <c r="K123" s="256">
        <v>2</v>
      </c>
      <c r="L123" s="257"/>
      <c r="M123" s="258">
        <v>10.14</v>
      </c>
      <c r="N123" s="259">
        <v>0</v>
      </c>
      <c r="O123" s="259">
        <v>0</v>
      </c>
      <c r="P123" s="260">
        <f>ROUND(((K123*M123)-(K123*M123*N123/100))+(((K123*M123)-(K123*M123*N123/100))*O123/100),2)</f>
      </c>
      <c r="Q123" s="261" t="s">
        <v>459</v>
      </c>
      <c r="R123" s="261"/>
      <c r="S123" s="81"/>
      <c r="T123" s="209"/>
      <c r="U123" s="210"/>
    </row>
    <row r="124" spans="1:21" ht="15">
      <c r="A124" s="76">
        <v>104</v>
      </c>
      <c r="B124" s="76">
        <v>99990008655685</v>
      </c>
      <c r="C124" s="77">
        <v>632487</v>
      </c>
      <c r="D124" s="78" t="s">
        <v>210</v>
      </c>
      <c r="E124" s="79"/>
      <c r="F124" s="77"/>
      <c r="G124" s="92">
        <v>0</v>
      </c>
      <c r="H124" s="77" t="s">
        <v>71</v>
      </c>
      <c r="I124" s="77"/>
      <c r="J124" s="79">
        <v>4.54</v>
      </c>
      <c r="K124" s="256">
        <v>1</v>
      </c>
      <c r="L124" s="257"/>
      <c r="M124" s="258">
        <v>4.54</v>
      </c>
      <c r="N124" s="259">
        <v>0</v>
      </c>
      <c r="O124" s="259">
        <v>0</v>
      </c>
      <c r="P124" s="260">
        <f>ROUND(((K124*M124)-(K124*M124*N124/100))+(((K124*M124)-(K124*M124*N124/100))*O124/100),2)</f>
      </c>
      <c r="Q124" s="261" t="s">
        <v>460</v>
      </c>
      <c r="R124" s="261"/>
      <c r="S124" s="81" t="s">
        <v>211</v>
      </c>
      <c r="T124" s="209"/>
      <c r="U124" s="210"/>
    </row>
    <row r="125" spans="1:21" ht="15">
      <c r="A125" s="76">
        <v>105</v>
      </c>
      <c r="B125" s="76">
        <v>99990011135682</v>
      </c>
      <c r="C125" s="77">
        <v>614345</v>
      </c>
      <c r="D125" s="78" t="s">
        <v>212</v>
      </c>
      <c r="E125" s="79"/>
      <c r="F125" s="77"/>
      <c r="G125" s="92">
        <v>0</v>
      </c>
      <c r="H125" s="80" t="s">
        <v>55</v>
      </c>
      <c r="I125" s="80"/>
      <c r="J125" s="79">
        <v>0</v>
      </c>
      <c r="K125" s="256">
        <v>2</v>
      </c>
      <c r="L125" s="257"/>
      <c r="M125" s="258">
        <v>3.2</v>
      </c>
      <c r="N125" s="259">
        <v>0</v>
      </c>
      <c r="O125" s="259">
        <v>0</v>
      </c>
      <c r="P125" s="260">
        <f>ROUND(((K125*M125)-(K125*M125*N125/100))+(((K125*M125)-(K125*M125*N125/100))*O125/100),2)</f>
      </c>
      <c r="Q125" s="261"/>
      <c r="R125" s="261"/>
      <c r="S125" s="81"/>
      <c r="T125" s="209"/>
      <c r="U125" s="210"/>
    </row>
    <row r="126" spans="1:21" ht="15">
      <c r="A126" s="76">
        <v>106</v>
      </c>
      <c r="B126" s="76">
        <v>99990008658183</v>
      </c>
      <c r="C126" s="77">
        <v>617682</v>
      </c>
      <c r="D126" s="78" t="s">
        <v>213</v>
      </c>
      <c r="E126" s="79"/>
      <c r="F126" s="77"/>
      <c r="G126" s="92">
        <v>0</v>
      </c>
      <c r="H126" s="77" t="s">
        <v>55</v>
      </c>
      <c r="I126" s="77"/>
      <c r="J126" s="79">
        <v>1.70</v>
      </c>
      <c r="K126" s="256">
        <v>2</v>
      </c>
      <c r="L126" s="257"/>
      <c r="M126" s="258">
        <v>1.7</v>
      </c>
      <c r="N126" s="259">
        <v>0</v>
      </c>
      <c r="O126" s="259">
        <v>0</v>
      </c>
      <c r="P126" s="260">
        <f>ROUND(((K126*M126)-(K126*M126*N126/100))+(((K126*M126)-(K126*M126*N126/100))*O126/100),2)</f>
      </c>
      <c r="Q126" s="261" t="s">
        <v>217</v>
      </c>
      <c r="R126" s="261"/>
      <c r="S126" s="81" t="s">
        <v>214</v>
      </c>
      <c r="T126" s="209"/>
      <c r="U126" s="210"/>
    </row>
    <row r="127" spans="1:21" ht="15">
      <c r="A127" s="76">
        <v>107</v>
      </c>
      <c r="B127" s="76">
        <v>99990008658181</v>
      </c>
      <c r="C127" s="77">
        <v>617680</v>
      </c>
      <c r="D127" s="78" t="s">
        <v>215</v>
      </c>
      <c r="E127" s="79"/>
      <c r="F127" s="77"/>
      <c r="G127" s="92">
        <v>0</v>
      </c>
      <c r="H127" s="77" t="s">
        <v>55</v>
      </c>
      <c r="I127" s="77"/>
      <c r="J127" s="79">
        <v>2.84</v>
      </c>
      <c r="K127" s="256">
        <v>2</v>
      </c>
      <c r="L127" s="257"/>
      <c r="M127" s="258">
        <v>2.84</v>
      </c>
      <c r="N127" s="259">
        <v>0</v>
      </c>
      <c r="O127" s="259">
        <v>0</v>
      </c>
      <c r="P127" s="260">
        <f>ROUND(((K127*M127)-(K127*M127*N127/100))+(((K127*M127)-(K127*M127*N127/100))*O127/100),2)</f>
      </c>
      <c r="Q127" s="261" t="s">
        <v>217</v>
      </c>
      <c r="R127" s="261"/>
      <c r="S127" s="81" t="s">
        <v>214</v>
      </c>
      <c r="T127" s="209"/>
      <c r="U127" s="210"/>
    </row>
    <row r="128" spans="1:21" ht="15">
      <c r="A128" s="76">
        <v>108</v>
      </c>
      <c r="B128" s="76">
        <v>99990008658040</v>
      </c>
      <c r="C128" s="77">
        <v>613426</v>
      </c>
      <c r="D128" s="78" t="s">
        <v>216</v>
      </c>
      <c r="E128" s="79"/>
      <c r="F128" s="77"/>
      <c r="G128" s="92">
        <v>0</v>
      </c>
      <c r="H128" s="77" t="s">
        <v>55</v>
      </c>
      <c r="I128" s="77"/>
      <c r="J128" s="79">
        <v>3.40</v>
      </c>
      <c r="K128" s="256">
        <v>3</v>
      </c>
      <c r="L128" s="257"/>
      <c r="M128" s="258">
        <v>3.4</v>
      </c>
      <c r="N128" s="259">
        <v>0</v>
      </c>
      <c r="O128" s="259">
        <v>0</v>
      </c>
      <c r="P128" s="260">
        <f>ROUND(((K128*M128)-(K128*M128*N128/100))+(((K128*M128)-(K128*M128*N128/100))*O128/100),2)</f>
      </c>
      <c r="Q128" s="261"/>
      <c r="R128" s="261"/>
      <c r="S128" s="81" t="s">
        <v>217</v>
      </c>
      <c r="T128" s="209"/>
      <c r="U128" s="210"/>
    </row>
    <row r="129" spans="1:21" ht="15">
      <c r="A129" s="76">
        <v>109</v>
      </c>
      <c r="B129" s="76">
        <v>99990009647166</v>
      </c>
      <c r="C129" s="77">
        <v>617703</v>
      </c>
      <c r="D129" s="78" t="s">
        <v>218</v>
      </c>
      <c r="E129" s="79"/>
      <c r="F129" s="77"/>
      <c r="G129" s="92">
        <v>0</v>
      </c>
      <c r="H129" s="77" t="s">
        <v>55</v>
      </c>
      <c r="I129" s="77"/>
      <c r="J129" s="79">
        <v>8.45</v>
      </c>
      <c r="K129" s="256">
        <v>2</v>
      </c>
      <c r="L129" s="257"/>
      <c r="M129" s="258">
        <v>8.45</v>
      </c>
      <c r="N129" s="259">
        <v>0</v>
      </c>
      <c r="O129" s="259">
        <v>0</v>
      </c>
      <c r="P129" s="260">
        <f>ROUND(((K129*M129)-(K129*M129*N129/100))+(((K129*M129)-(K129*M129*N129/100))*O129/100),2)</f>
      </c>
      <c r="Q129" s="261" t="s">
        <v>461</v>
      </c>
      <c r="R129" s="261"/>
      <c r="S129" s="81" t="s">
        <v>219</v>
      </c>
      <c r="T129" s="209"/>
      <c r="U129" s="210"/>
    </row>
    <row r="130" spans="1:21" ht="15">
      <c r="A130" s="76">
        <v>110</v>
      </c>
      <c r="B130" s="76">
        <v>99990008657952</v>
      </c>
      <c r="C130" s="77">
        <v>612504</v>
      </c>
      <c r="D130" s="78" t="s">
        <v>220</v>
      </c>
      <c r="E130" s="79"/>
      <c r="F130" s="77"/>
      <c r="G130" s="92">
        <v>0</v>
      </c>
      <c r="H130" s="77" t="s">
        <v>55</v>
      </c>
      <c r="I130" s="77"/>
      <c r="J130" s="79">
        <v>2.63</v>
      </c>
      <c r="K130" s="256">
        <v>4</v>
      </c>
      <c r="L130" s="257"/>
      <c r="M130" s="258">
        <v>2.63</v>
      </c>
      <c r="N130" s="259">
        <v>0</v>
      </c>
      <c r="O130" s="259">
        <v>0</v>
      </c>
      <c r="P130" s="260">
        <f>ROUND(((K130*M130)-(K130*M130*N130/100))+(((K130*M130)-(K130*M130*N130/100))*O130/100),2)</f>
      </c>
      <c r="Q130" s="261"/>
      <c r="R130" s="261"/>
      <c r="S130" s="81" t="s">
        <v>221</v>
      </c>
      <c r="T130" s="209"/>
      <c r="U130" s="210"/>
    </row>
    <row r="131" spans="1:21" ht="15">
      <c r="A131" s="76">
        <v>111</v>
      </c>
      <c r="B131" s="76">
        <v>99990008657955</v>
      </c>
      <c r="C131" s="77">
        <v>612507</v>
      </c>
      <c r="D131" s="78" t="s">
        <v>222</v>
      </c>
      <c r="E131" s="79"/>
      <c r="F131" s="77"/>
      <c r="G131" s="92">
        <v>0</v>
      </c>
      <c r="H131" s="77" t="s">
        <v>55</v>
      </c>
      <c r="I131" s="77"/>
      <c r="J131" s="79">
        <v>3.40</v>
      </c>
      <c r="K131" s="256">
        <v>4</v>
      </c>
      <c r="L131" s="257"/>
      <c r="M131" s="258">
        <v>3.4</v>
      </c>
      <c r="N131" s="259">
        <v>0</v>
      </c>
      <c r="O131" s="259">
        <v>0</v>
      </c>
      <c r="P131" s="260">
        <f>ROUND(((K131*M131)-(K131*M131*N131/100))+(((K131*M131)-(K131*M131*N131/100))*O131/100),2)</f>
      </c>
      <c r="Q131" s="261"/>
      <c r="R131" s="261"/>
      <c r="S131" s="81" t="s">
        <v>221</v>
      </c>
      <c r="T131" s="209"/>
      <c r="U131" s="210"/>
    </row>
    <row r="132" spans="1:21" ht="15">
      <c r="A132" s="76">
        <v>112</v>
      </c>
      <c r="B132" s="76">
        <v>99990009813143</v>
      </c>
      <c r="C132" s="77">
        <v>617717</v>
      </c>
      <c r="D132" s="78" t="s">
        <v>223</v>
      </c>
      <c r="E132" s="79"/>
      <c r="F132" s="77"/>
      <c r="G132" s="92">
        <v>0</v>
      </c>
      <c r="H132" s="80" t="s">
        <v>55</v>
      </c>
      <c r="I132" s="80"/>
      <c r="J132" s="79">
        <v>0</v>
      </c>
      <c r="K132" s="256">
        <v>2</v>
      </c>
      <c r="L132" s="257"/>
      <c r="M132" s="258">
        <v>9.5</v>
      </c>
      <c r="N132" s="259">
        <v>0</v>
      </c>
      <c r="O132" s="259">
        <v>0</v>
      </c>
      <c r="P132" s="260">
        <f>ROUND(((K132*M132)-(K132*M132*N132/100))+(((K132*M132)-(K132*M132*N132/100))*O132/100),2)</f>
      </c>
      <c r="Q132" s="261"/>
      <c r="R132" s="261"/>
      <c r="S132" s="81"/>
      <c r="T132" s="209"/>
      <c r="U132" s="210"/>
    </row>
    <row r="133" spans="1:21" ht="15">
      <c r="A133" s="76">
        <v>113</v>
      </c>
      <c r="B133" s="76">
        <v>99990008656229</v>
      </c>
      <c r="C133" s="77">
        <v>591661</v>
      </c>
      <c r="D133" s="78" t="s">
        <v>224</v>
      </c>
      <c r="E133" s="79"/>
      <c r="F133" s="77"/>
      <c r="G133" s="92">
        <v>0</v>
      </c>
      <c r="H133" s="77" t="s">
        <v>71</v>
      </c>
      <c r="I133" s="77"/>
      <c r="J133" s="79">
        <v>101.41</v>
      </c>
      <c r="K133" s="256">
        <v>1</v>
      </c>
      <c r="L133" s="257"/>
      <c r="M133" s="258">
        <v>101.41</v>
      </c>
      <c r="N133" s="259">
        <v>0</v>
      </c>
      <c r="O133" s="259">
        <v>0</v>
      </c>
      <c r="P133" s="260">
        <f>ROUND(((K133*M133)-(K133*M133*N133/100))+(((K133*M133)-(K133*M133*N133/100))*O133/100),2)</f>
      </c>
      <c r="Q133" s="261" t="s">
        <v>462</v>
      </c>
      <c r="R133" s="261"/>
      <c r="S133" s="81" t="s">
        <v>225</v>
      </c>
      <c r="T133" s="209"/>
      <c r="U133" s="210"/>
    </row>
    <row r="134" spans="1:21" ht="15">
      <c r="A134" s="76">
        <v>114</v>
      </c>
      <c r="B134" s="76">
        <v>99990008656430</v>
      </c>
      <c r="C134" s="77">
        <v>611686</v>
      </c>
      <c r="D134" s="78" t="s">
        <v>226</v>
      </c>
      <c r="E134" s="79"/>
      <c r="F134" s="77"/>
      <c r="G134" s="92">
        <v>0</v>
      </c>
      <c r="H134" s="77" t="s">
        <v>209</v>
      </c>
      <c r="I134" s="77"/>
      <c r="J134" s="79">
        <v>2.94</v>
      </c>
      <c r="K134" s="256">
        <v>1</v>
      </c>
      <c r="L134" s="257"/>
      <c r="M134" s="258">
        <v>2.94</v>
      </c>
      <c r="N134" s="259">
        <v>0</v>
      </c>
      <c r="O134" s="259">
        <v>0</v>
      </c>
      <c r="P134" s="260">
        <f>ROUND(((K134*M134)-(K134*M134*N134/100))+(((K134*M134)-(K134*M134*N134/100))*O134/100),2)</f>
      </c>
      <c r="Q134" s="261" t="s">
        <v>463</v>
      </c>
      <c r="R134" s="261"/>
      <c r="S134" s="81" t="s">
        <v>227</v>
      </c>
      <c r="T134" s="209"/>
      <c r="U134" s="210"/>
    </row>
    <row r="135" spans="1:21" ht="15">
      <c r="A135" s="76">
        <v>115</v>
      </c>
      <c r="B135" s="76">
        <v>99990008656419</v>
      </c>
      <c r="C135" s="77">
        <v>611657</v>
      </c>
      <c r="D135" s="78" t="s">
        <v>228</v>
      </c>
      <c r="E135" s="79"/>
      <c r="F135" s="77"/>
      <c r="G135" s="92">
        <v>0</v>
      </c>
      <c r="H135" s="77" t="s">
        <v>209</v>
      </c>
      <c r="I135" s="77"/>
      <c r="J135" s="79">
        <v>3.95</v>
      </c>
      <c r="K135" s="256">
        <v>2</v>
      </c>
      <c r="L135" s="257"/>
      <c r="M135" s="258">
        <v>3.95</v>
      </c>
      <c r="N135" s="259">
        <v>0</v>
      </c>
      <c r="O135" s="259">
        <v>0</v>
      </c>
      <c r="P135" s="260">
        <f>ROUND(((K135*M135)-(K135*M135*N135/100))+(((K135*M135)-(K135*M135*N135/100))*O135/100),2)</f>
      </c>
      <c r="Q135" s="261" t="s">
        <v>464</v>
      </c>
      <c r="R135" s="261"/>
      <c r="S135" s="81" t="s">
        <v>229</v>
      </c>
      <c r="T135" s="209"/>
      <c r="U135" s="210"/>
    </row>
    <row r="136" spans="1:21" ht="15">
      <c r="A136" s="76">
        <v>116</v>
      </c>
      <c r="B136" s="76">
        <v>99990008656462</v>
      </c>
      <c r="C136" s="77">
        <v>611802</v>
      </c>
      <c r="D136" s="78" t="s">
        <v>230</v>
      </c>
      <c r="E136" s="79"/>
      <c r="F136" s="77"/>
      <c r="G136" s="92">
        <v>0</v>
      </c>
      <c r="H136" s="77" t="s">
        <v>209</v>
      </c>
      <c r="I136" s="77"/>
      <c r="J136" s="79">
        <v>3.40</v>
      </c>
      <c r="K136" s="256">
        <v>2</v>
      </c>
      <c r="L136" s="257"/>
      <c r="M136" s="258">
        <v>3.4</v>
      </c>
      <c r="N136" s="259">
        <v>0</v>
      </c>
      <c r="O136" s="259">
        <v>0</v>
      </c>
      <c r="P136" s="260">
        <f>ROUND(((K136*M136)-(K136*M136*N136/100))+(((K136*M136)-(K136*M136*N136/100))*O136/100),2)</f>
      </c>
      <c r="Q136" s="261" t="s">
        <v>459</v>
      </c>
      <c r="R136" s="261"/>
      <c r="S136" s="81" t="s">
        <v>231</v>
      </c>
      <c r="T136" s="209"/>
      <c r="U136" s="210"/>
    </row>
    <row r="137" spans="1:21" ht="15">
      <c r="A137" s="76">
        <v>117</v>
      </c>
      <c r="B137" s="76">
        <v>99990008656469</v>
      </c>
      <c r="C137" s="77">
        <v>611822</v>
      </c>
      <c r="D137" s="78" t="s">
        <v>232</v>
      </c>
      <c r="E137" s="79"/>
      <c r="F137" s="77"/>
      <c r="G137" s="92">
        <v>0</v>
      </c>
      <c r="H137" s="77" t="s">
        <v>209</v>
      </c>
      <c r="I137" s="77"/>
      <c r="J137" s="79">
        <v>2.84</v>
      </c>
      <c r="K137" s="256">
        <v>2</v>
      </c>
      <c r="L137" s="257"/>
      <c r="M137" s="258">
        <v>2.84</v>
      </c>
      <c r="N137" s="259">
        <v>0</v>
      </c>
      <c r="O137" s="259">
        <v>0</v>
      </c>
      <c r="P137" s="260">
        <f>ROUND(((K137*M137)-(K137*M137*N137/100))+(((K137*M137)-(K137*M137*N137/100))*O137/100),2)</f>
      </c>
      <c r="Q137" s="261" t="s">
        <v>459</v>
      </c>
      <c r="R137" s="261"/>
      <c r="S137" s="81" t="s">
        <v>233</v>
      </c>
      <c r="T137" s="209"/>
      <c r="U137" s="210"/>
    </row>
    <row r="138" spans="1:21" ht="15">
      <c r="A138" s="76">
        <v>118</v>
      </c>
      <c r="B138" s="76">
        <v>99990008658067</v>
      </c>
      <c r="C138" s="77">
        <v>614011</v>
      </c>
      <c r="D138" s="78" t="s">
        <v>234</v>
      </c>
      <c r="E138" s="79"/>
      <c r="F138" s="77"/>
      <c r="G138" s="92">
        <v>0</v>
      </c>
      <c r="H138" s="77" t="s">
        <v>55</v>
      </c>
      <c r="I138" s="77"/>
      <c r="J138" s="79">
        <v>8.45</v>
      </c>
      <c r="K138" s="256">
        <v>4</v>
      </c>
      <c r="L138" s="257"/>
      <c r="M138" s="258">
        <v>8.45</v>
      </c>
      <c r="N138" s="259">
        <v>0</v>
      </c>
      <c r="O138" s="259">
        <v>0</v>
      </c>
      <c r="P138" s="260">
        <f>ROUND(((K138*M138)-(K138*M138*N138/100))+(((K138*M138)-(K138*M138*N138/100))*O138/100),2)</f>
      </c>
      <c r="Q138" s="261"/>
      <c r="R138" s="261"/>
      <c r="S138" s="81" t="s">
        <v>217</v>
      </c>
      <c r="T138" s="209"/>
      <c r="U138" s="210"/>
    </row>
    <row r="139" spans="1:21" ht="15">
      <c r="A139" s="76">
        <v>119</v>
      </c>
      <c r="B139" s="76">
        <v>99990008658066</v>
      </c>
      <c r="C139" s="77">
        <v>614010</v>
      </c>
      <c r="D139" s="78" t="s">
        <v>235</v>
      </c>
      <c r="E139" s="79"/>
      <c r="F139" s="77"/>
      <c r="G139" s="92">
        <v>0</v>
      </c>
      <c r="H139" s="77" t="s">
        <v>55</v>
      </c>
      <c r="I139" s="77"/>
      <c r="J139" s="79">
        <v>1.70</v>
      </c>
      <c r="K139" s="256">
        <v>10</v>
      </c>
      <c r="L139" s="257"/>
      <c r="M139" s="258">
        <v>1.7</v>
      </c>
      <c r="N139" s="259">
        <v>0</v>
      </c>
      <c r="O139" s="259">
        <v>0</v>
      </c>
      <c r="P139" s="260">
        <f>ROUND(((K139*M139)-(K139*M139*N139/100))+(((K139*M139)-(K139*M139*N139/100))*O139/100),2)</f>
      </c>
      <c r="Q139" s="261"/>
      <c r="R139" s="261"/>
      <c r="S139" s="81" t="s">
        <v>217</v>
      </c>
      <c r="T139" s="209"/>
      <c r="U139" s="210"/>
    </row>
    <row r="140" spans="1:21" ht="15">
      <c r="A140" s="76">
        <v>120</v>
      </c>
      <c r="B140" s="76">
        <v>99990008658022</v>
      </c>
      <c r="C140" s="77">
        <v>613065</v>
      </c>
      <c r="D140" s="78" t="s">
        <v>236</v>
      </c>
      <c r="E140" s="79"/>
      <c r="F140" s="77"/>
      <c r="G140" s="92">
        <v>0</v>
      </c>
      <c r="H140" s="77" t="s">
        <v>71</v>
      </c>
      <c r="I140" s="77"/>
      <c r="J140" s="79">
        <v>9.02</v>
      </c>
      <c r="K140" s="256">
        <v>1</v>
      </c>
      <c r="L140" s="257"/>
      <c r="M140" s="258">
        <v>9.02</v>
      </c>
      <c r="N140" s="259">
        <v>0</v>
      </c>
      <c r="O140" s="259">
        <v>0</v>
      </c>
      <c r="P140" s="260">
        <f>ROUND(((K140*M140)-(K140*M140*N140/100))+(((K140*M140)-(K140*M140*N140/100))*O140/100),2)</f>
      </c>
      <c r="Q140" s="261"/>
      <c r="R140" s="261"/>
      <c r="S140" s="81" t="s">
        <v>237</v>
      </c>
      <c r="T140" s="209"/>
      <c r="U140" s="210"/>
    </row>
    <row r="141" spans="1:21" ht="15">
      <c r="A141" s="76">
        <v>121</v>
      </c>
      <c r="B141" s="76">
        <v>99990008658024</v>
      </c>
      <c r="C141" s="77">
        <v>613080</v>
      </c>
      <c r="D141" s="78" t="s">
        <v>238</v>
      </c>
      <c r="E141" s="79"/>
      <c r="F141" s="77"/>
      <c r="G141" s="92">
        <v>0</v>
      </c>
      <c r="H141" s="77" t="s">
        <v>71</v>
      </c>
      <c r="I141" s="77"/>
      <c r="J141" s="79">
        <v>9.90</v>
      </c>
      <c r="K141" s="256">
        <v>1</v>
      </c>
      <c r="L141" s="257"/>
      <c r="M141" s="258">
        <v>9.9</v>
      </c>
      <c r="N141" s="259">
        <v>0</v>
      </c>
      <c r="O141" s="259">
        <v>0</v>
      </c>
      <c r="P141" s="260">
        <f>ROUND(((K141*M141)-(K141*M141*N141/100))+(((K141*M141)-(K141*M141*N141/100))*O141/100),2)</f>
      </c>
      <c r="Q141" s="261"/>
      <c r="R141" s="261"/>
      <c r="S141" s="81" t="s">
        <v>237</v>
      </c>
      <c r="T141" s="209"/>
      <c r="U141" s="210"/>
    </row>
    <row r="142" spans="1:21" ht="15">
      <c r="A142" s="76">
        <v>122</v>
      </c>
      <c r="B142" s="76">
        <v>99990008656520</v>
      </c>
      <c r="C142" s="77">
        <v>612274</v>
      </c>
      <c r="D142" s="78" t="s">
        <v>239</v>
      </c>
      <c r="E142" s="79"/>
      <c r="F142" s="77"/>
      <c r="G142" s="92">
        <v>0</v>
      </c>
      <c r="H142" s="77" t="s">
        <v>55</v>
      </c>
      <c r="I142" s="77"/>
      <c r="J142" s="79">
        <v>1.70</v>
      </c>
      <c r="K142" s="256">
        <v>4</v>
      </c>
      <c r="L142" s="257"/>
      <c r="M142" s="258">
        <v>1.7</v>
      </c>
      <c r="N142" s="259">
        <v>0</v>
      </c>
      <c r="O142" s="259">
        <v>0</v>
      </c>
      <c r="P142" s="260">
        <f>ROUND(((K142*M142)-(K142*M142*N142/100))+(((K142*M142)-(K142*M142*N142/100))*O142/100),2)</f>
      </c>
      <c r="Q142" s="261"/>
      <c r="R142" s="261"/>
      <c r="S142" s="81" t="s">
        <v>240</v>
      </c>
      <c r="T142" s="209"/>
      <c r="U142" s="210"/>
    </row>
    <row r="143" spans="1:21" ht="15">
      <c r="A143" s="76">
        <v>123</v>
      </c>
      <c r="B143" s="76">
        <v>99990008656512</v>
      </c>
      <c r="C143" s="77">
        <v>612264</v>
      </c>
      <c r="D143" s="78" t="s">
        <v>241</v>
      </c>
      <c r="E143" s="79"/>
      <c r="F143" s="77"/>
      <c r="G143" s="92">
        <v>0</v>
      </c>
      <c r="H143" s="77" t="s">
        <v>55</v>
      </c>
      <c r="I143" s="77"/>
      <c r="J143" s="79">
        <v>2.01</v>
      </c>
      <c r="K143" s="256">
        <v>4</v>
      </c>
      <c r="L143" s="257"/>
      <c r="M143" s="258">
        <v>2.01</v>
      </c>
      <c r="N143" s="259">
        <v>0</v>
      </c>
      <c r="O143" s="259">
        <v>0</v>
      </c>
      <c r="P143" s="260">
        <f>ROUND(((K143*M143)-(K143*M143*N143/100))+(((K143*M143)-(K143*M143*N143/100))*O143/100),2)</f>
      </c>
      <c r="Q143" s="261"/>
      <c r="R143" s="261"/>
      <c r="S143" s="81" t="s">
        <v>242</v>
      </c>
      <c r="T143" s="209"/>
      <c r="U143" s="210"/>
    </row>
    <row r="144" spans="1:21" ht="15">
      <c r="A144" s="76">
        <v>124</v>
      </c>
      <c r="B144" s="76">
        <v>99990008656506</v>
      </c>
      <c r="C144" s="77">
        <v>612214</v>
      </c>
      <c r="D144" s="78" t="s">
        <v>243</v>
      </c>
      <c r="E144" s="79"/>
      <c r="F144" s="77"/>
      <c r="G144" s="92">
        <v>0</v>
      </c>
      <c r="H144" s="77" t="s">
        <v>55</v>
      </c>
      <c r="I144" s="77"/>
      <c r="J144" s="79">
        <v>5.41</v>
      </c>
      <c r="K144" s="256">
        <v>3</v>
      </c>
      <c r="L144" s="257"/>
      <c r="M144" s="258">
        <v>5.41</v>
      </c>
      <c r="N144" s="259">
        <v>0</v>
      </c>
      <c r="O144" s="259">
        <v>0</v>
      </c>
      <c r="P144" s="260">
        <f>ROUND(((K144*M144)-(K144*M144*N144/100))+(((K144*M144)-(K144*M144*N144/100))*O144/100),2)</f>
      </c>
      <c r="Q144" s="261"/>
      <c r="R144" s="261"/>
      <c r="S144" s="81" t="s">
        <v>244</v>
      </c>
      <c r="T144" s="209"/>
      <c r="U144" s="210"/>
    </row>
    <row r="145" spans="1:21" ht="15">
      <c r="A145" s="76">
        <v>125</v>
      </c>
      <c r="B145" s="76">
        <v>99990008656500</v>
      </c>
      <c r="C145" s="77">
        <v>612205</v>
      </c>
      <c r="D145" s="78" t="s">
        <v>245</v>
      </c>
      <c r="E145" s="79"/>
      <c r="F145" s="77"/>
      <c r="G145" s="92">
        <v>0</v>
      </c>
      <c r="H145" s="77" t="s">
        <v>55</v>
      </c>
      <c r="I145" s="77"/>
      <c r="J145" s="79">
        <v>5.41</v>
      </c>
      <c r="K145" s="256">
        <v>3</v>
      </c>
      <c r="L145" s="257"/>
      <c r="M145" s="258">
        <v>5.41</v>
      </c>
      <c r="N145" s="259">
        <v>0</v>
      </c>
      <c r="O145" s="259">
        <v>0</v>
      </c>
      <c r="P145" s="260">
        <f>ROUND(((K145*M145)-(K145*M145*N145/100))+(((K145*M145)-(K145*M145*N145/100))*O145/100),2)</f>
      </c>
      <c r="Q145" s="261"/>
      <c r="R145" s="261"/>
      <c r="S145" s="81" t="s">
        <v>246</v>
      </c>
      <c r="T145" s="209"/>
      <c r="U145" s="210"/>
    </row>
    <row r="146" spans="1:21" ht="15">
      <c r="A146" s="76">
        <v>126</v>
      </c>
      <c r="B146" s="76">
        <v>99990008656498</v>
      </c>
      <c r="C146" s="77">
        <v>612203</v>
      </c>
      <c r="D146" s="78" t="s">
        <v>247</v>
      </c>
      <c r="E146" s="79"/>
      <c r="F146" s="77"/>
      <c r="G146" s="92">
        <v>0</v>
      </c>
      <c r="H146" s="77" t="s">
        <v>55</v>
      </c>
      <c r="I146" s="77"/>
      <c r="J146" s="79">
        <v>3.97</v>
      </c>
      <c r="K146" s="256">
        <v>3</v>
      </c>
      <c r="L146" s="257"/>
      <c r="M146" s="258">
        <v>3.97</v>
      </c>
      <c r="N146" s="259">
        <v>0</v>
      </c>
      <c r="O146" s="259">
        <v>0</v>
      </c>
      <c r="P146" s="260">
        <f>ROUND(((K146*M146)-(K146*M146*N146/100))+(((K146*M146)-(K146*M146*N146/100))*O146/100),2)</f>
      </c>
      <c r="Q146" s="261" t="s">
        <v>465</v>
      </c>
      <c r="R146" s="261"/>
      <c r="S146" s="81" t="s">
        <v>248</v>
      </c>
      <c r="T146" s="209"/>
      <c r="U146" s="210"/>
    </row>
    <row r="147" spans="1:21" ht="15">
      <c r="A147" s="76">
        <v>127</v>
      </c>
      <c r="B147" s="76">
        <v>99990009546342</v>
      </c>
      <c r="C147" s="77">
        <v>2121090</v>
      </c>
      <c r="D147" s="78" t="s">
        <v>249</v>
      </c>
      <c r="E147" s="79"/>
      <c r="F147" s="77"/>
      <c r="G147" s="92">
        <v>0</v>
      </c>
      <c r="H147" s="77" t="s">
        <v>55</v>
      </c>
      <c r="I147" s="77"/>
      <c r="J147" s="79">
        <v>0.96</v>
      </c>
      <c r="K147" s="256">
        <v>4</v>
      </c>
      <c r="L147" s="257"/>
      <c r="M147" s="258">
        <v>0.96</v>
      </c>
      <c r="N147" s="259">
        <v>0</v>
      </c>
      <c r="O147" s="259">
        <v>0</v>
      </c>
      <c r="P147" s="260">
        <f>ROUND(((K147*M147)-(K147*M147*N147/100))+(((K147*M147)-(K147*M147*N147/100))*O147/100),2)</f>
      </c>
      <c r="Q147" s="261" t="s">
        <v>466</v>
      </c>
      <c r="R147" s="261"/>
      <c r="S147" s="81" t="s">
        <v>250</v>
      </c>
      <c r="T147" s="209"/>
      <c r="U147" s="210"/>
    </row>
    <row r="148" spans="1:21" ht="15">
      <c r="A148" s="76">
        <v>128</v>
      </c>
      <c r="B148" s="76">
        <v>99990009546343</v>
      </c>
      <c r="C148" s="77">
        <v>2121091</v>
      </c>
      <c r="D148" s="78" t="s">
        <v>251</v>
      </c>
      <c r="E148" s="79"/>
      <c r="F148" s="77"/>
      <c r="G148" s="92">
        <v>0</v>
      </c>
      <c r="H148" s="77" t="s">
        <v>55</v>
      </c>
      <c r="I148" s="77"/>
      <c r="J148" s="79">
        <v>1.02</v>
      </c>
      <c r="K148" s="256">
        <v>4</v>
      </c>
      <c r="L148" s="257"/>
      <c r="M148" s="258">
        <v>1.02</v>
      </c>
      <c r="N148" s="259">
        <v>0</v>
      </c>
      <c r="O148" s="259">
        <v>0</v>
      </c>
      <c r="P148" s="260">
        <f>ROUND(((K148*M148)-(K148*M148*N148/100))+(((K148*M148)-(K148*M148*N148/100))*O148/100),2)</f>
      </c>
      <c r="Q148" s="261" t="s">
        <v>466</v>
      </c>
      <c r="R148" s="261"/>
      <c r="S148" s="81" t="s">
        <v>252</v>
      </c>
      <c r="T148" s="209"/>
      <c r="U148" s="210"/>
    </row>
    <row r="149" spans="1:21" ht="15">
      <c r="A149" s="76">
        <v>129</v>
      </c>
      <c r="B149" s="76">
        <v>99990008656228</v>
      </c>
      <c r="C149" s="77">
        <v>591178</v>
      </c>
      <c r="D149" s="78" t="s">
        <v>253</v>
      </c>
      <c r="E149" s="79"/>
      <c r="F149" s="77"/>
      <c r="G149" s="92">
        <v>0</v>
      </c>
      <c r="H149" s="77" t="s">
        <v>55</v>
      </c>
      <c r="I149" s="77"/>
      <c r="J149" s="79">
        <v>0.91</v>
      </c>
      <c r="K149" s="256">
        <v>10</v>
      </c>
      <c r="L149" s="257"/>
      <c r="M149" s="258">
        <v>0.91</v>
      </c>
      <c r="N149" s="259">
        <v>0</v>
      </c>
      <c r="O149" s="259">
        <v>0</v>
      </c>
      <c r="P149" s="260">
        <f>ROUND(((K149*M149)-(K149*M149*N149/100))+(((K149*M149)-(K149*M149*N149/100))*O149/100),2)</f>
      </c>
      <c r="Q149" s="261" t="s">
        <v>467</v>
      </c>
      <c r="R149" s="261"/>
      <c r="S149" s="81" t="s">
        <v>254</v>
      </c>
      <c r="T149" s="209"/>
      <c r="U149" s="210"/>
    </row>
    <row r="150" spans="1:21" ht="15">
      <c r="A150" s="76">
        <v>130</v>
      </c>
      <c r="B150" s="76">
        <v>99990008658144</v>
      </c>
      <c r="C150" s="77">
        <v>614859</v>
      </c>
      <c r="D150" s="78" t="s">
        <v>255</v>
      </c>
      <c r="E150" s="79"/>
      <c r="F150" s="77"/>
      <c r="G150" s="92">
        <v>0</v>
      </c>
      <c r="H150" s="77" t="s">
        <v>55</v>
      </c>
      <c r="I150" s="77"/>
      <c r="J150" s="79">
        <v>0.35</v>
      </c>
      <c r="K150" s="256">
        <v>30</v>
      </c>
      <c r="L150" s="257"/>
      <c r="M150" s="258">
        <v>0.35</v>
      </c>
      <c r="N150" s="259">
        <v>0</v>
      </c>
      <c r="O150" s="259">
        <v>0</v>
      </c>
      <c r="P150" s="260">
        <f>ROUND(((K150*M150)-(K150*M150*N150/100))+(((K150*M150)-(K150*M150*N150/100))*O150/100),2)</f>
      </c>
      <c r="Q150" s="261"/>
      <c r="R150" s="261"/>
      <c r="S150" s="81" t="s">
        <v>256</v>
      </c>
      <c r="T150" s="209"/>
      <c r="U150" s="210"/>
    </row>
    <row r="151" spans="1:21" ht="15">
      <c r="A151" s="76">
        <v>131</v>
      </c>
      <c r="B151" s="76">
        <v>99990009608097</v>
      </c>
      <c r="C151" s="77">
        <v>617170</v>
      </c>
      <c r="D151" s="78" t="s">
        <v>257</v>
      </c>
      <c r="E151" s="79"/>
      <c r="F151" s="77"/>
      <c r="G151" s="92">
        <v>0</v>
      </c>
      <c r="H151" s="77" t="s">
        <v>55</v>
      </c>
      <c r="I151" s="77"/>
      <c r="J151" s="79">
        <v>9.59</v>
      </c>
      <c r="K151" s="256">
        <v>4</v>
      </c>
      <c r="L151" s="257"/>
      <c r="M151" s="258">
        <v>9.59</v>
      </c>
      <c r="N151" s="259">
        <v>0</v>
      </c>
      <c r="O151" s="259">
        <v>0</v>
      </c>
      <c r="P151" s="260">
        <f>ROUND(((K151*M151)-(K151*M151*N151/100))+(((K151*M151)-(K151*M151*N151/100))*O151/100),2)</f>
      </c>
      <c r="Q151" s="261" t="s">
        <v>217</v>
      </c>
      <c r="R151" s="261"/>
      <c r="S151" s="81" t="s">
        <v>214</v>
      </c>
      <c r="T151" s="209"/>
      <c r="U151" s="210"/>
    </row>
    <row r="152" spans="1:21" ht="15">
      <c r="A152" s="76">
        <v>132</v>
      </c>
      <c r="B152" s="76">
        <v>99990008655642</v>
      </c>
      <c r="C152" s="77">
        <v>614803</v>
      </c>
      <c r="D152" s="78" t="s">
        <v>258</v>
      </c>
      <c r="E152" s="79"/>
      <c r="F152" s="77"/>
      <c r="G152" s="92">
        <v>0</v>
      </c>
      <c r="H152" s="77" t="s">
        <v>55</v>
      </c>
      <c r="I152" s="77"/>
      <c r="J152" s="79">
        <v>0.44</v>
      </c>
      <c r="K152" s="256">
        <v>30</v>
      </c>
      <c r="L152" s="257"/>
      <c r="M152" s="258">
        <v>0.44</v>
      </c>
      <c r="N152" s="259">
        <v>0</v>
      </c>
      <c r="O152" s="259">
        <v>0</v>
      </c>
      <c r="P152" s="260">
        <f>ROUND(((K152*M152)-(K152*M152*N152/100))+(((K152*M152)-(K152*M152*N152/100))*O152/100),2)</f>
      </c>
      <c r="Q152" s="261"/>
      <c r="R152" s="261"/>
      <c r="S152" s="81" t="s">
        <v>256</v>
      </c>
      <c r="T152" s="209"/>
      <c r="U152" s="210"/>
    </row>
    <row r="153" spans="1:21" ht="15">
      <c r="A153" s="76">
        <v>133</v>
      </c>
      <c r="B153" s="76">
        <v>99990008656371</v>
      </c>
      <c r="C153" s="77">
        <v>611248</v>
      </c>
      <c r="D153" s="78" t="s">
        <v>259</v>
      </c>
      <c r="E153" s="79"/>
      <c r="F153" s="77"/>
      <c r="G153" s="92">
        <v>0</v>
      </c>
      <c r="H153" s="77" t="s">
        <v>55</v>
      </c>
      <c r="I153" s="77"/>
      <c r="J153" s="79">
        <v>0.34</v>
      </c>
      <c r="K153" s="256">
        <v>5</v>
      </c>
      <c r="L153" s="257"/>
      <c r="M153" s="258">
        <v>0.34</v>
      </c>
      <c r="N153" s="259">
        <v>0</v>
      </c>
      <c r="O153" s="259">
        <v>0</v>
      </c>
      <c r="P153" s="260">
        <f>ROUND(((K153*M153)-(K153*M153*N153/100))+(((K153*M153)-(K153*M153*N153/100))*O153/100),2)</f>
      </c>
      <c r="Q153" s="261"/>
      <c r="R153" s="261"/>
      <c r="S153" s="81" t="s">
        <v>260</v>
      </c>
      <c r="T153" s="209"/>
      <c r="U153" s="210"/>
    </row>
    <row r="154" spans="1:21" ht="15">
      <c r="A154" s="76">
        <v>134</v>
      </c>
      <c r="B154" s="76">
        <v>99990008656372</v>
      </c>
      <c r="C154" s="77">
        <v>611249</v>
      </c>
      <c r="D154" s="78" t="s">
        <v>261</v>
      </c>
      <c r="E154" s="79"/>
      <c r="F154" s="77"/>
      <c r="G154" s="92">
        <v>0</v>
      </c>
      <c r="H154" s="77" t="s">
        <v>55</v>
      </c>
      <c r="I154" s="77"/>
      <c r="J154" s="79">
        <v>0.45</v>
      </c>
      <c r="K154" s="256">
        <v>5</v>
      </c>
      <c r="L154" s="257"/>
      <c r="M154" s="258">
        <v>0.45</v>
      </c>
      <c r="N154" s="259">
        <v>0</v>
      </c>
      <c r="O154" s="259">
        <v>0</v>
      </c>
      <c r="P154" s="260">
        <f>ROUND(((K154*M154)-(K154*M154*N154/100))+(((K154*M154)-(K154*M154*N154/100))*O154/100),2)</f>
      </c>
      <c r="Q154" s="261"/>
      <c r="R154" s="261"/>
      <c r="S154" s="81" t="s">
        <v>260</v>
      </c>
      <c r="T154" s="209"/>
      <c r="U154" s="210"/>
    </row>
    <row r="155" spans="1:21" ht="15">
      <c r="A155" s="76">
        <v>135</v>
      </c>
      <c r="B155" s="76">
        <v>99990008656313</v>
      </c>
      <c r="C155" s="77">
        <v>610768</v>
      </c>
      <c r="D155" s="78" t="s">
        <v>262</v>
      </c>
      <c r="E155" s="79"/>
      <c r="F155" s="77"/>
      <c r="G155" s="92">
        <v>0</v>
      </c>
      <c r="H155" s="77" t="s">
        <v>55</v>
      </c>
      <c r="I155" s="77"/>
      <c r="J155" s="79">
        <v>2.14</v>
      </c>
      <c r="K155" s="256">
        <v>4</v>
      </c>
      <c r="L155" s="257"/>
      <c r="M155" s="258">
        <v>2.14</v>
      </c>
      <c r="N155" s="259">
        <v>0</v>
      </c>
      <c r="O155" s="259">
        <v>0</v>
      </c>
      <c r="P155" s="260">
        <f>ROUND(((K155*M155)-(K155*M155*N155/100))+(((K155*M155)-(K155*M155*N155/100))*O155/100),2)</f>
      </c>
      <c r="Q155" s="261" t="s">
        <v>468</v>
      </c>
      <c r="R155" s="261"/>
      <c r="S155" s="81" t="s">
        <v>263</v>
      </c>
      <c r="T155" s="209"/>
      <c r="U155" s="210"/>
    </row>
    <row r="156" spans="1:21" ht="15">
      <c r="A156" s="76">
        <v>136</v>
      </c>
      <c r="B156" s="76">
        <v>99990008656314</v>
      </c>
      <c r="C156" s="77">
        <v>610769</v>
      </c>
      <c r="D156" s="78" t="s">
        <v>264</v>
      </c>
      <c r="E156" s="79"/>
      <c r="F156" s="77"/>
      <c r="G156" s="92">
        <v>0</v>
      </c>
      <c r="H156" s="77" t="s">
        <v>55</v>
      </c>
      <c r="I156" s="77"/>
      <c r="J156" s="79">
        <v>2.54</v>
      </c>
      <c r="K156" s="256">
        <v>4</v>
      </c>
      <c r="L156" s="257"/>
      <c r="M156" s="258">
        <v>2.54</v>
      </c>
      <c r="N156" s="259">
        <v>0</v>
      </c>
      <c r="O156" s="259">
        <v>0</v>
      </c>
      <c r="P156" s="260">
        <f>ROUND(((K156*M156)-(K156*M156*N156/100))+(((K156*M156)-(K156*M156*N156/100))*O156/100),2)</f>
      </c>
      <c r="Q156" s="261" t="s">
        <v>468</v>
      </c>
      <c r="R156" s="261"/>
      <c r="S156" s="81" t="s">
        <v>265</v>
      </c>
      <c r="T156" s="209"/>
      <c r="U156" s="210"/>
    </row>
    <row r="157" spans="1:21" ht="15">
      <c r="A157" s="76">
        <v>137</v>
      </c>
      <c r="B157" s="76">
        <v>99990008656330</v>
      </c>
      <c r="C157" s="77">
        <v>610792</v>
      </c>
      <c r="D157" s="78" t="s">
        <v>266</v>
      </c>
      <c r="E157" s="79"/>
      <c r="F157" s="77"/>
      <c r="G157" s="92">
        <v>0</v>
      </c>
      <c r="H157" s="77" t="s">
        <v>55</v>
      </c>
      <c r="I157" s="77"/>
      <c r="J157" s="79">
        <v>2.82</v>
      </c>
      <c r="K157" s="256">
        <v>2</v>
      </c>
      <c r="L157" s="257"/>
      <c r="M157" s="258">
        <v>2.82</v>
      </c>
      <c r="N157" s="259">
        <v>0</v>
      </c>
      <c r="O157" s="259">
        <v>0</v>
      </c>
      <c r="P157" s="260">
        <f>ROUND(((K157*M157)-(K157*M157*N157/100))+(((K157*M157)-(K157*M157*N157/100))*O157/100),2)</f>
      </c>
      <c r="Q157" s="261" t="s">
        <v>468</v>
      </c>
      <c r="R157" s="261"/>
      <c r="S157" s="81" t="s">
        <v>265</v>
      </c>
      <c r="T157" s="209"/>
      <c r="U157" s="210"/>
    </row>
    <row r="158" spans="1:21" ht="15">
      <c r="A158" s="76">
        <v>138</v>
      </c>
      <c r="B158" s="76">
        <v>99990008656315</v>
      </c>
      <c r="C158" s="77">
        <v>610770</v>
      </c>
      <c r="D158" s="78" t="s">
        <v>267</v>
      </c>
      <c r="E158" s="79"/>
      <c r="F158" s="77"/>
      <c r="G158" s="92">
        <v>0</v>
      </c>
      <c r="H158" s="77" t="s">
        <v>55</v>
      </c>
      <c r="I158" s="77"/>
      <c r="J158" s="79">
        <v>2.99</v>
      </c>
      <c r="K158" s="256">
        <v>2</v>
      </c>
      <c r="L158" s="257"/>
      <c r="M158" s="258">
        <v>2.99</v>
      </c>
      <c r="N158" s="259">
        <v>0</v>
      </c>
      <c r="O158" s="259">
        <v>0</v>
      </c>
      <c r="P158" s="260">
        <f>ROUND(((K158*M158)-(K158*M158*N158/100))+(((K158*M158)-(K158*M158*N158/100))*O158/100),2)</f>
      </c>
      <c r="Q158" s="261" t="s">
        <v>468</v>
      </c>
      <c r="R158" s="261"/>
      <c r="S158" s="81" t="s">
        <v>268</v>
      </c>
      <c r="T158" s="209"/>
      <c r="U158" s="210"/>
    </row>
    <row r="159" spans="1:21" ht="15">
      <c r="A159" s="76">
        <v>139</v>
      </c>
      <c r="B159" s="76">
        <v>99990008656316</v>
      </c>
      <c r="C159" s="77">
        <v>610771</v>
      </c>
      <c r="D159" s="78" t="s">
        <v>269</v>
      </c>
      <c r="E159" s="79"/>
      <c r="F159" s="77"/>
      <c r="G159" s="92">
        <v>0</v>
      </c>
      <c r="H159" s="77" t="s">
        <v>55</v>
      </c>
      <c r="I159" s="77"/>
      <c r="J159" s="79">
        <v>3.16</v>
      </c>
      <c r="K159" s="256">
        <v>4</v>
      </c>
      <c r="L159" s="257"/>
      <c r="M159" s="258">
        <v>3.16</v>
      </c>
      <c r="N159" s="259">
        <v>0</v>
      </c>
      <c r="O159" s="259">
        <v>0</v>
      </c>
      <c r="P159" s="260">
        <f>ROUND(((K159*M159)-(K159*M159*N159/100))+(((K159*M159)-(K159*M159*N159/100))*O159/100),2)</f>
      </c>
      <c r="Q159" s="261" t="s">
        <v>468</v>
      </c>
      <c r="R159" s="261"/>
      <c r="S159" s="81" t="s">
        <v>265</v>
      </c>
      <c r="T159" s="209"/>
      <c r="U159" s="210"/>
    </row>
    <row r="160" spans="1:21" ht="15">
      <c r="A160" s="76">
        <v>140</v>
      </c>
      <c r="B160" s="76">
        <v>99990008656317</v>
      </c>
      <c r="C160" s="77">
        <v>610772</v>
      </c>
      <c r="D160" s="78" t="s">
        <v>270</v>
      </c>
      <c r="E160" s="79"/>
      <c r="F160" s="77"/>
      <c r="G160" s="92">
        <v>0</v>
      </c>
      <c r="H160" s="77" t="s">
        <v>55</v>
      </c>
      <c r="I160" s="77"/>
      <c r="J160" s="79">
        <v>3.84</v>
      </c>
      <c r="K160" s="256">
        <v>6</v>
      </c>
      <c r="L160" s="257"/>
      <c r="M160" s="258">
        <v>3.84</v>
      </c>
      <c r="N160" s="259">
        <v>0</v>
      </c>
      <c r="O160" s="259">
        <v>0</v>
      </c>
      <c r="P160" s="260">
        <f>ROUND(((K160*M160)-(K160*M160*N160/100))+(((K160*M160)-(K160*M160*N160/100))*O160/100),2)</f>
      </c>
      <c r="Q160" s="261" t="s">
        <v>468</v>
      </c>
      <c r="R160" s="261"/>
      <c r="S160" s="81" t="s">
        <v>268</v>
      </c>
      <c r="T160" s="209"/>
      <c r="U160" s="210"/>
    </row>
    <row r="161" spans="1:21" ht="15">
      <c r="A161" s="76">
        <v>141</v>
      </c>
      <c r="B161" s="76">
        <v>99990008656319</v>
      </c>
      <c r="C161" s="77">
        <v>610774</v>
      </c>
      <c r="D161" s="78" t="s">
        <v>271</v>
      </c>
      <c r="E161" s="79"/>
      <c r="F161" s="77"/>
      <c r="G161" s="92">
        <v>0</v>
      </c>
      <c r="H161" s="77" t="s">
        <v>55</v>
      </c>
      <c r="I161" s="77"/>
      <c r="J161" s="79">
        <v>4.29</v>
      </c>
      <c r="K161" s="256">
        <v>2</v>
      </c>
      <c r="L161" s="257"/>
      <c r="M161" s="258">
        <v>4.29</v>
      </c>
      <c r="N161" s="259">
        <v>0</v>
      </c>
      <c r="O161" s="259">
        <v>0</v>
      </c>
      <c r="P161" s="260">
        <f>ROUND(((K161*M161)-(K161*M161*N161/100))+(((K161*M161)-(K161*M161*N161/100))*O161/100),2)</f>
      </c>
      <c r="Q161" s="261"/>
      <c r="R161" s="261"/>
      <c r="S161" s="81" t="s">
        <v>272</v>
      </c>
      <c r="T161" s="209"/>
      <c r="U161" s="210"/>
    </row>
    <row r="162" spans="1:21" ht="15">
      <c r="A162" s="76">
        <v>142</v>
      </c>
      <c r="B162" s="76">
        <v>99990008656321</v>
      </c>
      <c r="C162" s="77">
        <v>610776</v>
      </c>
      <c r="D162" s="78" t="s">
        <v>273</v>
      </c>
      <c r="E162" s="79"/>
      <c r="F162" s="77"/>
      <c r="G162" s="92">
        <v>0</v>
      </c>
      <c r="H162" s="77" t="s">
        <v>55</v>
      </c>
      <c r="I162" s="77"/>
      <c r="J162" s="79">
        <v>5.02</v>
      </c>
      <c r="K162" s="256">
        <v>2</v>
      </c>
      <c r="L162" s="257"/>
      <c r="M162" s="258">
        <v>5.02</v>
      </c>
      <c r="N162" s="259">
        <v>0</v>
      </c>
      <c r="O162" s="259">
        <v>0</v>
      </c>
      <c r="P162" s="260">
        <f>ROUND(((K162*M162)-(K162*M162*N162/100))+(((K162*M162)-(K162*M162*N162/100))*O162/100),2)</f>
      </c>
      <c r="Q162" s="261" t="s">
        <v>468</v>
      </c>
      <c r="R162" s="261"/>
      <c r="S162" s="81" t="s">
        <v>263</v>
      </c>
      <c r="T162" s="209"/>
      <c r="U162" s="210"/>
    </row>
    <row r="163" spans="1:21" ht="15">
      <c r="A163" s="76">
        <v>143</v>
      </c>
      <c r="B163" s="76">
        <v>99990008656392</v>
      </c>
      <c r="C163" s="77">
        <v>611306</v>
      </c>
      <c r="D163" s="78" t="s">
        <v>274</v>
      </c>
      <c r="E163" s="79"/>
      <c r="F163" s="77"/>
      <c r="G163" s="92">
        <v>0</v>
      </c>
      <c r="H163" s="77" t="s">
        <v>55</v>
      </c>
      <c r="I163" s="77"/>
      <c r="J163" s="79">
        <v>10.71</v>
      </c>
      <c r="K163" s="256">
        <v>2</v>
      </c>
      <c r="L163" s="257"/>
      <c r="M163" s="258">
        <v>10.71</v>
      </c>
      <c r="N163" s="259">
        <v>0</v>
      </c>
      <c r="O163" s="259">
        <v>0</v>
      </c>
      <c r="P163" s="260">
        <f>ROUND(((K163*M163)-(K163*M163*N163/100))+(((K163*M163)-(K163*M163*N163/100))*O163/100),2)</f>
      </c>
      <c r="Q163" s="261" t="s">
        <v>469</v>
      </c>
      <c r="R163" s="261"/>
      <c r="S163" s="81" t="s">
        <v>275</v>
      </c>
      <c r="T163" s="209"/>
      <c r="U163" s="210"/>
    </row>
    <row r="164" spans="1:21" ht="15">
      <c r="A164" s="76">
        <v>144</v>
      </c>
      <c r="B164" s="76">
        <v>99990008656384</v>
      </c>
      <c r="C164" s="77">
        <v>611281</v>
      </c>
      <c r="D164" s="78" t="s">
        <v>276</v>
      </c>
      <c r="E164" s="79"/>
      <c r="F164" s="77"/>
      <c r="G164" s="92">
        <v>0</v>
      </c>
      <c r="H164" s="77" t="s">
        <v>71</v>
      </c>
      <c r="I164" s="77"/>
      <c r="J164" s="79">
        <v>2.82</v>
      </c>
      <c r="K164" s="256">
        <v>2</v>
      </c>
      <c r="L164" s="257"/>
      <c r="M164" s="258">
        <v>2.82</v>
      </c>
      <c r="N164" s="259">
        <v>0</v>
      </c>
      <c r="O164" s="259">
        <v>0</v>
      </c>
      <c r="P164" s="260">
        <f>ROUND(((K164*M164)-(K164*M164*N164/100))+(((K164*M164)-(K164*M164*N164/100))*O164/100),2)</f>
      </c>
      <c r="Q164" s="261" t="s">
        <v>470</v>
      </c>
      <c r="R164" s="261"/>
      <c r="S164" s="81" t="s">
        <v>277</v>
      </c>
      <c r="T164" s="209"/>
      <c r="U164" s="210"/>
    </row>
    <row r="165" spans="1:21" ht="15">
      <c r="A165" s="76">
        <v>145</v>
      </c>
      <c r="B165" s="76">
        <v>99990008656272</v>
      </c>
      <c r="C165" s="77">
        <v>610623</v>
      </c>
      <c r="D165" s="78" t="s">
        <v>278</v>
      </c>
      <c r="E165" s="79"/>
      <c r="F165" s="77"/>
      <c r="G165" s="92">
        <v>0</v>
      </c>
      <c r="H165" s="77" t="s">
        <v>55</v>
      </c>
      <c r="I165" s="77"/>
      <c r="J165" s="79">
        <v>6.21</v>
      </c>
      <c r="K165" s="256">
        <v>1</v>
      </c>
      <c r="L165" s="257"/>
      <c r="M165" s="258">
        <v>6.21</v>
      </c>
      <c r="N165" s="259">
        <v>0</v>
      </c>
      <c r="O165" s="259">
        <v>0</v>
      </c>
      <c r="P165" s="260">
        <f>ROUND(((K165*M165)-(K165*M165*N165/100))+(((K165*M165)-(K165*M165*N165/100))*O165/100),2)</f>
      </c>
      <c r="Q165" s="261" t="s">
        <v>471</v>
      </c>
      <c r="R165" s="261"/>
      <c r="S165" s="81" t="s">
        <v>279</v>
      </c>
      <c r="T165" s="209"/>
      <c r="U165" s="210"/>
    </row>
    <row r="166" spans="1:21" ht="15">
      <c r="A166" s="76">
        <v>146</v>
      </c>
      <c r="B166" s="76">
        <v>99990010101207</v>
      </c>
      <c r="C166" s="77">
        <v>610627</v>
      </c>
      <c r="D166" s="78" t="s">
        <v>280</v>
      </c>
      <c r="E166" s="79"/>
      <c r="F166" s="77"/>
      <c r="G166" s="92">
        <v>0</v>
      </c>
      <c r="H166" s="80" t="s">
        <v>55</v>
      </c>
      <c r="I166" s="80"/>
      <c r="J166" s="79">
        <v>0</v>
      </c>
      <c r="K166" s="256">
        <v>1</v>
      </c>
      <c r="L166" s="257"/>
      <c r="M166" s="258">
        <v>17.7</v>
      </c>
      <c r="N166" s="259">
        <v>0</v>
      </c>
      <c r="O166" s="259">
        <v>0</v>
      </c>
      <c r="P166" s="260">
        <f>ROUND(((K166*M166)-(K166*M166*N166/100))+(((K166*M166)-(K166*M166*N166/100))*O166/100),2)</f>
      </c>
      <c r="Q166" s="261"/>
      <c r="R166" s="261"/>
      <c r="S166" s="81"/>
      <c r="T166" s="209"/>
      <c r="U166" s="210"/>
    </row>
    <row r="167" spans="1:21" ht="15">
      <c r="A167" s="76">
        <v>147</v>
      </c>
      <c r="B167" s="76">
        <v>99990010753631</v>
      </c>
      <c r="C167" s="77">
        <v>610629</v>
      </c>
      <c r="D167" s="78" t="s">
        <v>281</v>
      </c>
      <c r="E167" s="79"/>
      <c r="F167" s="77"/>
      <c r="G167" s="92">
        <v>0</v>
      </c>
      <c r="H167" s="80" t="s">
        <v>55</v>
      </c>
      <c r="I167" s="80"/>
      <c r="J167" s="79">
        <v>0</v>
      </c>
      <c r="K167" s="256">
        <v>1</v>
      </c>
      <c r="L167" s="257"/>
      <c r="M167" s="258">
        <v>22.8</v>
      </c>
      <c r="N167" s="259">
        <v>0</v>
      </c>
      <c r="O167" s="259">
        <v>0</v>
      </c>
      <c r="P167" s="260">
        <f>ROUND(((K167*M167)-(K167*M167*N167/100))+(((K167*M167)-(K167*M167*N167/100))*O167/100),2)</f>
      </c>
      <c r="Q167" s="261"/>
      <c r="R167" s="261"/>
      <c r="S167" s="81"/>
      <c r="T167" s="209"/>
      <c r="U167" s="210"/>
    </row>
    <row r="168" spans="1:21" ht="15">
      <c r="A168" s="76"/>
      <c r="B168" s="76"/>
      <c r="C168" s="77"/>
      <c r="D168" s="78"/>
      <c r="E168" s="79"/>
      <c r="F168" s="77"/>
      <c r="G168" s="92"/>
      <c r="H168" s="77"/>
      <c r="I168" s="77"/>
      <c r="J168" s="79"/>
      <c r="K168" s="262"/>
      <c r="L168" s="263"/>
      <c r="M168" s="264" t="s">
        <v>282</v>
      </c>
      <c r="N168" s="265"/>
      <c r="O168" s="265"/>
      <c r="P168" s="260">
        <f>SUM(P21:P167)</f>
      </c>
      <c r="Q168" s="266"/>
      <c r="R168" s="266"/>
      <c r="S168" s="81"/>
      <c r="T168" s="209"/>
      <c r="U168" s="210"/>
    </row>
    <row r="169" spans="1:21" ht="15" hidden="1">
      <c r="A169" s="76"/>
      <c r="B169" s="76"/>
      <c r="C169" s="77"/>
      <c r="D169" s="78"/>
      <c r="E169" s="79"/>
      <c r="F169" s="77"/>
      <c r="G169" s="92"/>
      <c r="H169" s="80"/>
      <c r="I169" s="80"/>
      <c r="J169" s="79"/>
      <c r="K169" s="262"/>
      <c r="L169" s="257"/>
      <c r="M169" s="267"/>
      <c r="N169" s="268"/>
      <c r="O169" s="268"/>
      <c r="P169" s="260"/>
      <c r="Q169" s="261"/>
      <c r="R169" s="261"/>
      <c r="S169" s="81"/>
      <c r="T169" s="209"/>
      <c r="U169" s="210"/>
    </row>
    <row r="170" spans="1:21" ht="15">
      <c r="A170" s="6"/>
      <c r="B170" s="211"/>
      <c r="C170" s="212"/>
      <c r="D170" s="212"/>
      <c r="E170" s="212"/>
      <c r="F170" s="212"/>
      <c r="G170" s="212"/>
      <c r="H170" s="213"/>
      <c r="I170" s="213"/>
      <c r="J170" s="213"/>
      <c r="K170" s="213"/>
      <c r="L170" s="37"/>
      <c r="M170" s="37"/>
      <c r="N170" s="213"/>
      <c r="O170" s="213"/>
      <c r="P170" s="213"/>
      <c r="Q170" s="213"/>
      <c r="R170" s="213"/>
      <c r="S170" s="213"/>
      <c r="T170" s="151"/>
      <c r="U170" s="214"/>
    </row>
    <row r="171" spans="1:21" ht="12.75" customHeight="1">
      <c r="A171" s="195" t="s">
        <v>39</v>
      </c>
      <c r="B171" s="195"/>
      <c r="C171" s="195" t="s">
        <v>283</v>
      </c>
      <c r="D171" s="195"/>
      <c r="E171" s="195"/>
      <c r="F171" s="195"/>
      <c r="G171" s="195"/>
      <c r="H171" s="195"/>
      <c r="I171" s="195"/>
      <c r="J171" s="195"/>
      <c r="K171" s="197"/>
      <c r="L171" s="197" t="s">
        <v>284</v>
      </c>
      <c r="M171" s="197"/>
      <c r="N171" s="197" t="s">
        <v>48</v>
      </c>
      <c r="O171" s="197" t="s">
        <v>49</v>
      </c>
      <c r="P171" s="197" t="s">
        <v>285</v>
      </c>
      <c r="Q171" s="197" t="s">
        <v>51</v>
      </c>
      <c r="R171" s="197"/>
      <c r="S171" s="197"/>
      <c r="T171" s="197"/>
      <c r="U171" s="198"/>
    </row>
    <row r="172" spans="1:21" ht="15">
      <c r="A172" s="215">
        <v>1</v>
      </c>
      <c r="B172" s="215"/>
      <c r="C172" s="216" t="s">
        <v>286</v>
      </c>
      <c r="D172" s="217" t="s">
        <v>286</v>
      </c>
      <c r="E172" s="217" t="s">
        <v>286</v>
      </c>
      <c r="F172" s="217" t="s">
        <v>286</v>
      </c>
      <c r="G172" s="217" t="s">
        <v>286</v>
      </c>
      <c r="H172" s="217" t="s">
        <v>286</v>
      </c>
      <c r="I172" s="217" t="s">
        <v>286</v>
      </c>
      <c r="J172" s="217" t="s">
        <v>286</v>
      </c>
      <c r="K172" s="218" t="s">
        <v>286</v>
      </c>
      <c r="L172" s="219"/>
      <c r="M172" s="220">
        <v>0</v>
      </c>
      <c r="N172" s="220">
        <v>0</v>
      </c>
      <c r="O172" s="221">
        <v>0</v>
      </c>
      <c r="P172" s="222">
        <f>ROUND((M172-(M172*N172/100)+((M172-(M172*N172/100))*O172/100)),2)</f>
      </c>
      <c r="Q172" s="223"/>
      <c r="R172" s="224"/>
      <c r="S172" s="224"/>
      <c r="T172" s="224"/>
      <c r="U172" s="225"/>
    </row>
    <row r="173" spans="1:21" ht="15">
      <c r="A173" s="215">
        <v>2</v>
      </c>
      <c r="B173" s="215"/>
      <c r="C173" s="216" t="s">
        <v>287</v>
      </c>
      <c r="D173" s="217" t="s">
        <v>287</v>
      </c>
      <c r="E173" s="217" t="s">
        <v>287</v>
      </c>
      <c r="F173" s="217" t="s">
        <v>287</v>
      </c>
      <c r="G173" s="217" t="s">
        <v>287</v>
      </c>
      <c r="H173" s="217" t="s">
        <v>287</v>
      </c>
      <c r="I173" s="217" t="s">
        <v>287</v>
      </c>
      <c r="J173" s="217" t="s">
        <v>287</v>
      </c>
      <c r="K173" s="218" t="s">
        <v>287</v>
      </c>
      <c r="L173" s="219"/>
      <c r="M173" s="220">
        <v>0</v>
      </c>
      <c r="N173" s="220">
        <v>0</v>
      </c>
      <c r="O173" s="221">
        <v>0</v>
      </c>
      <c r="P173" s="222">
        <f>ROUND((M173-(M173*N173/100)+((M173-(M173*N173/100))*O173/100)),2)</f>
      </c>
      <c r="Q173" s="223"/>
      <c r="R173" s="224"/>
      <c r="S173" s="224"/>
      <c r="T173" s="224"/>
      <c r="U173" s="225" t="s">
        <v>288</v>
      </c>
    </row>
    <row r="174" spans="1:21" ht="15">
      <c r="A174" s="215">
        <v>3</v>
      </c>
      <c r="B174" s="215"/>
      <c r="C174" s="216"/>
      <c r="D174" s="217"/>
      <c r="E174" s="217"/>
      <c r="F174" s="217"/>
      <c r="G174" s="217"/>
      <c r="H174" s="217"/>
      <c r="I174" s="217"/>
      <c r="J174" s="217"/>
      <c r="K174" s="218"/>
      <c r="L174" s="219"/>
      <c r="M174" s="220">
        <v>0</v>
      </c>
      <c r="N174" s="220">
        <v>0</v>
      </c>
      <c r="O174" s="221">
        <v>0</v>
      </c>
      <c r="P174" s="222">
        <f>ROUND((M174-(M174*N174/100)+((M174-(M174*N174/100))*O174/100)),2)</f>
      </c>
      <c r="Q174" s="223"/>
      <c r="R174" s="224"/>
      <c r="S174" s="224"/>
      <c r="T174" s="224"/>
      <c r="U174" s="225"/>
    </row>
    <row r="175" spans="1:21" ht="15">
      <c r="A175" s="215">
        <v>4</v>
      </c>
      <c r="B175" s="215"/>
      <c r="C175" s="216"/>
      <c r="D175" s="217"/>
      <c r="E175" s="217"/>
      <c r="F175" s="217"/>
      <c r="G175" s="217"/>
      <c r="H175" s="217"/>
      <c r="I175" s="217"/>
      <c r="J175" s="217"/>
      <c r="K175" s="218"/>
      <c r="L175" s="219"/>
      <c r="M175" s="220">
        <v>0</v>
      </c>
      <c r="N175" s="220">
        <v>0</v>
      </c>
      <c r="O175" s="221">
        <v>0</v>
      </c>
      <c r="P175" s="222">
        <f>ROUND((M175-(M175*N175/100)+((M175-(M175*N175/100))*O175/100)),2)</f>
      </c>
      <c r="Q175" s="223"/>
      <c r="R175" s="224"/>
      <c r="S175" s="224"/>
      <c r="T175" s="224"/>
      <c r="U175" s="225"/>
    </row>
    <row r="176" spans="1:21" ht="15.75" customHeight="1">
      <c r="A176" s="226"/>
      <c r="B176" s="226"/>
      <c r="C176" s="227"/>
      <c r="D176" s="227"/>
      <c r="E176" s="227"/>
      <c r="F176" s="227"/>
      <c r="G176" s="227"/>
      <c r="H176" s="163"/>
      <c r="I176" s="163"/>
      <c r="J176" s="163"/>
      <c r="K176" s="228"/>
      <c r="L176" s="139" t="s">
        <v>282</v>
      </c>
      <c r="M176" s="140" t="s">
        <v>282</v>
      </c>
      <c r="N176" s="141"/>
      <c r="O176" s="141"/>
      <c r="P176" s="229">
        <f>SUM(SubItemTotal)</f>
      </c>
      <c r="Q176" s="163"/>
      <c r="R176" s="163"/>
      <c r="S176" s="163"/>
      <c r="T176" s="151"/>
      <c r="U176" s="214"/>
    </row>
    <row r="177" spans="1:21" ht="30" customHeight="1">
      <c r="A177" s="226"/>
      <c r="B177" s="226"/>
      <c r="C177" s="227"/>
      <c r="D177" s="227"/>
      <c r="E177" s="227"/>
      <c r="F177" s="227"/>
      <c r="G177" s="227"/>
      <c r="H177" s="163"/>
      <c r="I177" s="163"/>
      <c r="J177" s="163"/>
      <c r="K177" s="230"/>
      <c r="L177" s="142" t="s">
        <v>289</v>
      </c>
      <c r="M177" s="142" t="s">
        <v>289</v>
      </c>
      <c r="N177" s="141"/>
      <c r="O177" s="141"/>
      <c r="P177" s="231">
        <f>SUM(P172:P176)</f>
      </c>
      <c r="Q177" s="163"/>
      <c r="R177" s="163"/>
      <c r="S177" s="163"/>
      <c r="T177" s="151"/>
      <c r="U177" s="214"/>
    </row>
    <row r="178" spans="1:21" ht="30" customHeight="1" hidden="1">
      <c r="A178" s="232">
        <v>0</v>
      </c>
      <c r="B178" s="232">
        <v>0</v>
      </c>
      <c r="C178" s="233">
        <v>0</v>
      </c>
      <c r="D178" s="227"/>
      <c r="E178" s="227"/>
      <c r="F178" s="234">
        <v>0</v>
      </c>
      <c r="G178" s="227"/>
      <c r="H178" s="227"/>
      <c r="I178" s="227"/>
      <c r="K178" s="235"/>
      <c r="L178" s="227"/>
      <c r="M178" s="236"/>
      <c r="O178" s="227"/>
      <c r="P178" s="237"/>
      <c r="Q178" s="238"/>
      <c r="R178" s="237"/>
      <c r="S178" s="239"/>
      <c r="T178" s="151"/>
      <c r="U178" s="214"/>
    </row>
    <row r="179" spans="1:21" ht="30" customHeight="1">
      <c r="A179" s="232"/>
      <c r="B179" s="232"/>
      <c r="C179" s="233"/>
      <c r="D179" s="227"/>
      <c r="E179" s="227"/>
      <c r="F179" s="234"/>
      <c r="G179" s="227"/>
      <c r="H179" s="227"/>
      <c r="I179" s="227"/>
      <c r="K179" s="235"/>
      <c r="L179" s="227"/>
      <c r="M179" s="236"/>
      <c r="O179" s="227"/>
      <c r="P179" s="237"/>
      <c r="Q179" s="238"/>
      <c r="R179" s="237"/>
      <c r="S179" s="239"/>
      <c r="T179" s="151"/>
      <c r="U179" s="214"/>
    </row>
    <row r="180" spans="1:21" ht="30" customHeight="1">
      <c r="A180" s="240" t="s">
        <v>290</v>
      </c>
      <c r="B180" s="240"/>
      <c r="C180" s="240"/>
      <c r="D180" s="240"/>
      <c r="E180" s="227"/>
      <c r="F180" s="241"/>
      <c r="G180" s="241"/>
      <c r="H180" s="241"/>
      <c r="I180" s="241"/>
      <c r="J180" s="241"/>
      <c r="K180" s="241"/>
      <c r="L180" s="241"/>
      <c r="M180" s="241"/>
      <c r="N180" s="241"/>
      <c r="O180" s="241"/>
      <c r="P180" s="241"/>
      <c r="Q180" s="241"/>
      <c r="R180" s="241"/>
      <c r="S180" s="241"/>
      <c r="T180" s="151"/>
      <c r="U180" s="214"/>
    </row>
    <row r="181" spans="1:21" ht="18.75" customHeight="1">
      <c r="A181" s="240" t="s">
        <v>291</v>
      </c>
      <c r="B181" s="240"/>
      <c r="C181" s="240"/>
      <c r="D181" s="240"/>
      <c r="E181" s="227"/>
      <c r="F181" s="241"/>
      <c r="G181" s="241"/>
      <c r="H181" s="241"/>
      <c r="I181" s="241"/>
      <c r="J181" s="241"/>
      <c r="K181" s="241"/>
      <c r="L181" s="241"/>
      <c r="M181" s="241"/>
      <c r="N181" s="241"/>
      <c r="O181" s="241"/>
      <c r="P181" s="241"/>
      <c r="Q181" s="241"/>
      <c r="R181" s="241"/>
      <c r="S181" s="241"/>
      <c r="T181" s="151"/>
      <c r="U181" s="214"/>
    </row>
    <row r="182" spans="1:21" ht="15.75" customHeight="1">
      <c r="A182" s="240" t="s">
        <v>51</v>
      </c>
      <c r="B182" s="240"/>
      <c r="C182" s="240"/>
      <c r="D182" s="240"/>
      <c r="E182" s="242"/>
      <c r="F182" s="243"/>
      <c r="G182" s="243"/>
      <c r="H182" s="243"/>
      <c r="I182" s="243"/>
      <c r="J182" s="243"/>
      <c r="K182" s="243"/>
      <c r="L182" s="243"/>
      <c r="M182" s="243"/>
      <c r="N182" s="243"/>
      <c r="O182" s="243"/>
      <c r="P182" s="243"/>
      <c r="Q182" s="243"/>
      <c r="R182" s="243"/>
      <c r="S182" s="243"/>
      <c r="T182" s="244"/>
      <c r="U182" s="245"/>
    </row>
    <row r="183" spans="1:21" ht="15.75" customHeight="1">
      <c r="A183" s="226"/>
      <c r="B183" s="226"/>
      <c r="C183" s="226"/>
      <c r="D183" s="151"/>
      <c r="E183" s="151"/>
      <c r="F183" s="151"/>
      <c r="G183" s="151"/>
      <c r="H183" s="227"/>
      <c r="I183" s="227"/>
      <c r="J183" s="227"/>
      <c r="K183" s="227"/>
      <c r="L183" s="227"/>
      <c r="M183" s="227"/>
      <c r="N183" s="227"/>
      <c r="O183" s="227"/>
      <c r="P183" s="227"/>
      <c r="Q183" s="227"/>
      <c r="R183" s="227"/>
      <c r="S183" s="227"/>
      <c r="T183" s="151"/>
      <c r="U183" s="214"/>
    </row>
    <row r="184" spans="1:21" ht="15" customHeight="1">
      <c r="A184" s="195" t="s">
        <v>292</v>
      </c>
      <c r="B184" s="195"/>
      <c r="C184" s="195"/>
      <c r="D184" s="195"/>
      <c r="E184" s="195"/>
      <c r="F184" s="195"/>
      <c r="G184" s="195"/>
      <c r="H184" s="195"/>
      <c r="I184" s="195"/>
      <c r="J184" s="195"/>
      <c r="K184" s="195"/>
      <c r="L184" s="195"/>
      <c r="M184" s="195"/>
      <c r="N184" s="195"/>
      <c r="O184" s="195"/>
      <c r="P184" s="195"/>
      <c r="Q184" s="195"/>
      <c r="R184" s="195"/>
      <c r="S184" s="195"/>
      <c r="T184" s="195"/>
      <c r="U184" s="198"/>
    </row>
    <row r="185" spans="1:21" ht="12.75" customHeight="1">
      <c r="A185" s="246" t="s">
        <v>293</v>
      </c>
      <c r="B185" s="246"/>
      <c r="C185" s="246"/>
      <c r="D185" s="246"/>
      <c r="E185" s="246"/>
      <c r="F185" s="246"/>
      <c r="G185" s="246"/>
      <c r="H185" s="246"/>
      <c r="I185" s="246"/>
      <c r="J185" s="246"/>
      <c r="K185" s="246"/>
      <c r="L185" s="246"/>
      <c r="M185" s="246"/>
      <c r="N185" s="246"/>
      <c r="O185" s="246"/>
      <c r="P185" s="246"/>
      <c r="Q185" s="246"/>
      <c r="R185" s="246"/>
      <c r="S185" s="246"/>
      <c r="T185" s="246"/>
      <c r="U185" s="247"/>
    </row>
    <row r="186" spans="1:21" ht="12.75" customHeight="1">
      <c r="A186" s="246" t="s">
        <v>294</v>
      </c>
      <c r="B186" s="246"/>
      <c r="C186" s="246"/>
      <c r="D186" s="246"/>
      <c r="E186" s="246"/>
      <c r="F186" s="246"/>
      <c r="G186" s="246"/>
      <c r="H186" s="246"/>
      <c r="I186" s="246"/>
      <c r="J186" s="246"/>
      <c r="K186" s="246"/>
      <c r="L186" s="246"/>
      <c r="M186" s="246"/>
      <c r="N186" s="246"/>
      <c r="O186" s="246"/>
      <c r="P186" s="246"/>
      <c r="Q186" s="246"/>
      <c r="R186" s="246"/>
      <c r="S186" s="246"/>
      <c r="T186" s="246"/>
      <c r="U186" s="247"/>
    </row>
    <row r="187" spans="1:21" ht="7.5" customHeight="1">
      <c r="A187" s="248"/>
      <c r="B187" s="248"/>
      <c r="C187" s="248"/>
      <c r="D187" s="248"/>
      <c r="E187" s="248"/>
      <c r="F187" s="248"/>
      <c r="G187" s="248"/>
      <c r="H187" s="248"/>
      <c r="I187" s="248"/>
      <c r="J187" s="248"/>
      <c r="K187" s="248"/>
      <c r="L187" s="248"/>
      <c r="M187" s="248"/>
      <c r="N187" s="248"/>
      <c r="O187" s="248"/>
      <c r="P187" s="248"/>
      <c r="Q187" s="248"/>
      <c r="R187" s="248"/>
      <c r="S187" s="248"/>
      <c r="T187" s="248"/>
      <c r="U187" s="249"/>
    </row>
    <row r="188" spans="1:21" ht="12.75" customHeight="1">
      <c r="A188" s="250" t="s">
        <v>295</v>
      </c>
      <c r="B188" s="250"/>
      <c r="C188" s="250"/>
      <c r="D188" s="250"/>
      <c r="E188" s="250"/>
      <c r="F188" s="250"/>
      <c r="G188" s="250"/>
      <c r="H188" s="250"/>
      <c r="I188" s="250"/>
      <c r="J188" s="250"/>
      <c r="K188" s="250"/>
      <c r="L188" s="250"/>
      <c r="M188" s="250"/>
      <c r="N188" s="250"/>
      <c r="O188" s="250"/>
      <c r="P188" s="250"/>
      <c r="Q188" s="250"/>
      <c r="R188" s="250"/>
      <c r="S188" s="250"/>
      <c r="T188" s="250"/>
      <c r="U188" s="251"/>
    </row>
    <row r="189" spans="1:21" ht="12.75" customHeight="1">
      <c r="A189" s="250" t="s">
        <v>296</v>
      </c>
      <c r="B189" s="250"/>
      <c r="C189" s="250"/>
      <c r="D189" s="250"/>
      <c r="E189" s="250"/>
      <c r="F189" s="250"/>
      <c r="G189" s="250"/>
      <c r="H189" s="250"/>
      <c r="I189" s="250"/>
      <c r="J189" s="250"/>
      <c r="K189" s="250"/>
      <c r="L189" s="250"/>
      <c r="M189" s="250"/>
      <c r="N189" s="250"/>
      <c r="O189" s="250"/>
      <c r="P189" s="250"/>
      <c r="Q189" s="250"/>
      <c r="R189" s="250"/>
      <c r="S189" s="250"/>
      <c r="T189" s="250"/>
      <c r="U189" s="251"/>
    </row>
    <row r="190" spans="1:21" ht="12.75" customHeight="1">
      <c r="A190" s="250" t="s">
        <v>297</v>
      </c>
      <c r="B190" s="250"/>
      <c r="C190" s="250"/>
      <c r="D190" s="250"/>
      <c r="E190" s="250"/>
      <c r="F190" s="250"/>
      <c r="G190" s="250"/>
      <c r="H190" s="250"/>
      <c r="I190" s="250"/>
      <c r="J190" s="250"/>
      <c r="K190" s="250"/>
      <c r="L190" s="250"/>
      <c r="M190" s="250"/>
      <c r="N190" s="250"/>
      <c r="O190" s="250"/>
      <c r="P190" s="250"/>
      <c r="Q190" s="250"/>
      <c r="R190" s="250"/>
      <c r="S190" s="250"/>
      <c r="T190" s="250"/>
      <c r="U190" s="251"/>
    </row>
    <row r="191" spans="1:21" ht="7.5" customHeight="1">
      <c r="A191" s="250"/>
      <c r="B191" s="250"/>
      <c r="C191" s="250"/>
      <c r="D191" s="250"/>
      <c r="E191" s="250"/>
      <c r="F191" s="250"/>
      <c r="G191" s="250"/>
      <c r="H191" s="250"/>
      <c r="I191" s="250"/>
      <c r="J191" s="250"/>
      <c r="K191" s="250"/>
      <c r="L191" s="250"/>
      <c r="M191" s="250"/>
      <c r="N191" s="250"/>
      <c r="O191" s="250"/>
      <c r="P191" s="250"/>
      <c r="Q191" s="250"/>
      <c r="R191" s="250"/>
      <c r="S191" s="250"/>
      <c r="T191" s="250"/>
      <c r="U191" s="251"/>
    </row>
    <row r="192" spans="1:21" ht="12.75" customHeight="1">
      <c r="A192" s="252" t="s">
        <v>298</v>
      </c>
      <c r="B192" s="252"/>
      <c r="C192" s="252"/>
      <c r="D192" s="252"/>
      <c r="E192" s="252"/>
      <c r="F192" s="252"/>
      <c r="G192" s="252"/>
      <c r="H192" s="252"/>
      <c r="I192" s="252"/>
      <c r="J192" s="252"/>
      <c r="K192" s="252"/>
      <c r="L192" s="252"/>
      <c r="M192" s="252"/>
      <c r="N192" s="252"/>
      <c r="O192" s="252"/>
      <c r="P192" s="252"/>
      <c r="Q192" s="252"/>
      <c r="R192" s="252"/>
      <c r="S192" s="252"/>
      <c r="T192" s="252"/>
      <c r="U192" s="253"/>
    </row>
    <row r="193" spans="1:21" ht="12.75" customHeight="1">
      <c r="A193" s="254" t="s">
        <v>299</v>
      </c>
      <c r="B193" s="254"/>
      <c r="C193" s="254"/>
      <c r="D193" s="254"/>
      <c r="E193" s="254"/>
      <c r="F193" s="254"/>
      <c r="G193" s="254"/>
      <c r="H193" s="254"/>
      <c r="I193" s="254"/>
      <c r="J193" s="254"/>
      <c r="K193" s="254"/>
      <c r="L193" s="254"/>
      <c r="M193" s="254"/>
      <c r="N193" s="254"/>
      <c r="O193" s="254"/>
      <c r="P193" s="254"/>
      <c r="Q193" s="254"/>
      <c r="R193" s="254"/>
      <c r="S193" s="254"/>
      <c r="T193" s="254"/>
      <c r="U193" s="255"/>
    </row>
    <row r="194" spans="1:21" ht="12.75" customHeight="1">
      <c r="A194" s="254" t="s">
        <v>300</v>
      </c>
      <c r="B194" s="254"/>
      <c r="C194" s="254"/>
      <c r="D194" s="254"/>
      <c r="E194" s="254"/>
      <c r="F194" s="254"/>
      <c r="G194" s="254"/>
      <c r="H194" s="254"/>
      <c r="I194" s="254"/>
      <c r="J194" s="254"/>
      <c r="K194" s="254"/>
      <c r="L194" s="254"/>
      <c r="M194" s="254"/>
      <c r="N194" s="254"/>
      <c r="O194" s="254"/>
      <c r="P194" s="254"/>
      <c r="Q194" s="254"/>
      <c r="R194" s="254"/>
      <c r="S194" s="254"/>
      <c r="T194" s="254"/>
      <c r="U194" s="255"/>
    </row>
    <row r="195" spans="1:21" ht="12.75" customHeight="1">
      <c r="A195" s="250" t="s">
        <v>301</v>
      </c>
      <c r="B195" s="250"/>
      <c r="C195" s="250"/>
      <c r="D195" s="250"/>
      <c r="E195" s="250"/>
      <c r="F195" s="250"/>
      <c r="G195" s="250"/>
      <c r="H195" s="250"/>
      <c r="I195" s="250"/>
      <c r="J195" s="250"/>
      <c r="K195" s="250"/>
      <c r="L195" s="250"/>
      <c r="M195" s="250"/>
      <c r="N195" s="250"/>
      <c r="O195" s="250"/>
      <c r="P195" s="250"/>
      <c r="Q195" s="250"/>
      <c r="R195" s="250"/>
      <c r="S195" s="250"/>
      <c r="T195" s="250"/>
      <c r="U195" s="251"/>
    </row>
    <row r="196" spans="1:21" ht="12.75" customHeight="1">
      <c r="A196" s="254" t="s">
        <v>302</v>
      </c>
      <c r="B196" s="254"/>
      <c r="C196" s="254"/>
      <c r="D196" s="254"/>
      <c r="E196" s="254"/>
      <c r="F196" s="254"/>
      <c r="G196" s="254"/>
      <c r="H196" s="254"/>
      <c r="I196" s="254"/>
      <c r="J196" s="254"/>
      <c r="K196" s="254"/>
      <c r="L196" s="254"/>
      <c r="M196" s="254"/>
      <c r="N196" s="254"/>
      <c r="O196" s="254"/>
      <c r="P196" s="254"/>
      <c r="Q196" s="254"/>
      <c r="R196" s="254"/>
      <c r="S196" s="254"/>
      <c r="T196" s="254"/>
      <c r="U196" s="255"/>
    </row>
    <row r="197" spans="1:21" ht="12.75" customHeight="1">
      <c r="A197" s="254" t="s">
        <v>303</v>
      </c>
      <c r="B197" s="254"/>
      <c r="C197" s="254"/>
      <c r="D197" s="254"/>
      <c r="E197" s="254"/>
      <c r="F197" s="254"/>
      <c r="G197" s="254"/>
      <c r="H197" s="254"/>
      <c r="I197" s="254"/>
      <c r="J197" s="254"/>
      <c r="K197" s="254"/>
      <c r="L197" s="254"/>
      <c r="M197" s="254"/>
      <c r="N197" s="254"/>
      <c r="O197" s="254"/>
      <c r="P197" s="254"/>
      <c r="Q197" s="254"/>
      <c r="R197" s="254"/>
      <c r="S197" s="254"/>
      <c r="T197" s="254"/>
      <c r="U197" s="255"/>
    </row>
    <row r="198" spans="1:21" ht="12" customHeight="1">
      <c r="A198" s="254" t="s">
        <v>304</v>
      </c>
      <c r="B198" s="254"/>
      <c r="C198" s="254"/>
      <c r="D198" s="254"/>
      <c r="E198" s="254"/>
      <c r="F198" s="254"/>
      <c r="G198" s="254"/>
      <c r="H198" s="254"/>
      <c r="I198" s="254"/>
      <c r="J198" s="254"/>
      <c r="K198" s="254"/>
      <c r="L198" s="254"/>
      <c r="M198" s="254"/>
      <c r="N198" s="254"/>
      <c r="O198" s="254"/>
      <c r="P198" s="254"/>
      <c r="Q198" s="254"/>
      <c r="R198" s="254"/>
      <c r="S198" s="254"/>
      <c r="T198" s="254"/>
      <c r="U198" s="251"/>
    </row>
    <row r="199" spans="1:21" ht="12.75" customHeight="1">
      <c r="A199" s="252" t="s">
        <v>305</v>
      </c>
      <c r="B199" s="252"/>
      <c r="C199" s="252"/>
      <c r="D199" s="252"/>
      <c r="E199" s="252"/>
      <c r="F199" s="252"/>
      <c r="G199" s="252"/>
      <c r="H199" s="252"/>
      <c r="I199" s="252"/>
      <c r="J199" s="252"/>
      <c r="K199" s="252"/>
      <c r="L199" s="252"/>
      <c r="M199" s="252"/>
      <c r="N199" s="252"/>
      <c r="O199" s="252"/>
      <c r="P199" s="252"/>
      <c r="Q199" s="252"/>
      <c r="R199" s="252"/>
      <c r="S199" s="252"/>
      <c r="T199" s="252"/>
      <c r="U199" s="253"/>
    </row>
    <row r="200" spans="1:21" ht="12.75" customHeight="1">
      <c r="A200" s="250" t="s">
        <v>306</v>
      </c>
      <c r="B200" s="250"/>
      <c r="C200" s="250"/>
      <c r="D200" s="250"/>
      <c r="E200" s="250"/>
      <c r="F200" s="250"/>
      <c r="G200" s="250"/>
      <c r="H200" s="250"/>
      <c r="I200" s="250"/>
      <c r="J200" s="250"/>
      <c r="K200" s="250"/>
      <c r="L200" s="250"/>
      <c r="M200" s="250"/>
      <c r="N200" s="250"/>
      <c r="O200" s="250"/>
      <c r="P200" s="250"/>
      <c r="Q200" s="250"/>
      <c r="R200" s="250"/>
      <c r="S200" s="250"/>
      <c r="T200" s="250"/>
      <c r="U200" s="251"/>
    </row>
    <row r="201" spans="1:21" ht="12.75" customHeight="1">
      <c r="A201" s="250" t="s">
        <v>307</v>
      </c>
      <c r="B201" s="250"/>
      <c r="C201" s="250"/>
      <c r="D201" s="250"/>
      <c r="E201" s="250"/>
      <c r="F201" s="250"/>
      <c r="G201" s="250"/>
      <c r="H201" s="250"/>
      <c r="I201" s="250"/>
      <c r="J201" s="250"/>
      <c r="K201" s="250"/>
      <c r="L201" s="250"/>
      <c r="M201" s="250"/>
      <c r="N201" s="250"/>
      <c r="O201" s="250"/>
      <c r="P201" s="250"/>
      <c r="Q201" s="250"/>
      <c r="R201" s="250"/>
      <c r="S201" s="250"/>
      <c r="T201" s="250"/>
      <c r="U201" s="251"/>
    </row>
    <row r="202" spans="1:21" ht="12.75" customHeight="1">
      <c r="A202" s="250" t="s">
        <v>308</v>
      </c>
      <c r="B202" s="250"/>
      <c r="C202" s="250"/>
      <c r="D202" s="250"/>
      <c r="E202" s="250"/>
      <c r="F202" s="250"/>
      <c r="G202" s="250"/>
      <c r="H202" s="250"/>
      <c r="I202" s="250"/>
      <c r="J202" s="250"/>
      <c r="K202" s="250"/>
      <c r="L202" s="250"/>
      <c r="M202" s="250"/>
      <c r="N202" s="250"/>
      <c r="O202" s="250"/>
      <c r="P202" s="250"/>
      <c r="Q202" s="250"/>
      <c r="R202" s="250"/>
      <c r="S202" s="250"/>
      <c r="T202" s="250"/>
      <c r="U202" s="251"/>
    </row>
    <row r="203" spans="1:21" ht="12" customHeight="1">
      <c r="A203" s="250" t="s">
        <v>309</v>
      </c>
      <c r="B203" s="250"/>
      <c r="C203" s="250"/>
      <c r="D203" s="250"/>
      <c r="E203" s="250"/>
      <c r="F203" s="250"/>
      <c r="G203" s="250"/>
      <c r="H203" s="250"/>
      <c r="I203" s="250"/>
      <c r="J203" s="250"/>
      <c r="K203" s="250"/>
      <c r="L203" s="250"/>
      <c r="M203" s="250"/>
      <c r="N203" s="250"/>
      <c r="O203" s="250"/>
      <c r="P203" s="250"/>
      <c r="Q203" s="250"/>
      <c r="R203" s="250"/>
      <c r="S203" s="250"/>
      <c r="T203" s="250"/>
      <c r="U203" s="251"/>
    </row>
    <row r="204" spans="1:21" ht="7.5" customHeight="1">
      <c r="A204" s="250"/>
      <c r="B204" s="250"/>
      <c r="C204" s="250"/>
      <c r="D204" s="250"/>
      <c r="E204" s="250"/>
      <c r="F204" s="250"/>
      <c r="G204" s="250"/>
      <c r="H204" s="250"/>
      <c r="I204" s="250"/>
      <c r="J204" s="250"/>
      <c r="K204" s="250"/>
      <c r="L204" s="250"/>
      <c r="M204" s="250"/>
      <c r="N204" s="250"/>
      <c r="O204" s="250"/>
      <c r="P204" s="250"/>
      <c r="Q204" s="250"/>
      <c r="R204" s="250"/>
      <c r="S204" s="250"/>
      <c r="T204" s="250"/>
      <c r="U204" s="251"/>
    </row>
    <row r="205" spans="1:21" ht="12.75" customHeight="1">
      <c r="A205" s="252" t="s">
        <v>310</v>
      </c>
      <c r="B205" s="252"/>
      <c r="C205" s="252"/>
      <c r="D205" s="252"/>
      <c r="E205" s="252"/>
      <c r="F205" s="252"/>
      <c r="G205" s="252"/>
      <c r="H205" s="252"/>
      <c r="I205" s="252"/>
      <c r="J205" s="252"/>
      <c r="K205" s="252"/>
      <c r="L205" s="252"/>
      <c r="M205" s="252"/>
      <c r="N205" s="252"/>
      <c r="O205" s="252"/>
      <c r="P205" s="252"/>
      <c r="Q205" s="252"/>
      <c r="R205" s="252"/>
      <c r="S205" s="252"/>
      <c r="T205" s="252"/>
      <c r="U205" s="253"/>
    </row>
    <row r="206" spans="1:21" ht="12" customHeight="1">
      <c r="A206" s="252" t="s">
        <v>311</v>
      </c>
      <c r="B206" s="252"/>
      <c r="C206" s="252"/>
      <c r="D206" s="252"/>
      <c r="E206" s="252"/>
      <c r="F206" s="252"/>
      <c r="G206" s="252"/>
      <c r="H206" s="252"/>
      <c r="I206" s="252"/>
      <c r="J206" s="252"/>
      <c r="K206" s="252"/>
      <c r="L206" s="252"/>
      <c r="M206" s="252"/>
      <c r="N206" s="252"/>
      <c r="O206" s="252"/>
      <c r="P206" s="252"/>
      <c r="Q206" s="252"/>
      <c r="R206" s="252"/>
      <c r="S206" s="252"/>
      <c r="T206" s="252"/>
      <c r="U206" s="253"/>
    </row>
    <row r="207" spans="1:21" ht="12.75" customHeight="1">
      <c r="A207" s="254"/>
      <c r="B207" s="254"/>
      <c r="C207" s="254"/>
      <c r="D207" s="254"/>
      <c r="E207" s="254"/>
      <c r="F207" s="254"/>
      <c r="G207" s="254"/>
      <c r="H207" s="254"/>
      <c r="I207" s="254"/>
      <c r="J207" s="254"/>
      <c r="K207" s="254"/>
      <c r="L207" s="254"/>
      <c r="M207" s="254"/>
      <c r="N207" s="254"/>
      <c r="O207" s="254"/>
      <c r="P207" s="254"/>
      <c r="Q207" s="254"/>
      <c r="R207" s="254"/>
      <c r="S207" s="254"/>
      <c r="T207" s="254"/>
      <c r="U207" s="255"/>
    </row>
  </sheetData>
  <sheetProtection algorithmName="SHA-512" hashValue="ODqT77mCG23VcwiQyppH0w+qR1OA7/71DW3oJ47wj0lmvo0Edc4Vh03cv3sJUdViK6n7Maq+y5QMRO6jFYp5uQ==" saltValue="7NzSwiPgZgXo3fGKVuNMfw==" spinCount="100000" sheet="1" objects="1" scenarios="1"/>
  <mergeCells count="90">
    <mergeCell ref="A195:T195"/>
    <mergeCell ref="A184:T184"/>
    <mergeCell ref="A185:T185"/>
    <mergeCell ref="A207:T207"/>
    <mergeCell ref="A196:T196"/>
    <mergeCell ref="A197:T197"/>
    <mergeCell ref="A198:T198"/>
    <mergeCell ref="A199:T199"/>
    <mergeCell ref="A200:T200"/>
    <mergeCell ref="A201:T201"/>
    <mergeCell ref="A202:T202"/>
    <mergeCell ref="A203:T203"/>
    <mergeCell ref="A204:T204"/>
    <mergeCell ref="A205:T205"/>
    <mergeCell ref="A206:T206"/>
    <mergeCell ref="A192:T192"/>
    <mergeCell ref="A193:T193"/>
    <mergeCell ref="A194:T194"/>
    <mergeCell ref="A189:T189"/>
    <mergeCell ref="A190:T190"/>
    <mergeCell ref="A191:T191"/>
    <mergeCell ref="A186:T186"/>
    <mergeCell ref="A188:T188"/>
    <mergeCell ref="A182:D182"/>
    <mergeCell ref="Q175:T175"/>
    <mergeCell ref="L176:M176"/>
    <mergeCell ref="N176:O176"/>
    <mergeCell ref="L177:M177"/>
    <mergeCell ref="N177:O177"/>
    <mergeCell ref="F181:S181"/>
    <mergeCell ref="F180:S180"/>
    <mergeCell ref="A181:D181"/>
    <mergeCell ref="A180:D180"/>
    <mergeCell ref="F182:S182"/>
    <mergeCell ref="Q172:T172"/>
    <mergeCell ref="Q173:T173"/>
    <mergeCell ref="Q174:T174"/>
    <mergeCell ref="D19:E19"/>
    <mergeCell ref="L19:M19"/>
    <mergeCell ref="Q19:R19"/>
    <mergeCell ref="S19:T19"/>
    <mergeCell ref="C171:H171"/>
    <mergeCell ref="L171:M171"/>
    <mergeCell ref="Q171:T171"/>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172:K172"/>
    <mergeCell ref="C173:K173"/>
    <mergeCell ref="C174:K174"/>
    <mergeCell ref="C175:K175"/>
  </mergeCells>
  <dataValidations count="755">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type="list" allowBlank="1" showInputMessage="1" showErrorMessage="1" sqref="H98">
      <formula1>'MasterData'!$B$1:$B$14</formula1>
    </dataValidation>
    <dataValidation type="list" allowBlank="1" showInputMessage="1" showErrorMessage="1" sqref="I98">
      <formula1>'MasterData'!$E$771:$E$780</formula1>
    </dataValidation>
    <dataValidation type="decimal" operator="greaterThanOrEqual" allowBlank="1" showInputMessage="1" showErrorMessage="1" sqref="K98">
      <formula1>0</formula1>
    </dataValidation>
    <dataValidation type="decimal" allowBlank="1" showInputMessage="1" showErrorMessage="1" sqref="N98">
      <formula1>0</formula1>
      <formula2>100</formula2>
    </dataValidation>
    <dataValidation type="decimal" allowBlank="1" showInputMessage="1" showErrorMessage="1" sqref="O98">
      <formula1>0</formula1>
      <formula2>100</formula2>
    </dataValidation>
    <dataValidation type="list" allowBlank="1" showInputMessage="1" showErrorMessage="1" sqref="H99">
      <formula1>'MasterData'!$B$1:$B$14</formula1>
    </dataValidation>
    <dataValidation type="list" allowBlank="1" showInputMessage="1" showErrorMessage="1" sqref="I99">
      <formula1>'MasterData'!$E$781:$E$790</formula1>
    </dataValidation>
    <dataValidation type="decimal" operator="greaterThanOrEqual" allowBlank="1" showInputMessage="1" showErrorMessage="1" sqref="K99">
      <formula1>0</formula1>
    </dataValidation>
    <dataValidation type="decimal" allowBlank="1" showInputMessage="1" showErrorMessage="1" sqref="N99">
      <formula1>0</formula1>
      <formula2>100</formula2>
    </dataValidation>
    <dataValidation type="decimal" allowBlank="1" showInputMessage="1" showErrorMessage="1" sqref="O99">
      <formula1>0</formula1>
      <formula2>100</formula2>
    </dataValidation>
    <dataValidation type="list" allowBlank="1" showInputMessage="1" showErrorMessage="1" sqref="H100">
      <formula1>'MasterData'!$B$1:$B$14</formula1>
    </dataValidation>
    <dataValidation type="list" allowBlank="1" showInputMessage="1" showErrorMessage="1" sqref="I100">
      <formula1>'MasterData'!$E$791:$E$800</formula1>
    </dataValidation>
    <dataValidation type="decimal" operator="greaterThanOrEqual" allowBlank="1" showInputMessage="1" showErrorMessage="1" sqref="K100">
      <formula1>0</formula1>
    </dataValidation>
    <dataValidation type="decimal" allowBlank="1" showInputMessage="1" showErrorMessage="1" sqref="N100">
      <formula1>0</formula1>
      <formula2>100</formula2>
    </dataValidation>
    <dataValidation type="decimal" allowBlank="1" showInputMessage="1" showErrorMessage="1" sqref="O100">
      <formula1>0</formula1>
      <formula2>100</formula2>
    </dataValidation>
    <dataValidation type="list" allowBlank="1" showInputMessage="1" showErrorMessage="1" sqref="H101">
      <formula1>'MasterData'!$B$1:$B$14</formula1>
    </dataValidation>
    <dataValidation type="list" allowBlank="1" showInputMessage="1" showErrorMessage="1" sqref="I101">
      <formula1>'MasterData'!$E$801:$E$810</formula1>
    </dataValidation>
    <dataValidation type="decimal" operator="greaterThanOrEqual" allowBlank="1" showInputMessage="1" showErrorMessage="1" sqref="K101">
      <formula1>0</formula1>
    </dataValidation>
    <dataValidation type="decimal" allowBlank="1" showInputMessage="1" showErrorMessage="1" sqref="N101">
      <formula1>0</formula1>
      <formula2>100</formula2>
    </dataValidation>
    <dataValidation type="decimal" allowBlank="1" showInputMessage="1" showErrorMessage="1" sqref="O101">
      <formula1>0</formula1>
      <formula2>100</formula2>
    </dataValidation>
    <dataValidation type="list" allowBlank="1" showInputMessage="1" showErrorMessage="1" sqref="H102">
      <formula1>'MasterData'!$B$1:$B$14</formula1>
    </dataValidation>
    <dataValidation type="list" allowBlank="1" showInputMessage="1" showErrorMessage="1" sqref="I102">
      <formula1>'MasterData'!$E$811:$E$820</formula1>
    </dataValidation>
    <dataValidation type="decimal" operator="greaterThanOrEqual" allowBlank="1" showInputMessage="1" showErrorMessage="1" sqref="K102">
      <formula1>0</formula1>
    </dataValidation>
    <dataValidation type="decimal" allowBlank="1" showInputMessage="1" showErrorMessage="1" sqref="N102">
      <formula1>0</formula1>
      <formula2>100</formula2>
    </dataValidation>
    <dataValidation type="decimal" allowBlank="1" showInputMessage="1" showErrorMessage="1" sqref="O102">
      <formula1>0</formula1>
      <formula2>100</formula2>
    </dataValidation>
    <dataValidation type="list" allowBlank="1" showInputMessage="1" showErrorMessage="1" sqref="H103">
      <formula1>'MasterData'!$B$1:$B$14</formula1>
    </dataValidation>
    <dataValidation type="list" allowBlank="1" showInputMessage="1" showErrorMessage="1" sqref="I103">
      <formula1>'MasterData'!$E$821:$E$830</formula1>
    </dataValidation>
    <dataValidation type="decimal" operator="greaterThanOrEqual" allowBlank="1" showInputMessage="1" showErrorMessage="1" sqref="K103">
      <formula1>0</formula1>
    </dataValidation>
    <dataValidation type="decimal" allowBlank="1" showInputMessage="1" showErrorMessage="1" sqref="N103">
      <formula1>0</formula1>
      <formula2>100</formula2>
    </dataValidation>
    <dataValidation type="decimal" allowBlank="1" showInputMessage="1" showErrorMessage="1" sqref="O103">
      <formula1>0</formula1>
      <formula2>100</formula2>
    </dataValidation>
    <dataValidation type="list" allowBlank="1" showInputMessage="1" showErrorMessage="1" sqref="H104">
      <formula1>'MasterData'!$B$1:$B$14</formula1>
    </dataValidation>
    <dataValidation type="list" allowBlank="1" showInputMessage="1" showErrorMessage="1" sqref="I104">
      <formula1>'MasterData'!$E$831:$E$840</formula1>
    </dataValidation>
    <dataValidation type="decimal" operator="greaterThanOrEqual" allowBlank="1" showInputMessage="1" showErrorMessage="1" sqref="K104">
      <formula1>0</formula1>
    </dataValidation>
    <dataValidation type="decimal" allowBlank="1" showInputMessage="1" showErrorMessage="1" sqref="N104">
      <formula1>0</formula1>
      <formula2>100</formula2>
    </dataValidation>
    <dataValidation type="decimal" allowBlank="1" showInputMessage="1" showErrorMessage="1" sqref="O104">
      <formula1>0</formula1>
      <formula2>100</formula2>
    </dataValidation>
    <dataValidation type="list" allowBlank="1" showInputMessage="1" showErrorMessage="1" sqref="H105">
      <formula1>'MasterData'!$B$1:$B$14</formula1>
    </dataValidation>
    <dataValidation type="list" allowBlank="1" showInputMessage="1" showErrorMessage="1" sqref="I105">
      <formula1>'MasterData'!$E$841:$E$850</formula1>
    </dataValidation>
    <dataValidation type="decimal" operator="greaterThanOrEqual" allowBlank="1" showInputMessage="1" showErrorMessage="1" sqref="K105">
      <formula1>0</formula1>
    </dataValidation>
    <dataValidation type="decimal" allowBlank="1" showInputMessage="1" showErrorMessage="1" sqref="N105">
      <formula1>0</formula1>
      <formula2>100</formula2>
    </dataValidation>
    <dataValidation type="decimal" allowBlank="1" showInputMessage="1" showErrorMessage="1" sqref="O105">
      <formula1>0</formula1>
      <formula2>100</formula2>
    </dataValidation>
    <dataValidation type="list" allowBlank="1" showInputMessage="1" showErrorMessage="1" sqref="H106">
      <formula1>'MasterData'!$B$1:$B$14</formula1>
    </dataValidation>
    <dataValidation type="list" allowBlank="1" showInputMessage="1" showErrorMessage="1" sqref="I106">
      <formula1>'MasterData'!$E$851:$E$860</formula1>
    </dataValidation>
    <dataValidation type="decimal" operator="greaterThanOrEqual" allowBlank="1" showInputMessage="1" showErrorMessage="1" sqref="K106">
      <formula1>0</formula1>
    </dataValidation>
    <dataValidation type="decimal" allowBlank="1" showInputMessage="1" showErrorMessage="1" sqref="N106">
      <formula1>0</formula1>
      <formula2>100</formula2>
    </dataValidation>
    <dataValidation type="decimal" allowBlank="1" showInputMessage="1" showErrorMessage="1" sqref="O106">
      <formula1>0</formula1>
      <formula2>100</formula2>
    </dataValidation>
    <dataValidation type="list" allowBlank="1" showInputMessage="1" showErrorMessage="1" sqref="H107">
      <formula1>'MasterData'!$B$1:$B$14</formula1>
    </dataValidation>
    <dataValidation type="list" allowBlank="1" showInputMessage="1" showErrorMessage="1" sqref="I107">
      <formula1>'MasterData'!$E$861:$E$870</formula1>
    </dataValidation>
    <dataValidation type="decimal" operator="greaterThanOrEqual" allowBlank="1" showInputMessage="1" showErrorMessage="1" sqref="K107">
      <formula1>0</formula1>
    </dataValidation>
    <dataValidation type="decimal" allowBlank="1" showInputMessage="1" showErrorMessage="1" sqref="N107">
      <formula1>0</formula1>
      <formula2>100</formula2>
    </dataValidation>
    <dataValidation type="decimal" allowBlank="1" showInputMessage="1" showErrorMessage="1" sqref="O107">
      <formula1>0</formula1>
      <formula2>100</formula2>
    </dataValidation>
    <dataValidation type="list" allowBlank="1" showInputMessage="1" showErrorMessage="1" sqref="H108">
      <formula1>'MasterData'!$B$1:$B$14</formula1>
    </dataValidation>
    <dataValidation type="list" allowBlank="1" showInputMessage="1" showErrorMessage="1" sqref="I108">
      <formula1>'MasterData'!$E$871:$E$880</formula1>
    </dataValidation>
    <dataValidation type="decimal" operator="greaterThanOrEqual" allowBlank="1" showInputMessage="1" showErrorMessage="1" sqref="K108">
      <formula1>0</formula1>
    </dataValidation>
    <dataValidation type="decimal" allowBlank="1" showInputMessage="1" showErrorMessage="1" sqref="N108">
      <formula1>0</formula1>
      <formula2>100</formula2>
    </dataValidation>
    <dataValidation type="decimal" allowBlank="1" showInputMessage="1" showErrorMessage="1" sqref="O108">
      <formula1>0</formula1>
      <formula2>100</formula2>
    </dataValidation>
    <dataValidation type="list" allowBlank="1" showInputMessage="1" showErrorMessage="1" sqref="H109">
      <formula1>'MasterData'!$B$1:$B$14</formula1>
    </dataValidation>
    <dataValidation type="list" allowBlank="1" showInputMessage="1" showErrorMessage="1" sqref="I109">
      <formula1>'MasterData'!$E$881:$E$890</formula1>
    </dataValidation>
    <dataValidation type="decimal" operator="greaterThanOrEqual" allowBlank="1" showInputMessage="1" showErrorMessage="1" sqref="K109">
      <formula1>0</formula1>
    </dataValidation>
    <dataValidation type="decimal" allowBlank="1" showInputMessage="1" showErrorMessage="1" sqref="N109">
      <formula1>0</formula1>
      <formula2>100</formula2>
    </dataValidation>
    <dataValidation type="decimal" allowBlank="1" showInputMessage="1" showErrorMessage="1" sqref="O109">
      <formula1>0</formula1>
      <formula2>100</formula2>
    </dataValidation>
    <dataValidation type="list" allowBlank="1" showInputMessage="1" showErrorMessage="1" sqref="H110">
      <formula1>'MasterData'!$B$1:$B$14</formula1>
    </dataValidation>
    <dataValidation type="list" allowBlank="1" showInputMessage="1" showErrorMessage="1" sqref="I110">
      <formula1>'MasterData'!$E$891:$E$900</formula1>
    </dataValidation>
    <dataValidation type="decimal" operator="greaterThanOrEqual" allowBlank="1" showInputMessage="1" showErrorMessage="1" sqref="K110">
      <formula1>0</formula1>
    </dataValidation>
    <dataValidation type="decimal" allowBlank="1" showInputMessage="1" showErrorMessage="1" sqref="N110">
      <formula1>0</formula1>
      <formula2>100</formula2>
    </dataValidation>
    <dataValidation type="decimal" allowBlank="1" showInputMessage="1" showErrorMessage="1" sqref="O110">
      <formula1>0</formula1>
      <formula2>100</formula2>
    </dataValidation>
    <dataValidation type="list" allowBlank="1" showInputMessage="1" showErrorMessage="1" sqref="H111">
      <formula1>'MasterData'!$B$1:$B$14</formula1>
    </dataValidation>
    <dataValidation type="list" allowBlank="1" showInputMessage="1" showErrorMessage="1" sqref="I111">
      <formula1>'MasterData'!$E$901:$E$910</formula1>
    </dataValidation>
    <dataValidation type="decimal" operator="greaterThanOrEqual" allowBlank="1" showInputMessage="1" showErrorMessage="1" sqref="K111">
      <formula1>0</formula1>
    </dataValidation>
    <dataValidation type="decimal" allowBlank="1" showInputMessage="1" showErrorMessage="1" sqref="N111">
      <formula1>0</formula1>
      <formula2>100</formula2>
    </dataValidation>
    <dataValidation type="decimal" allowBlank="1" showInputMessage="1" showErrorMessage="1" sqref="O111">
      <formula1>0</formula1>
      <formula2>100</formula2>
    </dataValidation>
    <dataValidation type="list" allowBlank="1" showInputMessage="1" showErrorMessage="1" sqref="H112">
      <formula1>'MasterData'!$B$1:$B$14</formula1>
    </dataValidation>
    <dataValidation type="list" allowBlank="1" showInputMessage="1" showErrorMessage="1" sqref="I112">
      <formula1>'MasterData'!$E$911:$E$920</formula1>
    </dataValidation>
    <dataValidation type="decimal" operator="greaterThanOrEqual" allowBlank="1" showInputMessage="1" showErrorMessage="1" sqref="K112">
      <formula1>0</formula1>
    </dataValidation>
    <dataValidation type="decimal" allowBlank="1" showInputMessage="1" showErrorMessage="1" sqref="N112">
      <formula1>0</formula1>
      <formula2>100</formula2>
    </dataValidation>
    <dataValidation type="decimal" allowBlank="1" showInputMessage="1" showErrorMessage="1" sqref="O112">
      <formula1>0</formula1>
      <formula2>100</formula2>
    </dataValidation>
    <dataValidation type="list" allowBlank="1" showInputMessage="1" showErrorMessage="1" sqref="H113">
      <formula1>'MasterData'!$B$1:$B$14</formula1>
    </dataValidation>
    <dataValidation type="list" allowBlank="1" showInputMessage="1" showErrorMessage="1" sqref="I113">
      <formula1>'MasterData'!$E$921:$E$930</formula1>
    </dataValidation>
    <dataValidation type="decimal" operator="greaterThanOrEqual" allowBlank="1" showInputMessage="1" showErrorMessage="1" sqref="K113">
      <formula1>0</formula1>
    </dataValidation>
    <dataValidation type="decimal" allowBlank="1" showInputMessage="1" showErrorMessage="1" sqref="N113">
      <formula1>0</formula1>
      <formula2>100</formula2>
    </dataValidation>
    <dataValidation type="decimal" allowBlank="1" showInputMessage="1" showErrorMessage="1" sqref="O113">
      <formula1>0</formula1>
      <formula2>100</formula2>
    </dataValidation>
    <dataValidation type="list" allowBlank="1" showInputMessage="1" showErrorMessage="1" sqref="H114">
      <formula1>'MasterData'!$B$1:$B$14</formula1>
    </dataValidation>
    <dataValidation type="list" allowBlank="1" showInputMessage="1" showErrorMessage="1" sqref="I114">
      <formula1>'MasterData'!$E$931:$E$940</formula1>
    </dataValidation>
    <dataValidation type="decimal" operator="greaterThanOrEqual" allowBlank="1" showInputMessage="1" showErrorMessage="1" sqref="K114">
      <formula1>0</formula1>
    </dataValidation>
    <dataValidation type="decimal" allowBlank="1" showInputMessage="1" showErrorMessage="1" sqref="N114">
      <formula1>0</formula1>
      <formula2>100</formula2>
    </dataValidation>
    <dataValidation type="decimal" allowBlank="1" showInputMessage="1" showErrorMessage="1" sqref="O114">
      <formula1>0</formula1>
      <formula2>100</formula2>
    </dataValidation>
    <dataValidation type="list" allowBlank="1" showInputMessage="1" showErrorMessage="1" sqref="H115">
      <formula1>'MasterData'!$B$1:$B$14</formula1>
    </dataValidation>
    <dataValidation type="list" allowBlank="1" showInputMessage="1" showErrorMessage="1" sqref="I115">
      <formula1>'MasterData'!$E$941:$E$950</formula1>
    </dataValidation>
    <dataValidation type="decimal" operator="greaterThanOrEqual" allowBlank="1" showInputMessage="1" showErrorMessage="1" sqref="K115">
      <formula1>0</formula1>
    </dataValidation>
    <dataValidation type="decimal" allowBlank="1" showInputMessage="1" showErrorMessage="1" sqref="N115">
      <formula1>0</formula1>
      <formula2>100</formula2>
    </dataValidation>
    <dataValidation type="decimal" allowBlank="1" showInputMessage="1" showErrorMessage="1" sqref="O115">
      <formula1>0</formula1>
      <formula2>100</formula2>
    </dataValidation>
    <dataValidation type="list" allowBlank="1" showInputMessage="1" showErrorMessage="1" sqref="H116">
      <formula1>'MasterData'!$B$1:$B$14</formula1>
    </dataValidation>
    <dataValidation type="list" allowBlank="1" showInputMessage="1" showErrorMessage="1" sqref="I116">
      <formula1>'MasterData'!$E$951:$E$960</formula1>
    </dataValidation>
    <dataValidation type="decimal" operator="greaterThanOrEqual" allowBlank="1" showInputMessage="1" showErrorMessage="1" sqref="K116">
      <formula1>0</formula1>
    </dataValidation>
    <dataValidation type="decimal" allowBlank="1" showInputMessage="1" showErrorMessage="1" sqref="N116">
      <formula1>0</formula1>
      <formula2>100</formula2>
    </dataValidation>
    <dataValidation type="decimal" allowBlank="1" showInputMessage="1" showErrorMessage="1" sqref="O116">
      <formula1>0</formula1>
      <formula2>100</formula2>
    </dataValidation>
    <dataValidation type="list" allowBlank="1" showInputMessage="1" showErrorMessage="1" sqref="H117">
      <formula1>'MasterData'!$B$1:$B$14</formula1>
    </dataValidation>
    <dataValidation type="list" allowBlank="1" showInputMessage="1" showErrorMessage="1" sqref="I117">
      <formula1>'MasterData'!$E$961:$E$970</formula1>
    </dataValidation>
    <dataValidation type="decimal" operator="greaterThanOrEqual" allowBlank="1" showInputMessage="1" showErrorMessage="1" sqref="K117">
      <formula1>0</formula1>
    </dataValidation>
    <dataValidation type="decimal" allowBlank="1" showInputMessage="1" showErrorMessage="1" sqref="N117">
      <formula1>0</formula1>
      <formula2>100</formula2>
    </dataValidation>
    <dataValidation type="decimal" allowBlank="1" showInputMessage="1" showErrorMessage="1" sqref="O117">
      <formula1>0</formula1>
      <formula2>100</formula2>
    </dataValidation>
    <dataValidation type="list" allowBlank="1" showInputMessage="1" showErrorMessage="1" sqref="H118">
      <formula1>'MasterData'!$B$1:$B$14</formula1>
    </dataValidation>
    <dataValidation type="list" allowBlank="1" showInputMessage="1" showErrorMessage="1" sqref="I118">
      <formula1>'MasterData'!$E$971:$E$980</formula1>
    </dataValidation>
    <dataValidation type="decimal" operator="greaterThanOrEqual" allowBlank="1" showInputMessage="1" showErrorMessage="1" sqref="K118">
      <formula1>0</formula1>
    </dataValidation>
    <dataValidation type="decimal" allowBlank="1" showInputMessage="1" showErrorMessage="1" sqref="N118">
      <formula1>0</formula1>
      <formula2>100</formula2>
    </dataValidation>
    <dataValidation type="decimal" allowBlank="1" showInputMessage="1" showErrorMessage="1" sqref="O118">
      <formula1>0</formula1>
      <formula2>100</formula2>
    </dataValidation>
    <dataValidation type="list" allowBlank="1" showInputMessage="1" showErrorMessage="1" sqref="H119">
      <formula1>'MasterData'!$B$1:$B$14</formula1>
    </dataValidation>
    <dataValidation type="list" allowBlank="1" showInputMessage="1" showErrorMessage="1" sqref="I119">
      <formula1>'MasterData'!$E$981:$E$990</formula1>
    </dataValidation>
    <dataValidation type="decimal" operator="greaterThanOrEqual" allowBlank="1" showInputMessage="1" showErrorMessage="1" sqref="K119">
      <formula1>0</formula1>
    </dataValidation>
    <dataValidation type="decimal" allowBlank="1" showInputMessage="1" showErrorMessage="1" sqref="N119">
      <formula1>0</formula1>
      <formula2>100</formula2>
    </dataValidation>
    <dataValidation type="decimal" allowBlank="1" showInputMessage="1" showErrorMessage="1" sqref="O119">
      <formula1>0</formula1>
      <formula2>100</formula2>
    </dataValidation>
    <dataValidation type="list" allowBlank="1" showInputMessage="1" showErrorMessage="1" sqref="H120">
      <formula1>'MasterData'!$B$1:$B$14</formula1>
    </dataValidation>
    <dataValidation type="list" allowBlank="1" showInputMessage="1" showErrorMessage="1" sqref="I120">
      <formula1>'MasterData'!$E$991:$E$1000</formula1>
    </dataValidation>
    <dataValidation type="decimal" operator="greaterThanOrEqual" allowBlank="1" showInputMessage="1" showErrorMessage="1" sqref="K120">
      <formula1>0</formula1>
    </dataValidation>
    <dataValidation type="decimal" allowBlank="1" showInputMessage="1" showErrorMessage="1" sqref="N120">
      <formula1>0</formula1>
      <formula2>100</formula2>
    </dataValidation>
    <dataValidation type="decimal" allowBlank="1" showInputMessage="1" showErrorMessage="1" sqref="O120">
      <formula1>0</formula1>
      <formula2>100</formula2>
    </dataValidation>
    <dataValidation type="list" allowBlank="1" showInputMessage="1" showErrorMessage="1" sqref="H121">
      <formula1>'MasterData'!$B$1:$B$14</formula1>
    </dataValidation>
    <dataValidation type="list" allowBlank="1" showInputMessage="1" showErrorMessage="1" sqref="I121">
      <formula1>'MasterData'!$E$1001:$E$1010</formula1>
    </dataValidation>
    <dataValidation type="decimal" operator="greaterThanOrEqual" allowBlank="1" showInputMessage="1" showErrorMessage="1" sqref="K121">
      <formula1>0</formula1>
    </dataValidation>
    <dataValidation type="decimal" allowBlank="1" showInputMessage="1" showErrorMessage="1" sqref="N121">
      <formula1>0</formula1>
      <formula2>100</formula2>
    </dataValidation>
    <dataValidation type="decimal" allowBlank="1" showInputMessage="1" showErrorMessage="1" sqref="O121">
      <formula1>0</formula1>
      <formula2>100</formula2>
    </dataValidation>
    <dataValidation type="list" allowBlank="1" showInputMessage="1" showErrorMessage="1" sqref="H122">
      <formula1>'MasterData'!$B$1:$B$14</formula1>
    </dataValidation>
    <dataValidation type="list" allowBlank="1" showInputMessage="1" showErrorMessage="1" sqref="I122">
      <formula1>'MasterData'!$E$1011:$E$1020</formula1>
    </dataValidation>
    <dataValidation type="decimal" operator="greaterThanOrEqual" allowBlank="1" showInputMessage="1" showErrorMessage="1" sqref="K122">
      <formula1>0</formula1>
    </dataValidation>
    <dataValidation type="decimal" allowBlank="1" showInputMessage="1" showErrorMessage="1" sqref="N122">
      <formula1>0</formula1>
      <formula2>100</formula2>
    </dataValidation>
    <dataValidation type="decimal" allowBlank="1" showInputMessage="1" showErrorMessage="1" sqref="O122">
      <formula1>0</formula1>
      <formula2>100</formula2>
    </dataValidation>
    <dataValidation type="list" allowBlank="1" showInputMessage="1" showErrorMessage="1" sqref="H123">
      <formula1>'MasterData'!$B$1:$B$14</formula1>
    </dataValidation>
    <dataValidation type="list" allowBlank="1" showInputMessage="1" showErrorMessage="1" sqref="I123">
      <formula1>'MasterData'!$E$1021:$E$1030</formula1>
    </dataValidation>
    <dataValidation type="decimal" operator="greaterThanOrEqual" allowBlank="1" showInputMessage="1" showErrorMessage="1" sqref="K123">
      <formula1>0</formula1>
    </dataValidation>
    <dataValidation type="decimal" allowBlank="1" showInputMessage="1" showErrorMessage="1" sqref="N123">
      <formula1>0</formula1>
      <formula2>100</formula2>
    </dataValidation>
    <dataValidation type="decimal" allowBlank="1" showInputMessage="1" showErrorMessage="1" sqref="O123">
      <formula1>0</formula1>
      <formula2>100</formula2>
    </dataValidation>
    <dataValidation type="list" allowBlank="1" showInputMessage="1" showErrorMessage="1" sqref="H124">
      <formula1>'MasterData'!$B$1:$B$14</formula1>
    </dataValidation>
    <dataValidation type="list" allowBlank="1" showInputMessage="1" showErrorMessage="1" sqref="I124">
      <formula1>'MasterData'!$E$1031:$E$1040</formula1>
    </dataValidation>
    <dataValidation type="decimal" operator="greaterThanOrEqual" allowBlank="1" showInputMessage="1" showErrorMessage="1" sqref="K124">
      <formula1>0</formula1>
    </dataValidation>
    <dataValidation type="decimal" allowBlank="1" showInputMessage="1" showErrorMessage="1" sqref="N124">
      <formula1>0</formula1>
      <formula2>100</formula2>
    </dataValidation>
    <dataValidation type="decimal" allowBlank="1" showInputMessage="1" showErrorMessage="1" sqref="O124">
      <formula1>0</formula1>
      <formula2>100</formula2>
    </dataValidation>
    <dataValidation type="list" allowBlank="1" showInputMessage="1" showErrorMessage="1" sqref="H125">
      <formula1>'MasterData'!$B$1:$B$14</formula1>
    </dataValidation>
    <dataValidation type="list" allowBlank="1" showInputMessage="1" showErrorMessage="1" sqref="I125">
      <formula1>'MasterData'!$E$1041:$E$1050</formula1>
    </dataValidation>
    <dataValidation type="decimal" operator="greaterThanOrEqual" allowBlank="1" showInputMessage="1" showErrorMessage="1" sqref="K125">
      <formula1>0</formula1>
    </dataValidation>
    <dataValidation type="decimal" allowBlank="1" showInputMessage="1" showErrorMessage="1" sqref="N125">
      <formula1>0</formula1>
      <formula2>100</formula2>
    </dataValidation>
    <dataValidation type="decimal" allowBlank="1" showInputMessage="1" showErrorMessage="1" sqref="O125">
      <formula1>0</formula1>
      <formula2>100</formula2>
    </dataValidation>
    <dataValidation type="list" allowBlank="1" showInputMessage="1" showErrorMessage="1" sqref="H126">
      <formula1>'MasterData'!$B$1:$B$14</formula1>
    </dataValidation>
    <dataValidation type="list" allowBlank="1" showInputMessage="1" showErrorMessage="1" sqref="I126">
      <formula1>'MasterData'!$E$1051:$E$1060</formula1>
    </dataValidation>
    <dataValidation type="decimal" operator="greaterThanOrEqual" allowBlank="1" showInputMessage="1" showErrorMessage="1" sqref="K126">
      <formula1>0</formula1>
    </dataValidation>
    <dataValidation type="decimal" allowBlank="1" showInputMessage="1" showErrorMessage="1" sqref="N126">
      <formula1>0</formula1>
      <formula2>100</formula2>
    </dataValidation>
    <dataValidation type="decimal" allowBlank="1" showInputMessage="1" showErrorMessage="1" sqref="O126">
      <formula1>0</formula1>
      <formula2>100</formula2>
    </dataValidation>
    <dataValidation type="list" allowBlank="1" showInputMessage="1" showErrorMessage="1" sqref="H127">
      <formula1>'MasterData'!$B$1:$B$14</formula1>
    </dataValidation>
    <dataValidation type="list" allowBlank="1" showInputMessage="1" showErrorMessage="1" sqref="I127">
      <formula1>'MasterData'!$E$1061:$E$1070</formula1>
    </dataValidation>
    <dataValidation type="decimal" operator="greaterThanOrEqual" allowBlank="1" showInputMessage="1" showErrorMessage="1" sqref="K127">
      <formula1>0</formula1>
    </dataValidation>
    <dataValidation type="decimal" allowBlank="1" showInputMessage="1" showErrorMessage="1" sqref="N127">
      <formula1>0</formula1>
      <formula2>100</formula2>
    </dataValidation>
    <dataValidation type="decimal" allowBlank="1" showInputMessage="1" showErrorMessage="1" sqref="O127">
      <formula1>0</formula1>
      <formula2>100</formula2>
    </dataValidation>
    <dataValidation type="list" allowBlank="1" showInputMessage="1" showErrorMessage="1" sqref="H128">
      <formula1>'MasterData'!$B$1:$B$14</formula1>
    </dataValidation>
    <dataValidation type="list" allowBlank="1" showInputMessage="1" showErrorMessage="1" sqref="I128">
      <formula1>'MasterData'!$E$1071:$E$1080</formula1>
    </dataValidation>
    <dataValidation type="decimal" operator="greaterThanOrEqual" allowBlank="1" showInputMessage="1" showErrorMessage="1" sqref="K128">
      <formula1>0</formula1>
    </dataValidation>
    <dataValidation type="decimal" allowBlank="1" showInputMessage="1" showErrorMessage="1" sqref="N128">
      <formula1>0</formula1>
      <formula2>100</formula2>
    </dataValidation>
    <dataValidation type="decimal" allowBlank="1" showInputMessage="1" showErrorMessage="1" sqref="O128">
      <formula1>0</formula1>
      <formula2>100</formula2>
    </dataValidation>
    <dataValidation type="list" allowBlank="1" showInputMessage="1" showErrorMessage="1" sqref="H129">
      <formula1>'MasterData'!$B$1:$B$14</formula1>
    </dataValidation>
    <dataValidation type="list" allowBlank="1" showInputMessage="1" showErrorMessage="1" sqref="I129">
      <formula1>'MasterData'!$E$1081:$E$1090</formula1>
    </dataValidation>
    <dataValidation type="decimal" operator="greaterThanOrEqual" allowBlank="1" showInputMessage="1" showErrorMessage="1" sqref="K129">
      <formula1>0</formula1>
    </dataValidation>
    <dataValidation type="decimal" allowBlank="1" showInputMessage="1" showErrorMessage="1" sqref="N129">
      <formula1>0</formula1>
      <formula2>100</formula2>
    </dataValidation>
    <dataValidation type="decimal" allowBlank="1" showInputMessage="1" showErrorMessage="1" sqref="O129">
      <formula1>0</formula1>
      <formula2>100</formula2>
    </dataValidation>
    <dataValidation type="list" allowBlank="1" showInputMessage="1" showErrorMessage="1" sqref="H130">
      <formula1>'MasterData'!$B$1:$B$14</formula1>
    </dataValidation>
    <dataValidation type="list" allowBlank="1" showInputMessage="1" showErrorMessage="1" sqref="I130">
      <formula1>'MasterData'!$E$1091:$E$1100</formula1>
    </dataValidation>
    <dataValidation type="decimal" operator="greaterThanOrEqual" allowBlank="1" showInputMessage="1" showErrorMessage="1" sqref="K130">
      <formula1>0</formula1>
    </dataValidation>
    <dataValidation type="decimal" allowBlank="1" showInputMessage="1" showErrorMessage="1" sqref="N130">
      <formula1>0</formula1>
      <formula2>100</formula2>
    </dataValidation>
    <dataValidation type="decimal" allowBlank="1" showInputMessage="1" showErrorMessage="1" sqref="O130">
      <formula1>0</formula1>
      <formula2>100</formula2>
    </dataValidation>
    <dataValidation type="list" allowBlank="1" showInputMessage="1" showErrorMessage="1" sqref="H131">
      <formula1>'MasterData'!$B$1:$B$14</formula1>
    </dataValidation>
    <dataValidation type="list" allowBlank="1" showInputMessage="1" showErrorMessage="1" sqref="I131">
      <formula1>'MasterData'!$E$1101:$E$1110</formula1>
    </dataValidation>
    <dataValidation type="decimal" operator="greaterThanOrEqual" allowBlank="1" showInputMessage="1" showErrorMessage="1" sqref="K131">
      <formula1>0</formula1>
    </dataValidation>
    <dataValidation type="decimal" allowBlank="1" showInputMessage="1" showErrorMessage="1" sqref="N131">
      <formula1>0</formula1>
      <formula2>100</formula2>
    </dataValidation>
    <dataValidation type="decimal" allowBlank="1" showInputMessage="1" showErrorMessage="1" sqref="O131">
      <formula1>0</formula1>
      <formula2>100</formula2>
    </dataValidation>
    <dataValidation type="list" allowBlank="1" showInputMessage="1" showErrorMessage="1" sqref="H132">
      <formula1>'MasterData'!$B$1:$B$14</formula1>
    </dataValidation>
    <dataValidation type="list" allowBlank="1" showInputMessage="1" showErrorMessage="1" sqref="I132">
      <formula1>'MasterData'!$E$1111:$E$1120</formula1>
    </dataValidation>
    <dataValidation type="decimal" operator="greaterThanOrEqual" allowBlank="1" showInputMessage="1" showErrorMessage="1" sqref="K132">
      <formula1>0</formula1>
    </dataValidation>
    <dataValidation type="decimal" allowBlank="1" showInputMessage="1" showErrorMessage="1" sqref="N132">
      <formula1>0</formula1>
      <formula2>100</formula2>
    </dataValidation>
    <dataValidation type="decimal" allowBlank="1" showInputMessage="1" showErrorMessage="1" sqref="O132">
      <formula1>0</formula1>
      <formula2>100</formula2>
    </dataValidation>
    <dataValidation type="list" allowBlank="1" showInputMessage="1" showErrorMessage="1" sqref="H133">
      <formula1>'MasterData'!$B$1:$B$14</formula1>
    </dataValidation>
    <dataValidation type="list" allowBlank="1" showInputMessage="1" showErrorMessage="1" sqref="I133">
      <formula1>'MasterData'!$E$1121:$E$1130</formula1>
    </dataValidation>
    <dataValidation type="decimal" operator="greaterThanOrEqual" allowBlank="1" showInputMessage="1" showErrorMessage="1" sqref="K133">
      <formula1>0</formula1>
    </dataValidation>
    <dataValidation type="decimal" allowBlank="1" showInputMessage="1" showErrorMessage="1" sqref="N133">
      <formula1>0</formula1>
      <formula2>100</formula2>
    </dataValidation>
    <dataValidation type="decimal" allowBlank="1" showInputMessage="1" showErrorMessage="1" sqref="O133">
      <formula1>0</formula1>
      <formula2>100</formula2>
    </dataValidation>
    <dataValidation type="list" allowBlank="1" showInputMessage="1" showErrorMessage="1" sqref="H134">
      <formula1>'MasterData'!$B$1:$B$14</formula1>
    </dataValidation>
    <dataValidation type="list" allowBlank="1" showInputMessage="1" showErrorMessage="1" sqref="I134">
      <formula1>'MasterData'!$E$1131:$E$1140</formula1>
    </dataValidation>
    <dataValidation type="decimal" operator="greaterThanOrEqual" allowBlank="1" showInputMessage="1" showErrorMessage="1" sqref="K134">
      <formula1>0</formula1>
    </dataValidation>
    <dataValidation type="decimal" allowBlank="1" showInputMessage="1" showErrorMessage="1" sqref="N134">
      <formula1>0</formula1>
      <formula2>100</formula2>
    </dataValidation>
    <dataValidation type="decimal" allowBlank="1" showInputMessage="1" showErrorMessage="1" sqref="O134">
      <formula1>0</formula1>
      <formula2>100</formula2>
    </dataValidation>
    <dataValidation type="list" allowBlank="1" showInputMessage="1" showErrorMessage="1" sqref="H135">
      <formula1>'MasterData'!$B$1:$B$14</formula1>
    </dataValidation>
    <dataValidation type="list" allowBlank="1" showInputMessage="1" showErrorMessage="1" sqref="I135">
      <formula1>'MasterData'!$E$1141:$E$1150</formula1>
    </dataValidation>
    <dataValidation type="decimal" operator="greaterThanOrEqual" allowBlank="1" showInputMessage="1" showErrorMessage="1" sqref="K135">
      <formula1>0</formula1>
    </dataValidation>
    <dataValidation type="decimal" allowBlank="1" showInputMessage="1" showErrorMessage="1" sqref="N135">
      <formula1>0</formula1>
      <formula2>100</formula2>
    </dataValidation>
    <dataValidation type="decimal" allowBlank="1" showInputMessage="1" showErrorMessage="1" sqref="O135">
      <formula1>0</formula1>
      <formula2>100</formula2>
    </dataValidation>
    <dataValidation type="list" allowBlank="1" showInputMessage="1" showErrorMessage="1" sqref="H136">
      <formula1>'MasterData'!$B$1:$B$14</formula1>
    </dataValidation>
    <dataValidation type="list" allowBlank="1" showInputMessage="1" showErrorMessage="1" sqref="I136">
      <formula1>'MasterData'!$E$1151:$E$1160</formula1>
    </dataValidation>
    <dataValidation type="decimal" operator="greaterThanOrEqual" allowBlank="1" showInputMessage="1" showErrorMessage="1" sqref="K136">
      <formula1>0</formula1>
    </dataValidation>
    <dataValidation type="decimal" allowBlank="1" showInputMessage="1" showErrorMessage="1" sqref="N136">
      <formula1>0</formula1>
      <formula2>100</formula2>
    </dataValidation>
    <dataValidation type="decimal" allowBlank="1" showInputMessage="1" showErrorMessage="1" sqref="O136">
      <formula1>0</formula1>
      <formula2>100</formula2>
    </dataValidation>
    <dataValidation type="list" allowBlank="1" showInputMessage="1" showErrorMessage="1" sqref="H137">
      <formula1>'MasterData'!$B$1:$B$14</formula1>
    </dataValidation>
    <dataValidation type="list" allowBlank="1" showInputMessage="1" showErrorMessage="1" sqref="I137">
      <formula1>'MasterData'!$E$1161:$E$1170</formula1>
    </dataValidation>
    <dataValidation type="decimal" operator="greaterThanOrEqual" allowBlank="1" showInputMessage="1" showErrorMessage="1" sqref="K137">
      <formula1>0</formula1>
    </dataValidation>
    <dataValidation type="decimal" allowBlank="1" showInputMessage="1" showErrorMessage="1" sqref="N137">
      <formula1>0</formula1>
      <formula2>100</formula2>
    </dataValidation>
    <dataValidation type="decimal" allowBlank="1" showInputMessage="1" showErrorMessage="1" sqref="O137">
      <formula1>0</formula1>
      <formula2>100</formula2>
    </dataValidation>
    <dataValidation type="list" allowBlank="1" showInputMessage="1" showErrorMessage="1" sqref="H138">
      <formula1>'MasterData'!$B$1:$B$14</formula1>
    </dataValidation>
    <dataValidation type="list" allowBlank="1" showInputMessage="1" showErrorMessage="1" sqref="I138">
      <formula1>'MasterData'!$E$1171:$E$1180</formula1>
    </dataValidation>
    <dataValidation type="decimal" operator="greaterThanOrEqual" allowBlank="1" showInputMessage="1" showErrorMessage="1" sqref="K138">
      <formula1>0</formula1>
    </dataValidation>
    <dataValidation type="decimal" allowBlank="1" showInputMessage="1" showErrorMessage="1" sqref="N138">
      <formula1>0</formula1>
      <formula2>100</formula2>
    </dataValidation>
    <dataValidation type="decimal" allowBlank="1" showInputMessage="1" showErrorMessage="1" sqref="O138">
      <formula1>0</formula1>
      <formula2>100</formula2>
    </dataValidation>
    <dataValidation type="list" allowBlank="1" showInputMessage="1" showErrorMessage="1" sqref="H139">
      <formula1>'MasterData'!$B$1:$B$14</formula1>
    </dataValidation>
    <dataValidation type="list" allowBlank="1" showInputMessage="1" showErrorMessage="1" sqref="I139">
      <formula1>'MasterData'!$E$1181:$E$1190</formula1>
    </dataValidation>
    <dataValidation type="decimal" operator="greaterThanOrEqual" allowBlank="1" showInputMessage="1" showErrorMessage="1" sqref="K139">
      <formula1>0</formula1>
    </dataValidation>
    <dataValidation type="decimal" allowBlank="1" showInputMessage="1" showErrorMessage="1" sqref="N139">
      <formula1>0</formula1>
      <formula2>100</formula2>
    </dataValidation>
    <dataValidation type="decimal" allowBlank="1" showInputMessage="1" showErrorMessage="1" sqref="O139">
      <formula1>0</formula1>
      <formula2>100</formula2>
    </dataValidation>
    <dataValidation type="list" allowBlank="1" showInputMessage="1" showErrorMessage="1" sqref="H140">
      <formula1>'MasterData'!$B$1:$B$14</formula1>
    </dataValidation>
    <dataValidation type="list" allowBlank="1" showInputMessage="1" showErrorMessage="1" sqref="I140">
      <formula1>'MasterData'!$E$1191:$E$1200</formula1>
    </dataValidation>
    <dataValidation type="decimal" operator="greaterThanOrEqual" allowBlank="1" showInputMessage="1" showErrorMessage="1" sqref="K140">
      <formula1>0</formula1>
    </dataValidation>
    <dataValidation type="decimal" allowBlank="1" showInputMessage="1" showErrorMessage="1" sqref="N140">
      <formula1>0</formula1>
      <formula2>100</formula2>
    </dataValidation>
    <dataValidation type="decimal" allowBlank="1" showInputMessage="1" showErrorMessage="1" sqref="O140">
      <formula1>0</formula1>
      <formula2>100</formula2>
    </dataValidation>
    <dataValidation type="list" allowBlank="1" showInputMessage="1" showErrorMessage="1" sqref="H141">
      <formula1>'MasterData'!$B$1:$B$14</formula1>
    </dataValidation>
    <dataValidation type="list" allowBlank="1" showInputMessage="1" showErrorMessage="1" sqref="I141">
      <formula1>'MasterData'!$E$1201:$E$1210</formula1>
    </dataValidation>
    <dataValidation type="decimal" operator="greaterThanOrEqual" allowBlank="1" showInputMessage="1" showErrorMessage="1" sqref="K141">
      <formula1>0</formula1>
    </dataValidation>
    <dataValidation type="decimal" allowBlank="1" showInputMessage="1" showErrorMessage="1" sqref="N141">
      <formula1>0</formula1>
      <formula2>100</formula2>
    </dataValidation>
    <dataValidation type="decimal" allowBlank="1" showInputMessage="1" showErrorMessage="1" sqref="O141">
      <formula1>0</formula1>
      <formula2>100</formula2>
    </dataValidation>
    <dataValidation type="list" allowBlank="1" showInputMessage="1" showErrorMessage="1" sqref="H142">
      <formula1>'MasterData'!$B$1:$B$14</formula1>
    </dataValidation>
    <dataValidation type="list" allowBlank="1" showInputMessage="1" showErrorMessage="1" sqref="I142">
      <formula1>'MasterData'!$E$1211:$E$1220</formula1>
    </dataValidation>
    <dataValidation type="decimal" operator="greaterThanOrEqual" allowBlank="1" showInputMessage="1" showErrorMessage="1" sqref="K142">
      <formula1>0</formula1>
    </dataValidation>
    <dataValidation type="decimal" allowBlank="1" showInputMessage="1" showErrorMessage="1" sqref="N142">
      <formula1>0</formula1>
      <formula2>100</formula2>
    </dataValidation>
    <dataValidation type="decimal" allowBlank="1" showInputMessage="1" showErrorMessage="1" sqref="O142">
      <formula1>0</formula1>
      <formula2>100</formula2>
    </dataValidation>
    <dataValidation type="list" allowBlank="1" showInputMessage="1" showErrorMessage="1" sqref="H143">
      <formula1>'MasterData'!$B$1:$B$14</formula1>
    </dataValidation>
    <dataValidation type="list" allowBlank="1" showInputMessage="1" showErrorMessage="1" sqref="I143">
      <formula1>'MasterData'!$E$1221:$E$1230</formula1>
    </dataValidation>
    <dataValidation type="decimal" operator="greaterThanOrEqual" allowBlank="1" showInputMessage="1" showErrorMessage="1" sqref="K143">
      <formula1>0</formula1>
    </dataValidation>
    <dataValidation type="decimal" allowBlank="1" showInputMessage="1" showErrorMessage="1" sqref="N143">
      <formula1>0</formula1>
      <formula2>100</formula2>
    </dataValidation>
    <dataValidation type="decimal" allowBlank="1" showInputMessage="1" showErrorMessage="1" sqref="O143">
      <formula1>0</formula1>
      <formula2>100</formula2>
    </dataValidation>
    <dataValidation type="list" allowBlank="1" showInputMessage="1" showErrorMessage="1" sqref="H144">
      <formula1>'MasterData'!$B$1:$B$14</formula1>
    </dataValidation>
    <dataValidation type="list" allowBlank="1" showInputMessage="1" showErrorMessage="1" sqref="I144">
      <formula1>'MasterData'!$E$1231:$E$1240</formula1>
    </dataValidation>
    <dataValidation type="decimal" operator="greaterThanOrEqual" allowBlank="1" showInputMessage="1" showErrorMessage="1" sqref="K144">
      <formula1>0</formula1>
    </dataValidation>
    <dataValidation type="decimal" allowBlank="1" showInputMessage="1" showErrorMessage="1" sqref="N144">
      <formula1>0</formula1>
      <formula2>100</formula2>
    </dataValidation>
    <dataValidation type="decimal" allowBlank="1" showInputMessage="1" showErrorMessage="1" sqref="O144">
      <formula1>0</formula1>
      <formula2>100</formula2>
    </dataValidation>
    <dataValidation type="list" allowBlank="1" showInputMessage="1" showErrorMessage="1" sqref="H145">
      <formula1>'MasterData'!$B$1:$B$14</formula1>
    </dataValidation>
    <dataValidation type="list" allowBlank="1" showInputMessage="1" showErrorMessage="1" sqref="I145">
      <formula1>'MasterData'!$E$1241:$E$1250</formula1>
    </dataValidation>
    <dataValidation type="decimal" operator="greaterThanOrEqual" allowBlank="1" showInputMessage="1" showErrorMessage="1" sqref="K145">
      <formula1>0</formula1>
    </dataValidation>
    <dataValidation type="decimal" allowBlank="1" showInputMessage="1" showErrorMessage="1" sqref="N145">
      <formula1>0</formula1>
      <formula2>100</formula2>
    </dataValidation>
    <dataValidation type="decimal" allowBlank="1" showInputMessage="1" showErrorMessage="1" sqref="O145">
      <formula1>0</formula1>
      <formula2>100</formula2>
    </dataValidation>
    <dataValidation type="list" allowBlank="1" showInputMessage="1" showErrorMessage="1" sqref="H146">
      <formula1>'MasterData'!$B$1:$B$14</formula1>
    </dataValidation>
    <dataValidation type="list" allowBlank="1" showInputMessage="1" showErrorMessage="1" sqref="I146">
      <formula1>'MasterData'!$E$1251:$E$1260</formula1>
    </dataValidation>
    <dataValidation type="decimal" operator="greaterThanOrEqual" allowBlank="1" showInputMessage="1" showErrorMessage="1" sqref="K146">
      <formula1>0</formula1>
    </dataValidation>
    <dataValidation type="decimal" allowBlank="1" showInputMessage="1" showErrorMessage="1" sqref="N146">
      <formula1>0</formula1>
      <formula2>100</formula2>
    </dataValidation>
    <dataValidation type="decimal" allowBlank="1" showInputMessage="1" showErrorMessage="1" sqref="O146">
      <formula1>0</formula1>
      <formula2>100</formula2>
    </dataValidation>
    <dataValidation type="list" allowBlank="1" showInputMessage="1" showErrorMessage="1" sqref="H147">
      <formula1>'MasterData'!$B$1:$B$14</formula1>
    </dataValidation>
    <dataValidation type="list" allowBlank="1" showInputMessage="1" showErrorMessage="1" sqref="I147">
      <formula1>'MasterData'!$E$1261:$E$1270</formula1>
    </dataValidation>
    <dataValidation type="decimal" operator="greaterThanOrEqual" allowBlank="1" showInputMessage="1" showErrorMessage="1" sqref="K147">
      <formula1>0</formula1>
    </dataValidation>
    <dataValidation type="decimal" allowBlank="1" showInputMessage="1" showErrorMessage="1" sqref="N147">
      <formula1>0</formula1>
      <formula2>100</formula2>
    </dataValidation>
    <dataValidation type="decimal" allowBlank="1" showInputMessage="1" showErrorMessage="1" sqref="O147">
      <formula1>0</formula1>
      <formula2>100</formula2>
    </dataValidation>
    <dataValidation type="list" allowBlank="1" showInputMessage="1" showErrorMessage="1" sqref="H148">
      <formula1>'MasterData'!$B$1:$B$14</formula1>
    </dataValidation>
    <dataValidation type="list" allowBlank="1" showInputMessage="1" showErrorMessage="1" sqref="I148">
      <formula1>'MasterData'!$E$1271:$E$1280</formula1>
    </dataValidation>
    <dataValidation type="decimal" operator="greaterThanOrEqual" allowBlank="1" showInputMessage="1" showErrorMessage="1" sqref="K148">
      <formula1>0</formula1>
    </dataValidation>
    <dataValidation type="decimal" allowBlank="1" showInputMessage="1" showErrorMessage="1" sqref="N148">
      <formula1>0</formula1>
      <formula2>100</formula2>
    </dataValidation>
    <dataValidation type="decimal" allowBlank="1" showInputMessage="1" showErrorMessage="1" sqref="O148">
      <formula1>0</formula1>
      <formula2>100</formula2>
    </dataValidation>
    <dataValidation type="list" allowBlank="1" showInputMessage="1" showErrorMessage="1" sqref="H149">
      <formula1>'MasterData'!$B$1:$B$14</formula1>
    </dataValidation>
    <dataValidation type="list" allowBlank="1" showInputMessage="1" showErrorMessage="1" sqref="I149">
      <formula1>'MasterData'!$E$1281:$E$1290</formula1>
    </dataValidation>
    <dataValidation type="decimal" operator="greaterThanOrEqual" allowBlank="1" showInputMessage="1" showErrorMessage="1" sqref="K149">
      <formula1>0</formula1>
    </dataValidation>
    <dataValidation type="decimal" allowBlank="1" showInputMessage="1" showErrorMessage="1" sqref="N149">
      <formula1>0</formula1>
      <formula2>100</formula2>
    </dataValidation>
    <dataValidation type="decimal" allowBlank="1" showInputMessage="1" showErrorMessage="1" sqref="O149">
      <formula1>0</formula1>
      <formula2>100</formula2>
    </dataValidation>
    <dataValidation type="list" allowBlank="1" showInputMessage="1" showErrorMessage="1" sqref="H150">
      <formula1>'MasterData'!$B$1:$B$14</formula1>
    </dataValidation>
    <dataValidation type="list" allowBlank="1" showInputMessage="1" showErrorMessage="1" sqref="I150">
      <formula1>'MasterData'!$E$1291:$E$1300</formula1>
    </dataValidation>
    <dataValidation type="decimal" operator="greaterThanOrEqual" allowBlank="1" showInputMessage="1" showErrorMessage="1" sqref="K150">
      <formula1>0</formula1>
    </dataValidation>
    <dataValidation type="decimal" allowBlank="1" showInputMessage="1" showErrorMessage="1" sqref="N150">
      <formula1>0</formula1>
      <formula2>100</formula2>
    </dataValidation>
    <dataValidation type="decimal" allowBlank="1" showInputMessage="1" showErrorMessage="1" sqref="O150">
      <formula1>0</formula1>
      <formula2>100</formula2>
    </dataValidation>
    <dataValidation type="list" allowBlank="1" showInputMessage="1" showErrorMessage="1" sqref="H151">
      <formula1>'MasterData'!$B$1:$B$14</formula1>
    </dataValidation>
    <dataValidation type="list" allowBlank="1" showInputMessage="1" showErrorMessage="1" sqref="I151">
      <formula1>'MasterData'!$E$1301:$E$1310</formula1>
    </dataValidation>
    <dataValidation type="decimal" operator="greaterThanOrEqual" allowBlank="1" showInputMessage="1" showErrorMessage="1" sqref="K151">
      <formula1>0</formula1>
    </dataValidation>
    <dataValidation type="decimal" allowBlank="1" showInputMessage="1" showErrorMessage="1" sqref="N151">
      <formula1>0</formula1>
      <formula2>100</formula2>
    </dataValidation>
    <dataValidation type="decimal" allowBlank="1" showInputMessage="1" showErrorMessage="1" sqref="O151">
      <formula1>0</formula1>
      <formula2>100</formula2>
    </dataValidation>
    <dataValidation type="list" allowBlank="1" showInputMessage="1" showErrorMessage="1" sqref="H152">
      <formula1>'MasterData'!$B$1:$B$14</formula1>
    </dataValidation>
    <dataValidation type="list" allowBlank="1" showInputMessage="1" showErrorMessage="1" sqref="I152">
      <formula1>'MasterData'!$E$1311:$E$1320</formula1>
    </dataValidation>
    <dataValidation type="decimal" operator="greaterThanOrEqual" allowBlank="1" showInputMessage="1" showErrorMessage="1" sqref="K152">
      <formula1>0</formula1>
    </dataValidation>
    <dataValidation type="decimal" allowBlank="1" showInputMessage="1" showErrorMessage="1" sqref="N152">
      <formula1>0</formula1>
      <formula2>100</formula2>
    </dataValidation>
    <dataValidation type="decimal" allowBlank="1" showInputMessage="1" showErrorMessage="1" sqref="O152">
      <formula1>0</formula1>
      <formula2>100</formula2>
    </dataValidation>
    <dataValidation type="list" allowBlank="1" showInputMessage="1" showErrorMessage="1" sqref="H153">
      <formula1>'MasterData'!$B$1:$B$14</formula1>
    </dataValidation>
    <dataValidation type="list" allowBlank="1" showInputMessage="1" showErrorMessage="1" sqref="I153">
      <formula1>'MasterData'!$E$1321:$E$1330</formula1>
    </dataValidation>
    <dataValidation type="decimal" operator="greaterThanOrEqual" allowBlank="1" showInputMessage="1" showErrorMessage="1" sqref="K153">
      <formula1>0</formula1>
    </dataValidation>
    <dataValidation type="decimal" allowBlank="1" showInputMessage="1" showErrorMessage="1" sqref="N153">
      <formula1>0</formula1>
      <formula2>100</formula2>
    </dataValidation>
    <dataValidation type="decimal" allowBlank="1" showInputMessage="1" showErrorMessage="1" sqref="O153">
      <formula1>0</formula1>
      <formula2>100</formula2>
    </dataValidation>
    <dataValidation type="list" allowBlank="1" showInputMessage="1" showErrorMessage="1" sqref="H154">
      <formula1>'MasterData'!$B$1:$B$14</formula1>
    </dataValidation>
    <dataValidation type="list" allowBlank="1" showInputMessage="1" showErrorMessage="1" sqref="I154">
      <formula1>'MasterData'!$E$1331:$E$1340</formula1>
    </dataValidation>
    <dataValidation type="decimal" operator="greaterThanOrEqual" allowBlank="1" showInputMessage="1" showErrorMessage="1" sqref="K154">
      <formula1>0</formula1>
    </dataValidation>
    <dataValidation type="decimal" allowBlank="1" showInputMessage="1" showErrorMessage="1" sqref="N154">
      <formula1>0</formula1>
      <formula2>100</formula2>
    </dataValidation>
    <dataValidation type="decimal" allowBlank="1" showInputMessage="1" showErrorMessage="1" sqref="O154">
      <formula1>0</formula1>
      <formula2>100</formula2>
    </dataValidation>
    <dataValidation type="list" allowBlank="1" showInputMessage="1" showErrorMessage="1" sqref="H155">
      <formula1>'MasterData'!$B$1:$B$14</formula1>
    </dataValidation>
    <dataValidation type="list" allowBlank="1" showInputMessage="1" showErrorMessage="1" sqref="I155">
      <formula1>'MasterData'!$E$1341:$E$1350</formula1>
    </dataValidation>
    <dataValidation type="decimal" operator="greaterThanOrEqual" allowBlank="1" showInputMessage="1" showErrorMessage="1" sqref="K155">
      <formula1>0</formula1>
    </dataValidation>
    <dataValidation type="decimal" allowBlank="1" showInputMessage="1" showErrorMessage="1" sqref="N155">
      <formula1>0</formula1>
      <formula2>100</formula2>
    </dataValidation>
    <dataValidation type="decimal" allowBlank="1" showInputMessage="1" showErrorMessage="1" sqref="O155">
      <formula1>0</formula1>
      <formula2>100</formula2>
    </dataValidation>
    <dataValidation type="list" allowBlank="1" showInputMessage="1" showErrorMessage="1" sqref="H156">
      <formula1>'MasterData'!$B$1:$B$14</formula1>
    </dataValidation>
    <dataValidation type="list" allowBlank="1" showInputMessage="1" showErrorMessage="1" sqref="I156">
      <formula1>'MasterData'!$E$1351:$E$1360</formula1>
    </dataValidation>
    <dataValidation type="decimal" operator="greaterThanOrEqual" allowBlank="1" showInputMessage="1" showErrorMessage="1" sqref="K156">
      <formula1>0</formula1>
    </dataValidation>
    <dataValidation type="decimal" allowBlank="1" showInputMessage="1" showErrorMessage="1" sqref="N156">
      <formula1>0</formula1>
      <formula2>100</formula2>
    </dataValidation>
    <dataValidation type="decimal" allowBlank="1" showInputMessage="1" showErrorMessage="1" sqref="O156">
      <formula1>0</formula1>
      <formula2>100</formula2>
    </dataValidation>
    <dataValidation type="list" allowBlank="1" showInputMessage="1" showErrorMessage="1" sqref="H157">
      <formula1>'MasterData'!$B$1:$B$14</formula1>
    </dataValidation>
    <dataValidation type="list" allowBlank="1" showInputMessage="1" showErrorMessage="1" sqref="I157">
      <formula1>'MasterData'!$E$1361:$E$1370</formula1>
    </dataValidation>
    <dataValidation type="decimal" operator="greaterThanOrEqual" allowBlank="1" showInputMessage="1" showErrorMessage="1" sqref="K157">
      <formula1>0</formula1>
    </dataValidation>
    <dataValidation type="decimal" allowBlank="1" showInputMessage="1" showErrorMessage="1" sqref="N157">
      <formula1>0</formula1>
      <formula2>100</formula2>
    </dataValidation>
    <dataValidation type="decimal" allowBlank="1" showInputMessage="1" showErrorMessage="1" sqref="O157">
      <formula1>0</formula1>
      <formula2>100</formula2>
    </dataValidation>
    <dataValidation type="list" allowBlank="1" showInputMessage="1" showErrorMessage="1" sqref="H158">
      <formula1>'MasterData'!$B$1:$B$14</formula1>
    </dataValidation>
    <dataValidation type="list" allowBlank="1" showInputMessage="1" showErrorMessage="1" sqref="I158">
      <formula1>'MasterData'!$E$1371:$E$1380</formula1>
    </dataValidation>
    <dataValidation type="decimal" operator="greaterThanOrEqual" allowBlank="1" showInputMessage="1" showErrorMessage="1" sqref="K158">
      <formula1>0</formula1>
    </dataValidation>
    <dataValidation type="decimal" allowBlank="1" showInputMessage="1" showErrorMessage="1" sqref="N158">
      <formula1>0</formula1>
      <formula2>100</formula2>
    </dataValidation>
    <dataValidation type="decimal" allowBlank="1" showInputMessage="1" showErrorMessage="1" sqref="O158">
      <formula1>0</formula1>
      <formula2>100</formula2>
    </dataValidation>
    <dataValidation type="list" allowBlank="1" showInputMessage="1" showErrorMessage="1" sqref="H159">
      <formula1>'MasterData'!$B$1:$B$14</formula1>
    </dataValidation>
    <dataValidation type="list" allowBlank="1" showInputMessage="1" showErrorMessage="1" sqref="I159">
      <formula1>'MasterData'!$E$1381:$E$1390</formula1>
    </dataValidation>
    <dataValidation type="decimal" operator="greaterThanOrEqual" allowBlank="1" showInputMessage="1" showErrorMessage="1" sqref="K159">
      <formula1>0</formula1>
    </dataValidation>
    <dataValidation type="decimal" allowBlank="1" showInputMessage="1" showErrorMessage="1" sqref="N159">
      <formula1>0</formula1>
      <formula2>100</formula2>
    </dataValidation>
    <dataValidation type="decimal" allowBlank="1" showInputMessage="1" showErrorMessage="1" sqref="O159">
      <formula1>0</formula1>
      <formula2>100</formula2>
    </dataValidation>
    <dataValidation type="list" allowBlank="1" showInputMessage="1" showErrorMessage="1" sqref="H160">
      <formula1>'MasterData'!$B$1:$B$14</formula1>
    </dataValidation>
    <dataValidation type="list" allowBlank="1" showInputMessage="1" showErrorMessage="1" sqref="I160">
      <formula1>'MasterData'!$E$1391:$E$1400</formula1>
    </dataValidation>
    <dataValidation type="decimal" operator="greaterThanOrEqual" allowBlank="1" showInputMessage="1" showErrorMessage="1" sqref="K160">
      <formula1>0</formula1>
    </dataValidation>
    <dataValidation type="decimal" allowBlank="1" showInputMessage="1" showErrorMessage="1" sqref="N160">
      <formula1>0</formula1>
      <formula2>100</formula2>
    </dataValidation>
    <dataValidation type="decimal" allowBlank="1" showInputMessage="1" showErrorMessage="1" sqref="O160">
      <formula1>0</formula1>
      <formula2>100</formula2>
    </dataValidation>
    <dataValidation type="list" allowBlank="1" showInputMessage="1" showErrorMessage="1" sqref="H161">
      <formula1>'MasterData'!$B$1:$B$14</formula1>
    </dataValidation>
    <dataValidation type="list" allowBlank="1" showInputMessage="1" showErrorMessage="1" sqref="I161">
      <formula1>'MasterData'!$E$1401:$E$1410</formula1>
    </dataValidation>
    <dataValidation type="decimal" operator="greaterThanOrEqual" allowBlank="1" showInputMessage="1" showErrorMessage="1" sqref="K161">
      <formula1>0</formula1>
    </dataValidation>
    <dataValidation type="decimal" allowBlank="1" showInputMessage="1" showErrorMessage="1" sqref="N161">
      <formula1>0</formula1>
      <formula2>100</formula2>
    </dataValidation>
    <dataValidation type="decimal" allowBlank="1" showInputMessage="1" showErrorMessage="1" sqref="O161">
      <formula1>0</formula1>
      <formula2>100</formula2>
    </dataValidation>
    <dataValidation type="list" allowBlank="1" showInputMessage="1" showErrorMessage="1" sqref="H162">
      <formula1>'MasterData'!$B$1:$B$14</formula1>
    </dataValidation>
    <dataValidation type="list" allowBlank="1" showInputMessage="1" showErrorMessage="1" sqref="I162">
      <formula1>'MasterData'!$E$1411:$E$1420</formula1>
    </dataValidation>
    <dataValidation type="decimal" operator="greaterThanOrEqual" allowBlank="1" showInputMessage="1" showErrorMessage="1" sqref="K162">
      <formula1>0</formula1>
    </dataValidation>
    <dataValidation type="decimal" allowBlank="1" showInputMessage="1" showErrorMessage="1" sqref="N162">
      <formula1>0</formula1>
      <formula2>100</formula2>
    </dataValidation>
    <dataValidation type="decimal" allowBlank="1" showInputMessage="1" showErrorMessage="1" sqref="O162">
      <formula1>0</formula1>
      <formula2>100</formula2>
    </dataValidation>
    <dataValidation type="list" allowBlank="1" showInputMessage="1" showErrorMessage="1" sqref="H163">
      <formula1>'MasterData'!$B$1:$B$14</formula1>
    </dataValidation>
    <dataValidation type="list" allowBlank="1" showInputMessage="1" showErrorMessage="1" sqref="I163">
      <formula1>'MasterData'!$E$1421:$E$1430</formula1>
    </dataValidation>
    <dataValidation type="decimal" operator="greaterThanOrEqual" allowBlank="1" showInputMessage="1" showErrorMessage="1" sqref="K163">
      <formula1>0</formula1>
    </dataValidation>
    <dataValidation type="decimal" allowBlank="1" showInputMessage="1" showErrorMessage="1" sqref="N163">
      <formula1>0</formula1>
      <formula2>100</formula2>
    </dataValidation>
    <dataValidation type="decimal" allowBlank="1" showInputMessage="1" showErrorMessage="1" sqref="O163">
      <formula1>0</formula1>
      <formula2>100</formula2>
    </dataValidation>
    <dataValidation type="list" allowBlank="1" showInputMessage="1" showErrorMessage="1" sqref="H164">
      <formula1>'MasterData'!$B$1:$B$14</formula1>
    </dataValidation>
    <dataValidation type="list" allowBlank="1" showInputMessage="1" showErrorMessage="1" sqref="I164">
      <formula1>'MasterData'!$E$1431:$E$1440</formula1>
    </dataValidation>
    <dataValidation type="decimal" operator="greaterThanOrEqual" allowBlank="1" showInputMessage="1" showErrorMessage="1" sqref="K164">
      <formula1>0</formula1>
    </dataValidation>
    <dataValidation type="decimal" allowBlank="1" showInputMessage="1" showErrorMessage="1" sqref="N164">
      <formula1>0</formula1>
      <formula2>100</formula2>
    </dataValidation>
    <dataValidation type="decimal" allowBlank="1" showInputMessage="1" showErrorMessage="1" sqref="O164">
      <formula1>0</formula1>
      <formula2>100</formula2>
    </dataValidation>
    <dataValidation type="list" allowBlank="1" showInputMessage="1" showErrorMessage="1" sqref="H165">
      <formula1>'MasterData'!$B$1:$B$14</formula1>
    </dataValidation>
    <dataValidation type="list" allowBlank="1" showInputMessage="1" showErrorMessage="1" sqref="I165">
      <formula1>'MasterData'!$E$1441:$E$1450</formula1>
    </dataValidation>
    <dataValidation type="decimal" operator="greaterThanOrEqual" allowBlank="1" showInputMessage="1" showErrorMessage="1" sqref="K165">
      <formula1>0</formula1>
    </dataValidation>
    <dataValidation type="decimal" allowBlank="1" showInputMessage="1" showErrorMessage="1" sqref="N165">
      <formula1>0</formula1>
      <formula2>100</formula2>
    </dataValidation>
    <dataValidation type="decimal" allowBlank="1" showInputMessage="1" showErrorMessage="1" sqref="O165">
      <formula1>0</formula1>
      <formula2>100</formula2>
    </dataValidation>
    <dataValidation type="list" allowBlank="1" showInputMessage="1" showErrorMessage="1" sqref="H166">
      <formula1>'MasterData'!$B$1:$B$14</formula1>
    </dataValidation>
    <dataValidation type="list" allowBlank="1" showInputMessage="1" showErrorMessage="1" sqref="I166">
      <formula1>'MasterData'!$E$1451:$E$1460</formula1>
    </dataValidation>
    <dataValidation type="decimal" operator="greaterThanOrEqual" allowBlank="1" showInputMessage="1" showErrorMessage="1" sqref="K166">
      <formula1>0</formula1>
    </dataValidation>
    <dataValidation type="decimal" allowBlank="1" showInputMessage="1" showErrorMessage="1" sqref="N166">
      <formula1>0</formula1>
      <formula2>100</formula2>
    </dataValidation>
    <dataValidation type="decimal" allowBlank="1" showInputMessage="1" showErrorMessage="1" sqref="O166">
      <formula1>0</formula1>
      <formula2>100</formula2>
    </dataValidation>
    <dataValidation type="list" allowBlank="1" showInputMessage="1" showErrorMessage="1" sqref="H167">
      <formula1>'MasterData'!$B$1:$B$14</formula1>
    </dataValidation>
    <dataValidation type="list" allowBlank="1" showInputMessage="1" showErrorMessage="1" sqref="I167">
      <formula1>'MasterData'!$E$1461:$E$1470</formula1>
    </dataValidation>
    <dataValidation type="decimal" operator="greaterThanOrEqual" allowBlank="1" showInputMessage="1" showErrorMessage="1" sqref="K167">
      <formula1>0</formula1>
    </dataValidation>
    <dataValidation type="decimal" allowBlank="1" showInputMessage="1" showErrorMessage="1" sqref="N167">
      <formula1>0</formula1>
      <formula2>100</formula2>
    </dataValidation>
    <dataValidation type="decimal" allowBlank="1" showInputMessage="1" showErrorMessage="1" sqref="O167">
      <formula1>0</formula1>
      <formula2>100</formula2>
    </dataValidation>
    <dataValidation allowBlank="1" showInputMessage="1" showErrorMessage="1" sqref="P171"/>
    <dataValidation type="decimal" operator="greaterThanOrEqual" allowBlank="1" showInputMessage="1" showErrorMessage="1" sqref="P172">
      <formula1>0</formula1>
    </dataValidation>
    <dataValidation type="decimal" operator="greaterThanOrEqual" allowBlank="1" showInputMessage="1" showErrorMessage="1" sqref="P173">
      <formula1>0</formula1>
    </dataValidation>
    <dataValidation type="decimal" operator="greaterThanOrEqual" allowBlank="1" showInputMessage="1" showErrorMessage="1" sqref="P174">
      <formula1>0</formula1>
    </dataValidation>
    <dataValidation type="decimal" operator="greaterThanOrEqual" allowBlank="1" showInputMessage="1" showErrorMessage="1" sqref="P175">
      <formula1>0</formula1>
    </dataValidation>
    <dataValidation type="list" allowBlank="1" showInputMessage="1" showErrorMessage="1" sqref="C172:K172">
      <formula1>'MasterData'!$H$1:$H$14</formula1>
    </dataValidation>
    <dataValidation type="list" allowBlank="1" showInputMessage="1" showErrorMessage="1" sqref="C173:K173">
      <formula1>'MasterData'!$H$1:$H$14</formula1>
    </dataValidation>
    <dataValidation type="list" allowBlank="1" showInputMessage="1" showErrorMessage="1" sqref="C174:K174">
      <formula1>'MasterData'!$H$1:$H$14</formula1>
    </dataValidation>
    <dataValidation type="list" allowBlank="1" showInputMessage="1" showErrorMessage="1" sqref="C175:K175">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147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312</v>
      </c>
      <c r="D1" s="147">
        <v>10128579</v>
      </c>
      <c r="E1" s="147" t="s">
        <v>313</v>
      </c>
      <c r="G1" s="147">
        <v>1001307</v>
      </c>
      <c r="H1" s="147" t="s">
        <v>286</v>
      </c>
      <c r="M1" s="269" t="s">
        <v>314</v>
      </c>
      <c r="N1" s="270" t="s">
        <v>315</v>
      </c>
      <c r="O1" s="147" t="s">
        <v>316</v>
      </c>
    </row>
    <row r="2" spans="1:15" ht="15">
      <c r="A2" s="147">
        <v>400001</v>
      </c>
      <c r="B2" s="147" t="s">
        <v>313</v>
      </c>
      <c r="D2" s="147">
        <v>10128580</v>
      </c>
      <c r="E2" s="147" t="s">
        <v>317</v>
      </c>
      <c r="G2" s="147">
        <v>1001310</v>
      </c>
      <c r="H2" s="147" t="s">
        <v>287</v>
      </c>
      <c r="M2" s="269" t="s">
        <v>318</v>
      </c>
      <c r="N2" s="270">
        <v>1020735877</v>
      </c>
      <c r="O2" s="147" t="s">
        <v>319</v>
      </c>
    </row>
    <row r="3" spans="1:15" ht="15">
      <c r="A3" s="147">
        <v>400002</v>
      </c>
      <c r="B3" s="147" t="s">
        <v>320</v>
      </c>
      <c r="D3" s="147">
        <v>10128581</v>
      </c>
      <c r="E3" s="147" t="s">
        <v>317</v>
      </c>
      <c r="G3" s="147">
        <v>1012729</v>
      </c>
      <c r="H3" s="147" t="s">
        <v>321</v>
      </c>
      <c r="M3" s="269" t="s">
        <v>322</v>
      </c>
      <c r="N3" s="270">
        <v>99990000435866</v>
      </c>
      <c r="O3" s="147" t="s">
        <v>323</v>
      </c>
    </row>
    <row r="4" spans="1:15" ht="15">
      <c r="A4" s="147">
        <v>400003</v>
      </c>
      <c r="B4" s="147" t="s">
        <v>317</v>
      </c>
      <c r="D4" s="147">
        <v>10128582</v>
      </c>
      <c r="E4" s="147" t="s">
        <v>320</v>
      </c>
      <c r="G4" s="147">
        <v>1012730</v>
      </c>
      <c r="H4" s="147" t="s">
        <v>324</v>
      </c>
      <c r="M4" s="269" t="s">
        <v>325</v>
      </c>
      <c r="N4" s="270">
        <v>1021852686</v>
      </c>
      <c r="O4" s="147" t="s">
        <v>326</v>
      </c>
    </row>
    <row r="5" spans="1:15" ht="15">
      <c r="A5" s="147">
        <v>400004</v>
      </c>
      <c r="B5" s="147" t="s">
        <v>327</v>
      </c>
      <c r="D5" s="147">
        <v>10128595</v>
      </c>
      <c r="E5" s="147" t="s">
        <v>320</v>
      </c>
      <c r="G5" s="147">
        <v>1012731</v>
      </c>
      <c r="H5" s="147" t="s">
        <v>328</v>
      </c>
      <c r="M5" s="269" t="s">
        <v>329</v>
      </c>
      <c r="N5" s="270"/>
      <c r="O5" s="147" t="s">
        <v>330</v>
      </c>
    </row>
    <row r="6" spans="1:15" ht="15">
      <c r="A6" s="147">
        <v>400005</v>
      </c>
      <c r="B6" s="147" t="s">
        <v>331</v>
      </c>
      <c r="D6" s="147">
        <v>10128596</v>
      </c>
      <c r="E6" s="147" t="s">
        <v>312</v>
      </c>
      <c r="G6" s="147">
        <v>1012732</v>
      </c>
      <c r="H6" s="147" t="s">
        <v>332</v>
      </c>
      <c r="M6" s="269" t="s">
        <v>333</v>
      </c>
      <c r="N6" s="270" t="s">
        <v>334</v>
      </c>
      <c r="O6" s="147" t="s">
        <v>335</v>
      </c>
    </row>
    <row r="7" spans="1:15" ht="15">
      <c r="A7" s="147">
        <v>400017</v>
      </c>
      <c r="B7" s="147" t="s">
        <v>336</v>
      </c>
      <c r="D7" s="147">
        <v>10128597</v>
      </c>
      <c r="E7" s="147" t="s">
        <v>317</v>
      </c>
      <c r="G7" s="147">
        <v>1012733</v>
      </c>
      <c r="H7" s="147" t="s">
        <v>337</v>
      </c>
      <c r="M7" s="269" t="s">
        <v>338</v>
      </c>
      <c r="N7" s="270">
        <v>0</v>
      </c>
      <c r="O7" s="147" t="s">
        <v>339</v>
      </c>
    </row>
    <row r="8" spans="1:15" ht="15">
      <c r="A8" s="147">
        <v>900009</v>
      </c>
      <c r="B8" s="147" t="s">
        <v>340</v>
      </c>
      <c r="D8" s="147">
        <v>10128598</v>
      </c>
      <c r="E8" s="147" t="s">
        <v>320</v>
      </c>
      <c r="G8" s="147">
        <v>1012735</v>
      </c>
      <c r="H8" s="147" t="s">
        <v>341</v>
      </c>
      <c r="O8" s="147" t="s">
        <v>342</v>
      </c>
    </row>
    <row r="9" spans="1:15" ht="15">
      <c r="A9" s="147">
        <v>900010</v>
      </c>
      <c r="B9" s="147" t="s">
        <v>343</v>
      </c>
      <c r="D9" s="147">
        <v>10128599</v>
      </c>
      <c r="E9" s="147" t="s">
        <v>313</v>
      </c>
      <c r="G9" s="147">
        <v>1012736</v>
      </c>
      <c r="H9" s="147" t="s">
        <v>344</v>
      </c>
      <c r="O9" s="147" t="s">
        <v>345</v>
      </c>
    </row>
    <row r="10" spans="1:15" ht="15">
      <c r="A10" s="147">
        <v>900011</v>
      </c>
      <c r="B10" s="147" t="s">
        <v>346</v>
      </c>
      <c r="D10" s="147">
        <v>10128600</v>
      </c>
      <c r="E10" s="147" t="s">
        <v>317</v>
      </c>
      <c r="G10" s="147">
        <v>1012737</v>
      </c>
      <c r="H10" s="147" t="s">
        <v>347</v>
      </c>
      <c r="O10" s="147" t="s">
        <v>348</v>
      </c>
    </row>
    <row r="11" spans="1:15" ht="15">
      <c r="A11" s="147">
        <v>900012</v>
      </c>
      <c r="B11" s="147" t="s">
        <v>349</v>
      </c>
      <c r="D11" s="147">
        <v>10128579</v>
      </c>
      <c r="E11" s="147" t="s">
        <v>313</v>
      </c>
      <c r="G11" s="147">
        <v>1012741</v>
      </c>
      <c r="H11" s="147" t="s">
        <v>350</v>
      </c>
      <c r="O11" s="147" t="s">
        <v>351</v>
      </c>
    </row>
    <row r="12" spans="1:15" ht="15">
      <c r="A12" s="147">
        <v>900013</v>
      </c>
      <c r="B12" s="147" t="s">
        <v>352</v>
      </c>
      <c r="D12" s="147">
        <v>10128580</v>
      </c>
      <c r="E12" s="147" t="s">
        <v>317</v>
      </c>
      <c r="G12" s="147">
        <v>1012742</v>
      </c>
      <c r="H12" s="147" t="s">
        <v>353</v>
      </c>
      <c r="O12" s="147" t="s">
        <v>354</v>
      </c>
    </row>
    <row r="13" spans="1:15" ht="15">
      <c r="A13" s="147">
        <v>900014</v>
      </c>
      <c r="B13" s="147" t="s">
        <v>355</v>
      </c>
      <c r="D13" s="147">
        <v>10128581</v>
      </c>
      <c r="E13" s="147" t="s">
        <v>317</v>
      </c>
      <c r="G13" s="147">
        <v>1012743</v>
      </c>
      <c r="H13" s="147" t="s">
        <v>356</v>
      </c>
      <c r="O13" s="147" t="s">
        <v>357</v>
      </c>
    </row>
    <row r="14" spans="1:15" ht="15">
      <c r="A14" s="147">
        <v>900073</v>
      </c>
      <c r="B14" s="147" t="s">
        <v>358</v>
      </c>
      <c r="D14" s="147">
        <v>10128582</v>
      </c>
      <c r="E14" s="147" t="s">
        <v>320</v>
      </c>
      <c r="G14" s="147">
        <v>1012744</v>
      </c>
      <c r="H14" s="147" t="s">
        <v>359</v>
      </c>
      <c r="O14" s="147" t="s">
        <v>360</v>
      </c>
    </row>
    <row r="15" spans="4:15" ht="15">
      <c r="D15" s="147">
        <v>10128595</v>
      </c>
      <c r="E15" s="147" t="s">
        <v>320</v>
      </c>
      <c r="O15" s="147" t="s">
        <v>361</v>
      </c>
    </row>
    <row r="16" spans="4:15" ht="15">
      <c r="D16" s="147">
        <v>10128596</v>
      </c>
      <c r="E16" s="147" t="s">
        <v>312</v>
      </c>
      <c r="O16" s="147" t="s">
        <v>362</v>
      </c>
    </row>
    <row r="17" spans="4:15" ht="15">
      <c r="D17" s="147">
        <v>10128597</v>
      </c>
      <c r="E17" s="147" t="s">
        <v>317</v>
      </c>
      <c r="O17" s="147" t="s">
        <v>363</v>
      </c>
    </row>
    <row r="18" spans="4:15" ht="15">
      <c r="D18" s="147">
        <v>10128598</v>
      </c>
      <c r="E18" s="147" t="s">
        <v>320</v>
      </c>
      <c r="O18" s="147" t="s">
        <v>364</v>
      </c>
    </row>
    <row r="19" spans="4:15" ht="15">
      <c r="D19" s="147">
        <v>10128599</v>
      </c>
      <c r="E19" s="147" t="s">
        <v>313</v>
      </c>
      <c r="O19" s="147" t="s">
        <v>365</v>
      </c>
    </row>
    <row r="20" spans="4:15" ht="15">
      <c r="D20" s="147">
        <v>10128600</v>
      </c>
      <c r="E20" s="147" t="s">
        <v>317</v>
      </c>
      <c r="O20" s="147" t="s">
        <v>366</v>
      </c>
    </row>
    <row r="21" spans="4:15" ht="15">
      <c r="D21" s="147">
        <v>10128579</v>
      </c>
      <c r="E21" s="147" t="s">
        <v>313</v>
      </c>
      <c r="O21" s="147" t="s">
        <v>367</v>
      </c>
    </row>
    <row r="22" spans="4:15" ht="15">
      <c r="D22" s="147">
        <v>10128580</v>
      </c>
      <c r="E22" s="147" t="s">
        <v>317</v>
      </c>
      <c r="O22" s="147" t="s">
        <v>368</v>
      </c>
    </row>
    <row r="23" spans="4:15" ht="15">
      <c r="D23" s="147">
        <v>10128581</v>
      </c>
      <c r="E23" s="147" t="s">
        <v>317</v>
      </c>
      <c r="O23" s="147" t="s">
        <v>369</v>
      </c>
    </row>
    <row r="24" spans="4:15" ht="15">
      <c r="D24" s="147">
        <v>10128582</v>
      </c>
      <c r="E24" s="147" t="s">
        <v>320</v>
      </c>
      <c r="O24" s="147" t="s">
        <v>370</v>
      </c>
    </row>
    <row r="25" spans="4:15" ht="15">
      <c r="D25" s="147">
        <v>10128595</v>
      </c>
      <c r="E25" s="147" t="s">
        <v>320</v>
      </c>
      <c r="O25" s="147" t="s">
        <v>371</v>
      </c>
    </row>
    <row r="26" spans="4:15" ht="15">
      <c r="D26" s="147">
        <v>10128596</v>
      </c>
      <c r="E26" s="147" t="s">
        <v>312</v>
      </c>
      <c r="O26" s="147" t="s">
        <v>372</v>
      </c>
    </row>
    <row r="27" spans="4:15" ht="15">
      <c r="D27" s="147">
        <v>10128597</v>
      </c>
      <c r="E27" s="147" t="s">
        <v>317</v>
      </c>
      <c r="O27" s="147" t="s">
        <v>373</v>
      </c>
    </row>
    <row r="28" spans="4:15" ht="15">
      <c r="D28" s="147">
        <v>10128598</v>
      </c>
      <c r="E28" s="147" t="s">
        <v>320</v>
      </c>
      <c r="O28" s="147" t="s">
        <v>374</v>
      </c>
    </row>
    <row r="29" spans="4:15" ht="15">
      <c r="D29" s="147">
        <v>10128599</v>
      </c>
      <c r="E29" s="147" t="s">
        <v>313</v>
      </c>
      <c r="O29" s="147" t="s">
        <v>375</v>
      </c>
    </row>
    <row r="30" spans="4:15" ht="15">
      <c r="D30" s="147">
        <v>10128600</v>
      </c>
      <c r="E30" s="147" t="s">
        <v>317</v>
      </c>
      <c r="O30" s="147" t="s">
        <v>376</v>
      </c>
    </row>
    <row r="31" spans="4:15" ht="15">
      <c r="D31" s="147">
        <v>10128579</v>
      </c>
      <c r="E31" s="147" t="s">
        <v>313</v>
      </c>
      <c r="O31" s="147" t="s">
        <v>377</v>
      </c>
    </row>
    <row r="32" spans="4:15" ht="15">
      <c r="D32" s="147">
        <v>10128580</v>
      </c>
      <c r="E32" s="147" t="s">
        <v>317</v>
      </c>
      <c r="O32" s="147" t="s">
        <v>378</v>
      </c>
    </row>
    <row r="33" spans="4:15" ht="15">
      <c r="D33" s="147">
        <v>10128581</v>
      </c>
      <c r="E33" s="147" t="s">
        <v>317</v>
      </c>
      <c r="O33" s="147" t="s">
        <v>379</v>
      </c>
    </row>
    <row r="34" spans="4:15" ht="15">
      <c r="D34" s="147">
        <v>10128582</v>
      </c>
      <c r="E34" s="147" t="s">
        <v>320</v>
      </c>
      <c r="O34" s="147" t="s">
        <v>380</v>
      </c>
    </row>
    <row r="35" spans="4:15" ht="15">
      <c r="D35" s="147">
        <v>10128595</v>
      </c>
      <c r="E35" s="147" t="s">
        <v>320</v>
      </c>
      <c r="O35" s="147" t="s">
        <v>381</v>
      </c>
    </row>
    <row r="36" spans="4:15" ht="15">
      <c r="D36" s="147">
        <v>10128596</v>
      </c>
      <c r="E36" s="147" t="s">
        <v>312</v>
      </c>
      <c r="O36" s="147" t="s">
        <v>382</v>
      </c>
    </row>
    <row r="37" spans="4:15" ht="15">
      <c r="D37" s="147">
        <v>10128597</v>
      </c>
      <c r="E37" s="147" t="s">
        <v>317</v>
      </c>
      <c r="O37" s="147" t="s">
        <v>383</v>
      </c>
    </row>
    <row r="38" spans="4:15" ht="15">
      <c r="D38" s="147">
        <v>10128598</v>
      </c>
      <c r="E38" s="147" t="s">
        <v>320</v>
      </c>
      <c r="O38" s="147" t="s">
        <v>384</v>
      </c>
    </row>
    <row r="39" spans="4:15" ht="15">
      <c r="D39" s="147">
        <v>10128599</v>
      </c>
      <c r="E39" s="147" t="s">
        <v>313</v>
      </c>
      <c r="O39" s="147" t="s">
        <v>385</v>
      </c>
    </row>
    <row r="40" spans="4:15" ht="15">
      <c r="D40" s="147">
        <v>10128600</v>
      </c>
      <c r="E40" s="147" t="s">
        <v>317</v>
      </c>
      <c r="O40" s="147" t="s">
        <v>386</v>
      </c>
    </row>
    <row r="41" spans="4:15" ht="15">
      <c r="D41" s="147">
        <v>10128579</v>
      </c>
      <c r="E41" s="147" t="s">
        <v>313</v>
      </c>
      <c r="O41" s="147" t="s">
        <v>387</v>
      </c>
    </row>
    <row r="42" spans="4:15" ht="15">
      <c r="D42" s="147">
        <v>10128580</v>
      </c>
      <c r="E42" s="147" t="s">
        <v>317</v>
      </c>
      <c r="O42" s="147" t="s">
        <v>388</v>
      </c>
    </row>
    <row r="43" spans="4:15" ht="15">
      <c r="D43" s="147">
        <v>10128581</v>
      </c>
      <c r="E43" s="147" t="s">
        <v>317</v>
      </c>
      <c r="O43" s="147" t="s">
        <v>389</v>
      </c>
    </row>
    <row r="44" spans="4:15" ht="15">
      <c r="D44" s="147">
        <v>10128582</v>
      </c>
      <c r="E44" s="147" t="s">
        <v>320</v>
      </c>
      <c r="O44" s="147" t="s">
        <v>390</v>
      </c>
    </row>
    <row r="45" spans="4:15" ht="15">
      <c r="D45" s="147">
        <v>10128595</v>
      </c>
      <c r="E45" s="147" t="s">
        <v>320</v>
      </c>
      <c r="O45" s="147" t="s">
        <v>391</v>
      </c>
    </row>
    <row r="46" spans="4:15" ht="15">
      <c r="D46" s="147">
        <v>10128596</v>
      </c>
      <c r="E46" s="147" t="s">
        <v>312</v>
      </c>
      <c r="O46" s="147" t="s">
        <v>392</v>
      </c>
    </row>
    <row r="47" spans="4:15" ht="15">
      <c r="D47" s="147">
        <v>10128597</v>
      </c>
      <c r="E47" s="147" t="s">
        <v>317</v>
      </c>
      <c r="O47" s="147" t="s">
        <v>393</v>
      </c>
    </row>
    <row r="48" spans="4:15" ht="15">
      <c r="D48" s="147">
        <v>10128598</v>
      </c>
      <c r="E48" s="147" t="s">
        <v>320</v>
      </c>
      <c r="O48" s="147" t="s">
        <v>394</v>
      </c>
    </row>
    <row r="49" spans="4:15" ht="15">
      <c r="D49" s="147">
        <v>10128599</v>
      </c>
      <c r="E49" s="147" t="s">
        <v>313</v>
      </c>
      <c r="O49" s="147" t="s">
        <v>395</v>
      </c>
    </row>
    <row r="50" spans="4:15" ht="15">
      <c r="D50" s="147">
        <v>10128600</v>
      </c>
      <c r="E50" s="147" t="s">
        <v>317</v>
      </c>
      <c r="O50" s="147" t="s">
        <v>396</v>
      </c>
    </row>
    <row r="51" spans="4:15" ht="15">
      <c r="D51" s="147">
        <v>10128579</v>
      </c>
      <c r="E51" s="147" t="s">
        <v>313</v>
      </c>
      <c r="O51" s="147" t="s">
        <v>397</v>
      </c>
    </row>
    <row r="52" spans="4:15" ht="15">
      <c r="D52" s="147">
        <v>10128580</v>
      </c>
      <c r="E52" s="147" t="s">
        <v>317</v>
      </c>
      <c r="O52" s="147" t="s">
        <v>398</v>
      </c>
    </row>
    <row r="53" spans="4:15" ht="15">
      <c r="D53" s="147">
        <v>10128581</v>
      </c>
      <c r="E53" s="147" t="s">
        <v>317</v>
      </c>
      <c r="O53" s="147" t="s">
        <v>399</v>
      </c>
    </row>
    <row r="54" spans="4:15" ht="15">
      <c r="D54" s="147">
        <v>10128582</v>
      </c>
      <c r="E54" s="147" t="s">
        <v>320</v>
      </c>
      <c r="O54" s="147" t="s">
        <v>400</v>
      </c>
    </row>
    <row r="55" spans="4:15" ht="15">
      <c r="D55" s="147">
        <v>10128595</v>
      </c>
      <c r="E55" s="147" t="s">
        <v>320</v>
      </c>
      <c r="O55" s="147" t="s">
        <v>31</v>
      </c>
    </row>
    <row r="56" spans="4:15" ht="15">
      <c r="D56" s="147">
        <v>10128596</v>
      </c>
      <c r="E56" s="147" t="s">
        <v>312</v>
      </c>
      <c r="O56" s="147" t="s">
        <v>401</v>
      </c>
    </row>
    <row r="57" spans="4:15" ht="15">
      <c r="D57" s="147">
        <v>10128597</v>
      </c>
      <c r="E57" s="147" t="s">
        <v>317</v>
      </c>
      <c r="O57" s="147" t="s">
        <v>402</v>
      </c>
    </row>
    <row r="58" spans="4:15" ht="15">
      <c r="D58" s="147">
        <v>10128598</v>
      </c>
      <c r="E58" s="147" t="s">
        <v>320</v>
      </c>
      <c r="O58" s="147" t="s">
        <v>403</v>
      </c>
    </row>
    <row r="59" spans="4:15" ht="15">
      <c r="D59" s="147">
        <v>10128599</v>
      </c>
      <c r="E59" s="147" t="s">
        <v>313</v>
      </c>
      <c r="O59" s="147" t="s">
        <v>404</v>
      </c>
    </row>
    <row r="60" spans="4:15" ht="15">
      <c r="D60" s="147">
        <v>10128600</v>
      </c>
      <c r="E60" s="147" t="s">
        <v>317</v>
      </c>
      <c r="O60" s="147" t="s">
        <v>405</v>
      </c>
    </row>
    <row r="61" spans="4:15" ht="15">
      <c r="D61" s="147">
        <v>10128579</v>
      </c>
      <c r="E61" s="147" t="s">
        <v>313</v>
      </c>
      <c r="O61" s="147" t="s">
        <v>406</v>
      </c>
    </row>
    <row r="62" spans="4:15" ht="15">
      <c r="D62" s="147">
        <v>10128580</v>
      </c>
      <c r="E62" s="147" t="s">
        <v>317</v>
      </c>
      <c r="O62" s="147" t="s">
        <v>407</v>
      </c>
    </row>
    <row r="63" spans="4:15" ht="15">
      <c r="D63" s="147">
        <v>10128581</v>
      </c>
      <c r="E63" s="147" t="s">
        <v>317</v>
      </c>
      <c r="O63" s="147" t="s">
        <v>408</v>
      </c>
    </row>
    <row r="64" spans="4:15" ht="15">
      <c r="D64" s="147">
        <v>10128582</v>
      </c>
      <c r="E64" s="147" t="s">
        <v>320</v>
      </c>
      <c r="O64" s="147" t="s">
        <v>409</v>
      </c>
    </row>
    <row r="65" spans="4:15" ht="15">
      <c r="D65" s="147">
        <v>10128595</v>
      </c>
      <c r="E65" s="147" t="s">
        <v>320</v>
      </c>
      <c r="O65" s="147" t="s">
        <v>410</v>
      </c>
    </row>
    <row r="66" spans="4:15" ht="15">
      <c r="D66" s="147">
        <v>10128596</v>
      </c>
      <c r="E66" s="147" t="s">
        <v>312</v>
      </c>
      <c r="O66" s="147" t="s">
        <v>411</v>
      </c>
    </row>
    <row r="67" spans="4:15" ht="15">
      <c r="D67" s="147">
        <v>10128597</v>
      </c>
      <c r="E67" s="147" t="s">
        <v>317</v>
      </c>
      <c r="O67" s="147" t="s">
        <v>412</v>
      </c>
    </row>
    <row r="68" spans="4:15" ht="15">
      <c r="D68" s="147">
        <v>10128598</v>
      </c>
      <c r="E68" s="147" t="s">
        <v>320</v>
      </c>
      <c r="O68" s="147" t="s">
        <v>413</v>
      </c>
    </row>
    <row r="69" spans="4:15" ht="15">
      <c r="D69" s="147">
        <v>10128599</v>
      </c>
      <c r="E69" s="147" t="s">
        <v>313</v>
      </c>
      <c r="O69" s="147" t="s">
        <v>414</v>
      </c>
    </row>
    <row r="70" spans="4:15" ht="15">
      <c r="D70" s="147">
        <v>10128600</v>
      </c>
      <c r="E70" s="147" t="s">
        <v>317</v>
      </c>
      <c r="O70" s="147" t="s">
        <v>415</v>
      </c>
    </row>
    <row r="71" spans="4:5" ht="15">
      <c r="D71" s="147">
        <v>10128579</v>
      </c>
      <c r="E71" s="147" t="s">
        <v>313</v>
      </c>
    </row>
    <row r="72" spans="4:5" ht="15">
      <c r="D72" s="147">
        <v>10128580</v>
      </c>
      <c r="E72" s="147" t="s">
        <v>317</v>
      </c>
    </row>
    <row r="73" spans="4:5" ht="15">
      <c r="D73" s="147">
        <v>10128581</v>
      </c>
      <c r="E73" s="147" t="s">
        <v>317</v>
      </c>
    </row>
    <row r="74" spans="4:5" ht="15">
      <c r="D74" s="147">
        <v>10128582</v>
      </c>
      <c r="E74" s="147" t="s">
        <v>320</v>
      </c>
    </row>
    <row r="75" spans="4:5" ht="15">
      <c r="D75" s="147">
        <v>10128595</v>
      </c>
      <c r="E75" s="147" t="s">
        <v>320</v>
      </c>
    </row>
    <row r="76" spans="4:5" ht="15">
      <c r="D76" s="147">
        <v>10128596</v>
      </c>
      <c r="E76" s="147" t="s">
        <v>312</v>
      </c>
    </row>
    <row r="77" spans="4:5" ht="15">
      <c r="D77" s="147">
        <v>10128597</v>
      </c>
      <c r="E77" s="147" t="s">
        <v>317</v>
      </c>
    </row>
    <row r="78" spans="4:5" ht="15">
      <c r="D78" s="147">
        <v>10128598</v>
      </c>
      <c r="E78" s="147" t="s">
        <v>320</v>
      </c>
    </row>
    <row r="79" spans="4:5" ht="15">
      <c r="D79" s="147">
        <v>10128599</v>
      </c>
      <c r="E79" s="147" t="s">
        <v>313</v>
      </c>
    </row>
    <row r="80" spans="4:5" ht="15">
      <c r="D80" s="147">
        <v>10128600</v>
      </c>
      <c r="E80" s="147" t="s">
        <v>317</v>
      </c>
    </row>
    <row r="81" spans="4:5" ht="15">
      <c r="D81" s="147">
        <v>10128579</v>
      </c>
      <c r="E81" s="147" t="s">
        <v>313</v>
      </c>
    </row>
    <row r="82" spans="4:5" ht="15">
      <c r="D82" s="147">
        <v>10128580</v>
      </c>
      <c r="E82" s="147" t="s">
        <v>317</v>
      </c>
    </row>
    <row r="83" spans="4:5" ht="15">
      <c r="D83" s="147">
        <v>10128581</v>
      </c>
      <c r="E83" s="147" t="s">
        <v>317</v>
      </c>
    </row>
    <row r="84" spans="4:5" ht="15">
      <c r="D84" s="147">
        <v>10128582</v>
      </c>
      <c r="E84" s="147" t="s">
        <v>320</v>
      </c>
    </row>
    <row r="85" spans="4:5" ht="15">
      <c r="D85" s="147">
        <v>10128595</v>
      </c>
      <c r="E85" s="147" t="s">
        <v>320</v>
      </c>
    </row>
    <row r="86" spans="4:5" ht="15">
      <c r="D86" s="147">
        <v>10128596</v>
      </c>
      <c r="E86" s="147" t="s">
        <v>312</v>
      </c>
    </row>
    <row r="87" spans="4:5" ht="15">
      <c r="D87" s="147">
        <v>10128597</v>
      </c>
      <c r="E87" s="147" t="s">
        <v>317</v>
      </c>
    </row>
    <row r="88" spans="4:5" ht="15">
      <c r="D88" s="147">
        <v>10128598</v>
      </c>
      <c r="E88" s="147" t="s">
        <v>320</v>
      </c>
    </row>
    <row r="89" spans="4:5" ht="15">
      <c r="D89" s="147">
        <v>10128599</v>
      </c>
      <c r="E89" s="147" t="s">
        <v>313</v>
      </c>
    </row>
    <row r="90" spans="4:5" ht="15">
      <c r="D90" s="147">
        <v>10128600</v>
      </c>
      <c r="E90" s="147" t="s">
        <v>317</v>
      </c>
    </row>
    <row r="91" spans="4:5" ht="15">
      <c r="D91" s="147">
        <v>10128579</v>
      </c>
      <c r="E91" s="147" t="s">
        <v>313</v>
      </c>
    </row>
    <row r="92" spans="4:5" ht="15">
      <c r="D92" s="147">
        <v>10128580</v>
      </c>
      <c r="E92" s="147" t="s">
        <v>317</v>
      </c>
    </row>
    <row r="93" spans="4:5" ht="15">
      <c r="D93" s="147">
        <v>10128581</v>
      </c>
      <c r="E93" s="147" t="s">
        <v>317</v>
      </c>
    </row>
    <row r="94" spans="4:5" ht="15">
      <c r="D94" s="147">
        <v>10128582</v>
      </c>
      <c r="E94" s="147" t="s">
        <v>320</v>
      </c>
    </row>
    <row r="95" spans="4:5" ht="15">
      <c r="D95" s="147">
        <v>10128595</v>
      </c>
      <c r="E95" s="147" t="s">
        <v>320</v>
      </c>
    </row>
    <row r="96" spans="4:5" ht="15">
      <c r="D96" s="147">
        <v>10128596</v>
      </c>
      <c r="E96" s="147" t="s">
        <v>312</v>
      </c>
    </row>
    <row r="97" spans="4:5" ht="15">
      <c r="D97" s="147">
        <v>10128597</v>
      </c>
      <c r="E97" s="147" t="s">
        <v>317</v>
      </c>
    </row>
    <row r="98" spans="4:5" ht="15">
      <c r="D98" s="147">
        <v>10128598</v>
      </c>
      <c r="E98" s="147" t="s">
        <v>320</v>
      </c>
    </row>
    <row r="99" spans="4:5" ht="15">
      <c r="D99" s="147">
        <v>10128599</v>
      </c>
      <c r="E99" s="147" t="s">
        <v>313</v>
      </c>
    </row>
    <row r="100" spans="4:5" ht="15">
      <c r="D100" s="147">
        <v>10128600</v>
      </c>
      <c r="E100" s="147" t="s">
        <v>317</v>
      </c>
    </row>
    <row r="101" spans="4:5" ht="15">
      <c r="D101" s="147">
        <v>10128579</v>
      </c>
      <c r="E101" s="147" t="s">
        <v>313</v>
      </c>
    </row>
    <row r="102" spans="4:5" ht="15">
      <c r="D102" s="147">
        <v>10128580</v>
      </c>
      <c r="E102" s="147" t="s">
        <v>317</v>
      </c>
    </row>
    <row r="103" spans="4:5" ht="15">
      <c r="D103" s="147">
        <v>10128581</v>
      </c>
      <c r="E103" s="147" t="s">
        <v>317</v>
      </c>
    </row>
    <row r="104" spans="4:5" ht="15">
      <c r="D104" s="147">
        <v>10128582</v>
      </c>
      <c r="E104" s="147" t="s">
        <v>320</v>
      </c>
    </row>
    <row r="105" spans="4:5" ht="15">
      <c r="D105" s="147">
        <v>10128595</v>
      </c>
      <c r="E105" s="147" t="s">
        <v>320</v>
      </c>
    </row>
    <row r="106" spans="4:5" ht="15">
      <c r="D106" s="147">
        <v>10128596</v>
      </c>
      <c r="E106" s="147" t="s">
        <v>312</v>
      </c>
    </row>
    <row r="107" spans="4:5" ht="15">
      <c r="D107" s="147">
        <v>10128597</v>
      </c>
      <c r="E107" s="147" t="s">
        <v>317</v>
      </c>
    </row>
    <row r="108" spans="4:5" ht="15">
      <c r="D108" s="147">
        <v>10128598</v>
      </c>
      <c r="E108" s="147" t="s">
        <v>320</v>
      </c>
    </row>
    <row r="109" spans="4:5" ht="15">
      <c r="D109" s="147">
        <v>10128599</v>
      </c>
      <c r="E109" s="147" t="s">
        <v>313</v>
      </c>
    </row>
    <row r="110" spans="4:5" ht="15">
      <c r="D110" s="147">
        <v>10128600</v>
      </c>
      <c r="E110" s="147" t="s">
        <v>317</v>
      </c>
    </row>
    <row r="111" spans="4:5" ht="15">
      <c r="D111" s="147">
        <v>10128579</v>
      </c>
      <c r="E111" s="147" t="s">
        <v>313</v>
      </c>
    </row>
    <row r="112" spans="4:5" ht="15">
      <c r="D112" s="147">
        <v>10128580</v>
      </c>
      <c r="E112" s="147" t="s">
        <v>317</v>
      </c>
    </row>
    <row r="113" spans="4:5" ht="15">
      <c r="D113" s="147">
        <v>10128581</v>
      </c>
      <c r="E113" s="147" t="s">
        <v>317</v>
      </c>
    </row>
    <row r="114" spans="4:5" ht="15">
      <c r="D114" s="147">
        <v>10128582</v>
      </c>
      <c r="E114" s="147" t="s">
        <v>320</v>
      </c>
    </row>
    <row r="115" spans="4:5" ht="15">
      <c r="D115" s="147">
        <v>10128595</v>
      </c>
      <c r="E115" s="147" t="s">
        <v>320</v>
      </c>
    </row>
    <row r="116" spans="4:5" ht="15">
      <c r="D116" s="147">
        <v>10128596</v>
      </c>
      <c r="E116" s="147" t="s">
        <v>312</v>
      </c>
    </row>
    <row r="117" spans="4:5" ht="15">
      <c r="D117" s="147">
        <v>10128597</v>
      </c>
      <c r="E117" s="147" t="s">
        <v>317</v>
      </c>
    </row>
    <row r="118" spans="4:5" ht="15">
      <c r="D118" s="147">
        <v>10128598</v>
      </c>
      <c r="E118" s="147" t="s">
        <v>320</v>
      </c>
    </row>
    <row r="119" spans="4:5" ht="15">
      <c r="D119" s="147">
        <v>10128599</v>
      </c>
      <c r="E119" s="147" t="s">
        <v>313</v>
      </c>
    </row>
    <row r="120" spans="4:5" ht="15">
      <c r="D120" s="147">
        <v>10128600</v>
      </c>
      <c r="E120" s="147" t="s">
        <v>317</v>
      </c>
    </row>
    <row r="121" spans="4:5" ht="15">
      <c r="D121" s="147">
        <v>10128579</v>
      </c>
      <c r="E121" s="147" t="s">
        <v>313</v>
      </c>
    </row>
    <row r="122" spans="4:5" ht="15">
      <c r="D122" s="147">
        <v>10128580</v>
      </c>
      <c r="E122" s="147" t="s">
        <v>317</v>
      </c>
    </row>
    <row r="123" spans="4:5" ht="15">
      <c r="D123" s="147">
        <v>10128581</v>
      </c>
      <c r="E123" s="147" t="s">
        <v>317</v>
      </c>
    </row>
    <row r="124" spans="4:5" ht="15">
      <c r="D124" s="147">
        <v>10128582</v>
      </c>
      <c r="E124" s="147" t="s">
        <v>320</v>
      </c>
    </row>
    <row r="125" spans="4:5" ht="15">
      <c r="D125" s="147">
        <v>10128595</v>
      </c>
      <c r="E125" s="147" t="s">
        <v>320</v>
      </c>
    </row>
    <row r="126" spans="4:5" ht="15">
      <c r="D126" s="147">
        <v>10128596</v>
      </c>
      <c r="E126" s="147" t="s">
        <v>312</v>
      </c>
    </row>
    <row r="127" spans="4:5" ht="15">
      <c r="D127" s="147">
        <v>10128597</v>
      </c>
      <c r="E127" s="147" t="s">
        <v>317</v>
      </c>
    </row>
    <row r="128" spans="4:5" ht="15">
      <c r="D128" s="147">
        <v>10128598</v>
      </c>
      <c r="E128" s="147" t="s">
        <v>320</v>
      </c>
    </row>
    <row r="129" spans="4:5" ht="15">
      <c r="D129" s="147">
        <v>10128599</v>
      </c>
      <c r="E129" s="147" t="s">
        <v>313</v>
      </c>
    </row>
    <row r="130" spans="4:5" ht="15">
      <c r="D130" s="147">
        <v>10128600</v>
      </c>
      <c r="E130" s="147" t="s">
        <v>317</v>
      </c>
    </row>
    <row r="131" spans="4:5" ht="15">
      <c r="D131" s="147">
        <v>10128579</v>
      </c>
      <c r="E131" s="147" t="s">
        <v>313</v>
      </c>
    </row>
    <row r="132" spans="4:5" ht="15">
      <c r="D132" s="147">
        <v>10128580</v>
      </c>
      <c r="E132" s="147" t="s">
        <v>317</v>
      </c>
    </row>
    <row r="133" spans="4:5" ht="15">
      <c r="D133" s="147">
        <v>10128581</v>
      </c>
      <c r="E133" s="147" t="s">
        <v>317</v>
      </c>
    </row>
    <row r="134" spans="4:5" ht="15">
      <c r="D134" s="147">
        <v>10128582</v>
      </c>
      <c r="E134" s="147" t="s">
        <v>320</v>
      </c>
    </row>
    <row r="135" spans="4:5" ht="15">
      <c r="D135" s="147">
        <v>10128595</v>
      </c>
      <c r="E135" s="147" t="s">
        <v>320</v>
      </c>
    </row>
    <row r="136" spans="4:5" ht="15">
      <c r="D136" s="147">
        <v>10128596</v>
      </c>
      <c r="E136" s="147" t="s">
        <v>312</v>
      </c>
    </row>
    <row r="137" spans="4:5" ht="15">
      <c r="D137" s="147">
        <v>10128597</v>
      </c>
      <c r="E137" s="147" t="s">
        <v>317</v>
      </c>
    </row>
    <row r="138" spans="4:5" ht="15">
      <c r="D138" s="147">
        <v>10128598</v>
      </c>
      <c r="E138" s="147" t="s">
        <v>320</v>
      </c>
    </row>
    <row r="139" spans="4:5" ht="15">
      <c r="D139" s="147">
        <v>10128599</v>
      </c>
      <c r="E139" s="147" t="s">
        <v>313</v>
      </c>
    </row>
    <row r="140" spans="4:5" ht="15">
      <c r="D140" s="147">
        <v>10128600</v>
      </c>
      <c r="E140" s="147" t="s">
        <v>317</v>
      </c>
    </row>
    <row r="141" spans="4:5" ht="15">
      <c r="D141" s="147">
        <v>10128579</v>
      </c>
      <c r="E141" s="147" t="s">
        <v>313</v>
      </c>
    </row>
    <row r="142" spans="4:5" ht="15">
      <c r="D142" s="147">
        <v>10128580</v>
      </c>
      <c r="E142" s="147" t="s">
        <v>317</v>
      </c>
    </row>
    <row r="143" spans="4:5" ht="15">
      <c r="D143" s="147">
        <v>10128581</v>
      </c>
      <c r="E143" s="147" t="s">
        <v>317</v>
      </c>
    </row>
    <row r="144" spans="4:5" ht="15">
      <c r="D144" s="147">
        <v>10128582</v>
      </c>
      <c r="E144" s="147" t="s">
        <v>320</v>
      </c>
    </row>
    <row r="145" spans="4:5" ht="15">
      <c r="D145" s="147">
        <v>10128595</v>
      </c>
      <c r="E145" s="147" t="s">
        <v>320</v>
      </c>
    </row>
    <row r="146" spans="4:5" ht="15">
      <c r="D146" s="147">
        <v>10128596</v>
      </c>
      <c r="E146" s="147" t="s">
        <v>312</v>
      </c>
    </row>
    <row r="147" spans="4:5" ht="15">
      <c r="D147" s="147">
        <v>10128597</v>
      </c>
      <c r="E147" s="147" t="s">
        <v>317</v>
      </c>
    </row>
    <row r="148" spans="4:5" ht="15">
      <c r="D148" s="147">
        <v>10128598</v>
      </c>
      <c r="E148" s="147" t="s">
        <v>320</v>
      </c>
    </row>
    <row r="149" spans="4:5" ht="15">
      <c r="D149" s="147">
        <v>10128599</v>
      </c>
      <c r="E149" s="147" t="s">
        <v>313</v>
      </c>
    </row>
    <row r="150" spans="4:5" ht="15">
      <c r="D150" s="147">
        <v>10128600</v>
      </c>
      <c r="E150" s="147" t="s">
        <v>317</v>
      </c>
    </row>
    <row r="151" spans="4:5" ht="15">
      <c r="D151" s="147">
        <v>10128579</v>
      </c>
      <c r="E151" s="147" t="s">
        <v>313</v>
      </c>
    </row>
    <row r="152" spans="4:5" ht="15">
      <c r="D152" s="147">
        <v>10128580</v>
      </c>
      <c r="E152" s="147" t="s">
        <v>317</v>
      </c>
    </row>
    <row r="153" spans="4:5" ht="15">
      <c r="D153" s="147">
        <v>10128581</v>
      </c>
      <c r="E153" s="147" t="s">
        <v>317</v>
      </c>
    </row>
    <row r="154" spans="4:5" ht="15">
      <c r="D154" s="147">
        <v>10128582</v>
      </c>
      <c r="E154" s="147" t="s">
        <v>320</v>
      </c>
    </row>
    <row r="155" spans="4:5" ht="15">
      <c r="D155" s="147">
        <v>10128595</v>
      </c>
      <c r="E155" s="147" t="s">
        <v>320</v>
      </c>
    </row>
    <row r="156" spans="4:5" ht="15">
      <c r="D156" s="147">
        <v>10128596</v>
      </c>
      <c r="E156" s="147" t="s">
        <v>312</v>
      </c>
    </row>
    <row r="157" spans="4:5" ht="15">
      <c r="D157" s="147">
        <v>10128597</v>
      </c>
      <c r="E157" s="147" t="s">
        <v>317</v>
      </c>
    </row>
    <row r="158" spans="4:5" ht="15">
      <c r="D158" s="147">
        <v>10128598</v>
      </c>
      <c r="E158" s="147" t="s">
        <v>320</v>
      </c>
    </row>
    <row r="159" spans="4:5" ht="15">
      <c r="D159" s="147">
        <v>10128599</v>
      </c>
      <c r="E159" s="147" t="s">
        <v>313</v>
      </c>
    </row>
    <row r="160" spans="4:5" ht="15">
      <c r="D160" s="147">
        <v>10128600</v>
      </c>
      <c r="E160" s="147" t="s">
        <v>317</v>
      </c>
    </row>
    <row r="161" spans="4:5" ht="15">
      <c r="D161" s="147">
        <v>10128579</v>
      </c>
      <c r="E161" s="147" t="s">
        <v>313</v>
      </c>
    </row>
    <row r="162" spans="4:5" ht="15">
      <c r="D162" s="147">
        <v>10128580</v>
      </c>
      <c r="E162" s="147" t="s">
        <v>317</v>
      </c>
    </row>
    <row r="163" spans="4:5" ht="15">
      <c r="D163" s="147">
        <v>10128581</v>
      </c>
      <c r="E163" s="147" t="s">
        <v>317</v>
      </c>
    </row>
    <row r="164" spans="4:5" ht="15">
      <c r="D164" s="147">
        <v>10128582</v>
      </c>
      <c r="E164" s="147" t="s">
        <v>320</v>
      </c>
    </row>
    <row r="165" spans="4:5" ht="15">
      <c r="D165" s="147">
        <v>10128595</v>
      </c>
      <c r="E165" s="147" t="s">
        <v>320</v>
      </c>
    </row>
    <row r="166" spans="4:5" ht="15">
      <c r="D166" s="147">
        <v>10128596</v>
      </c>
      <c r="E166" s="147" t="s">
        <v>312</v>
      </c>
    </row>
    <row r="167" spans="4:5" ht="15">
      <c r="D167" s="147">
        <v>10128597</v>
      </c>
      <c r="E167" s="147" t="s">
        <v>317</v>
      </c>
    </row>
    <row r="168" spans="4:5" ht="15">
      <c r="D168" s="147">
        <v>10128598</v>
      </c>
      <c r="E168" s="147" t="s">
        <v>320</v>
      </c>
    </row>
    <row r="169" spans="4:5" ht="15">
      <c r="D169" s="147">
        <v>10128599</v>
      </c>
      <c r="E169" s="147" t="s">
        <v>313</v>
      </c>
    </row>
    <row r="170" spans="4:5" ht="15">
      <c r="D170" s="147">
        <v>10128600</v>
      </c>
      <c r="E170" s="147" t="s">
        <v>317</v>
      </c>
    </row>
    <row r="171" spans="4:5" ht="15">
      <c r="D171" s="147">
        <v>10128579</v>
      </c>
      <c r="E171" s="147" t="s">
        <v>313</v>
      </c>
    </row>
    <row r="172" spans="4:5" ht="15">
      <c r="D172" s="147">
        <v>10128580</v>
      </c>
      <c r="E172" s="147" t="s">
        <v>317</v>
      </c>
    </row>
    <row r="173" spans="4:5" ht="15">
      <c r="D173" s="147">
        <v>10128581</v>
      </c>
      <c r="E173" s="147" t="s">
        <v>317</v>
      </c>
    </row>
    <row r="174" spans="4:5" ht="15">
      <c r="D174" s="147">
        <v>10128582</v>
      </c>
      <c r="E174" s="147" t="s">
        <v>320</v>
      </c>
    </row>
    <row r="175" spans="4:5" ht="15">
      <c r="D175" s="147">
        <v>10128595</v>
      </c>
      <c r="E175" s="147" t="s">
        <v>320</v>
      </c>
    </row>
    <row r="176" spans="4:5" ht="15">
      <c r="D176" s="147">
        <v>10128596</v>
      </c>
      <c r="E176" s="147" t="s">
        <v>312</v>
      </c>
    </row>
    <row r="177" spans="4:5" ht="15">
      <c r="D177" s="147">
        <v>10128597</v>
      </c>
      <c r="E177" s="147" t="s">
        <v>317</v>
      </c>
    </row>
    <row r="178" spans="4:5" ht="15">
      <c r="D178" s="147">
        <v>10128598</v>
      </c>
      <c r="E178" s="147" t="s">
        <v>320</v>
      </c>
    </row>
    <row r="179" spans="4:5" ht="15">
      <c r="D179" s="147">
        <v>10128599</v>
      </c>
      <c r="E179" s="147" t="s">
        <v>313</v>
      </c>
    </row>
    <row r="180" spans="4:5" ht="15">
      <c r="D180" s="147">
        <v>10128600</v>
      </c>
      <c r="E180" s="147" t="s">
        <v>317</v>
      </c>
    </row>
    <row r="181" spans="4:5" ht="15">
      <c r="D181" s="147">
        <v>10128579</v>
      </c>
      <c r="E181" s="147" t="s">
        <v>313</v>
      </c>
    </row>
    <row r="182" spans="4:5" ht="15">
      <c r="D182" s="147">
        <v>10128580</v>
      </c>
      <c r="E182" s="147" t="s">
        <v>317</v>
      </c>
    </row>
    <row r="183" spans="4:5" ht="15">
      <c r="D183" s="147">
        <v>10128581</v>
      </c>
      <c r="E183" s="147" t="s">
        <v>317</v>
      </c>
    </row>
    <row r="184" spans="4:5" ht="15">
      <c r="D184" s="147">
        <v>10128582</v>
      </c>
      <c r="E184" s="147" t="s">
        <v>320</v>
      </c>
    </row>
    <row r="185" spans="4:5" ht="15">
      <c r="D185" s="147">
        <v>10128595</v>
      </c>
      <c r="E185" s="147" t="s">
        <v>320</v>
      </c>
    </row>
    <row r="186" spans="4:5" ht="15">
      <c r="D186" s="147">
        <v>10128596</v>
      </c>
      <c r="E186" s="147" t="s">
        <v>312</v>
      </c>
    </row>
    <row r="187" spans="4:5" ht="15">
      <c r="D187" s="147">
        <v>10128597</v>
      </c>
      <c r="E187" s="147" t="s">
        <v>317</v>
      </c>
    </row>
    <row r="188" spans="4:5" ht="15">
      <c r="D188" s="147">
        <v>10128598</v>
      </c>
      <c r="E188" s="147" t="s">
        <v>320</v>
      </c>
    </row>
    <row r="189" spans="4:5" ht="15">
      <c r="D189" s="147">
        <v>10128599</v>
      </c>
      <c r="E189" s="147" t="s">
        <v>313</v>
      </c>
    </row>
    <row r="190" spans="4:5" ht="15">
      <c r="D190" s="147">
        <v>10128600</v>
      </c>
      <c r="E190" s="147" t="s">
        <v>317</v>
      </c>
    </row>
    <row r="191" spans="4:5" ht="15">
      <c r="D191" s="147">
        <v>10128579</v>
      </c>
      <c r="E191" s="147" t="s">
        <v>313</v>
      </c>
    </row>
    <row r="192" spans="4:5" ht="15">
      <c r="D192" s="147">
        <v>10128580</v>
      </c>
      <c r="E192" s="147" t="s">
        <v>317</v>
      </c>
    </row>
    <row r="193" spans="4:5" ht="15">
      <c r="D193" s="147">
        <v>10128581</v>
      </c>
      <c r="E193" s="147" t="s">
        <v>317</v>
      </c>
    </row>
    <row r="194" spans="4:5" ht="15">
      <c r="D194" s="147">
        <v>10128582</v>
      </c>
      <c r="E194" s="147" t="s">
        <v>320</v>
      </c>
    </row>
    <row r="195" spans="4:5" ht="15">
      <c r="D195" s="147">
        <v>10128595</v>
      </c>
      <c r="E195" s="147" t="s">
        <v>320</v>
      </c>
    </row>
    <row r="196" spans="4:5" ht="15">
      <c r="D196" s="147">
        <v>10128596</v>
      </c>
      <c r="E196" s="147" t="s">
        <v>312</v>
      </c>
    </row>
    <row r="197" spans="4:5" ht="15">
      <c r="D197" s="147">
        <v>10128597</v>
      </c>
      <c r="E197" s="147" t="s">
        <v>317</v>
      </c>
    </row>
    <row r="198" spans="4:5" ht="15">
      <c r="D198" s="147">
        <v>10128598</v>
      </c>
      <c r="E198" s="147" t="s">
        <v>320</v>
      </c>
    </row>
    <row r="199" spans="4:5" ht="15">
      <c r="D199" s="147">
        <v>10128599</v>
      </c>
      <c r="E199" s="147" t="s">
        <v>313</v>
      </c>
    </row>
    <row r="200" spans="4:5" ht="15">
      <c r="D200" s="147">
        <v>10128600</v>
      </c>
      <c r="E200" s="147" t="s">
        <v>317</v>
      </c>
    </row>
    <row r="201" spans="4:5" ht="15">
      <c r="D201" s="147">
        <v>10128579</v>
      </c>
      <c r="E201" s="147" t="s">
        <v>313</v>
      </c>
    </row>
    <row r="202" spans="4:5" ht="15">
      <c r="D202" s="147">
        <v>10128580</v>
      </c>
      <c r="E202" s="147" t="s">
        <v>317</v>
      </c>
    </row>
    <row r="203" spans="4:5" ht="15">
      <c r="D203" s="147">
        <v>10128581</v>
      </c>
      <c r="E203" s="147" t="s">
        <v>317</v>
      </c>
    </row>
    <row r="204" spans="4:5" ht="15">
      <c r="D204" s="147">
        <v>10128582</v>
      </c>
      <c r="E204" s="147" t="s">
        <v>320</v>
      </c>
    </row>
    <row r="205" spans="4:5" ht="15">
      <c r="D205" s="147">
        <v>10128595</v>
      </c>
      <c r="E205" s="147" t="s">
        <v>320</v>
      </c>
    </row>
    <row r="206" spans="4:5" ht="15">
      <c r="D206" s="147">
        <v>10128596</v>
      </c>
      <c r="E206" s="147" t="s">
        <v>312</v>
      </c>
    </row>
    <row r="207" spans="4:5" ht="15">
      <c r="D207" s="147">
        <v>10128597</v>
      </c>
      <c r="E207" s="147" t="s">
        <v>317</v>
      </c>
    </row>
    <row r="208" spans="4:5" ht="15">
      <c r="D208" s="147">
        <v>10128598</v>
      </c>
      <c r="E208" s="147" t="s">
        <v>320</v>
      </c>
    </row>
    <row r="209" spans="4:5" ht="15">
      <c r="D209" s="147">
        <v>10128599</v>
      </c>
      <c r="E209" s="147" t="s">
        <v>313</v>
      </c>
    </row>
    <row r="210" spans="4:5" ht="15">
      <c r="D210" s="147">
        <v>10128600</v>
      </c>
      <c r="E210" s="147" t="s">
        <v>317</v>
      </c>
    </row>
    <row r="211" spans="4:5" ht="15">
      <c r="D211" s="147">
        <v>10128579</v>
      </c>
      <c r="E211" s="147" t="s">
        <v>313</v>
      </c>
    </row>
    <row r="212" spans="4:5" ht="15">
      <c r="D212" s="147">
        <v>10128580</v>
      </c>
      <c r="E212" s="147" t="s">
        <v>317</v>
      </c>
    </row>
    <row r="213" spans="4:5" ht="15">
      <c r="D213" s="147">
        <v>10128581</v>
      </c>
      <c r="E213" s="147" t="s">
        <v>317</v>
      </c>
    </row>
    <row r="214" spans="4:5" ht="15">
      <c r="D214" s="147">
        <v>10128582</v>
      </c>
      <c r="E214" s="147" t="s">
        <v>320</v>
      </c>
    </row>
    <row r="215" spans="4:5" ht="15">
      <c r="D215" s="147">
        <v>10128595</v>
      </c>
      <c r="E215" s="147" t="s">
        <v>320</v>
      </c>
    </row>
    <row r="216" spans="4:5" ht="15">
      <c r="D216" s="147">
        <v>10128596</v>
      </c>
      <c r="E216" s="147" t="s">
        <v>312</v>
      </c>
    </row>
    <row r="217" spans="4:5" ht="15">
      <c r="D217" s="147">
        <v>10128597</v>
      </c>
      <c r="E217" s="147" t="s">
        <v>317</v>
      </c>
    </row>
    <row r="218" spans="4:5" ht="15">
      <c r="D218" s="147">
        <v>10128598</v>
      </c>
      <c r="E218" s="147" t="s">
        <v>320</v>
      </c>
    </row>
    <row r="219" spans="4:5" ht="15">
      <c r="D219" s="147">
        <v>10128599</v>
      </c>
      <c r="E219" s="147" t="s">
        <v>313</v>
      </c>
    </row>
    <row r="220" spans="4:5" ht="15">
      <c r="D220" s="147">
        <v>10128600</v>
      </c>
      <c r="E220" s="147" t="s">
        <v>317</v>
      </c>
    </row>
    <row r="221" spans="4:5" ht="15">
      <c r="D221" s="147">
        <v>10128579</v>
      </c>
      <c r="E221" s="147" t="s">
        <v>313</v>
      </c>
    </row>
    <row r="222" spans="4:5" ht="15">
      <c r="D222" s="147">
        <v>10128580</v>
      </c>
      <c r="E222" s="147" t="s">
        <v>317</v>
      </c>
    </row>
    <row r="223" spans="4:5" ht="15">
      <c r="D223" s="147">
        <v>10128581</v>
      </c>
      <c r="E223" s="147" t="s">
        <v>317</v>
      </c>
    </row>
    <row r="224" spans="4:5" ht="15">
      <c r="D224" s="147">
        <v>10128582</v>
      </c>
      <c r="E224" s="147" t="s">
        <v>320</v>
      </c>
    </row>
    <row r="225" spans="4:5" ht="15">
      <c r="D225" s="147">
        <v>10128595</v>
      </c>
      <c r="E225" s="147" t="s">
        <v>320</v>
      </c>
    </row>
    <row r="226" spans="4:5" ht="15">
      <c r="D226" s="147">
        <v>10128596</v>
      </c>
      <c r="E226" s="147" t="s">
        <v>312</v>
      </c>
    </row>
    <row r="227" spans="4:5" ht="15">
      <c r="D227" s="147">
        <v>10128597</v>
      </c>
      <c r="E227" s="147" t="s">
        <v>317</v>
      </c>
    </row>
    <row r="228" spans="4:5" ht="15">
      <c r="D228" s="147">
        <v>10128598</v>
      </c>
      <c r="E228" s="147" t="s">
        <v>320</v>
      </c>
    </row>
    <row r="229" spans="4:5" ht="15">
      <c r="D229" s="147">
        <v>10128599</v>
      </c>
      <c r="E229" s="147" t="s">
        <v>313</v>
      </c>
    </row>
    <row r="230" spans="4:5" ht="15">
      <c r="D230" s="147">
        <v>10128600</v>
      </c>
      <c r="E230" s="147" t="s">
        <v>317</v>
      </c>
    </row>
    <row r="231" spans="4:5" ht="15">
      <c r="D231" s="147">
        <v>10128579</v>
      </c>
      <c r="E231" s="147" t="s">
        <v>313</v>
      </c>
    </row>
    <row r="232" spans="4:5" ht="15">
      <c r="D232" s="147">
        <v>10128580</v>
      </c>
      <c r="E232" s="147" t="s">
        <v>317</v>
      </c>
    </row>
    <row r="233" spans="4:5" ht="15">
      <c r="D233" s="147">
        <v>10128581</v>
      </c>
      <c r="E233" s="147" t="s">
        <v>317</v>
      </c>
    </row>
    <row r="234" spans="4:5" ht="15">
      <c r="D234" s="147">
        <v>10128582</v>
      </c>
      <c r="E234" s="147" t="s">
        <v>320</v>
      </c>
    </row>
    <row r="235" spans="4:5" ht="15">
      <c r="D235" s="147">
        <v>10128595</v>
      </c>
      <c r="E235" s="147" t="s">
        <v>320</v>
      </c>
    </row>
    <row r="236" spans="4:5" ht="15">
      <c r="D236" s="147">
        <v>10128596</v>
      </c>
      <c r="E236" s="147" t="s">
        <v>312</v>
      </c>
    </row>
    <row r="237" spans="4:5" ht="15">
      <c r="D237" s="147">
        <v>10128597</v>
      </c>
      <c r="E237" s="147" t="s">
        <v>317</v>
      </c>
    </row>
    <row r="238" spans="4:5" ht="15">
      <c r="D238" s="147">
        <v>10128598</v>
      </c>
      <c r="E238" s="147" t="s">
        <v>320</v>
      </c>
    </row>
    <row r="239" spans="4:5" ht="15">
      <c r="D239" s="147">
        <v>10128599</v>
      </c>
      <c r="E239" s="147" t="s">
        <v>313</v>
      </c>
    </row>
    <row r="240" spans="4:5" ht="15">
      <c r="D240" s="147">
        <v>10128600</v>
      </c>
      <c r="E240" s="147" t="s">
        <v>317</v>
      </c>
    </row>
    <row r="241" spans="4:5" ht="15">
      <c r="D241" s="147">
        <v>10128579</v>
      </c>
      <c r="E241" s="147" t="s">
        <v>313</v>
      </c>
    </row>
    <row r="242" spans="4:5" ht="15">
      <c r="D242" s="147">
        <v>10128580</v>
      </c>
      <c r="E242" s="147" t="s">
        <v>317</v>
      </c>
    </row>
    <row r="243" spans="4:5" ht="15">
      <c r="D243" s="147">
        <v>10128581</v>
      </c>
      <c r="E243" s="147" t="s">
        <v>317</v>
      </c>
    </row>
    <row r="244" spans="4:5" ht="15">
      <c r="D244" s="147">
        <v>10128582</v>
      </c>
      <c r="E244" s="147" t="s">
        <v>320</v>
      </c>
    </row>
    <row r="245" spans="4:5" ht="15">
      <c r="D245" s="147">
        <v>10128595</v>
      </c>
      <c r="E245" s="147" t="s">
        <v>320</v>
      </c>
    </row>
    <row r="246" spans="4:5" ht="15">
      <c r="D246" s="147">
        <v>10128596</v>
      </c>
      <c r="E246" s="147" t="s">
        <v>312</v>
      </c>
    </row>
    <row r="247" spans="4:5" ht="15">
      <c r="D247" s="147">
        <v>10128597</v>
      </c>
      <c r="E247" s="147" t="s">
        <v>317</v>
      </c>
    </row>
    <row r="248" spans="4:5" ht="15">
      <c r="D248" s="147">
        <v>10128598</v>
      </c>
      <c r="E248" s="147" t="s">
        <v>320</v>
      </c>
    </row>
    <row r="249" spans="4:5" ht="15">
      <c r="D249" s="147">
        <v>10128599</v>
      </c>
      <c r="E249" s="147" t="s">
        <v>313</v>
      </c>
    </row>
    <row r="250" spans="4:5" ht="15">
      <c r="D250" s="147">
        <v>10128600</v>
      </c>
      <c r="E250" s="147" t="s">
        <v>317</v>
      </c>
    </row>
    <row r="251" spans="4:5" ht="15">
      <c r="D251" s="147">
        <v>10128579</v>
      </c>
      <c r="E251" s="147" t="s">
        <v>313</v>
      </c>
    </row>
    <row r="252" spans="4:5" ht="15">
      <c r="D252" s="147">
        <v>10128580</v>
      </c>
      <c r="E252" s="147" t="s">
        <v>317</v>
      </c>
    </row>
    <row r="253" spans="4:5" ht="15">
      <c r="D253" s="147">
        <v>10128581</v>
      </c>
      <c r="E253" s="147" t="s">
        <v>317</v>
      </c>
    </row>
    <row r="254" spans="4:5" ht="15">
      <c r="D254" s="147">
        <v>10128582</v>
      </c>
      <c r="E254" s="147" t="s">
        <v>320</v>
      </c>
    </row>
    <row r="255" spans="4:5" ht="15">
      <c r="D255" s="147">
        <v>10128595</v>
      </c>
      <c r="E255" s="147" t="s">
        <v>320</v>
      </c>
    </row>
    <row r="256" spans="4:5" ht="15">
      <c r="D256" s="147">
        <v>10128596</v>
      </c>
      <c r="E256" s="147" t="s">
        <v>312</v>
      </c>
    </row>
    <row r="257" spans="4:5" ht="15">
      <c r="D257" s="147">
        <v>10128597</v>
      </c>
      <c r="E257" s="147" t="s">
        <v>317</v>
      </c>
    </row>
    <row r="258" spans="4:5" ht="15">
      <c r="D258" s="147">
        <v>10128598</v>
      </c>
      <c r="E258" s="147" t="s">
        <v>320</v>
      </c>
    </row>
    <row r="259" spans="4:5" ht="15">
      <c r="D259" s="147">
        <v>10128599</v>
      </c>
      <c r="E259" s="147" t="s">
        <v>313</v>
      </c>
    </row>
    <row r="260" spans="4:5" ht="15">
      <c r="D260" s="147">
        <v>10128600</v>
      </c>
      <c r="E260" s="147" t="s">
        <v>317</v>
      </c>
    </row>
    <row r="261" spans="4:5" ht="15">
      <c r="D261" s="147">
        <v>10128579</v>
      </c>
      <c r="E261" s="147" t="s">
        <v>313</v>
      </c>
    </row>
    <row r="262" spans="4:5" ht="15">
      <c r="D262" s="147">
        <v>10128580</v>
      </c>
      <c r="E262" s="147" t="s">
        <v>317</v>
      </c>
    </row>
    <row r="263" spans="4:5" ht="15">
      <c r="D263" s="147">
        <v>10128581</v>
      </c>
      <c r="E263" s="147" t="s">
        <v>317</v>
      </c>
    </row>
    <row r="264" spans="4:5" ht="15">
      <c r="D264" s="147">
        <v>10128582</v>
      </c>
      <c r="E264" s="147" t="s">
        <v>320</v>
      </c>
    </row>
    <row r="265" spans="4:5" ht="15">
      <c r="D265" s="147">
        <v>10128595</v>
      </c>
      <c r="E265" s="147" t="s">
        <v>320</v>
      </c>
    </row>
    <row r="266" spans="4:5" ht="15">
      <c r="D266" s="147">
        <v>10128596</v>
      </c>
      <c r="E266" s="147" t="s">
        <v>312</v>
      </c>
    </row>
    <row r="267" spans="4:5" ht="15">
      <c r="D267" s="147">
        <v>10128597</v>
      </c>
      <c r="E267" s="147" t="s">
        <v>317</v>
      </c>
    </row>
    <row r="268" spans="4:5" ht="15">
      <c r="D268" s="147">
        <v>10128598</v>
      </c>
      <c r="E268" s="147" t="s">
        <v>320</v>
      </c>
    </row>
    <row r="269" spans="4:5" ht="15">
      <c r="D269" s="147">
        <v>10128599</v>
      </c>
      <c r="E269" s="147" t="s">
        <v>313</v>
      </c>
    </row>
    <row r="270" spans="4:5" ht="15">
      <c r="D270" s="147">
        <v>10128600</v>
      </c>
      <c r="E270" s="147" t="s">
        <v>317</v>
      </c>
    </row>
    <row r="271" spans="4:5" ht="15">
      <c r="D271" s="147">
        <v>10128579</v>
      </c>
      <c r="E271" s="147" t="s">
        <v>313</v>
      </c>
    </row>
    <row r="272" spans="4:5" ht="15">
      <c r="D272" s="147">
        <v>10128580</v>
      </c>
      <c r="E272" s="147" t="s">
        <v>317</v>
      </c>
    </row>
    <row r="273" spans="4:5" ht="15">
      <c r="D273" s="147">
        <v>10128581</v>
      </c>
      <c r="E273" s="147" t="s">
        <v>317</v>
      </c>
    </row>
    <row r="274" spans="4:5" ht="15">
      <c r="D274" s="147">
        <v>10128582</v>
      </c>
      <c r="E274" s="147" t="s">
        <v>320</v>
      </c>
    </row>
    <row r="275" spans="4:5" ht="15">
      <c r="D275" s="147">
        <v>10128595</v>
      </c>
      <c r="E275" s="147" t="s">
        <v>320</v>
      </c>
    </row>
    <row r="276" spans="4:5" ht="15">
      <c r="D276" s="147">
        <v>10128596</v>
      </c>
      <c r="E276" s="147" t="s">
        <v>312</v>
      </c>
    </row>
    <row r="277" spans="4:5" ht="15">
      <c r="D277" s="147">
        <v>10128597</v>
      </c>
      <c r="E277" s="147" t="s">
        <v>317</v>
      </c>
    </row>
    <row r="278" spans="4:5" ht="15">
      <c r="D278" s="147">
        <v>10128598</v>
      </c>
      <c r="E278" s="147" t="s">
        <v>320</v>
      </c>
    </row>
    <row r="279" spans="4:5" ht="15">
      <c r="D279" s="147">
        <v>10128599</v>
      </c>
      <c r="E279" s="147" t="s">
        <v>313</v>
      </c>
    </row>
    <row r="280" spans="4:5" ht="15">
      <c r="D280" s="147">
        <v>10128600</v>
      </c>
      <c r="E280" s="147" t="s">
        <v>317</v>
      </c>
    </row>
    <row r="281" spans="4:5" ht="15">
      <c r="D281" s="147">
        <v>10128579</v>
      </c>
      <c r="E281" s="147" t="s">
        <v>313</v>
      </c>
    </row>
    <row r="282" spans="4:5" ht="15">
      <c r="D282" s="147">
        <v>10128580</v>
      </c>
      <c r="E282" s="147" t="s">
        <v>317</v>
      </c>
    </row>
    <row r="283" spans="4:5" ht="15">
      <c r="D283" s="147">
        <v>10128581</v>
      </c>
      <c r="E283" s="147" t="s">
        <v>317</v>
      </c>
    </row>
    <row r="284" spans="4:5" ht="15">
      <c r="D284" s="147">
        <v>10128582</v>
      </c>
      <c r="E284" s="147" t="s">
        <v>320</v>
      </c>
    </row>
    <row r="285" spans="4:5" ht="15">
      <c r="D285" s="147">
        <v>10128595</v>
      </c>
      <c r="E285" s="147" t="s">
        <v>320</v>
      </c>
    </row>
    <row r="286" spans="4:5" ht="15">
      <c r="D286" s="147">
        <v>10128596</v>
      </c>
      <c r="E286" s="147" t="s">
        <v>312</v>
      </c>
    </row>
    <row r="287" spans="4:5" ht="15">
      <c r="D287" s="147">
        <v>10128597</v>
      </c>
      <c r="E287" s="147" t="s">
        <v>317</v>
      </c>
    </row>
    <row r="288" spans="4:5" ht="15">
      <c r="D288" s="147">
        <v>10128598</v>
      </c>
      <c r="E288" s="147" t="s">
        <v>320</v>
      </c>
    </row>
    <row r="289" spans="4:5" ht="15">
      <c r="D289" s="147">
        <v>10128599</v>
      </c>
      <c r="E289" s="147" t="s">
        <v>313</v>
      </c>
    </row>
    <row r="290" spans="4:5" ht="15">
      <c r="D290" s="147">
        <v>10128600</v>
      </c>
      <c r="E290" s="147" t="s">
        <v>317</v>
      </c>
    </row>
    <row r="291" spans="4:5" ht="15">
      <c r="D291" s="147">
        <v>10128579</v>
      </c>
      <c r="E291" s="147" t="s">
        <v>313</v>
      </c>
    </row>
    <row r="292" spans="4:5" ht="15">
      <c r="D292" s="147">
        <v>10128580</v>
      </c>
      <c r="E292" s="147" t="s">
        <v>317</v>
      </c>
    </row>
    <row r="293" spans="4:5" ht="15">
      <c r="D293" s="147">
        <v>10128581</v>
      </c>
      <c r="E293" s="147" t="s">
        <v>317</v>
      </c>
    </row>
    <row r="294" spans="4:5" ht="15">
      <c r="D294" s="147">
        <v>10128582</v>
      </c>
      <c r="E294" s="147" t="s">
        <v>320</v>
      </c>
    </row>
    <row r="295" spans="4:5" ht="15">
      <c r="D295" s="147">
        <v>10128595</v>
      </c>
      <c r="E295" s="147" t="s">
        <v>320</v>
      </c>
    </row>
    <row r="296" spans="4:5" ht="15">
      <c r="D296" s="147">
        <v>10128596</v>
      </c>
      <c r="E296" s="147" t="s">
        <v>312</v>
      </c>
    </row>
    <row r="297" spans="4:5" ht="15">
      <c r="D297" s="147">
        <v>10128597</v>
      </c>
      <c r="E297" s="147" t="s">
        <v>317</v>
      </c>
    </row>
    <row r="298" spans="4:5" ht="15">
      <c r="D298" s="147">
        <v>10128598</v>
      </c>
      <c r="E298" s="147" t="s">
        <v>320</v>
      </c>
    </row>
    <row r="299" spans="4:5" ht="15">
      <c r="D299" s="147">
        <v>10128599</v>
      </c>
      <c r="E299" s="147" t="s">
        <v>313</v>
      </c>
    </row>
    <row r="300" spans="4:5" ht="15">
      <c r="D300" s="147">
        <v>10128600</v>
      </c>
      <c r="E300" s="147" t="s">
        <v>317</v>
      </c>
    </row>
    <row r="301" spans="4:5" ht="15">
      <c r="D301" s="147">
        <v>10128579</v>
      </c>
      <c r="E301" s="147" t="s">
        <v>313</v>
      </c>
    </row>
    <row r="302" spans="4:5" ht="15">
      <c r="D302" s="147">
        <v>10128580</v>
      </c>
      <c r="E302" s="147" t="s">
        <v>317</v>
      </c>
    </row>
    <row r="303" spans="4:5" ht="15">
      <c r="D303" s="147">
        <v>10128581</v>
      </c>
      <c r="E303" s="147" t="s">
        <v>317</v>
      </c>
    </row>
    <row r="304" spans="4:5" ht="15">
      <c r="D304" s="147">
        <v>10128582</v>
      </c>
      <c r="E304" s="147" t="s">
        <v>320</v>
      </c>
    </row>
    <row r="305" spans="4:5" ht="15">
      <c r="D305" s="147">
        <v>10128595</v>
      </c>
      <c r="E305" s="147" t="s">
        <v>320</v>
      </c>
    </row>
    <row r="306" spans="4:5" ht="15">
      <c r="D306" s="147">
        <v>10128596</v>
      </c>
      <c r="E306" s="147" t="s">
        <v>312</v>
      </c>
    </row>
    <row r="307" spans="4:5" ht="15">
      <c r="D307" s="147">
        <v>10128597</v>
      </c>
      <c r="E307" s="147" t="s">
        <v>317</v>
      </c>
    </row>
    <row r="308" spans="4:5" ht="15">
      <c r="D308" s="147">
        <v>10128598</v>
      </c>
      <c r="E308" s="147" t="s">
        <v>320</v>
      </c>
    </row>
    <row r="309" spans="4:5" ht="15">
      <c r="D309" s="147">
        <v>10128599</v>
      </c>
      <c r="E309" s="147" t="s">
        <v>313</v>
      </c>
    </row>
    <row r="310" spans="4:5" ht="15">
      <c r="D310" s="147">
        <v>10128600</v>
      </c>
      <c r="E310" s="147" t="s">
        <v>317</v>
      </c>
    </row>
    <row r="311" spans="4:5" ht="15">
      <c r="D311" s="147">
        <v>10128579</v>
      </c>
      <c r="E311" s="147" t="s">
        <v>313</v>
      </c>
    </row>
    <row r="312" spans="4:5" ht="15">
      <c r="D312" s="147">
        <v>10128580</v>
      </c>
      <c r="E312" s="147" t="s">
        <v>317</v>
      </c>
    </row>
    <row r="313" spans="4:5" ht="15">
      <c r="D313" s="147">
        <v>10128581</v>
      </c>
      <c r="E313" s="147" t="s">
        <v>317</v>
      </c>
    </row>
    <row r="314" spans="4:5" ht="15">
      <c r="D314" s="147">
        <v>10128582</v>
      </c>
      <c r="E314" s="147" t="s">
        <v>320</v>
      </c>
    </row>
    <row r="315" spans="4:5" ht="15">
      <c r="D315" s="147">
        <v>10128595</v>
      </c>
      <c r="E315" s="147" t="s">
        <v>320</v>
      </c>
    </row>
    <row r="316" spans="4:5" ht="15">
      <c r="D316" s="147">
        <v>10128596</v>
      </c>
      <c r="E316" s="147" t="s">
        <v>312</v>
      </c>
    </row>
    <row r="317" spans="4:5" ht="15">
      <c r="D317" s="147">
        <v>10128597</v>
      </c>
      <c r="E317" s="147" t="s">
        <v>317</v>
      </c>
    </row>
    <row r="318" spans="4:5" ht="15">
      <c r="D318" s="147">
        <v>10128598</v>
      </c>
      <c r="E318" s="147" t="s">
        <v>320</v>
      </c>
    </row>
    <row r="319" spans="4:5" ht="15">
      <c r="D319" s="147">
        <v>10128599</v>
      </c>
      <c r="E319" s="147" t="s">
        <v>313</v>
      </c>
    </row>
    <row r="320" spans="4:5" ht="15">
      <c r="D320" s="147">
        <v>10128600</v>
      </c>
      <c r="E320" s="147" t="s">
        <v>317</v>
      </c>
    </row>
    <row r="321" spans="4:5" ht="15">
      <c r="D321" s="147">
        <v>10128579</v>
      </c>
      <c r="E321" s="147" t="s">
        <v>313</v>
      </c>
    </row>
    <row r="322" spans="4:5" ht="15">
      <c r="D322" s="147">
        <v>10128580</v>
      </c>
      <c r="E322" s="147" t="s">
        <v>317</v>
      </c>
    </row>
    <row r="323" spans="4:5" ht="15">
      <c r="D323" s="147">
        <v>10128581</v>
      </c>
      <c r="E323" s="147" t="s">
        <v>317</v>
      </c>
    </row>
    <row r="324" spans="4:5" ht="15">
      <c r="D324" s="147">
        <v>10128582</v>
      </c>
      <c r="E324" s="147" t="s">
        <v>320</v>
      </c>
    </row>
    <row r="325" spans="4:5" ht="15">
      <c r="D325" s="147">
        <v>10128595</v>
      </c>
      <c r="E325" s="147" t="s">
        <v>320</v>
      </c>
    </row>
    <row r="326" spans="4:5" ht="15">
      <c r="D326" s="147">
        <v>10128596</v>
      </c>
      <c r="E326" s="147" t="s">
        <v>312</v>
      </c>
    </row>
    <row r="327" spans="4:5" ht="15">
      <c r="D327" s="147">
        <v>10128597</v>
      </c>
      <c r="E327" s="147" t="s">
        <v>317</v>
      </c>
    </row>
    <row r="328" spans="4:5" ht="15">
      <c r="D328" s="147">
        <v>10128598</v>
      </c>
      <c r="E328" s="147" t="s">
        <v>320</v>
      </c>
    </row>
    <row r="329" spans="4:5" ht="15">
      <c r="D329" s="147">
        <v>10128599</v>
      </c>
      <c r="E329" s="147" t="s">
        <v>313</v>
      </c>
    </row>
    <row r="330" spans="4:5" ht="15">
      <c r="D330" s="147">
        <v>10128600</v>
      </c>
      <c r="E330" s="147" t="s">
        <v>317</v>
      </c>
    </row>
    <row r="331" spans="4:5" ht="15">
      <c r="D331" s="147">
        <v>10128579</v>
      </c>
      <c r="E331" s="147" t="s">
        <v>313</v>
      </c>
    </row>
    <row r="332" spans="4:5" ht="15">
      <c r="D332" s="147">
        <v>10128580</v>
      </c>
      <c r="E332" s="147" t="s">
        <v>317</v>
      </c>
    </row>
    <row r="333" spans="4:5" ht="15">
      <c r="D333" s="147">
        <v>10128581</v>
      </c>
      <c r="E333" s="147" t="s">
        <v>317</v>
      </c>
    </row>
    <row r="334" spans="4:5" ht="15">
      <c r="D334" s="147">
        <v>10128582</v>
      </c>
      <c r="E334" s="147" t="s">
        <v>320</v>
      </c>
    </row>
    <row r="335" spans="4:5" ht="15">
      <c r="D335" s="147">
        <v>10128595</v>
      </c>
      <c r="E335" s="147" t="s">
        <v>320</v>
      </c>
    </row>
    <row r="336" spans="4:5" ht="15">
      <c r="D336" s="147">
        <v>10128596</v>
      </c>
      <c r="E336" s="147" t="s">
        <v>312</v>
      </c>
    </row>
    <row r="337" spans="4:5" ht="15">
      <c r="D337" s="147">
        <v>10128597</v>
      </c>
      <c r="E337" s="147" t="s">
        <v>317</v>
      </c>
    </row>
    <row r="338" spans="4:5" ht="15">
      <c r="D338" s="147">
        <v>10128598</v>
      </c>
      <c r="E338" s="147" t="s">
        <v>320</v>
      </c>
    </row>
    <row r="339" spans="4:5" ht="15">
      <c r="D339" s="147">
        <v>10128599</v>
      </c>
      <c r="E339" s="147" t="s">
        <v>313</v>
      </c>
    </row>
    <row r="340" spans="4:5" ht="15">
      <c r="D340" s="147">
        <v>10128600</v>
      </c>
      <c r="E340" s="147" t="s">
        <v>317</v>
      </c>
    </row>
    <row r="341" spans="4:5" ht="15">
      <c r="D341" s="147">
        <v>10128579</v>
      </c>
      <c r="E341" s="147" t="s">
        <v>313</v>
      </c>
    </row>
    <row r="342" spans="4:5" ht="15">
      <c r="D342" s="147">
        <v>10128580</v>
      </c>
      <c r="E342" s="147" t="s">
        <v>317</v>
      </c>
    </row>
    <row r="343" spans="4:5" ht="15">
      <c r="D343" s="147">
        <v>10128581</v>
      </c>
      <c r="E343" s="147" t="s">
        <v>317</v>
      </c>
    </row>
    <row r="344" spans="4:5" ht="15">
      <c r="D344" s="147">
        <v>10128582</v>
      </c>
      <c r="E344" s="147" t="s">
        <v>320</v>
      </c>
    </row>
    <row r="345" spans="4:5" ht="15">
      <c r="D345" s="147">
        <v>10128595</v>
      </c>
      <c r="E345" s="147" t="s">
        <v>320</v>
      </c>
    </row>
    <row r="346" spans="4:5" ht="15">
      <c r="D346" s="147">
        <v>10128596</v>
      </c>
      <c r="E346" s="147" t="s">
        <v>312</v>
      </c>
    </row>
    <row r="347" spans="4:5" ht="15">
      <c r="D347" s="147">
        <v>10128597</v>
      </c>
      <c r="E347" s="147" t="s">
        <v>317</v>
      </c>
    </row>
    <row r="348" spans="4:5" ht="15">
      <c r="D348" s="147">
        <v>10128598</v>
      </c>
      <c r="E348" s="147" t="s">
        <v>320</v>
      </c>
    </row>
    <row r="349" spans="4:5" ht="15">
      <c r="D349" s="147">
        <v>10128599</v>
      </c>
      <c r="E349" s="147" t="s">
        <v>313</v>
      </c>
    </row>
    <row r="350" spans="4:5" ht="15">
      <c r="D350" s="147">
        <v>10128600</v>
      </c>
      <c r="E350" s="147" t="s">
        <v>317</v>
      </c>
    </row>
    <row r="351" spans="4:5" ht="15">
      <c r="D351" s="147">
        <v>10128579</v>
      </c>
      <c r="E351" s="147" t="s">
        <v>313</v>
      </c>
    </row>
    <row r="352" spans="4:5" ht="15">
      <c r="D352" s="147">
        <v>10128580</v>
      </c>
      <c r="E352" s="147" t="s">
        <v>317</v>
      </c>
    </row>
    <row r="353" spans="4:5" ht="15">
      <c r="D353" s="147">
        <v>10128581</v>
      </c>
      <c r="E353" s="147" t="s">
        <v>317</v>
      </c>
    </row>
    <row r="354" spans="4:5" ht="15">
      <c r="D354" s="147">
        <v>10128582</v>
      </c>
      <c r="E354" s="147" t="s">
        <v>320</v>
      </c>
    </row>
    <row r="355" spans="4:5" ht="15">
      <c r="D355" s="147">
        <v>10128595</v>
      </c>
      <c r="E355" s="147" t="s">
        <v>320</v>
      </c>
    </row>
    <row r="356" spans="4:5" ht="15">
      <c r="D356" s="147">
        <v>10128596</v>
      </c>
      <c r="E356" s="147" t="s">
        <v>312</v>
      </c>
    </row>
    <row r="357" spans="4:5" ht="15">
      <c r="D357" s="147">
        <v>10128597</v>
      </c>
      <c r="E357" s="147" t="s">
        <v>317</v>
      </c>
    </row>
    <row r="358" spans="4:5" ht="15">
      <c r="D358" s="147">
        <v>10128598</v>
      </c>
      <c r="E358" s="147" t="s">
        <v>320</v>
      </c>
    </row>
    <row r="359" spans="4:5" ht="15">
      <c r="D359" s="147">
        <v>10128599</v>
      </c>
      <c r="E359" s="147" t="s">
        <v>313</v>
      </c>
    </row>
    <row r="360" spans="4:5" ht="15">
      <c r="D360" s="147">
        <v>10128600</v>
      </c>
      <c r="E360" s="147" t="s">
        <v>317</v>
      </c>
    </row>
    <row r="361" spans="4:5" ht="15">
      <c r="D361" s="147">
        <v>10128579</v>
      </c>
      <c r="E361" s="147" t="s">
        <v>313</v>
      </c>
    </row>
    <row r="362" spans="4:5" ht="15">
      <c r="D362" s="147">
        <v>10128580</v>
      </c>
      <c r="E362" s="147" t="s">
        <v>317</v>
      </c>
    </row>
    <row r="363" spans="4:5" ht="15">
      <c r="D363" s="147">
        <v>10128581</v>
      </c>
      <c r="E363" s="147" t="s">
        <v>317</v>
      </c>
    </row>
    <row r="364" spans="4:5" ht="15">
      <c r="D364" s="147">
        <v>10128582</v>
      </c>
      <c r="E364" s="147" t="s">
        <v>320</v>
      </c>
    </row>
    <row r="365" spans="4:5" ht="15">
      <c r="D365" s="147">
        <v>10128595</v>
      </c>
      <c r="E365" s="147" t="s">
        <v>320</v>
      </c>
    </row>
    <row r="366" spans="4:5" ht="15">
      <c r="D366" s="147">
        <v>10128596</v>
      </c>
      <c r="E366" s="147" t="s">
        <v>312</v>
      </c>
    </row>
    <row r="367" spans="4:5" ht="15">
      <c r="D367" s="147">
        <v>10128597</v>
      </c>
      <c r="E367" s="147" t="s">
        <v>317</v>
      </c>
    </row>
    <row r="368" spans="4:5" ht="15">
      <c r="D368" s="147">
        <v>10128598</v>
      </c>
      <c r="E368" s="147" t="s">
        <v>320</v>
      </c>
    </row>
    <row r="369" spans="4:5" ht="15">
      <c r="D369" s="147">
        <v>10128599</v>
      </c>
      <c r="E369" s="147" t="s">
        <v>313</v>
      </c>
    </row>
    <row r="370" spans="4:5" ht="15">
      <c r="D370" s="147">
        <v>10128600</v>
      </c>
      <c r="E370" s="147" t="s">
        <v>317</v>
      </c>
    </row>
    <row r="371" spans="4:5" ht="15">
      <c r="D371" s="147">
        <v>10128579</v>
      </c>
      <c r="E371" s="147" t="s">
        <v>313</v>
      </c>
    </row>
    <row r="372" spans="4:5" ht="15">
      <c r="D372" s="147">
        <v>10128580</v>
      </c>
      <c r="E372" s="147" t="s">
        <v>317</v>
      </c>
    </row>
    <row r="373" spans="4:5" ht="15">
      <c r="D373" s="147">
        <v>10128581</v>
      </c>
      <c r="E373" s="147" t="s">
        <v>317</v>
      </c>
    </row>
    <row r="374" spans="4:5" ht="15">
      <c r="D374" s="147">
        <v>10128582</v>
      </c>
      <c r="E374" s="147" t="s">
        <v>320</v>
      </c>
    </row>
    <row r="375" spans="4:5" ht="15">
      <c r="D375" s="147">
        <v>10128595</v>
      </c>
      <c r="E375" s="147" t="s">
        <v>320</v>
      </c>
    </row>
    <row r="376" spans="4:5" ht="15">
      <c r="D376" s="147">
        <v>10128596</v>
      </c>
      <c r="E376" s="147" t="s">
        <v>312</v>
      </c>
    </row>
    <row r="377" spans="4:5" ht="15">
      <c r="D377" s="147">
        <v>10128597</v>
      </c>
      <c r="E377" s="147" t="s">
        <v>317</v>
      </c>
    </row>
    <row r="378" spans="4:5" ht="15">
      <c r="D378" s="147">
        <v>10128598</v>
      </c>
      <c r="E378" s="147" t="s">
        <v>320</v>
      </c>
    </row>
    <row r="379" spans="4:5" ht="15">
      <c r="D379" s="147">
        <v>10128599</v>
      </c>
      <c r="E379" s="147" t="s">
        <v>313</v>
      </c>
    </row>
    <row r="380" spans="4:5" ht="15">
      <c r="D380" s="147">
        <v>10128600</v>
      </c>
      <c r="E380" s="147" t="s">
        <v>317</v>
      </c>
    </row>
    <row r="381" spans="4:5" ht="15">
      <c r="D381" s="147">
        <v>10128579</v>
      </c>
      <c r="E381" s="147" t="s">
        <v>313</v>
      </c>
    </row>
    <row r="382" spans="4:5" ht="15">
      <c r="D382" s="147">
        <v>10128580</v>
      </c>
      <c r="E382" s="147" t="s">
        <v>317</v>
      </c>
    </row>
    <row r="383" spans="4:5" ht="15">
      <c r="D383" s="147">
        <v>10128581</v>
      </c>
      <c r="E383" s="147" t="s">
        <v>317</v>
      </c>
    </row>
    <row r="384" spans="4:5" ht="15">
      <c r="D384" s="147">
        <v>10128582</v>
      </c>
      <c r="E384" s="147" t="s">
        <v>320</v>
      </c>
    </row>
    <row r="385" spans="4:5" ht="15">
      <c r="D385" s="147">
        <v>10128595</v>
      </c>
      <c r="E385" s="147" t="s">
        <v>320</v>
      </c>
    </row>
    <row r="386" spans="4:5" ht="15">
      <c r="D386" s="147">
        <v>10128596</v>
      </c>
      <c r="E386" s="147" t="s">
        <v>312</v>
      </c>
    </row>
    <row r="387" spans="4:5" ht="15">
      <c r="D387" s="147">
        <v>10128597</v>
      </c>
      <c r="E387" s="147" t="s">
        <v>317</v>
      </c>
    </row>
    <row r="388" spans="4:5" ht="15">
      <c r="D388" s="147">
        <v>10128598</v>
      </c>
      <c r="E388" s="147" t="s">
        <v>320</v>
      </c>
    </row>
    <row r="389" spans="4:5" ht="15">
      <c r="D389" s="147">
        <v>10128599</v>
      </c>
      <c r="E389" s="147" t="s">
        <v>313</v>
      </c>
    </row>
    <row r="390" spans="4:5" ht="15">
      <c r="D390" s="147">
        <v>10128600</v>
      </c>
      <c r="E390" s="147" t="s">
        <v>317</v>
      </c>
    </row>
    <row r="391" spans="4:5" ht="15">
      <c r="D391" s="147">
        <v>10128579</v>
      </c>
      <c r="E391" s="147" t="s">
        <v>313</v>
      </c>
    </row>
    <row r="392" spans="4:5" ht="15">
      <c r="D392" s="147">
        <v>10128580</v>
      </c>
      <c r="E392" s="147" t="s">
        <v>317</v>
      </c>
    </row>
    <row r="393" spans="4:5" ht="15">
      <c r="D393" s="147">
        <v>10128581</v>
      </c>
      <c r="E393" s="147" t="s">
        <v>317</v>
      </c>
    </row>
    <row r="394" spans="4:5" ht="15">
      <c r="D394" s="147">
        <v>10128582</v>
      </c>
      <c r="E394" s="147" t="s">
        <v>320</v>
      </c>
    </row>
    <row r="395" spans="4:5" ht="15">
      <c r="D395" s="147">
        <v>10128595</v>
      </c>
      <c r="E395" s="147" t="s">
        <v>320</v>
      </c>
    </row>
    <row r="396" spans="4:5" ht="15">
      <c r="D396" s="147">
        <v>10128596</v>
      </c>
      <c r="E396" s="147" t="s">
        <v>312</v>
      </c>
    </row>
    <row r="397" spans="4:5" ht="15">
      <c r="D397" s="147">
        <v>10128597</v>
      </c>
      <c r="E397" s="147" t="s">
        <v>317</v>
      </c>
    </row>
    <row r="398" spans="4:5" ht="15">
      <c r="D398" s="147">
        <v>10128598</v>
      </c>
      <c r="E398" s="147" t="s">
        <v>320</v>
      </c>
    </row>
    <row r="399" spans="4:5" ht="15">
      <c r="D399" s="147">
        <v>10128599</v>
      </c>
      <c r="E399" s="147" t="s">
        <v>313</v>
      </c>
    </row>
    <row r="400" spans="4:5" ht="15">
      <c r="D400" s="147">
        <v>10128600</v>
      </c>
      <c r="E400" s="147" t="s">
        <v>317</v>
      </c>
    </row>
    <row r="401" spans="4:5" ht="15">
      <c r="D401" s="147">
        <v>10128579</v>
      </c>
      <c r="E401" s="147" t="s">
        <v>313</v>
      </c>
    </row>
    <row r="402" spans="4:5" ht="15">
      <c r="D402" s="147">
        <v>10128580</v>
      </c>
      <c r="E402" s="147" t="s">
        <v>317</v>
      </c>
    </row>
    <row r="403" spans="4:5" ht="15">
      <c r="D403" s="147">
        <v>10128581</v>
      </c>
      <c r="E403" s="147" t="s">
        <v>317</v>
      </c>
    </row>
    <row r="404" spans="4:5" ht="15">
      <c r="D404" s="147">
        <v>10128582</v>
      </c>
      <c r="E404" s="147" t="s">
        <v>320</v>
      </c>
    </row>
    <row r="405" spans="4:5" ht="15">
      <c r="D405" s="147">
        <v>10128595</v>
      </c>
      <c r="E405" s="147" t="s">
        <v>320</v>
      </c>
    </row>
    <row r="406" spans="4:5" ht="15">
      <c r="D406" s="147">
        <v>10128596</v>
      </c>
      <c r="E406" s="147" t="s">
        <v>312</v>
      </c>
    </row>
    <row r="407" spans="4:5" ht="15">
      <c r="D407" s="147">
        <v>10128597</v>
      </c>
      <c r="E407" s="147" t="s">
        <v>317</v>
      </c>
    </row>
    <row r="408" spans="4:5" ht="15">
      <c r="D408" s="147">
        <v>10128598</v>
      </c>
      <c r="E408" s="147" t="s">
        <v>320</v>
      </c>
    </row>
    <row r="409" spans="4:5" ht="15">
      <c r="D409" s="147">
        <v>10128599</v>
      </c>
      <c r="E409" s="147" t="s">
        <v>313</v>
      </c>
    </row>
    <row r="410" spans="4:5" ht="15">
      <c r="D410" s="147">
        <v>10128600</v>
      </c>
      <c r="E410" s="147" t="s">
        <v>317</v>
      </c>
    </row>
    <row r="411" spans="4:5" ht="15">
      <c r="D411" s="147">
        <v>10128579</v>
      </c>
      <c r="E411" s="147" t="s">
        <v>313</v>
      </c>
    </row>
    <row r="412" spans="4:5" ht="15">
      <c r="D412" s="147">
        <v>10128580</v>
      </c>
      <c r="E412" s="147" t="s">
        <v>317</v>
      </c>
    </row>
    <row r="413" spans="4:5" ht="15">
      <c r="D413" s="147">
        <v>10128581</v>
      </c>
      <c r="E413" s="147" t="s">
        <v>317</v>
      </c>
    </row>
    <row r="414" spans="4:5" ht="15">
      <c r="D414" s="147">
        <v>10128582</v>
      </c>
      <c r="E414" s="147" t="s">
        <v>320</v>
      </c>
    </row>
    <row r="415" spans="4:5" ht="15">
      <c r="D415" s="147">
        <v>10128595</v>
      </c>
      <c r="E415" s="147" t="s">
        <v>320</v>
      </c>
    </row>
    <row r="416" spans="4:5" ht="15">
      <c r="D416" s="147">
        <v>10128596</v>
      </c>
      <c r="E416" s="147" t="s">
        <v>312</v>
      </c>
    </row>
    <row r="417" spans="4:5" ht="15">
      <c r="D417" s="147">
        <v>10128597</v>
      </c>
      <c r="E417" s="147" t="s">
        <v>317</v>
      </c>
    </row>
    <row r="418" spans="4:5" ht="15">
      <c r="D418" s="147">
        <v>10128598</v>
      </c>
      <c r="E418" s="147" t="s">
        <v>320</v>
      </c>
    </row>
    <row r="419" spans="4:5" ht="15">
      <c r="D419" s="147">
        <v>10128599</v>
      </c>
      <c r="E419" s="147" t="s">
        <v>313</v>
      </c>
    </row>
    <row r="420" spans="4:5" ht="15">
      <c r="D420" s="147">
        <v>10128600</v>
      </c>
      <c r="E420" s="147" t="s">
        <v>317</v>
      </c>
    </row>
    <row r="421" spans="4:5" ht="15">
      <c r="D421" s="147">
        <v>10128579</v>
      </c>
      <c r="E421" s="147" t="s">
        <v>313</v>
      </c>
    </row>
    <row r="422" spans="4:5" ht="15">
      <c r="D422" s="147">
        <v>10128580</v>
      </c>
      <c r="E422" s="147" t="s">
        <v>317</v>
      </c>
    </row>
    <row r="423" spans="4:5" ht="15">
      <c r="D423" s="147">
        <v>10128581</v>
      </c>
      <c r="E423" s="147" t="s">
        <v>317</v>
      </c>
    </row>
    <row r="424" spans="4:5" ht="15">
      <c r="D424" s="147">
        <v>10128582</v>
      </c>
      <c r="E424" s="147" t="s">
        <v>320</v>
      </c>
    </row>
    <row r="425" spans="4:5" ht="15">
      <c r="D425" s="147">
        <v>10128595</v>
      </c>
      <c r="E425" s="147" t="s">
        <v>320</v>
      </c>
    </row>
    <row r="426" spans="4:5" ht="15">
      <c r="D426" s="147">
        <v>10128596</v>
      </c>
      <c r="E426" s="147" t="s">
        <v>312</v>
      </c>
    </row>
    <row r="427" spans="4:5" ht="15">
      <c r="D427" s="147">
        <v>10128597</v>
      </c>
      <c r="E427" s="147" t="s">
        <v>317</v>
      </c>
    </row>
    <row r="428" spans="4:5" ht="15">
      <c r="D428" s="147">
        <v>10128598</v>
      </c>
      <c r="E428" s="147" t="s">
        <v>320</v>
      </c>
    </row>
    <row r="429" spans="4:5" ht="15">
      <c r="D429" s="147">
        <v>10128599</v>
      </c>
      <c r="E429" s="147" t="s">
        <v>313</v>
      </c>
    </row>
    <row r="430" spans="4:5" ht="15">
      <c r="D430" s="147">
        <v>10128600</v>
      </c>
      <c r="E430" s="147" t="s">
        <v>317</v>
      </c>
    </row>
    <row r="431" spans="4:5" ht="15">
      <c r="D431" s="147">
        <v>10128579</v>
      </c>
      <c r="E431" s="147" t="s">
        <v>313</v>
      </c>
    </row>
    <row r="432" spans="4:5" ht="15">
      <c r="D432" s="147">
        <v>10128580</v>
      </c>
      <c r="E432" s="147" t="s">
        <v>317</v>
      </c>
    </row>
    <row r="433" spans="4:5" ht="15">
      <c r="D433" s="147">
        <v>10128581</v>
      </c>
      <c r="E433" s="147" t="s">
        <v>317</v>
      </c>
    </row>
    <row r="434" spans="4:5" ht="15">
      <c r="D434" s="147">
        <v>10128582</v>
      </c>
      <c r="E434" s="147" t="s">
        <v>320</v>
      </c>
    </row>
    <row r="435" spans="4:5" ht="15">
      <c r="D435" s="147">
        <v>10128595</v>
      </c>
      <c r="E435" s="147" t="s">
        <v>320</v>
      </c>
    </row>
    <row r="436" spans="4:5" ht="15">
      <c r="D436" s="147">
        <v>10128596</v>
      </c>
      <c r="E436" s="147" t="s">
        <v>312</v>
      </c>
    </row>
    <row r="437" spans="4:5" ht="15">
      <c r="D437" s="147">
        <v>10128597</v>
      </c>
      <c r="E437" s="147" t="s">
        <v>317</v>
      </c>
    </row>
    <row r="438" spans="4:5" ht="15">
      <c r="D438" s="147">
        <v>10128598</v>
      </c>
      <c r="E438" s="147" t="s">
        <v>320</v>
      </c>
    </row>
    <row r="439" spans="4:5" ht="15">
      <c r="D439" s="147">
        <v>10128599</v>
      </c>
      <c r="E439" s="147" t="s">
        <v>313</v>
      </c>
    </row>
    <row r="440" spans="4:5" ht="15">
      <c r="D440" s="147">
        <v>10128600</v>
      </c>
      <c r="E440" s="147" t="s">
        <v>317</v>
      </c>
    </row>
    <row r="441" spans="4:5" ht="15">
      <c r="D441" s="147">
        <v>10128579</v>
      </c>
      <c r="E441" s="147" t="s">
        <v>313</v>
      </c>
    </row>
    <row r="442" spans="4:5" ht="15">
      <c r="D442" s="147">
        <v>10128580</v>
      </c>
      <c r="E442" s="147" t="s">
        <v>317</v>
      </c>
    </row>
    <row r="443" spans="4:5" ht="15">
      <c r="D443" s="147">
        <v>10128581</v>
      </c>
      <c r="E443" s="147" t="s">
        <v>317</v>
      </c>
    </row>
    <row r="444" spans="4:5" ht="15">
      <c r="D444" s="147">
        <v>10128582</v>
      </c>
      <c r="E444" s="147" t="s">
        <v>320</v>
      </c>
    </row>
    <row r="445" spans="4:5" ht="15">
      <c r="D445" s="147">
        <v>10128595</v>
      </c>
      <c r="E445" s="147" t="s">
        <v>320</v>
      </c>
    </row>
    <row r="446" spans="4:5" ht="15">
      <c r="D446" s="147">
        <v>10128596</v>
      </c>
      <c r="E446" s="147" t="s">
        <v>312</v>
      </c>
    </row>
    <row r="447" spans="4:5" ht="15">
      <c r="D447" s="147">
        <v>10128597</v>
      </c>
      <c r="E447" s="147" t="s">
        <v>317</v>
      </c>
    </row>
    <row r="448" spans="4:5" ht="15">
      <c r="D448" s="147">
        <v>10128598</v>
      </c>
      <c r="E448" s="147" t="s">
        <v>320</v>
      </c>
    </row>
    <row r="449" spans="4:5" ht="15">
      <c r="D449" s="147">
        <v>10128599</v>
      </c>
      <c r="E449" s="147" t="s">
        <v>313</v>
      </c>
    </row>
    <row r="450" spans="4:5" ht="15">
      <c r="D450" s="147">
        <v>10128600</v>
      </c>
      <c r="E450" s="147" t="s">
        <v>317</v>
      </c>
    </row>
    <row r="451" spans="4:5" ht="15">
      <c r="D451" s="147">
        <v>10128579</v>
      </c>
      <c r="E451" s="147" t="s">
        <v>313</v>
      </c>
    </row>
    <row r="452" spans="4:5" ht="15">
      <c r="D452" s="147">
        <v>10128580</v>
      </c>
      <c r="E452" s="147" t="s">
        <v>317</v>
      </c>
    </row>
    <row r="453" spans="4:5" ht="15">
      <c r="D453" s="147">
        <v>10128581</v>
      </c>
      <c r="E453" s="147" t="s">
        <v>317</v>
      </c>
    </row>
    <row r="454" spans="4:5" ht="15">
      <c r="D454" s="147">
        <v>10128582</v>
      </c>
      <c r="E454" s="147" t="s">
        <v>320</v>
      </c>
    </row>
    <row r="455" spans="4:5" ht="15">
      <c r="D455" s="147">
        <v>10128595</v>
      </c>
      <c r="E455" s="147" t="s">
        <v>320</v>
      </c>
    </row>
    <row r="456" spans="4:5" ht="15">
      <c r="D456" s="147">
        <v>10128596</v>
      </c>
      <c r="E456" s="147" t="s">
        <v>312</v>
      </c>
    </row>
    <row r="457" spans="4:5" ht="15">
      <c r="D457" s="147">
        <v>10128597</v>
      </c>
      <c r="E457" s="147" t="s">
        <v>317</v>
      </c>
    </row>
    <row r="458" spans="4:5" ht="15">
      <c r="D458" s="147">
        <v>10128598</v>
      </c>
      <c r="E458" s="147" t="s">
        <v>320</v>
      </c>
    </row>
    <row r="459" spans="4:5" ht="15">
      <c r="D459" s="147">
        <v>10128599</v>
      </c>
      <c r="E459" s="147" t="s">
        <v>313</v>
      </c>
    </row>
    <row r="460" spans="4:5" ht="15">
      <c r="D460" s="147">
        <v>10128600</v>
      </c>
      <c r="E460" s="147" t="s">
        <v>317</v>
      </c>
    </row>
    <row r="461" spans="4:5" ht="15">
      <c r="D461" s="147">
        <v>10128579</v>
      </c>
      <c r="E461" s="147" t="s">
        <v>313</v>
      </c>
    </row>
    <row r="462" spans="4:5" ht="15">
      <c r="D462" s="147">
        <v>10128580</v>
      </c>
      <c r="E462" s="147" t="s">
        <v>317</v>
      </c>
    </row>
    <row r="463" spans="4:5" ht="15">
      <c r="D463" s="147">
        <v>10128581</v>
      </c>
      <c r="E463" s="147" t="s">
        <v>317</v>
      </c>
    </row>
    <row r="464" spans="4:5" ht="15">
      <c r="D464" s="147">
        <v>10128582</v>
      </c>
      <c r="E464" s="147" t="s">
        <v>320</v>
      </c>
    </row>
    <row r="465" spans="4:5" ht="15">
      <c r="D465" s="147">
        <v>10128595</v>
      </c>
      <c r="E465" s="147" t="s">
        <v>320</v>
      </c>
    </row>
    <row r="466" spans="4:5" ht="15">
      <c r="D466" s="147">
        <v>10128596</v>
      </c>
      <c r="E466" s="147" t="s">
        <v>312</v>
      </c>
    </row>
    <row r="467" spans="4:5" ht="15">
      <c r="D467" s="147">
        <v>10128597</v>
      </c>
      <c r="E467" s="147" t="s">
        <v>317</v>
      </c>
    </row>
    <row r="468" spans="4:5" ht="15">
      <c r="D468" s="147">
        <v>10128598</v>
      </c>
      <c r="E468" s="147" t="s">
        <v>320</v>
      </c>
    </row>
    <row r="469" spans="4:5" ht="15">
      <c r="D469" s="147">
        <v>10128599</v>
      </c>
      <c r="E469" s="147" t="s">
        <v>313</v>
      </c>
    </row>
    <row r="470" spans="4:5" ht="15">
      <c r="D470" s="147">
        <v>10128600</v>
      </c>
      <c r="E470" s="147" t="s">
        <v>317</v>
      </c>
    </row>
    <row r="471" spans="4:5" ht="15">
      <c r="D471" s="147">
        <v>10128579</v>
      </c>
      <c r="E471" s="147" t="s">
        <v>313</v>
      </c>
    </row>
    <row r="472" spans="4:5" ht="15">
      <c r="D472" s="147">
        <v>10128580</v>
      </c>
      <c r="E472" s="147" t="s">
        <v>317</v>
      </c>
    </row>
    <row r="473" spans="4:5" ht="15">
      <c r="D473" s="147">
        <v>10128581</v>
      </c>
      <c r="E473" s="147" t="s">
        <v>317</v>
      </c>
    </row>
    <row r="474" spans="4:5" ht="15">
      <c r="D474" s="147">
        <v>10128582</v>
      </c>
      <c r="E474" s="147" t="s">
        <v>320</v>
      </c>
    </row>
    <row r="475" spans="4:5" ht="15">
      <c r="D475" s="147">
        <v>10128595</v>
      </c>
      <c r="E475" s="147" t="s">
        <v>320</v>
      </c>
    </row>
    <row r="476" spans="4:5" ht="15">
      <c r="D476" s="147">
        <v>10128596</v>
      </c>
      <c r="E476" s="147" t="s">
        <v>312</v>
      </c>
    </row>
    <row r="477" spans="4:5" ht="15">
      <c r="D477" s="147">
        <v>10128597</v>
      </c>
      <c r="E477" s="147" t="s">
        <v>317</v>
      </c>
    </row>
    <row r="478" spans="4:5" ht="15">
      <c r="D478" s="147">
        <v>10128598</v>
      </c>
      <c r="E478" s="147" t="s">
        <v>320</v>
      </c>
    </row>
    <row r="479" spans="4:5" ht="15">
      <c r="D479" s="147">
        <v>10128599</v>
      </c>
      <c r="E479" s="147" t="s">
        <v>313</v>
      </c>
    </row>
    <row r="480" spans="4:5" ht="15">
      <c r="D480" s="147">
        <v>10128600</v>
      </c>
      <c r="E480" s="147" t="s">
        <v>317</v>
      </c>
    </row>
    <row r="481" spans="4:5" ht="15">
      <c r="D481" s="147">
        <v>10128579</v>
      </c>
      <c r="E481" s="147" t="s">
        <v>313</v>
      </c>
    </row>
    <row r="482" spans="4:5" ht="15">
      <c r="D482" s="147">
        <v>10128580</v>
      </c>
      <c r="E482" s="147" t="s">
        <v>317</v>
      </c>
    </row>
    <row r="483" spans="4:5" ht="15">
      <c r="D483" s="147">
        <v>10128581</v>
      </c>
      <c r="E483" s="147" t="s">
        <v>317</v>
      </c>
    </row>
    <row r="484" spans="4:5" ht="15">
      <c r="D484" s="147">
        <v>10128582</v>
      </c>
      <c r="E484" s="147" t="s">
        <v>320</v>
      </c>
    </row>
    <row r="485" spans="4:5" ht="15">
      <c r="D485" s="147">
        <v>10128595</v>
      </c>
      <c r="E485" s="147" t="s">
        <v>320</v>
      </c>
    </row>
    <row r="486" spans="4:5" ht="15">
      <c r="D486" s="147">
        <v>10128596</v>
      </c>
      <c r="E486" s="147" t="s">
        <v>312</v>
      </c>
    </row>
    <row r="487" spans="4:5" ht="15">
      <c r="D487" s="147">
        <v>10128597</v>
      </c>
      <c r="E487" s="147" t="s">
        <v>317</v>
      </c>
    </row>
    <row r="488" spans="4:5" ht="15">
      <c r="D488" s="147">
        <v>10128598</v>
      </c>
      <c r="E488" s="147" t="s">
        <v>320</v>
      </c>
    </row>
    <row r="489" spans="4:5" ht="15">
      <c r="D489" s="147">
        <v>10128599</v>
      </c>
      <c r="E489" s="147" t="s">
        <v>313</v>
      </c>
    </row>
    <row r="490" spans="4:5" ht="15">
      <c r="D490" s="147">
        <v>10128600</v>
      </c>
      <c r="E490" s="147" t="s">
        <v>317</v>
      </c>
    </row>
    <row r="491" spans="4:5" ht="15">
      <c r="D491" s="147">
        <v>10128579</v>
      </c>
      <c r="E491" s="147" t="s">
        <v>313</v>
      </c>
    </row>
    <row r="492" spans="4:5" ht="15">
      <c r="D492" s="147">
        <v>10128580</v>
      </c>
      <c r="E492" s="147" t="s">
        <v>317</v>
      </c>
    </row>
    <row r="493" spans="4:5" ht="15">
      <c r="D493" s="147">
        <v>10128581</v>
      </c>
      <c r="E493" s="147" t="s">
        <v>317</v>
      </c>
    </row>
    <row r="494" spans="4:5" ht="15">
      <c r="D494" s="147">
        <v>10128582</v>
      </c>
      <c r="E494" s="147" t="s">
        <v>320</v>
      </c>
    </row>
    <row r="495" spans="4:5" ht="15">
      <c r="D495" s="147">
        <v>10128595</v>
      </c>
      <c r="E495" s="147" t="s">
        <v>320</v>
      </c>
    </row>
    <row r="496" spans="4:5" ht="15">
      <c r="D496" s="147">
        <v>10128596</v>
      </c>
      <c r="E496" s="147" t="s">
        <v>312</v>
      </c>
    </row>
    <row r="497" spans="4:5" ht="15">
      <c r="D497" s="147">
        <v>10128597</v>
      </c>
      <c r="E497" s="147" t="s">
        <v>317</v>
      </c>
    </row>
    <row r="498" spans="4:5" ht="15">
      <c r="D498" s="147">
        <v>10128598</v>
      </c>
      <c r="E498" s="147" t="s">
        <v>320</v>
      </c>
    </row>
    <row r="499" spans="4:5" ht="15">
      <c r="D499" s="147">
        <v>10128599</v>
      </c>
      <c r="E499" s="147" t="s">
        <v>313</v>
      </c>
    </row>
    <row r="500" spans="4:5" ht="15">
      <c r="D500" s="147">
        <v>10128600</v>
      </c>
      <c r="E500" s="147" t="s">
        <v>317</v>
      </c>
    </row>
    <row r="501" spans="4:5" ht="15">
      <c r="D501" s="147">
        <v>10128579</v>
      </c>
      <c r="E501" s="147" t="s">
        <v>313</v>
      </c>
    </row>
    <row r="502" spans="4:5" ht="15">
      <c r="D502" s="147">
        <v>10128580</v>
      </c>
      <c r="E502" s="147" t="s">
        <v>317</v>
      </c>
    </row>
    <row r="503" spans="4:5" ht="15">
      <c r="D503" s="147">
        <v>10128581</v>
      </c>
      <c r="E503" s="147" t="s">
        <v>317</v>
      </c>
    </row>
    <row r="504" spans="4:5" ht="15">
      <c r="D504" s="147">
        <v>10128582</v>
      </c>
      <c r="E504" s="147" t="s">
        <v>320</v>
      </c>
    </row>
    <row r="505" spans="4:5" ht="15">
      <c r="D505" s="147">
        <v>10128595</v>
      </c>
      <c r="E505" s="147" t="s">
        <v>320</v>
      </c>
    </row>
    <row r="506" spans="4:5" ht="15">
      <c r="D506" s="147">
        <v>10128596</v>
      </c>
      <c r="E506" s="147" t="s">
        <v>312</v>
      </c>
    </row>
    <row r="507" spans="4:5" ht="15">
      <c r="D507" s="147">
        <v>10128597</v>
      </c>
      <c r="E507" s="147" t="s">
        <v>317</v>
      </c>
    </row>
    <row r="508" spans="4:5" ht="15">
      <c r="D508" s="147">
        <v>10128598</v>
      </c>
      <c r="E508" s="147" t="s">
        <v>320</v>
      </c>
    </row>
    <row r="509" spans="4:5" ht="15">
      <c r="D509" s="147">
        <v>10128599</v>
      </c>
      <c r="E509" s="147" t="s">
        <v>313</v>
      </c>
    </row>
    <row r="510" spans="4:5" ht="15">
      <c r="D510" s="147">
        <v>10128600</v>
      </c>
      <c r="E510" s="147" t="s">
        <v>317</v>
      </c>
    </row>
    <row r="511" spans="4:5" ht="15">
      <c r="D511" s="147">
        <v>10128579</v>
      </c>
      <c r="E511" s="147" t="s">
        <v>313</v>
      </c>
    </row>
    <row r="512" spans="4:5" ht="15">
      <c r="D512" s="147">
        <v>10128580</v>
      </c>
      <c r="E512" s="147" t="s">
        <v>317</v>
      </c>
    </row>
    <row r="513" spans="4:5" ht="15">
      <c r="D513" s="147">
        <v>10128581</v>
      </c>
      <c r="E513" s="147" t="s">
        <v>317</v>
      </c>
    </row>
    <row r="514" spans="4:5" ht="15">
      <c r="D514" s="147">
        <v>10128582</v>
      </c>
      <c r="E514" s="147" t="s">
        <v>320</v>
      </c>
    </row>
    <row r="515" spans="4:5" ht="15">
      <c r="D515" s="147">
        <v>10128595</v>
      </c>
      <c r="E515" s="147" t="s">
        <v>320</v>
      </c>
    </row>
    <row r="516" spans="4:5" ht="15">
      <c r="D516" s="147">
        <v>10128596</v>
      </c>
      <c r="E516" s="147" t="s">
        <v>312</v>
      </c>
    </row>
    <row r="517" spans="4:5" ht="15">
      <c r="D517" s="147">
        <v>10128597</v>
      </c>
      <c r="E517" s="147" t="s">
        <v>317</v>
      </c>
    </row>
    <row r="518" spans="4:5" ht="15">
      <c r="D518" s="147">
        <v>10128598</v>
      </c>
      <c r="E518" s="147" t="s">
        <v>320</v>
      </c>
    </row>
    <row r="519" spans="4:5" ht="15">
      <c r="D519" s="147">
        <v>10128599</v>
      </c>
      <c r="E519" s="147" t="s">
        <v>313</v>
      </c>
    </row>
    <row r="520" spans="4:5" ht="15">
      <c r="D520" s="147">
        <v>10128600</v>
      </c>
      <c r="E520" s="147" t="s">
        <v>317</v>
      </c>
    </row>
    <row r="521" spans="4:5" ht="15">
      <c r="D521" s="147">
        <v>10128579</v>
      </c>
      <c r="E521" s="147" t="s">
        <v>313</v>
      </c>
    </row>
    <row r="522" spans="4:5" ht="15">
      <c r="D522" s="147">
        <v>10128580</v>
      </c>
      <c r="E522" s="147" t="s">
        <v>317</v>
      </c>
    </row>
    <row r="523" spans="4:5" ht="15">
      <c r="D523" s="147">
        <v>10128581</v>
      </c>
      <c r="E523" s="147" t="s">
        <v>317</v>
      </c>
    </row>
    <row r="524" spans="4:5" ht="15">
      <c r="D524" s="147">
        <v>10128582</v>
      </c>
      <c r="E524" s="147" t="s">
        <v>320</v>
      </c>
    </row>
    <row r="525" spans="4:5" ht="15">
      <c r="D525" s="147">
        <v>10128595</v>
      </c>
      <c r="E525" s="147" t="s">
        <v>320</v>
      </c>
    </row>
    <row r="526" spans="4:5" ht="15">
      <c r="D526" s="147">
        <v>10128596</v>
      </c>
      <c r="E526" s="147" t="s">
        <v>312</v>
      </c>
    </row>
    <row r="527" spans="4:5" ht="15">
      <c r="D527" s="147">
        <v>10128597</v>
      </c>
      <c r="E527" s="147" t="s">
        <v>317</v>
      </c>
    </row>
    <row r="528" spans="4:5" ht="15">
      <c r="D528" s="147">
        <v>10128598</v>
      </c>
      <c r="E528" s="147" t="s">
        <v>320</v>
      </c>
    </row>
    <row r="529" spans="4:5" ht="15">
      <c r="D529" s="147">
        <v>10128599</v>
      </c>
      <c r="E529" s="147" t="s">
        <v>313</v>
      </c>
    </row>
    <row r="530" spans="4:5" ht="15">
      <c r="D530" s="147">
        <v>10128600</v>
      </c>
      <c r="E530" s="147" t="s">
        <v>317</v>
      </c>
    </row>
    <row r="531" spans="4:5" ht="15">
      <c r="D531" s="147">
        <v>10128579</v>
      </c>
      <c r="E531" s="147" t="s">
        <v>313</v>
      </c>
    </row>
    <row r="532" spans="4:5" ht="15">
      <c r="D532" s="147">
        <v>10128580</v>
      </c>
      <c r="E532" s="147" t="s">
        <v>317</v>
      </c>
    </row>
    <row r="533" spans="4:5" ht="15">
      <c r="D533" s="147">
        <v>10128581</v>
      </c>
      <c r="E533" s="147" t="s">
        <v>317</v>
      </c>
    </row>
    <row r="534" spans="4:5" ht="15">
      <c r="D534" s="147">
        <v>10128582</v>
      </c>
      <c r="E534" s="147" t="s">
        <v>320</v>
      </c>
    </row>
    <row r="535" spans="4:5" ht="15">
      <c r="D535" s="147">
        <v>10128595</v>
      </c>
      <c r="E535" s="147" t="s">
        <v>320</v>
      </c>
    </row>
    <row r="536" spans="4:5" ht="15">
      <c r="D536" s="147">
        <v>10128596</v>
      </c>
      <c r="E536" s="147" t="s">
        <v>312</v>
      </c>
    </row>
    <row r="537" spans="4:5" ht="15">
      <c r="D537" s="147">
        <v>10128597</v>
      </c>
      <c r="E537" s="147" t="s">
        <v>317</v>
      </c>
    </row>
    <row r="538" spans="4:5" ht="15">
      <c r="D538" s="147">
        <v>10128598</v>
      </c>
      <c r="E538" s="147" t="s">
        <v>320</v>
      </c>
    </row>
    <row r="539" spans="4:5" ht="15">
      <c r="D539" s="147">
        <v>10128599</v>
      </c>
      <c r="E539" s="147" t="s">
        <v>313</v>
      </c>
    </row>
    <row r="540" spans="4:5" ht="15">
      <c r="D540" s="147">
        <v>10128600</v>
      </c>
      <c r="E540" s="147" t="s">
        <v>317</v>
      </c>
    </row>
    <row r="541" spans="4:5" ht="15">
      <c r="D541" s="147">
        <v>10128579</v>
      </c>
      <c r="E541" s="147" t="s">
        <v>313</v>
      </c>
    </row>
    <row r="542" spans="4:5" ht="15">
      <c r="D542" s="147">
        <v>10128580</v>
      </c>
      <c r="E542" s="147" t="s">
        <v>317</v>
      </c>
    </row>
    <row r="543" spans="4:5" ht="15">
      <c r="D543" s="147">
        <v>10128581</v>
      </c>
      <c r="E543" s="147" t="s">
        <v>317</v>
      </c>
    </row>
    <row r="544" spans="4:5" ht="15">
      <c r="D544" s="147">
        <v>10128582</v>
      </c>
      <c r="E544" s="147" t="s">
        <v>320</v>
      </c>
    </row>
    <row r="545" spans="4:5" ht="15">
      <c r="D545" s="147">
        <v>10128595</v>
      </c>
      <c r="E545" s="147" t="s">
        <v>320</v>
      </c>
    </row>
    <row r="546" spans="4:5" ht="15">
      <c r="D546" s="147">
        <v>10128596</v>
      </c>
      <c r="E546" s="147" t="s">
        <v>312</v>
      </c>
    </row>
    <row r="547" spans="4:5" ht="15">
      <c r="D547" s="147">
        <v>10128597</v>
      </c>
      <c r="E547" s="147" t="s">
        <v>317</v>
      </c>
    </row>
    <row r="548" spans="4:5" ht="15">
      <c r="D548" s="147">
        <v>10128598</v>
      </c>
      <c r="E548" s="147" t="s">
        <v>320</v>
      </c>
    </row>
    <row r="549" spans="4:5" ht="15">
      <c r="D549" s="147">
        <v>10128599</v>
      </c>
      <c r="E549" s="147" t="s">
        <v>313</v>
      </c>
    </row>
    <row r="550" spans="4:5" ht="15">
      <c r="D550" s="147">
        <v>10128600</v>
      </c>
      <c r="E550" s="147" t="s">
        <v>317</v>
      </c>
    </row>
    <row r="551" spans="4:5" ht="15">
      <c r="D551" s="147">
        <v>10128579</v>
      </c>
      <c r="E551" s="147" t="s">
        <v>313</v>
      </c>
    </row>
    <row r="552" spans="4:5" ht="15">
      <c r="D552" s="147">
        <v>10128580</v>
      </c>
      <c r="E552" s="147" t="s">
        <v>317</v>
      </c>
    </row>
    <row r="553" spans="4:5" ht="15">
      <c r="D553" s="147">
        <v>10128581</v>
      </c>
      <c r="E553" s="147" t="s">
        <v>317</v>
      </c>
    </row>
    <row r="554" spans="4:5" ht="15">
      <c r="D554" s="147">
        <v>10128582</v>
      </c>
      <c r="E554" s="147" t="s">
        <v>320</v>
      </c>
    </row>
    <row r="555" spans="4:5" ht="15">
      <c r="D555" s="147">
        <v>10128595</v>
      </c>
      <c r="E555" s="147" t="s">
        <v>320</v>
      </c>
    </row>
    <row r="556" spans="4:5" ht="15">
      <c r="D556" s="147">
        <v>10128596</v>
      </c>
      <c r="E556" s="147" t="s">
        <v>312</v>
      </c>
    </row>
    <row r="557" spans="4:5" ht="15">
      <c r="D557" s="147">
        <v>10128597</v>
      </c>
      <c r="E557" s="147" t="s">
        <v>317</v>
      </c>
    </row>
    <row r="558" spans="4:5" ht="15">
      <c r="D558" s="147">
        <v>10128598</v>
      </c>
      <c r="E558" s="147" t="s">
        <v>320</v>
      </c>
    </row>
    <row r="559" spans="4:5" ht="15">
      <c r="D559" s="147">
        <v>10128599</v>
      </c>
      <c r="E559" s="147" t="s">
        <v>313</v>
      </c>
    </row>
    <row r="560" spans="4:5" ht="15">
      <c r="D560" s="147">
        <v>10128600</v>
      </c>
      <c r="E560" s="147" t="s">
        <v>317</v>
      </c>
    </row>
    <row r="561" spans="4:5" ht="15">
      <c r="D561" s="147">
        <v>10128579</v>
      </c>
      <c r="E561" s="147" t="s">
        <v>313</v>
      </c>
    </row>
    <row r="562" spans="4:5" ht="15">
      <c r="D562" s="147">
        <v>10128580</v>
      </c>
      <c r="E562" s="147" t="s">
        <v>317</v>
      </c>
    </row>
    <row r="563" spans="4:5" ht="15">
      <c r="D563" s="147">
        <v>10128581</v>
      </c>
      <c r="E563" s="147" t="s">
        <v>317</v>
      </c>
    </row>
    <row r="564" spans="4:5" ht="15">
      <c r="D564" s="147">
        <v>10128582</v>
      </c>
      <c r="E564" s="147" t="s">
        <v>320</v>
      </c>
    </row>
    <row r="565" spans="4:5" ht="15">
      <c r="D565" s="147">
        <v>10128595</v>
      </c>
      <c r="E565" s="147" t="s">
        <v>320</v>
      </c>
    </row>
    <row r="566" spans="4:5" ht="15">
      <c r="D566" s="147">
        <v>10128596</v>
      </c>
      <c r="E566" s="147" t="s">
        <v>312</v>
      </c>
    </row>
    <row r="567" spans="4:5" ht="15">
      <c r="D567" s="147">
        <v>10128597</v>
      </c>
      <c r="E567" s="147" t="s">
        <v>317</v>
      </c>
    </row>
    <row r="568" spans="4:5" ht="15">
      <c r="D568" s="147">
        <v>10128598</v>
      </c>
      <c r="E568" s="147" t="s">
        <v>320</v>
      </c>
    </row>
    <row r="569" spans="4:5" ht="15">
      <c r="D569" s="147">
        <v>10128599</v>
      </c>
      <c r="E569" s="147" t="s">
        <v>313</v>
      </c>
    </row>
    <row r="570" spans="4:5" ht="15">
      <c r="D570" s="147">
        <v>10128600</v>
      </c>
      <c r="E570" s="147" t="s">
        <v>317</v>
      </c>
    </row>
    <row r="571" spans="4:5" ht="15">
      <c r="D571" s="147">
        <v>10128579</v>
      </c>
      <c r="E571" s="147" t="s">
        <v>313</v>
      </c>
    </row>
    <row r="572" spans="4:5" ht="15">
      <c r="D572" s="147">
        <v>10128580</v>
      </c>
      <c r="E572" s="147" t="s">
        <v>317</v>
      </c>
    </row>
    <row r="573" spans="4:5" ht="15">
      <c r="D573" s="147">
        <v>10128581</v>
      </c>
      <c r="E573" s="147" t="s">
        <v>317</v>
      </c>
    </row>
    <row r="574" spans="4:5" ht="15">
      <c r="D574" s="147">
        <v>10128582</v>
      </c>
      <c r="E574" s="147" t="s">
        <v>320</v>
      </c>
    </row>
    <row r="575" spans="4:5" ht="15">
      <c r="D575" s="147">
        <v>10128595</v>
      </c>
      <c r="E575" s="147" t="s">
        <v>320</v>
      </c>
    </row>
    <row r="576" spans="4:5" ht="15">
      <c r="D576" s="147">
        <v>10128596</v>
      </c>
      <c r="E576" s="147" t="s">
        <v>312</v>
      </c>
    </row>
    <row r="577" spans="4:5" ht="15">
      <c r="D577" s="147">
        <v>10128597</v>
      </c>
      <c r="E577" s="147" t="s">
        <v>317</v>
      </c>
    </row>
    <row r="578" spans="4:5" ht="15">
      <c r="D578" s="147">
        <v>10128598</v>
      </c>
      <c r="E578" s="147" t="s">
        <v>320</v>
      </c>
    </row>
    <row r="579" spans="4:5" ht="15">
      <c r="D579" s="147">
        <v>10128599</v>
      </c>
      <c r="E579" s="147" t="s">
        <v>313</v>
      </c>
    </row>
    <row r="580" spans="4:5" ht="15">
      <c r="D580" s="147">
        <v>10128600</v>
      </c>
      <c r="E580" s="147" t="s">
        <v>317</v>
      </c>
    </row>
    <row r="581" spans="4:5" ht="15">
      <c r="D581" s="147">
        <v>10128579</v>
      </c>
      <c r="E581" s="147" t="s">
        <v>313</v>
      </c>
    </row>
    <row r="582" spans="4:5" ht="15">
      <c r="D582" s="147">
        <v>10128580</v>
      </c>
      <c r="E582" s="147" t="s">
        <v>317</v>
      </c>
    </row>
    <row r="583" spans="4:5" ht="15">
      <c r="D583" s="147">
        <v>10128581</v>
      </c>
      <c r="E583" s="147" t="s">
        <v>317</v>
      </c>
    </row>
    <row r="584" spans="4:5" ht="15">
      <c r="D584" s="147">
        <v>10128582</v>
      </c>
      <c r="E584" s="147" t="s">
        <v>320</v>
      </c>
    </row>
    <row r="585" spans="4:5" ht="15">
      <c r="D585" s="147">
        <v>10128595</v>
      </c>
      <c r="E585" s="147" t="s">
        <v>320</v>
      </c>
    </row>
    <row r="586" spans="4:5" ht="15">
      <c r="D586" s="147">
        <v>10128596</v>
      </c>
      <c r="E586" s="147" t="s">
        <v>312</v>
      </c>
    </row>
    <row r="587" spans="4:5" ht="15">
      <c r="D587" s="147">
        <v>10128597</v>
      </c>
      <c r="E587" s="147" t="s">
        <v>317</v>
      </c>
    </row>
    <row r="588" spans="4:5" ht="15">
      <c r="D588" s="147">
        <v>10128598</v>
      </c>
      <c r="E588" s="147" t="s">
        <v>320</v>
      </c>
    </row>
    <row r="589" spans="4:5" ht="15">
      <c r="D589" s="147">
        <v>10128599</v>
      </c>
      <c r="E589" s="147" t="s">
        <v>313</v>
      </c>
    </row>
    <row r="590" spans="4:5" ht="15">
      <c r="D590" s="147">
        <v>10128600</v>
      </c>
      <c r="E590" s="147" t="s">
        <v>317</v>
      </c>
    </row>
    <row r="591" spans="4:5" ht="15">
      <c r="D591" s="147">
        <v>10128579</v>
      </c>
      <c r="E591" s="147" t="s">
        <v>313</v>
      </c>
    </row>
    <row r="592" spans="4:5" ht="15">
      <c r="D592" s="147">
        <v>10128580</v>
      </c>
      <c r="E592" s="147" t="s">
        <v>317</v>
      </c>
    </row>
    <row r="593" spans="4:5" ht="15">
      <c r="D593" s="147">
        <v>10128581</v>
      </c>
      <c r="E593" s="147" t="s">
        <v>317</v>
      </c>
    </row>
    <row r="594" spans="4:5" ht="15">
      <c r="D594" s="147">
        <v>10128582</v>
      </c>
      <c r="E594" s="147" t="s">
        <v>320</v>
      </c>
    </row>
    <row r="595" spans="4:5" ht="15">
      <c r="D595" s="147">
        <v>10128595</v>
      </c>
      <c r="E595" s="147" t="s">
        <v>320</v>
      </c>
    </row>
    <row r="596" spans="4:5" ht="15">
      <c r="D596" s="147">
        <v>10128596</v>
      </c>
      <c r="E596" s="147" t="s">
        <v>312</v>
      </c>
    </row>
    <row r="597" spans="4:5" ht="15">
      <c r="D597" s="147">
        <v>10128597</v>
      </c>
      <c r="E597" s="147" t="s">
        <v>317</v>
      </c>
    </row>
    <row r="598" spans="4:5" ht="15">
      <c r="D598" s="147">
        <v>10128598</v>
      </c>
      <c r="E598" s="147" t="s">
        <v>320</v>
      </c>
    </row>
    <row r="599" spans="4:5" ht="15">
      <c r="D599" s="147">
        <v>10128599</v>
      </c>
      <c r="E599" s="147" t="s">
        <v>313</v>
      </c>
    </row>
    <row r="600" spans="4:5" ht="15">
      <c r="D600" s="147">
        <v>10128600</v>
      </c>
      <c r="E600" s="147" t="s">
        <v>317</v>
      </c>
    </row>
    <row r="601" spans="4:5" ht="15">
      <c r="D601" s="147">
        <v>10128579</v>
      </c>
      <c r="E601" s="147" t="s">
        <v>313</v>
      </c>
    </row>
    <row r="602" spans="4:5" ht="15">
      <c r="D602" s="147">
        <v>10128580</v>
      </c>
      <c r="E602" s="147" t="s">
        <v>317</v>
      </c>
    </row>
    <row r="603" spans="4:5" ht="15">
      <c r="D603" s="147">
        <v>10128581</v>
      </c>
      <c r="E603" s="147" t="s">
        <v>317</v>
      </c>
    </row>
    <row r="604" spans="4:5" ht="15">
      <c r="D604" s="147">
        <v>10128582</v>
      </c>
      <c r="E604" s="147" t="s">
        <v>320</v>
      </c>
    </row>
    <row r="605" spans="4:5" ht="15">
      <c r="D605" s="147">
        <v>10128595</v>
      </c>
      <c r="E605" s="147" t="s">
        <v>320</v>
      </c>
    </row>
    <row r="606" spans="4:5" ht="15">
      <c r="D606" s="147">
        <v>10128596</v>
      </c>
      <c r="E606" s="147" t="s">
        <v>312</v>
      </c>
    </row>
    <row r="607" spans="4:5" ht="15">
      <c r="D607" s="147">
        <v>10128597</v>
      </c>
      <c r="E607" s="147" t="s">
        <v>317</v>
      </c>
    </row>
    <row r="608" spans="4:5" ht="15">
      <c r="D608" s="147">
        <v>10128598</v>
      </c>
      <c r="E608" s="147" t="s">
        <v>320</v>
      </c>
    </row>
    <row r="609" spans="4:5" ht="15">
      <c r="D609" s="147">
        <v>10128599</v>
      </c>
      <c r="E609" s="147" t="s">
        <v>313</v>
      </c>
    </row>
    <row r="610" spans="4:5" ht="15">
      <c r="D610" s="147">
        <v>10128600</v>
      </c>
      <c r="E610" s="147" t="s">
        <v>317</v>
      </c>
    </row>
    <row r="611" spans="4:5" ht="15">
      <c r="D611" s="147">
        <v>10128579</v>
      </c>
      <c r="E611" s="147" t="s">
        <v>313</v>
      </c>
    </row>
    <row r="612" spans="4:5" ht="15">
      <c r="D612" s="147">
        <v>10128580</v>
      </c>
      <c r="E612" s="147" t="s">
        <v>317</v>
      </c>
    </row>
    <row r="613" spans="4:5" ht="15">
      <c r="D613" s="147">
        <v>10128581</v>
      </c>
      <c r="E613" s="147" t="s">
        <v>317</v>
      </c>
    </row>
    <row r="614" spans="4:5" ht="15">
      <c r="D614" s="147">
        <v>10128582</v>
      </c>
      <c r="E614" s="147" t="s">
        <v>320</v>
      </c>
    </row>
    <row r="615" spans="4:5" ht="15">
      <c r="D615" s="147">
        <v>10128595</v>
      </c>
      <c r="E615" s="147" t="s">
        <v>320</v>
      </c>
    </row>
    <row r="616" spans="4:5" ht="15">
      <c r="D616" s="147">
        <v>10128596</v>
      </c>
      <c r="E616" s="147" t="s">
        <v>312</v>
      </c>
    </row>
    <row r="617" spans="4:5" ht="15">
      <c r="D617" s="147">
        <v>10128597</v>
      </c>
      <c r="E617" s="147" t="s">
        <v>317</v>
      </c>
    </row>
    <row r="618" spans="4:5" ht="15">
      <c r="D618" s="147">
        <v>10128598</v>
      </c>
      <c r="E618" s="147" t="s">
        <v>320</v>
      </c>
    </row>
    <row r="619" spans="4:5" ht="15">
      <c r="D619" s="147">
        <v>10128599</v>
      </c>
      <c r="E619" s="147" t="s">
        <v>313</v>
      </c>
    </row>
    <row r="620" spans="4:5" ht="15">
      <c r="D620" s="147">
        <v>10128600</v>
      </c>
      <c r="E620" s="147" t="s">
        <v>317</v>
      </c>
    </row>
    <row r="621" spans="4:5" ht="15">
      <c r="D621" s="147">
        <v>10128579</v>
      </c>
      <c r="E621" s="147" t="s">
        <v>313</v>
      </c>
    </row>
    <row r="622" spans="4:5" ht="15">
      <c r="D622" s="147">
        <v>10128580</v>
      </c>
      <c r="E622" s="147" t="s">
        <v>317</v>
      </c>
    </row>
    <row r="623" spans="4:5" ht="15">
      <c r="D623" s="147">
        <v>10128581</v>
      </c>
      <c r="E623" s="147" t="s">
        <v>317</v>
      </c>
    </row>
    <row r="624" spans="4:5" ht="15">
      <c r="D624" s="147">
        <v>10128582</v>
      </c>
      <c r="E624" s="147" t="s">
        <v>320</v>
      </c>
    </row>
    <row r="625" spans="4:5" ht="15">
      <c r="D625" s="147">
        <v>10128595</v>
      </c>
      <c r="E625" s="147" t="s">
        <v>320</v>
      </c>
    </row>
    <row r="626" spans="4:5" ht="15">
      <c r="D626" s="147">
        <v>10128596</v>
      </c>
      <c r="E626" s="147" t="s">
        <v>312</v>
      </c>
    </row>
    <row r="627" spans="4:5" ht="15">
      <c r="D627" s="147">
        <v>10128597</v>
      </c>
      <c r="E627" s="147" t="s">
        <v>317</v>
      </c>
    </row>
    <row r="628" spans="4:5" ht="15">
      <c r="D628" s="147">
        <v>10128598</v>
      </c>
      <c r="E628" s="147" t="s">
        <v>320</v>
      </c>
    </row>
    <row r="629" spans="4:5" ht="15">
      <c r="D629" s="147">
        <v>10128599</v>
      </c>
      <c r="E629" s="147" t="s">
        <v>313</v>
      </c>
    </row>
    <row r="630" spans="4:5" ht="15">
      <c r="D630" s="147">
        <v>10128600</v>
      </c>
      <c r="E630" s="147" t="s">
        <v>317</v>
      </c>
    </row>
    <row r="631" spans="4:5" ht="15">
      <c r="D631" s="147">
        <v>10128579</v>
      </c>
      <c r="E631" s="147" t="s">
        <v>313</v>
      </c>
    </row>
    <row r="632" spans="4:5" ht="15">
      <c r="D632" s="147">
        <v>10128580</v>
      </c>
      <c r="E632" s="147" t="s">
        <v>317</v>
      </c>
    </row>
    <row r="633" spans="4:5" ht="15">
      <c r="D633" s="147">
        <v>10128581</v>
      </c>
      <c r="E633" s="147" t="s">
        <v>317</v>
      </c>
    </row>
    <row r="634" spans="4:5" ht="15">
      <c r="D634" s="147">
        <v>10128582</v>
      </c>
      <c r="E634" s="147" t="s">
        <v>320</v>
      </c>
    </row>
    <row r="635" spans="4:5" ht="15">
      <c r="D635" s="147">
        <v>10128595</v>
      </c>
      <c r="E635" s="147" t="s">
        <v>320</v>
      </c>
    </row>
    <row r="636" spans="4:5" ht="15">
      <c r="D636" s="147">
        <v>10128596</v>
      </c>
      <c r="E636" s="147" t="s">
        <v>312</v>
      </c>
    </row>
    <row r="637" spans="4:5" ht="15">
      <c r="D637" s="147">
        <v>10128597</v>
      </c>
      <c r="E637" s="147" t="s">
        <v>317</v>
      </c>
    </row>
    <row r="638" spans="4:5" ht="15">
      <c r="D638" s="147">
        <v>10128598</v>
      </c>
      <c r="E638" s="147" t="s">
        <v>320</v>
      </c>
    </row>
    <row r="639" spans="4:5" ht="15">
      <c r="D639" s="147">
        <v>10128599</v>
      </c>
      <c r="E639" s="147" t="s">
        <v>313</v>
      </c>
    </row>
    <row r="640" spans="4:5" ht="15">
      <c r="D640" s="147">
        <v>10128600</v>
      </c>
      <c r="E640" s="147" t="s">
        <v>317</v>
      </c>
    </row>
    <row r="641" spans="4:5" ht="15">
      <c r="D641" s="147">
        <v>10128579</v>
      </c>
      <c r="E641" s="147" t="s">
        <v>313</v>
      </c>
    </row>
    <row r="642" spans="4:5" ht="15">
      <c r="D642" s="147">
        <v>10128580</v>
      </c>
      <c r="E642" s="147" t="s">
        <v>317</v>
      </c>
    </row>
    <row r="643" spans="4:5" ht="15">
      <c r="D643" s="147">
        <v>10128581</v>
      </c>
      <c r="E643" s="147" t="s">
        <v>317</v>
      </c>
    </row>
    <row r="644" spans="4:5" ht="15">
      <c r="D644" s="147">
        <v>10128582</v>
      </c>
      <c r="E644" s="147" t="s">
        <v>320</v>
      </c>
    </row>
    <row r="645" spans="4:5" ht="15">
      <c r="D645" s="147">
        <v>10128595</v>
      </c>
      <c r="E645" s="147" t="s">
        <v>320</v>
      </c>
    </row>
    <row r="646" spans="4:5" ht="15">
      <c r="D646" s="147">
        <v>10128596</v>
      </c>
      <c r="E646" s="147" t="s">
        <v>312</v>
      </c>
    </row>
    <row r="647" spans="4:5" ht="15">
      <c r="D647" s="147">
        <v>10128597</v>
      </c>
      <c r="E647" s="147" t="s">
        <v>317</v>
      </c>
    </row>
    <row r="648" spans="4:5" ht="15">
      <c r="D648" s="147">
        <v>10128598</v>
      </c>
      <c r="E648" s="147" t="s">
        <v>320</v>
      </c>
    </row>
    <row r="649" spans="4:5" ht="15">
      <c r="D649" s="147">
        <v>10128599</v>
      </c>
      <c r="E649" s="147" t="s">
        <v>313</v>
      </c>
    </row>
    <row r="650" spans="4:5" ht="15">
      <c r="D650" s="147">
        <v>10128600</v>
      </c>
      <c r="E650" s="147" t="s">
        <v>317</v>
      </c>
    </row>
    <row r="651" spans="4:5" ht="15">
      <c r="D651" s="147">
        <v>10128579</v>
      </c>
      <c r="E651" s="147" t="s">
        <v>313</v>
      </c>
    </row>
    <row r="652" spans="4:5" ht="15">
      <c r="D652" s="147">
        <v>10128580</v>
      </c>
      <c r="E652" s="147" t="s">
        <v>317</v>
      </c>
    </row>
    <row r="653" spans="4:5" ht="15">
      <c r="D653" s="147">
        <v>10128581</v>
      </c>
      <c r="E653" s="147" t="s">
        <v>317</v>
      </c>
    </row>
    <row r="654" spans="4:5" ht="15">
      <c r="D654" s="147">
        <v>10128582</v>
      </c>
      <c r="E654" s="147" t="s">
        <v>320</v>
      </c>
    </row>
    <row r="655" spans="4:5" ht="15">
      <c r="D655" s="147">
        <v>10128595</v>
      </c>
      <c r="E655" s="147" t="s">
        <v>320</v>
      </c>
    </row>
    <row r="656" spans="4:5" ht="15">
      <c r="D656" s="147">
        <v>10128596</v>
      </c>
      <c r="E656" s="147" t="s">
        <v>312</v>
      </c>
    </row>
    <row r="657" spans="4:5" ht="15">
      <c r="D657" s="147">
        <v>10128597</v>
      </c>
      <c r="E657" s="147" t="s">
        <v>317</v>
      </c>
    </row>
    <row r="658" spans="4:5" ht="15">
      <c r="D658" s="147">
        <v>10128598</v>
      </c>
      <c r="E658" s="147" t="s">
        <v>320</v>
      </c>
    </row>
    <row r="659" spans="4:5" ht="15">
      <c r="D659" s="147">
        <v>10128599</v>
      </c>
      <c r="E659" s="147" t="s">
        <v>313</v>
      </c>
    </row>
    <row r="660" spans="4:5" ht="15">
      <c r="D660" s="147">
        <v>10128600</v>
      </c>
      <c r="E660" s="147" t="s">
        <v>317</v>
      </c>
    </row>
    <row r="661" spans="4:5" ht="15">
      <c r="D661" s="147">
        <v>10128579</v>
      </c>
      <c r="E661" s="147" t="s">
        <v>313</v>
      </c>
    </row>
    <row r="662" spans="4:5" ht="15">
      <c r="D662" s="147">
        <v>10128580</v>
      </c>
      <c r="E662" s="147" t="s">
        <v>317</v>
      </c>
    </row>
    <row r="663" spans="4:5" ht="15">
      <c r="D663" s="147">
        <v>10128581</v>
      </c>
      <c r="E663" s="147" t="s">
        <v>317</v>
      </c>
    </row>
    <row r="664" spans="4:5" ht="15">
      <c r="D664" s="147">
        <v>10128582</v>
      </c>
      <c r="E664" s="147" t="s">
        <v>320</v>
      </c>
    </row>
    <row r="665" spans="4:5" ht="15">
      <c r="D665" s="147">
        <v>10128595</v>
      </c>
      <c r="E665" s="147" t="s">
        <v>320</v>
      </c>
    </row>
    <row r="666" spans="4:5" ht="15">
      <c r="D666" s="147">
        <v>10128596</v>
      </c>
      <c r="E666" s="147" t="s">
        <v>312</v>
      </c>
    </row>
    <row r="667" spans="4:5" ht="15">
      <c r="D667" s="147">
        <v>10128597</v>
      </c>
      <c r="E667" s="147" t="s">
        <v>317</v>
      </c>
    </row>
    <row r="668" spans="4:5" ht="15">
      <c r="D668" s="147">
        <v>10128598</v>
      </c>
      <c r="E668" s="147" t="s">
        <v>320</v>
      </c>
    </row>
    <row r="669" spans="4:5" ht="15">
      <c r="D669" s="147">
        <v>10128599</v>
      </c>
      <c r="E669" s="147" t="s">
        <v>313</v>
      </c>
    </row>
    <row r="670" spans="4:5" ht="15">
      <c r="D670" s="147">
        <v>10128600</v>
      </c>
      <c r="E670" s="147" t="s">
        <v>317</v>
      </c>
    </row>
    <row r="671" spans="4:5" ht="15">
      <c r="D671" s="147">
        <v>10128579</v>
      </c>
      <c r="E671" s="147" t="s">
        <v>313</v>
      </c>
    </row>
    <row r="672" spans="4:5" ht="15">
      <c r="D672" s="147">
        <v>10128580</v>
      </c>
      <c r="E672" s="147" t="s">
        <v>317</v>
      </c>
    </row>
    <row r="673" spans="4:5" ht="15">
      <c r="D673" s="147">
        <v>10128581</v>
      </c>
      <c r="E673" s="147" t="s">
        <v>317</v>
      </c>
    </row>
    <row r="674" spans="4:5" ht="15">
      <c r="D674" s="147">
        <v>10128582</v>
      </c>
      <c r="E674" s="147" t="s">
        <v>320</v>
      </c>
    </row>
    <row r="675" spans="4:5" ht="15">
      <c r="D675" s="147">
        <v>10128595</v>
      </c>
      <c r="E675" s="147" t="s">
        <v>320</v>
      </c>
    </row>
    <row r="676" spans="4:5" ht="15">
      <c r="D676" s="147">
        <v>10128596</v>
      </c>
      <c r="E676" s="147" t="s">
        <v>312</v>
      </c>
    </row>
    <row r="677" spans="4:5" ht="15">
      <c r="D677" s="147">
        <v>10128597</v>
      </c>
      <c r="E677" s="147" t="s">
        <v>317</v>
      </c>
    </row>
    <row r="678" spans="4:5" ht="15">
      <c r="D678" s="147">
        <v>10128598</v>
      </c>
      <c r="E678" s="147" t="s">
        <v>320</v>
      </c>
    </row>
    <row r="679" spans="4:5" ht="15">
      <c r="D679" s="147">
        <v>10128599</v>
      </c>
      <c r="E679" s="147" t="s">
        <v>313</v>
      </c>
    </row>
    <row r="680" spans="4:5" ht="15">
      <c r="D680" s="147">
        <v>10128600</v>
      </c>
      <c r="E680" s="147" t="s">
        <v>317</v>
      </c>
    </row>
    <row r="681" spans="4:5" ht="15">
      <c r="D681" s="147">
        <v>10128579</v>
      </c>
      <c r="E681" s="147" t="s">
        <v>313</v>
      </c>
    </row>
    <row r="682" spans="4:5" ht="15">
      <c r="D682" s="147">
        <v>10128580</v>
      </c>
      <c r="E682" s="147" t="s">
        <v>317</v>
      </c>
    </row>
    <row r="683" spans="4:5" ht="15">
      <c r="D683" s="147">
        <v>10128581</v>
      </c>
      <c r="E683" s="147" t="s">
        <v>317</v>
      </c>
    </row>
    <row r="684" spans="4:5" ht="15">
      <c r="D684" s="147">
        <v>10128582</v>
      </c>
      <c r="E684" s="147" t="s">
        <v>320</v>
      </c>
    </row>
    <row r="685" spans="4:5" ht="15">
      <c r="D685" s="147">
        <v>10128595</v>
      </c>
      <c r="E685" s="147" t="s">
        <v>320</v>
      </c>
    </row>
    <row r="686" spans="4:5" ht="15">
      <c r="D686" s="147">
        <v>10128596</v>
      </c>
      <c r="E686" s="147" t="s">
        <v>312</v>
      </c>
    </row>
    <row r="687" spans="4:5" ht="15">
      <c r="D687" s="147">
        <v>10128597</v>
      </c>
      <c r="E687" s="147" t="s">
        <v>317</v>
      </c>
    </row>
    <row r="688" spans="4:5" ht="15">
      <c r="D688" s="147">
        <v>10128598</v>
      </c>
      <c r="E688" s="147" t="s">
        <v>320</v>
      </c>
    </row>
    <row r="689" spans="4:5" ht="15">
      <c r="D689" s="147">
        <v>10128599</v>
      </c>
      <c r="E689" s="147" t="s">
        <v>313</v>
      </c>
    </row>
    <row r="690" spans="4:5" ht="15">
      <c r="D690" s="147">
        <v>10128600</v>
      </c>
      <c r="E690" s="147" t="s">
        <v>317</v>
      </c>
    </row>
    <row r="691" spans="4:5" ht="15">
      <c r="D691" s="147">
        <v>10128579</v>
      </c>
      <c r="E691" s="147" t="s">
        <v>313</v>
      </c>
    </row>
    <row r="692" spans="4:5" ht="15">
      <c r="D692" s="147">
        <v>10128580</v>
      </c>
      <c r="E692" s="147" t="s">
        <v>317</v>
      </c>
    </row>
    <row r="693" spans="4:5" ht="15">
      <c r="D693" s="147">
        <v>10128581</v>
      </c>
      <c r="E693" s="147" t="s">
        <v>317</v>
      </c>
    </row>
    <row r="694" spans="4:5" ht="15">
      <c r="D694" s="147">
        <v>10128582</v>
      </c>
      <c r="E694" s="147" t="s">
        <v>320</v>
      </c>
    </row>
    <row r="695" spans="4:5" ht="15">
      <c r="D695" s="147">
        <v>10128595</v>
      </c>
      <c r="E695" s="147" t="s">
        <v>320</v>
      </c>
    </row>
    <row r="696" spans="4:5" ht="15">
      <c r="D696" s="147">
        <v>10128596</v>
      </c>
      <c r="E696" s="147" t="s">
        <v>312</v>
      </c>
    </row>
    <row r="697" spans="4:5" ht="15">
      <c r="D697" s="147">
        <v>10128597</v>
      </c>
      <c r="E697" s="147" t="s">
        <v>317</v>
      </c>
    </row>
    <row r="698" spans="4:5" ht="15">
      <c r="D698" s="147">
        <v>10128598</v>
      </c>
      <c r="E698" s="147" t="s">
        <v>320</v>
      </c>
    </row>
    <row r="699" spans="4:5" ht="15">
      <c r="D699" s="147">
        <v>10128599</v>
      </c>
      <c r="E699" s="147" t="s">
        <v>313</v>
      </c>
    </row>
    <row r="700" spans="4:5" ht="15">
      <c r="D700" s="147">
        <v>10128600</v>
      </c>
      <c r="E700" s="147" t="s">
        <v>317</v>
      </c>
    </row>
    <row r="701" spans="4:5" ht="15">
      <c r="D701" s="147">
        <v>10128579</v>
      </c>
      <c r="E701" s="147" t="s">
        <v>313</v>
      </c>
    </row>
    <row r="702" spans="4:5" ht="15">
      <c r="D702" s="147">
        <v>10128580</v>
      </c>
      <c r="E702" s="147" t="s">
        <v>317</v>
      </c>
    </row>
    <row r="703" spans="4:5" ht="15">
      <c r="D703" s="147">
        <v>10128581</v>
      </c>
      <c r="E703" s="147" t="s">
        <v>317</v>
      </c>
    </row>
    <row r="704" spans="4:5" ht="15">
      <c r="D704" s="147">
        <v>10128582</v>
      </c>
      <c r="E704" s="147" t="s">
        <v>320</v>
      </c>
    </row>
    <row r="705" spans="4:5" ht="15">
      <c r="D705" s="147">
        <v>10128595</v>
      </c>
      <c r="E705" s="147" t="s">
        <v>320</v>
      </c>
    </row>
    <row r="706" spans="4:5" ht="15">
      <c r="D706" s="147">
        <v>10128596</v>
      </c>
      <c r="E706" s="147" t="s">
        <v>312</v>
      </c>
    </row>
    <row r="707" spans="4:5" ht="15">
      <c r="D707" s="147">
        <v>10128597</v>
      </c>
      <c r="E707" s="147" t="s">
        <v>317</v>
      </c>
    </row>
    <row r="708" spans="4:5" ht="15">
      <c r="D708" s="147">
        <v>10128598</v>
      </c>
      <c r="E708" s="147" t="s">
        <v>320</v>
      </c>
    </row>
    <row r="709" spans="4:5" ht="15">
      <c r="D709" s="147">
        <v>10128599</v>
      </c>
      <c r="E709" s="147" t="s">
        <v>313</v>
      </c>
    </row>
    <row r="710" spans="4:5" ht="15">
      <c r="D710" s="147">
        <v>10128600</v>
      </c>
      <c r="E710" s="147" t="s">
        <v>317</v>
      </c>
    </row>
    <row r="711" spans="4:5" ht="15">
      <c r="D711" s="147">
        <v>10128579</v>
      </c>
      <c r="E711" s="147" t="s">
        <v>313</v>
      </c>
    </row>
    <row r="712" spans="4:5" ht="15">
      <c r="D712" s="147">
        <v>10128580</v>
      </c>
      <c r="E712" s="147" t="s">
        <v>317</v>
      </c>
    </row>
    <row r="713" spans="4:5" ht="15">
      <c r="D713" s="147">
        <v>10128581</v>
      </c>
      <c r="E713" s="147" t="s">
        <v>317</v>
      </c>
    </row>
    <row r="714" spans="4:5" ht="15">
      <c r="D714" s="147">
        <v>10128582</v>
      </c>
      <c r="E714" s="147" t="s">
        <v>320</v>
      </c>
    </row>
    <row r="715" spans="4:5" ht="15">
      <c r="D715" s="147">
        <v>10128595</v>
      </c>
      <c r="E715" s="147" t="s">
        <v>320</v>
      </c>
    </row>
    <row r="716" spans="4:5" ht="15">
      <c r="D716" s="147">
        <v>10128596</v>
      </c>
      <c r="E716" s="147" t="s">
        <v>312</v>
      </c>
    </row>
    <row r="717" spans="4:5" ht="15">
      <c r="D717" s="147">
        <v>10128597</v>
      </c>
      <c r="E717" s="147" t="s">
        <v>317</v>
      </c>
    </row>
    <row r="718" spans="4:5" ht="15">
      <c r="D718" s="147">
        <v>10128598</v>
      </c>
      <c r="E718" s="147" t="s">
        <v>320</v>
      </c>
    </row>
    <row r="719" spans="4:5" ht="15">
      <c r="D719" s="147">
        <v>10128599</v>
      </c>
      <c r="E719" s="147" t="s">
        <v>313</v>
      </c>
    </row>
    <row r="720" spans="4:5" ht="15">
      <c r="D720" s="147">
        <v>10128600</v>
      </c>
      <c r="E720" s="147" t="s">
        <v>317</v>
      </c>
    </row>
    <row r="721" spans="4:5" ht="15">
      <c r="D721" s="147">
        <v>10128579</v>
      </c>
      <c r="E721" s="147" t="s">
        <v>313</v>
      </c>
    </row>
    <row r="722" spans="4:5" ht="15">
      <c r="D722" s="147">
        <v>10128580</v>
      </c>
      <c r="E722" s="147" t="s">
        <v>317</v>
      </c>
    </row>
    <row r="723" spans="4:5" ht="15">
      <c r="D723" s="147">
        <v>10128581</v>
      </c>
      <c r="E723" s="147" t="s">
        <v>317</v>
      </c>
    </row>
    <row r="724" spans="4:5" ht="15">
      <c r="D724" s="147">
        <v>10128582</v>
      </c>
      <c r="E724" s="147" t="s">
        <v>320</v>
      </c>
    </row>
    <row r="725" spans="4:5" ht="15">
      <c r="D725" s="147">
        <v>10128595</v>
      </c>
      <c r="E725" s="147" t="s">
        <v>320</v>
      </c>
    </row>
    <row r="726" spans="4:5" ht="15">
      <c r="D726" s="147">
        <v>10128596</v>
      </c>
      <c r="E726" s="147" t="s">
        <v>312</v>
      </c>
    </row>
    <row r="727" spans="4:5" ht="15">
      <c r="D727" s="147">
        <v>10128597</v>
      </c>
      <c r="E727" s="147" t="s">
        <v>317</v>
      </c>
    </row>
    <row r="728" spans="4:5" ht="15">
      <c r="D728" s="147">
        <v>10128598</v>
      </c>
      <c r="E728" s="147" t="s">
        <v>320</v>
      </c>
    </row>
    <row r="729" spans="4:5" ht="15">
      <c r="D729" s="147">
        <v>10128599</v>
      </c>
      <c r="E729" s="147" t="s">
        <v>313</v>
      </c>
    </row>
    <row r="730" spans="4:5" ht="15">
      <c r="D730" s="147">
        <v>10128600</v>
      </c>
      <c r="E730" s="147" t="s">
        <v>317</v>
      </c>
    </row>
    <row r="731" spans="4:5" ht="15">
      <c r="D731" s="147">
        <v>10128579</v>
      </c>
      <c r="E731" s="147" t="s">
        <v>313</v>
      </c>
    </row>
    <row r="732" spans="4:5" ht="15">
      <c r="D732" s="147">
        <v>10128580</v>
      </c>
      <c r="E732" s="147" t="s">
        <v>317</v>
      </c>
    </row>
    <row r="733" spans="4:5" ht="15">
      <c r="D733" s="147">
        <v>10128581</v>
      </c>
      <c r="E733" s="147" t="s">
        <v>317</v>
      </c>
    </row>
    <row r="734" spans="4:5" ht="15">
      <c r="D734" s="147">
        <v>10128582</v>
      </c>
      <c r="E734" s="147" t="s">
        <v>320</v>
      </c>
    </row>
    <row r="735" spans="4:5" ht="15">
      <c r="D735" s="147">
        <v>10128595</v>
      </c>
      <c r="E735" s="147" t="s">
        <v>320</v>
      </c>
    </row>
    <row r="736" spans="4:5" ht="15">
      <c r="D736" s="147">
        <v>10128596</v>
      </c>
      <c r="E736" s="147" t="s">
        <v>312</v>
      </c>
    </row>
    <row r="737" spans="4:5" ht="15">
      <c r="D737" s="147">
        <v>10128597</v>
      </c>
      <c r="E737" s="147" t="s">
        <v>317</v>
      </c>
    </row>
    <row r="738" spans="4:5" ht="15">
      <c r="D738" s="147">
        <v>10128598</v>
      </c>
      <c r="E738" s="147" t="s">
        <v>320</v>
      </c>
    </row>
    <row r="739" spans="4:5" ht="15">
      <c r="D739" s="147">
        <v>10128599</v>
      </c>
      <c r="E739" s="147" t="s">
        <v>313</v>
      </c>
    </row>
    <row r="740" spans="4:5" ht="15">
      <c r="D740" s="147">
        <v>10128600</v>
      </c>
      <c r="E740" s="147" t="s">
        <v>317</v>
      </c>
    </row>
    <row r="741" spans="4:5" ht="15">
      <c r="D741" s="147">
        <v>10128579</v>
      </c>
      <c r="E741" s="147" t="s">
        <v>313</v>
      </c>
    </row>
    <row r="742" spans="4:5" ht="15">
      <c r="D742" s="147">
        <v>10128580</v>
      </c>
      <c r="E742" s="147" t="s">
        <v>317</v>
      </c>
    </row>
    <row r="743" spans="4:5" ht="15">
      <c r="D743" s="147">
        <v>10128581</v>
      </c>
      <c r="E743" s="147" t="s">
        <v>317</v>
      </c>
    </row>
    <row r="744" spans="4:5" ht="15">
      <c r="D744" s="147">
        <v>10128582</v>
      </c>
      <c r="E744" s="147" t="s">
        <v>320</v>
      </c>
    </row>
    <row r="745" spans="4:5" ht="15">
      <c r="D745" s="147">
        <v>10128595</v>
      </c>
      <c r="E745" s="147" t="s">
        <v>320</v>
      </c>
    </row>
    <row r="746" spans="4:5" ht="15">
      <c r="D746" s="147">
        <v>10128596</v>
      </c>
      <c r="E746" s="147" t="s">
        <v>312</v>
      </c>
    </row>
    <row r="747" spans="4:5" ht="15">
      <c r="D747" s="147">
        <v>10128597</v>
      </c>
      <c r="E747" s="147" t="s">
        <v>317</v>
      </c>
    </row>
    <row r="748" spans="4:5" ht="15">
      <c r="D748" s="147">
        <v>10128598</v>
      </c>
      <c r="E748" s="147" t="s">
        <v>320</v>
      </c>
    </row>
    <row r="749" spans="4:5" ht="15">
      <c r="D749" s="147">
        <v>10128599</v>
      </c>
      <c r="E749" s="147" t="s">
        <v>313</v>
      </c>
    </row>
    <row r="750" spans="4:5" ht="15">
      <c r="D750" s="147">
        <v>10128600</v>
      </c>
      <c r="E750" s="147" t="s">
        <v>317</v>
      </c>
    </row>
    <row r="751" spans="4:5" ht="15">
      <c r="D751" s="147">
        <v>10128579</v>
      </c>
      <c r="E751" s="147" t="s">
        <v>313</v>
      </c>
    </row>
    <row r="752" spans="4:5" ht="15">
      <c r="D752" s="147">
        <v>10128580</v>
      </c>
      <c r="E752" s="147" t="s">
        <v>317</v>
      </c>
    </row>
    <row r="753" spans="4:5" ht="15">
      <c r="D753" s="147">
        <v>10128581</v>
      </c>
      <c r="E753" s="147" t="s">
        <v>317</v>
      </c>
    </row>
    <row r="754" spans="4:5" ht="15">
      <c r="D754" s="147">
        <v>10128582</v>
      </c>
      <c r="E754" s="147" t="s">
        <v>320</v>
      </c>
    </row>
    <row r="755" spans="4:5" ht="15">
      <c r="D755" s="147">
        <v>10128595</v>
      </c>
      <c r="E755" s="147" t="s">
        <v>320</v>
      </c>
    </row>
    <row r="756" spans="4:5" ht="15">
      <c r="D756" s="147">
        <v>10128596</v>
      </c>
      <c r="E756" s="147" t="s">
        <v>312</v>
      </c>
    </row>
    <row r="757" spans="4:5" ht="15">
      <c r="D757" s="147">
        <v>10128597</v>
      </c>
      <c r="E757" s="147" t="s">
        <v>317</v>
      </c>
    </row>
    <row r="758" spans="4:5" ht="15">
      <c r="D758" s="147">
        <v>10128598</v>
      </c>
      <c r="E758" s="147" t="s">
        <v>320</v>
      </c>
    </row>
    <row r="759" spans="4:5" ht="15">
      <c r="D759" s="147">
        <v>10128599</v>
      </c>
      <c r="E759" s="147" t="s">
        <v>313</v>
      </c>
    </row>
    <row r="760" spans="4:5" ht="15">
      <c r="D760" s="147">
        <v>10128600</v>
      </c>
      <c r="E760" s="147" t="s">
        <v>317</v>
      </c>
    </row>
    <row r="761" spans="4:5" ht="15">
      <c r="D761" s="147">
        <v>10128579</v>
      </c>
      <c r="E761" s="147" t="s">
        <v>313</v>
      </c>
    </row>
    <row r="762" spans="4:5" ht="15">
      <c r="D762" s="147">
        <v>10128580</v>
      </c>
      <c r="E762" s="147" t="s">
        <v>317</v>
      </c>
    </row>
    <row r="763" spans="4:5" ht="15">
      <c r="D763" s="147">
        <v>10128581</v>
      </c>
      <c r="E763" s="147" t="s">
        <v>317</v>
      </c>
    </row>
    <row r="764" spans="4:5" ht="15">
      <c r="D764" s="147">
        <v>10128582</v>
      </c>
      <c r="E764" s="147" t="s">
        <v>320</v>
      </c>
    </row>
    <row r="765" spans="4:5" ht="15">
      <c r="D765" s="147">
        <v>10128595</v>
      </c>
      <c r="E765" s="147" t="s">
        <v>320</v>
      </c>
    </row>
    <row r="766" spans="4:5" ht="15">
      <c r="D766" s="147">
        <v>10128596</v>
      </c>
      <c r="E766" s="147" t="s">
        <v>312</v>
      </c>
    </row>
    <row r="767" spans="4:5" ht="15">
      <c r="D767" s="147">
        <v>10128597</v>
      </c>
      <c r="E767" s="147" t="s">
        <v>317</v>
      </c>
    </row>
    <row r="768" spans="4:5" ht="15">
      <c r="D768" s="147">
        <v>10128598</v>
      </c>
      <c r="E768" s="147" t="s">
        <v>320</v>
      </c>
    </row>
    <row r="769" spans="4:5" ht="15">
      <c r="D769" s="147">
        <v>10128599</v>
      </c>
      <c r="E769" s="147" t="s">
        <v>313</v>
      </c>
    </row>
    <row r="770" spans="4:5" ht="15">
      <c r="D770" s="147">
        <v>10128600</v>
      </c>
      <c r="E770" s="147" t="s">
        <v>317</v>
      </c>
    </row>
    <row r="771" spans="4:5" ht="15">
      <c r="D771" s="147">
        <v>10128579</v>
      </c>
      <c r="E771" s="147" t="s">
        <v>313</v>
      </c>
    </row>
    <row r="772" spans="4:5" ht="15">
      <c r="D772" s="147">
        <v>10128580</v>
      </c>
      <c r="E772" s="147" t="s">
        <v>317</v>
      </c>
    </row>
    <row r="773" spans="4:5" ht="15">
      <c r="D773" s="147">
        <v>10128581</v>
      </c>
      <c r="E773" s="147" t="s">
        <v>317</v>
      </c>
    </row>
    <row r="774" spans="4:5" ht="15">
      <c r="D774" s="147">
        <v>10128582</v>
      </c>
      <c r="E774" s="147" t="s">
        <v>320</v>
      </c>
    </row>
    <row r="775" spans="4:5" ht="15">
      <c r="D775" s="147">
        <v>10128595</v>
      </c>
      <c r="E775" s="147" t="s">
        <v>320</v>
      </c>
    </row>
    <row r="776" spans="4:5" ht="15">
      <c r="D776" s="147">
        <v>10128596</v>
      </c>
      <c r="E776" s="147" t="s">
        <v>312</v>
      </c>
    </row>
    <row r="777" spans="4:5" ht="15">
      <c r="D777" s="147">
        <v>10128597</v>
      </c>
      <c r="E777" s="147" t="s">
        <v>317</v>
      </c>
    </row>
    <row r="778" spans="4:5" ht="15">
      <c r="D778" s="147">
        <v>10128598</v>
      </c>
      <c r="E778" s="147" t="s">
        <v>320</v>
      </c>
    </row>
    <row r="779" spans="4:5" ht="15">
      <c r="D779" s="147">
        <v>10128599</v>
      </c>
      <c r="E779" s="147" t="s">
        <v>313</v>
      </c>
    </row>
    <row r="780" spans="4:5" ht="15">
      <c r="D780" s="147">
        <v>10128600</v>
      </c>
      <c r="E780" s="147" t="s">
        <v>317</v>
      </c>
    </row>
    <row r="781" spans="4:5" ht="15">
      <c r="D781" s="147">
        <v>10128579</v>
      </c>
      <c r="E781" s="147" t="s">
        <v>313</v>
      </c>
    </row>
    <row r="782" spans="4:5" ht="15">
      <c r="D782" s="147">
        <v>10128580</v>
      </c>
      <c r="E782" s="147" t="s">
        <v>317</v>
      </c>
    </row>
    <row r="783" spans="4:5" ht="15">
      <c r="D783" s="147">
        <v>10128581</v>
      </c>
      <c r="E783" s="147" t="s">
        <v>317</v>
      </c>
    </row>
    <row r="784" spans="4:5" ht="15">
      <c r="D784" s="147">
        <v>10128582</v>
      </c>
      <c r="E784" s="147" t="s">
        <v>320</v>
      </c>
    </row>
    <row r="785" spans="4:5" ht="15">
      <c r="D785" s="147">
        <v>10128595</v>
      </c>
      <c r="E785" s="147" t="s">
        <v>320</v>
      </c>
    </row>
    <row r="786" spans="4:5" ht="15">
      <c r="D786" s="147">
        <v>10128596</v>
      </c>
      <c r="E786" s="147" t="s">
        <v>312</v>
      </c>
    </row>
    <row r="787" spans="4:5" ht="15">
      <c r="D787" s="147">
        <v>10128597</v>
      </c>
      <c r="E787" s="147" t="s">
        <v>317</v>
      </c>
    </row>
    <row r="788" spans="4:5" ht="15">
      <c r="D788" s="147">
        <v>10128598</v>
      </c>
      <c r="E788" s="147" t="s">
        <v>320</v>
      </c>
    </row>
    <row r="789" spans="4:5" ht="15">
      <c r="D789" s="147">
        <v>10128599</v>
      </c>
      <c r="E789" s="147" t="s">
        <v>313</v>
      </c>
    </row>
    <row r="790" spans="4:5" ht="15">
      <c r="D790" s="147">
        <v>10128600</v>
      </c>
      <c r="E790" s="147" t="s">
        <v>317</v>
      </c>
    </row>
    <row r="791" spans="4:5" ht="15">
      <c r="D791" s="147">
        <v>10128579</v>
      </c>
      <c r="E791" s="147" t="s">
        <v>313</v>
      </c>
    </row>
    <row r="792" spans="4:5" ht="15">
      <c r="D792" s="147">
        <v>10128580</v>
      </c>
      <c r="E792" s="147" t="s">
        <v>317</v>
      </c>
    </row>
    <row r="793" spans="4:5" ht="15">
      <c r="D793" s="147">
        <v>10128581</v>
      </c>
      <c r="E793" s="147" t="s">
        <v>317</v>
      </c>
    </row>
    <row r="794" spans="4:5" ht="15">
      <c r="D794" s="147">
        <v>10128582</v>
      </c>
      <c r="E794" s="147" t="s">
        <v>320</v>
      </c>
    </row>
    <row r="795" spans="4:5" ht="15">
      <c r="D795" s="147">
        <v>10128595</v>
      </c>
      <c r="E795" s="147" t="s">
        <v>320</v>
      </c>
    </row>
    <row r="796" spans="4:5" ht="15">
      <c r="D796" s="147">
        <v>10128596</v>
      </c>
      <c r="E796" s="147" t="s">
        <v>312</v>
      </c>
    </row>
    <row r="797" spans="4:5" ht="15">
      <c r="D797" s="147">
        <v>10128597</v>
      </c>
      <c r="E797" s="147" t="s">
        <v>317</v>
      </c>
    </row>
    <row r="798" spans="4:5" ht="15">
      <c r="D798" s="147">
        <v>10128598</v>
      </c>
      <c r="E798" s="147" t="s">
        <v>320</v>
      </c>
    </row>
    <row r="799" spans="4:5" ht="15">
      <c r="D799" s="147">
        <v>10128599</v>
      </c>
      <c r="E799" s="147" t="s">
        <v>313</v>
      </c>
    </row>
    <row r="800" spans="4:5" ht="15">
      <c r="D800" s="147">
        <v>10128600</v>
      </c>
      <c r="E800" s="147" t="s">
        <v>317</v>
      </c>
    </row>
    <row r="801" spans="4:5" ht="15">
      <c r="D801" s="147">
        <v>10128579</v>
      </c>
      <c r="E801" s="147" t="s">
        <v>313</v>
      </c>
    </row>
    <row r="802" spans="4:5" ht="15">
      <c r="D802" s="147">
        <v>10128580</v>
      </c>
      <c r="E802" s="147" t="s">
        <v>317</v>
      </c>
    </row>
    <row r="803" spans="4:5" ht="15">
      <c r="D803" s="147">
        <v>10128581</v>
      </c>
      <c r="E803" s="147" t="s">
        <v>317</v>
      </c>
    </row>
    <row r="804" spans="4:5" ht="15">
      <c r="D804" s="147">
        <v>10128582</v>
      </c>
      <c r="E804" s="147" t="s">
        <v>320</v>
      </c>
    </row>
    <row r="805" spans="4:5" ht="15">
      <c r="D805" s="147">
        <v>10128595</v>
      </c>
      <c r="E805" s="147" t="s">
        <v>320</v>
      </c>
    </row>
    <row r="806" spans="4:5" ht="15">
      <c r="D806" s="147">
        <v>10128596</v>
      </c>
      <c r="E806" s="147" t="s">
        <v>312</v>
      </c>
    </row>
    <row r="807" spans="4:5" ht="15">
      <c r="D807" s="147">
        <v>10128597</v>
      </c>
      <c r="E807" s="147" t="s">
        <v>317</v>
      </c>
    </row>
    <row r="808" spans="4:5" ht="15">
      <c r="D808" s="147">
        <v>10128598</v>
      </c>
      <c r="E808" s="147" t="s">
        <v>320</v>
      </c>
    </row>
    <row r="809" spans="4:5" ht="15">
      <c r="D809" s="147">
        <v>10128599</v>
      </c>
      <c r="E809" s="147" t="s">
        <v>313</v>
      </c>
    </row>
    <row r="810" spans="4:5" ht="15">
      <c r="D810" s="147">
        <v>10128600</v>
      </c>
      <c r="E810" s="147" t="s">
        <v>317</v>
      </c>
    </row>
    <row r="811" spans="4:5" ht="15">
      <c r="D811" s="147">
        <v>10128579</v>
      </c>
      <c r="E811" s="147" t="s">
        <v>313</v>
      </c>
    </row>
    <row r="812" spans="4:5" ht="15">
      <c r="D812" s="147">
        <v>10128580</v>
      </c>
      <c r="E812" s="147" t="s">
        <v>317</v>
      </c>
    </row>
    <row r="813" spans="4:5" ht="15">
      <c r="D813" s="147">
        <v>10128581</v>
      </c>
      <c r="E813" s="147" t="s">
        <v>317</v>
      </c>
    </row>
    <row r="814" spans="4:5" ht="15">
      <c r="D814" s="147">
        <v>10128582</v>
      </c>
      <c r="E814" s="147" t="s">
        <v>320</v>
      </c>
    </row>
    <row r="815" spans="4:5" ht="15">
      <c r="D815" s="147">
        <v>10128595</v>
      </c>
      <c r="E815" s="147" t="s">
        <v>320</v>
      </c>
    </row>
    <row r="816" spans="4:5" ht="15">
      <c r="D816" s="147">
        <v>10128596</v>
      </c>
      <c r="E816" s="147" t="s">
        <v>312</v>
      </c>
    </row>
    <row r="817" spans="4:5" ht="15">
      <c r="D817" s="147">
        <v>10128597</v>
      </c>
      <c r="E817" s="147" t="s">
        <v>317</v>
      </c>
    </row>
    <row r="818" spans="4:5" ht="15">
      <c r="D818" s="147">
        <v>10128598</v>
      </c>
      <c r="E818" s="147" t="s">
        <v>320</v>
      </c>
    </row>
    <row r="819" spans="4:5" ht="15">
      <c r="D819" s="147">
        <v>10128599</v>
      </c>
      <c r="E819" s="147" t="s">
        <v>313</v>
      </c>
    </row>
    <row r="820" spans="4:5" ht="15">
      <c r="D820" s="147">
        <v>10128600</v>
      </c>
      <c r="E820" s="147" t="s">
        <v>317</v>
      </c>
    </row>
    <row r="821" spans="4:5" ht="15">
      <c r="D821" s="147">
        <v>10128579</v>
      </c>
      <c r="E821" s="147" t="s">
        <v>313</v>
      </c>
    </row>
    <row r="822" spans="4:5" ht="15">
      <c r="D822" s="147">
        <v>10128580</v>
      </c>
      <c r="E822" s="147" t="s">
        <v>317</v>
      </c>
    </row>
    <row r="823" spans="4:5" ht="15">
      <c r="D823" s="147">
        <v>10128581</v>
      </c>
      <c r="E823" s="147" t="s">
        <v>317</v>
      </c>
    </row>
    <row r="824" spans="4:5" ht="15">
      <c r="D824" s="147">
        <v>10128582</v>
      </c>
      <c r="E824" s="147" t="s">
        <v>320</v>
      </c>
    </row>
    <row r="825" spans="4:5" ht="15">
      <c r="D825" s="147">
        <v>10128595</v>
      </c>
      <c r="E825" s="147" t="s">
        <v>320</v>
      </c>
    </row>
    <row r="826" spans="4:5" ht="15">
      <c r="D826" s="147">
        <v>10128596</v>
      </c>
      <c r="E826" s="147" t="s">
        <v>312</v>
      </c>
    </row>
    <row r="827" spans="4:5" ht="15">
      <c r="D827" s="147">
        <v>10128597</v>
      </c>
      <c r="E827" s="147" t="s">
        <v>317</v>
      </c>
    </row>
    <row r="828" spans="4:5" ht="15">
      <c r="D828" s="147">
        <v>10128598</v>
      </c>
      <c r="E828" s="147" t="s">
        <v>320</v>
      </c>
    </row>
    <row r="829" spans="4:5" ht="15">
      <c r="D829" s="147">
        <v>10128599</v>
      </c>
      <c r="E829" s="147" t="s">
        <v>313</v>
      </c>
    </row>
    <row r="830" spans="4:5" ht="15">
      <c r="D830" s="147">
        <v>10128600</v>
      </c>
      <c r="E830" s="147" t="s">
        <v>317</v>
      </c>
    </row>
    <row r="831" spans="4:5" ht="15">
      <c r="D831" s="147">
        <v>10128579</v>
      </c>
      <c r="E831" s="147" t="s">
        <v>313</v>
      </c>
    </row>
    <row r="832" spans="4:5" ht="15">
      <c r="D832" s="147">
        <v>10128580</v>
      </c>
      <c r="E832" s="147" t="s">
        <v>317</v>
      </c>
    </row>
    <row r="833" spans="4:5" ht="15">
      <c r="D833" s="147">
        <v>10128581</v>
      </c>
      <c r="E833" s="147" t="s">
        <v>317</v>
      </c>
    </row>
    <row r="834" spans="4:5" ht="15">
      <c r="D834" s="147">
        <v>10128582</v>
      </c>
      <c r="E834" s="147" t="s">
        <v>320</v>
      </c>
    </row>
    <row r="835" spans="4:5" ht="15">
      <c r="D835" s="147">
        <v>10128595</v>
      </c>
      <c r="E835" s="147" t="s">
        <v>320</v>
      </c>
    </row>
    <row r="836" spans="4:5" ht="15">
      <c r="D836" s="147">
        <v>10128596</v>
      </c>
      <c r="E836" s="147" t="s">
        <v>312</v>
      </c>
    </row>
    <row r="837" spans="4:5" ht="15">
      <c r="D837" s="147">
        <v>10128597</v>
      </c>
      <c r="E837" s="147" t="s">
        <v>317</v>
      </c>
    </row>
    <row r="838" spans="4:5" ht="15">
      <c r="D838" s="147">
        <v>10128598</v>
      </c>
      <c r="E838" s="147" t="s">
        <v>320</v>
      </c>
    </row>
    <row r="839" spans="4:5" ht="15">
      <c r="D839" s="147">
        <v>10128599</v>
      </c>
      <c r="E839" s="147" t="s">
        <v>313</v>
      </c>
    </row>
    <row r="840" spans="4:5" ht="15">
      <c r="D840" s="147">
        <v>10128600</v>
      </c>
      <c r="E840" s="147" t="s">
        <v>317</v>
      </c>
    </row>
    <row r="841" spans="4:5" ht="15">
      <c r="D841" s="147">
        <v>10128579</v>
      </c>
      <c r="E841" s="147" t="s">
        <v>313</v>
      </c>
    </row>
    <row r="842" spans="4:5" ht="15">
      <c r="D842" s="147">
        <v>10128580</v>
      </c>
      <c r="E842" s="147" t="s">
        <v>317</v>
      </c>
    </row>
    <row r="843" spans="4:5" ht="15">
      <c r="D843" s="147">
        <v>10128581</v>
      </c>
      <c r="E843" s="147" t="s">
        <v>317</v>
      </c>
    </row>
    <row r="844" spans="4:5" ht="15">
      <c r="D844" s="147">
        <v>10128582</v>
      </c>
      <c r="E844" s="147" t="s">
        <v>320</v>
      </c>
    </row>
    <row r="845" spans="4:5" ht="15">
      <c r="D845" s="147">
        <v>10128595</v>
      </c>
      <c r="E845" s="147" t="s">
        <v>320</v>
      </c>
    </row>
    <row r="846" spans="4:5" ht="15">
      <c r="D846" s="147">
        <v>10128596</v>
      </c>
      <c r="E846" s="147" t="s">
        <v>312</v>
      </c>
    </row>
    <row r="847" spans="4:5" ht="15">
      <c r="D847" s="147">
        <v>10128597</v>
      </c>
      <c r="E847" s="147" t="s">
        <v>317</v>
      </c>
    </row>
    <row r="848" spans="4:5" ht="15">
      <c r="D848" s="147">
        <v>10128598</v>
      </c>
      <c r="E848" s="147" t="s">
        <v>320</v>
      </c>
    </row>
    <row r="849" spans="4:5" ht="15">
      <c r="D849" s="147">
        <v>10128599</v>
      </c>
      <c r="E849" s="147" t="s">
        <v>313</v>
      </c>
    </row>
    <row r="850" spans="4:5" ht="15">
      <c r="D850" s="147">
        <v>10128600</v>
      </c>
      <c r="E850" s="147" t="s">
        <v>317</v>
      </c>
    </row>
    <row r="851" spans="4:5" ht="15">
      <c r="D851" s="147">
        <v>10128579</v>
      </c>
      <c r="E851" s="147" t="s">
        <v>313</v>
      </c>
    </row>
    <row r="852" spans="4:5" ht="15">
      <c r="D852" s="147">
        <v>10128580</v>
      </c>
      <c r="E852" s="147" t="s">
        <v>317</v>
      </c>
    </row>
    <row r="853" spans="4:5" ht="15">
      <c r="D853" s="147">
        <v>10128581</v>
      </c>
      <c r="E853" s="147" t="s">
        <v>317</v>
      </c>
    </row>
    <row r="854" spans="4:5" ht="15">
      <c r="D854" s="147">
        <v>10128582</v>
      </c>
      <c r="E854" s="147" t="s">
        <v>320</v>
      </c>
    </row>
    <row r="855" spans="4:5" ht="15">
      <c r="D855" s="147">
        <v>10128595</v>
      </c>
      <c r="E855" s="147" t="s">
        <v>320</v>
      </c>
    </row>
    <row r="856" spans="4:5" ht="15">
      <c r="D856" s="147">
        <v>10128596</v>
      </c>
      <c r="E856" s="147" t="s">
        <v>312</v>
      </c>
    </row>
    <row r="857" spans="4:5" ht="15">
      <c r="D857" s="147">
        <v>10128597</v>
      </c>
      <c r="E857" s="147" t="s">
        <v>317</v>
      </c>
    </row>
    <row r="858" spans="4:5" ht="15">
      <c r="D858" s="147">
        <v>10128598</v>
      </c>
      <c r="E858" s="147" t="s">
        <v>320</v>
      </c>
    </row>
    <row r="859" spans="4:5" ht="15">
      <c r="D859" s="147">
        <v>10128599</v>
      </c>
      <c r="E859" s="147" t="s">
        <v>313</v>
      </c>
    </row>
    <row r="860" spans="4:5" ht="15">
      <c r="D860" s="147">
        <v>10128600</v>
      </c>
      <c r="E860" s="147" t="s">
        <v>317</v>
      </c>
    </row>
    <row r="861" spans="4:5" ht="15">
      <c r="D861" s="147">
        <v>10128579</v>
      </c>
      <c r="E861" s="147" t="s">
        <v>313</v>
      </c>
    </row>
    <row r="862" spans="4:5" ht="15">
      <c r="D862" s="147">
        <v>10128580</v>
      </c>
      <c r="E862" s="147" t="s">
        <v>317</v>
      </c>
    </row>
    <row r="863" spans="4:5" ht="15">
      <c r="D863" s="147">
        <v>10128581</v>
      </c>
      <c r="E863" s="147" t="s">
        <v>317</v>
      </c>
    </row>
    <row r="864" spans="4:5" ht="15">
      <c r="D864" s="147">
        <v>10128582</v>
      </c>
      <c r="E864" s="147" t="s">
        <v>320</v>
      </c>
    </row>
    <row r="865" spans="4:5" ht="15">
      <c r="D865" s="147">
        <v>10128595</v>
      </c>
      <c r="E865" s="147" t="s">
        <v>320</v>
      </c>
    </row>
    <row r="866" spans="4:5" ht="15">
      <c r="D866" s="147">
        <v>10128596</v>
      </c>
      <c r="E866" s="147" t="s">
        <v>312</v>
      </c>
    </row>
    <row r="867" spans="4:5" ht="15">
      <c r="D867" s="147">
        <v>10128597</v>
      </c>
      <c r="E867" s="147" t="s">
        <v>317</v>
      </c>
    </row>
    <row r="868" spans="4:5" ht="15">
      <c r="D868" s="147">
        <v>10128598</v>
      </c>
      <c r="E868" s="147" t="s">
        <v>320</v>
      </c>
    </row>
    <row r="869" spans="4:5" ht="15">
      <c r="D869" s="147">
        <v>10128599</v>
      </c>
      <c r="E869" s="147" t="s">
        <v>313</v>
      </c>
    </row>
    <row r="870" spans="4:5" ht="15">
      <c r="D870" s="147">
        <v>10128600</v>
      </c>
      <c r="E870" s="147" t="s">
        <v>317</v>
      </c>
    </row>
    <row r="871" spans="4:5" ht="15">
      <c r="D871" s="147">
        <v>10128579</v>
      </c>
      <c r="E871" s="147" t="s">
        <v>313</v>
      </c>
    </row>
    <row r="872" spans="4:5" ht="15">
      <c r="D872" s="147">
        <v>10128580</v>
      </c>
      <c r="E872" s="147" t="s">
        <v>317</v>
      </c>
    </row>
    <row r="873" spans="4:5" ht="15">
      <c r="D873" s="147">
        <v>10128581</v>
      </c>
      <c r="E873" s="147" t="s">
        <v>317</v>
      </c>
    </row>
    <row r="874" spans="4:5" ht="15">
      <c r="D874" s="147">
        <v>10128582</v>
      </c>
      <c r="E874" s="147" t="s">
        <v>320</v>
      </c>
    </row>
    <row r="875" spans="4:5" ht="15">
      <c r="D875" s="147">
        <v>10128595</v>
      </c>
      <c r="E875" s="147" t="s">
        <v>320</v>
      </c>
    </row>
    <row r="876" spans="4:5" ht="15">
      <c r="D876" s="147">
        <v>10128596</v>
      </c>
      <c r="E876" s="147" t="s">
        <v>312</v>
      </c>
    </row>
    <row r="877" spans="4:5" ht="15">
      <c r="D877" s="147">
        <v>10128597</v>
      </c>
      <c r="E877" s="147" t="s">
        <v>317</v>
      </c>
    </row>
    <row r="878" spans="4:5" ht="15">
      <c r="D878" s="147">
        <v>10128598</v>
      </c>
      <c r="E878" s="147" t="s">
        <v>320</v>
      </c>
    </row>
    <row r="879" spans="4:5" ht="15">
      <c r="D879" s="147">
        <v>10128599</v>
      </c>
      <c r="E879" s="147" t="s">
        <v>313</v>
      </c>
    </row>
    <row r="880" spans="4:5" ht="15">
      <c r="D880" s="147">
        <v>10128600</v>
      </c>
      <c r="E880" s="147" t="s">
        <v>317</v>
      </c>
    </row>
    <row r="881" spans="4:5" ht="15">
      <c r="D881" s="147">
        <v>10128579</v>
      </c>
      <c r="E881" s="147" t="s">
        <v>313</v>
      </c>
    </row>
    <row r="882" spans="4:5" ht="15">
      <c r="D882" s="147">
        <v>10128580</v>
      </c>
      <c r="E882" s="147" t="s">
        <v>317</v>
      </c>
    </row>
    <row r="883" spans="4:5" ht="15">
      <c r="D883" s="147">
        <v>10128581</v>
      </c>
      <c r="E883" s="147" t="s">
        <v>317</v>
      </c>
    </row>
    <row r="884" spans="4:5" ht="15">
      <c r="D884" s="147">
        <v>10128582</v>
      </c>
      <c r="E884" s="147" t="s">
        <v>320</v>
      </c>
    </row>
    <row r="885" spans="4:5" ht="15">
      <c r="D885" s="147">
        <v>10128595</v>
      </c>
      <c r="E885" s="147" t="s">
        <v>320</v>
      </c>
    </row>
    <row r="886" spans="4:5" ht="15">
      <c r="D886" s="147">
        <v>10128596</v>
      </c>
      <c r="E886" s="147" t="s">
        <v>312</v>
      </c>
    </row>
    <row r="887" spans="4:5" ht="15">
      <c r="D887" s="147">
        <v>10128597</v>
      </c>
      <c r="E887" s="147" t="s">
        <v>317</v>
      </c>
    </row>
    <row r="888" spans="4:5" ht="15">
      <c r="D888" s="147">
        <v>10128598</v>
      </c>
      <c r="E888" s="147" t="s">
        <v>320</v>
      </c>
    </row>
    <row r="889" spans="4:5" ht="15">
      <c r="D889" s="147">
        <v>10128599</v>
      </c>
      <c r="E889" s="147" t="s">
        <v>313</v>
      </c>
    </row>
    <row r="890" spans="4:5" ht="15">
      <c r="D890" s="147">
        <v>10128600</v>
      </c>
      <c r="E890" s="147" t="s">
        <v>317</v>
      </c>
    </row>
    <row r="891" spans="4:5" ht="15">
      <c r="D891" s="147">
        <v>10128579</v>
      </c>
      <c r="E891" s="147" t="s">
        <v>313</v>
      </c>
    </row>
    <row r="892" spans="4:5" ht="15">
      <c r="D892" s="147">
        <v>10128580</v>
      </c>
      <c r="E892" s="147" t="s">
        <v>317</v>
      </c>
    </row>
    <row r="893" spans="4:5" ht="15">
      <c r="D893" s="147">
        <v>10128581</v>
      </c>
      <c r="E893" s="147" t="s">
        <v>317</v>
      </c>
    </row>
    <row r="894" spans="4:5" ht="15">
      <c r="D894" s="147">
        <v>10128582</v>
      </c>
      <c r="E894" s="147" t="s">
        <v>320</v>
      </c>
    </row>
    <row r="895" spans="4:5" ht="15">
      <c r="D895" s="147">
        <v>10128595</v>
      </c>
      <c r="E895" s="147" t="s">
        <v>320</v>
      </c>
    </row>
    <row r="896" spans="4:5" ht="15">
      <c r="D896" s="147">
        <v>10128596</v>
      </c>
      <c r="E896" s="147" t="s">
        <v>312</v>
      </c>
    </row>
    <row r="897" spans="4:5" ht="15">
      <c r="D897" s="147">
        <v>10128597</v>
      </c>
      <c r="E897" s="147" t="s">
        <v>317</v>
      </c>
    </row>
    <row r="898" spans="4:5" ht="15">
      <c r="D898" s="147">
        <v>10128598</v>
      </c>
      <c r="E898" s="147" t="s">
        <v>320</v>
      </c>
    </row>
    <row r="899" spans="4:5" ht="15">
      <c r="D899" s="147">
        <v>10128599</v>
      </c>
      <c r="E899" s="147" t="s">
        <v>313</v>
      </c>
    </row>
    <row r="900" spans="4:5" ht="15">
      <c r="D900" s="147">
        <v>10128600</v>
      </c>
      <c r="E900" s="147" t="s">
        <v>317</v>
      </c>
    </row>
    <row r="901" spans="4:5" ht="15">
      <c r="D901" s="147">
        <v>10128579</v>
      </c>
      <c r="E901" s="147" t="s">
        <v>313</v>
      </c>
    </row>
    <row r="902" spans="4:5" ht="15">
      <c r="D902" s="147">
        <v>10128580</v>
      </c>
      <c r="E902" s="147" t="s">
        <v>317</v>
      </c>
    </row>
    <row r="903" spans="4:5" ht="15">
      <c r="D903" s="147">
        <v>10128581</v>
      </c>
      <c r="E903" s="147" t="s">
        <v>317</v>
      </c>
    </row>
    <row r="904" spans="4:5" ht="15">
      <c r="D904" s="147">
        <v>10128582</v>
      </c>
      <c r="E904" s="147" t="s">
        <v>320</v>
      </c>
    </row>
    <row r="905" spans="4:5" ht="15">
      <c r="D905" s="147">
        <v>10128595</v>
      </c>
      <c r="E905" s="147" t="s">
        <v>320</v>
      </c>
    </row>
    <row r="906" spans="4:5" ht="15">
      <c r="D906" s="147">
        <v>10128596</v>
      </c>
      <c r="E906" s="147" t="s">
        <v>312</v>
      </c>
    </row>
    <row r="907" spans="4:5" ht="15">
      <c r="D907" s="147">
        <v>10128597</v>
      </c>
      <c r="E907" s="147" t="s">
        <v>317</v>
      </c>
    </row>
    <row r="908" spans="4:5" ht="15">
      <c r="D908" s="147">
        <v>10128598</v>
      </c>
      <c r="E908" s="147" t="s">
        <v>320</v>
      </c>
    </row>
    <row r="909" spans="4:5" ht="15">
      <c r="D909" s="147">
        <v>10128599</v>
      </c>
      <c r="E909" s="147" t="s">
        <v>313</v>
      </c>
    </row>
    <row r="910" spans="4:5" ht="15">
      <c r="D910" s="147">
        <v>10128600</v>
      </c>
      <c r="E910" s="147" t="s">
        <v>317</v>
      </c>
    </row>
    <row r="911" spans="4:5" ht="15">
      <c r="D911" s="147">
        <v>10128579</v>
      </c>
      <c r="E911" s="147" t="s">
        <v>313</v>
      </c>
    </row>
    <row r="912" spans="4:5" ht="15">
      <c r="D912" s="147">
        <v>10128580</v>
      </c>
      <c r="E912" s="147" t="s">
        <v>317</v>
      </c>
    </row>
    <row r="913" spans="4:5" ht="15">
      <c r="D913" s="147">
        <v>10128581</v>
      </c>
      <c r="E913" s="147" t="s">
        <v>317</v>
      </c>
    </row>
    <row r="914" spans="4:5" ht="15">
      <c r="D914" s="147">
        <v>10128582</v>
      </c>
      <c r="E914" s="147" t="s">
        <v>320</v>
      </c>
    </row>
    <row r="915" spans="4:5" ht="15">
      <c r="D915" s="147">
        <v>10128595</v>
      </c>
      <c r="E915" s="147" t="s">
        <v>320</v>
      </c>
    </row>
    <row r="916" spans="4:5" ht="15">
      <c r="D916" s="147">
        <v>10128596</v>
      </c>
      <c r="E916" s="147" t="s">
        <v>312</v>
      </c>
    </row>
    <row r="917" spans="4:5" ht="15">
      <c r="D917" s="147">
        <v>10128597</v>
      </c>
      <c r="E917" s="147" t="s">
        <v>317</v>
      </c>
    </row>
    <row r="918" spans="4:5" ht="15">
      <c r="D918" s="147">
        <v>10128598</v>
      </c>
      <c r="E918" s="147" t="s">
        <v>320</v>
      </c>
    </row>
    <row r="919" spans="4:5" ht="15">
      <c r="D919" s="147">
        <v>10128599</v>
      </c>
      <c r="E919" s="147" t="s">
        <v>313</v>
      </c>
    </row>
    <row r="920" spans="4:5" ht="15">
      <c r="D920" s="147">
        <v>10128600</v>
      </c>
      <c r="E920" s="147" t="s">
        <v>317</v>
      </c>
    </row>
    <row r="921" spans="4:5" ht="15">
      <c r="D921" s="147">
        <v>10128579</v>
      </c>
      <c r="E921" s="147" t="s">
        <v>313</v>
      </c>
    </row>
    <row r="922" spans="4:5" ht="15">
      <c r="D922" s="147">
        <v>10128580</v>
      </c>
      <c r="E922" s="147" t="s">
        <v>317</v>
      </c>
    </row>
    <row r="923" spans="4:5" ht="15">
      <c r="D923" s="147">
        <v>10128581</v>
      </c>
      <c r="E923" s="147" t="s">
        <v>317</v>
      </c>
    </row>
    <row r="924" spans="4:5" ht="15">
      <c r="D924" s="147">
        <v>10128582</v>
      </c>
      <c r="E924" s="147" t="s">
        <v>320</v>
      </c>
    </row>
    <row r="925" spans="4:5" ht="15">
      <c r="D925" s="147">
        <v>10128595</v>
      </c>
      <c r="E925" s="147" t="s">
        <v>320</v>
      </c>
    </row>
    <row r="926" spans="4:5" ht="15">
      <c r="D926" s="147">
        <v>10128596</v>
      </c>
      <c r="E926" s="147" t="s">
        <v>312</v>
      </c>
    </row>
    <row r="927" spans="4:5" ht="15">
      <c r="D927" s="147">
        <v>10128597</v>
      </c>
      <c r="E927" s="147" t="s">
        <v>317</v>
      </c>
    </row>
    <row r="928" spans="4:5" ht="15">
      <c r="D928" s="147">
        <v>10128598</v>
      </c>
      <c r="E928" s="147" t="s">
        <v>320</v>
      </c>
    </row>
    <row r="929" spans="4:5" ht="15">
      <c r="D929" s="147">
        <v>10128599</v>
      </c>
      <c r="E929" s="147" t="s">
        <v>313</v>
      </c>
    </row>
    <row r="930" spans="4:5" ht="15">
      <c r="D930" s="147">
        <v>10128600</v>
      </c>
      <c r="E930" s="147" t="s">
        <v>317</v>
      </c>
    </row>
    <row r="931" spans="4:5" ht="15">
      <c r="D931" s="147">
        <v>10128579</v>
      </c>
      <c r="E931" s="147" t="s">
        <v>313</v>
      </c>
    </row>
    <row r="932" spans="4:5" ht="15">
      <c r="D932" s="147">
        <v>10128580</v>
      </c>
      <c r="E932" s="147" t="s">
        <v>317</v>
      </c>
    </row>
    <row r="933" spans="4:5" ht="15">
      <c r="D933" s="147">
        <v>10128581</v>
      </c>
      <c r="E933" s="147" t="s">
        <v>317</v>
      </c>
    </row>
    <row r="934" spans="4:5" ht="15">
      <c r="D934" s="147">
        <v>10128582</v>
      </c>
      <c r="E934" s="147" t="s">
        <v>320</v>
      </c>
    </row>
    <row r="935" spans="4:5" ht="15">
      <c r="D935" s="147">
        <v>10128595</v>
      </c>
      <c r="E935" s="147" t="s">
        <v>320</v>
      </c>
    </row>
    <row r="936" spans="4:5" ht="15">
      <c r="D936" s="147">
        <v>10128596</v>
      </c>
      <c r="E936" s="147" t="s">
        <v>312</v>
      </c>
    </row>
    <row r="937" spans="4:5" ht="15">
      <c r="D937" s="147">
        <v>10128597</v>
      </c>
      <c r="E937" s="147" t="s">
        <v>317</v>
      </c>
    </row>
    <row r="938" spans="4:5" ht="15">
      <c r="D938" s="147">
        <v>10128598</v>
      </c>
      <c r="E938" s="147" t="s">
        <v>320</v>
      </c>
    </row>
    <row r="939" spans="4:5" ht="15">
      <c r="D939" s="147">
        <v>10128599</v>
      </c>
      <c r="E939" s="147" t="s">
        <v>313</v>
      </c>
    </row>
    <row r="940" spans="4:5" ht="15">
      <c r="D940" s="147">
        <v>10128600</v>
      </c>
      <c r="E940" s="147" t="s">
        <v>317</v>
      </c>
    </row>
    <row r="941" spans="4:5" ht="15">
      <c r="D941" s="147">
        <v>10128579</v>
      </c>
      <c r="E941" s="147" t="s">
        <v>313</v>
      </c>
    </row>
    <row r="942" spans="4:5" ht="15">
      <c r="D942" s="147">
        <v>10128580</v>
      </c>
      <c r="E942" s="147" t="s">
        <v>317</v>
      </c>
    </row>
    <row r="943" spans="4:5" ht="15">
      <c r="D943" s="147">
        <v>10128581</v>
      </c>
      <c r="E943" s="147" t="s">
        <v>317</v>
      </c>
    </row>
    <row r="944" spans="4:5" ht="15">
      <c r="D944" s="147">
        <v>10128582</v>
      </c>
      <c r="E944" s="147" t="s">
        <v>320</v>
      </c>
    </row>
    <row r="945" spans="4:5" ht="15">
      <c r="D945" s="147">
        <v>10128595</v>
      </c>
      <c r="E945" s="147" t="s">
        <v>320</v>
      </c>
    </row>
    <row r="946" spans="4:5" ht="15">
      <c r="D946" s="147">
        <v>10128596</v>
      </c>
      <c r="E946" s="147" t="s">
        <v>312</v>
      </c>
    </row>
    <row r="947" spans="4:5" ht="15">
      <c r="D947" s="147">
        <v>10128597</v>
      </c>
      <c r="E947" s="147" t="s">
        <v>317</v>
      </c>
    </row>
    <row r="948" spans="4:5" ht="15">
      <c r="D948" s="147">
        <v>10128598</v>
      </c>
      <c r="E948" s="147" t="s">
        <v>320</v>
      </c>
    </row>
    <row r="949" spans="4:5" ht="15">
      <c r="D949" s="147">
        <v>10128599</v>
      </c>
      <c r="E949" s="147" t="s">
        <v>313</v>
      </c>
    </row>
    <row r="950" spans="4:5" ht="15">
      <c r="D950" s="147">
        <v>10128600</v>
      </c>
      <c r="E950" s="147" t="s">
        <v>317</v>
      </c>
    </row>
    <row r="951" spans="4:5" ht="15">
      <c r="D951" s="147">
        <v>10128579</v>
      </c>
      <c r="E951" s="147" t="s">
        <v>313</v>
      </c>
    </row>
    <row r="952" spans="4:5" ht="15">
      <c r="D952" s="147">
        <v>10128580</v>
      </c>
      <c r="E952" s="147" t="s">
        <v>317</v>
      </c>
    </row>
    <row r="953" spans="4:5" ht="15">
      <c r="D953" s="147">
        <v>10128581</v>
      </c>
      <c r="E953" s="147" t="s">
        <v>317</v>
      </c>
    </row>
    <row r="954" spans="4:5" ht="15">
      <c r="D954" s="147">
        <v>10128582</v>
      </c>
      <c r="E954" s="147" t="s">
        <v>320</v>
      </c>
    </row>
    <row r="955" spans="4:5" ht="15">
      <c r="D955" s="147">
        <v>10128595</v>
      </c>
      <c r="E955" s="147" t="s">
        <v>320</v>
      </c>
    </row>
    <row r="956" spans="4:5" ht="15">
      <c r="D956" s="147">
        <v>10128596</v>
      </c>
      <c r="E956" s="147" t="s">
        <v>312</v>
      </c>
    </row>
    <row r="957" spans="4:5" ht="15">
      <c r="D957" s="147">
        <v>10128597</v>
      </c>
      <c r="E957" s="147" t="s">
        <v>317</v>
      </c>
    </row>
    <row r="958" spans="4:5" ht="15">
      <c r="D958" s="147">
        <v>10128598</v>
      </c>
      <c r="E958" s="147" t="s">
        <v>320</v>
      </c>
    </row>
    <row r="959" spans="4:5" ht="15">
      <c r="D959" s="147">
        <v>10128599</v>
      </c>
      <c r="E959" s="147" t="s">
        <v>313</v>
      </c>
    </row>
    <row r="960" spans="4:5" ht="15">
      <c r="D960" s="147">
        <v>10128600</v>
      </c>
      <c r="E960" s="147" t="s">
        <v>317</v>
      </c>
    </row>
    <row r="961" spans="4:5" ht="15">
      <c r="D961" s="147">
        <v>10128579</v>
      </c>
      <c r="E961" s="147" t="s">
        <v>313</v>
      </c>
    </row>
    <row r="962" spans="4:5" ht="15">
      <c r="D962" s="147">
        <v>10128580</v>
      </c>
      <c r="E962" s="147" t="s">
        <v>317</v>
      </c>
    </row>
    <row r="963" spans="4:5" ht="15">
      <c r="D963" s="147">
        <v>10128581</v>
      </c>
      <c r="E963" s="147" t="s">
        <v>317</v>
      </c>
    </row>
    <row r="964" spans="4:5" ht="15">
      <c r="D964" s="147">
        <v>10128582</v>
      </c>
      <c r="E964" s="147" t="s">
        <v>320</v>
      </c>
    </row>
    <row r="965" spans="4:5" ht="15">
      <c r="D965" s="147">
        <v>10128595</v>
      </c>
      <c r="E965" s="147" t="s">
        <v>320</v>
      </c>
    </row>
    <row r="966" spans="4:5" ht="15">
      <c r="D966" s="147">
        <v>10128596</v>
      </c>
      <c r="E966" s="147" t="s">
        <v>312</v>
      </c>
    </row>
    <row r="967" spans="4:5" ht="15">
      <c r="D967" s="147">
        <v>10128597</v>
      </c>
      <c r="E967" s="147" t="s">
        <v>317</v>
      </c>
    </row>
    <row r="968" spans="4:5" ht="15">
      <c r="D968" s="147">
        <v>10128598</v>
      </c>
      <c r="E968" s="147" t="s">
        <v>320</v>
      </c>
    </row>
    <row r="969" spans="4:5" ht="15">
      <c r="D969" s="147">
        <v>10128599</v>
      </c>
      <c r="E969" s="147" t="s">
        <v>313</v>
      </c>
    </row>
    <row r="970" spans="4:5" ht="15">
      <c r="D970" s="147">
        <v>10128600</v>
      </c>
      <c r="E970" s="147" t="s">
        <v>317</v>
      </c>
    </row>
    <row r="971" spans="4:5" ht="15">
      <c r="D971" s="147">
        <v>10128579</v>
      </c>
      <c r="E971" s="147" t="s">
        <v>313</v>
      </c>
    </row>
    <row r="972" spans="4:5" ht="15">
      <c r="D972" s="147">
        <v>10128580</v>
      </c>
      <c r="E972" s="147" t="s">
        <v>317</v>
      </c>
    </row>
    <row r="973" spans="4:5" ht="15">
      <c r="D973" s="147">
        <v>10128581</v>
      </c>
      <c r="E973" s="147" t="s">
        <v>317</v>
      </c>
    </row>
    <row r="974" spans="4:5" ht="15">
      <c r="D974" s="147">
        <v>10128582</v>
      </c>
      <c r="E974" s="147" t="s">
        <v>320</v>
      </c>
    </row>
    <row r="975" spans="4:5" ht="15">
      <c r="D975" s="147">
        <v>10128595</v>
      </c>
      <c r="E975" s="147" t="s">
        <v>320</v>
      </c>
    </row>
    <row r="976" spans="4:5" ht="15">
      <c r="D976" s="147">
        <v>10128596</v>
      </c>
      <c r="E976" s="147" t="s">
        <v>312</v>
      </c>
    </row>
    <row r="977" spans="4:5" ht="15">
      <c r="D977" s="147">
        <v>10128597</v>
      </c>
      <c r="E977" s="147" t="s">
        <v>317</v>
      </c>
    </row>
    <row r="978" spans="4:5" ht="15">
      <c r="D978" s="147">
        <v>10128598</v>
      </c>
      <c r="E978" s="147" t="s">
        <v>320</v>
      </c>
    </row>
    <row r="979" spans="4:5" ht="15">
      <c r="D979" s="147">
        <v>10128599</v>
      </c>
      <c r="E979" s="147" t="s">
        <v>313</v>
      </c>
    </row>
    <row r="980" spans="4:5" ht="15">
      <c r="D980" s="147">
        <v>10128600</v>
      </c>
      <c r="E980" s="147" t="s">
        <v>317</v>
      </c>
    </row>
    <row r="981" spans="4:5" ht="15">
      <c r="D981" s="147">
        <v>10128579</v>
      </c>
      <c r="E981" s="147" t="s">
        <v>313</v>
      </c>
    </row>
    <row r="982" spans="4:5" ht="15">
      <c r="D982" s="147">
        <v>10128580</v>
      </c>
      <c r="E982" s="147" t="s">
        <v>317</v>
      </c>
    </row>
    <row r="983" spans="4:5" ht="15">
      <c r="D983" s="147">
        <v>10128581</v>
      </c>
      <c r="E983" s="147" t="s">
        <v>317</v>
      </c>
    </row>
    <row r="984" spans="4:5" ht="15">
      <c r="D984" s="147">
        <v>10128582</v>
      </c>
      <c r="E984" s="147" t="s">
        <v>320</v>
      </c>
    </row>
    <row r="985" spans="4:5" ht="15">
      <c r="D985" s="147">
        <v>10128595</v>
      </c>
      <c r="E985" s="147" t="s">
        <v>320</v>
      </c>
    </row>
    <row r="986" spans="4:5" ht="15">
      <c r="D986" s="147">
        <v>10128596</v>
      </c>
      <c r="E986" s="147" t="s">
        <v>312</v>
      </c>
    </row>
    <row r="987" spans="4:5" ht="15">
      <c r="D987" s="147">
        <v>10128597</v>
      </c>
      <c r="E987" s="147" t="s">
        <v>317</v>
      </c>
    </row>
    <row r="988" spans="4:5" ht="15">
      <c r="D988" s="147">
        <v>10128598</v>
      </c>
      <c r="E988" s="147" t="s">
        <v>320</v>
      </c>
    </row>
    <row r="989" spans="4:5" ht="15">
      <c r="D989" s="147">
        <v>10128599</v>
      </c>
      <c r="E989" s="147" t="s">
        <v>313</v>
      </c>
    </row>
    <row r="990" spans="4:5" ht="15">
      <c r="D990" s="147">
        <v>10128600</v>
      </c>
      <c r="E990" s="147" t="s">
        <v>317</v>
      </c>
    </row>
    <row r="991" spans="4:5" ht="15">
      <c r="D991" s="147">
        <v>10128579</v>
      </c>
      <c r="E991" s="147" t="s">
        <v>313</v>
      </c>
    </row>
    <row r="992" spans="4:5" ht="15">
      <c r="D992" s="147">
        <v>10128580</v>
      </c>
      <c r="E992" s="147" t="s">
        <v>317</v>
      </c>
    </row>
    <row r="993" spans="4:5" ht="15">
      <c r="D993" s="147">
        <v>10128581</v>
      </c>
      <c r="E993" s="147" t="s">
        <v>317</v>
      </c>
    </row>
    <row r="994" spans="4:5" ht="15">
      <c r="D994" s="147">
        <v>10128582</v>
      </c>
      <c r="E994" s="147" t="s">
        <v>320</v>
      </c>
    </row>
    <row r="995" spans="4:5" ht="15">
      <c r="D995" s="147">
        <v>10128595</v>
      </c>
      <c r="E995" s="147" t="s">
        <v>320</v>
      </c>
    </row>
    <row r="996" spans="4:5" ht="15">
      <c r="D996" s="147">
        <v>10128596</v>
      </c>
      <c r="E996" s="147" t="s">
        <v>312</v>
      </c>
    </row>
    <row r="997" spans="4:5" ht="15">
      <c r="D997" s="147">
        <v>10128597</v>
      </c>
      <c r="E997" s="147" t="s">
        <v>317</v>
      </c>
    </row>
    <row r="998" spans="4:5" ht="15">
      <c r="D998" s="147">
        <v>10128598</v>
      </c>
      <c r="E998" s="147" t="s">
        <v>320</v>
      </c>
    </row>
    <row r="999" spans="4:5" ht="15">
      <c r="D999" s="147">
        <v>10128599</v>
      </c>
      <c r="E999" s="147" t="s">
        <v>313</v>
      </c>
    </row>
    <row r="1000" spans="4:5" ht="15">
      <c r="D1000" s="147">
        <v>10128600</v>
      </c>
      <c r="E1000" s="147" t="s">
        <v>317</v>
      </c>
    </row>
    <row r="1001" spans="4:5" ht="15">
      <c r="D1001" s="147">
        <v>10128579</v>
      </c>
      <c r="E1001" s="147" t="s">
        <v>313</v>
      </c>
    </row>
    <row r="1002" spans="4:5" ht="15">
      <c r="D1002" s="147">
        <v>10128580</v>
      </c>
      <c r="E1002" s="147" t="s">
        <v>317</v>
      </c>
    </row>
    <row r="1003" spans="4:5" ht="15">
      <c r="D1003" s="147">
        <v>10128581</v>
      </c>
      <c r="E1003" s="147" t="s">
        <v>317</v>
      </c>
    </row>
    <row r="1004" spans="4:5" ht="15">
      <c r="D1004" s="147">
        <v>10128582</v>
      </c>
      <c r="E1004" s="147" t="s">
        <v>320</v>
      </c>
    </row>
    <row r="1005" spans="4:5" ht="15">
      <c r="D1005" s="147">
        <v>10128595</v>
      </c>
      <c r="E1005" s="147" t="s">
        <v>320</v>
      </c>
    </row>
    <row r="1006" spans="4:5" ht="15">
      <c r="D1006" s="147">
        <v>10128596</v>
      </c>
      <c r="E1006" s="147" t="s">
        <v>312</v>
      </c>
    </row>
    <row r="1007" spans="4:5" ht="15">
      <c r="D1007" s="147">
        <v>10128597</v>
      </c>
      <c r="E1007" s="147" t="s">
        <v>317</v>
      </c>
    </row>
    <row r="1008" spans="4:5" ht="15">
      <c r="D1008" s="147">
        <v>10128598</v>
      </c>
      <c r="E1008" s="147" t="s">
        <v>320</v>
      </c>
    </row>
    <row r="1009" spans="4:5" ht="15">
      <c r="D1009" s="147">
        <v>10128599</v>
      </c>
      <c r="E1009" s="147" t="s">
        <v>313</v>
      </c>
    </row>
    <row r="1010" spans="4:5" ht="15">
      <c r="D1010" s="147">
        <v>10128600</v>
      </c>
      <c r="E1010" s="147" t="s">
        <v>317</v>
      </c>
    </row>
    <row r="1011" spans="4:5" ht="15">
      <c r="D1011" s="147">
        <v>10128579</v>
      </c>
      <c r="E1011" s="147" t="s">
        <v>313</v>
      </c>
    </row>
    <row r="1012" spans="4:5" ht="15">
      <c r="D1012" s="147">
        <v>10128580</v>
      </c>
      <c r="E1012" s="147" t="s">
        <v>317</v>
      </c>
    </row>
    <row r="1013" spans="4:5" ht="15">
      <c r="D1013" s="147">
        <v>10128581</v>
      </c>
      <c r="E1013" s="147" t="s">
        <v>317</v>
      </c>
    </row>
    <row r="1014" spans="4:5" ht="15">
      <c r="D1014" s="147">
        <v>10128582</v>
      </c>
      <c r="E1014" s="147" t="s">
        <v>320</v>
      </c>
    </row>
    <row r="1015" spans="4:5" ht="15">
      <c r="D1015" s="147">
        <v>10128595</v>
      </c>
      <c r="E1015" s="147" t="s">
        <v>320</v>
      </c>
    </row>
    <row r="1016" spans="4:5" ht="15">
      <c r="D1016" s="147">
        <v>10128596</v>
      </c>
      <c r="E1016" s="147" t="s">
        <v>312</v>
      </c>
    </row>
    <row r="1017" spans="4:5" ht="15">
      <c r="D1017" s="147">
        <v>10128597</v>
      </c>
      <c r="E1017" s="147" t="s">
        <v>317</v>
      </c>
    </row>
    <row r="1018" spans="4:5" ht="15">
      <c r="D1018" s="147">
        <v>10128598</v>
      </c>
      <c r="E1018" s="147" t="s">
        <v>320</v>
      </c>
    </row>
    <row r="1019" spans="4:5" ht="15">
      <c r="D1019" s="147">
        <v>10128599</v>
      </c>
      <c r="E1019" s="147" t="s">
        <v>313</v>
      </c>
    </row>
    <row r="1020" spans="4:5" ht="15">
      <c r="D1020" s="147">
        <v>10128600</v>
      </c>
      <c r="E1020" s="147" t="s">
        <v>317</v>
      </c>
    </row>
    <row r="1021" spans="4:5" ht="15">
      <c r="D1021" s="147">
        <v>10128579</v>
      </c>
      <c r="E1021" s="147" t="s">
        <v>313</v>
      </c>
    </row>
    <row r="1022" spans="4:5" ht="15">
      <c r="D1022" s="147">
        <v>10128580</v>
      </c>
      <c r="E1022" s="147" t="s">
        <v>317</v>
      </c>
    </row>
    <row r="1023" spans="4:5" ht="15">
      <c r="D1023" s="147">
        <v>10128581</v>
      </c>
      <c r="E1023" s="147" t="s">
        <v>317</v>
      </c>
    </row>
    <row r="1024" spans="4:5" ht="15">
      <c r="D1024" s="147">
        <v>10128582</v>
      </c>
      <c r="E1024" s="147" t="s">
        <v>320</v>
      </c>
    </row>
    <row r="1025" spans="4:5" ht="15">
      <c r="D1025" s="147">
        <v>10128595</v>
      </c>
      <c r="E1025" s="147" t="s">
        <v>320</v>
      </c>
    </row>
    <row r="1026" spans="4:5" ht="15">
      <c r="D1026" s="147">
        <v>10128596</v>
      </c>
      <c r="E1026" s="147" t="s">
        <v>312</v>
      </c>
    </row>
    <row r="1027" spans="4:5" ht="15">
      <c r="D1027" s="147">
        <v>10128597</v>
      </c>
      <c r="E1027" s="147" t="s">
        <v>317</v>
      </c>
    </row>
    <row r="1028" spans="4:5" ht="15">
      <c r="D1028" s="147">
        <v>10128598</v>
      </c>
      <c r="E1028" s="147" t="s">
        <v>320</v>
      </c>
    </row>
    <row r="1029" spans="4:5" ht="15">
      <c r="D1029" s="147">
        <v>10128599</v>
      </c>
      <c r="E1029" s="147" t="s">
        <v>313</v>
      </c>
    </row>
    <row r="1030" spans="4:5" ht="15">
      <c r="D1030" s="147">
        <v>10128600</v>
      </c>
      <c r="E1030" s="147" t="s">
        <v>317</v>
      </c>
    </row>
    <row r="1031" spans="4:5" ht="15">
      <c r="D1031" s="147">
        <v>10128579</v>
      </c>
      <c r="E1031" s="147" t="s">
        <v>313</v>
      </c>
    </row>
    <row r="1032" spans="4:5" ht="15">
      <c r="D1032" s="147">
        <v>10128580</v>
      </c>
      <c r="E1032" s="147" t="s">
        <v>317</v>
      </c>
    </row>
    <row r="1033" spans="4:5" ht="15">
      <c r="D1033" s="147">
        <v>10128581</v>
      </c>
      <c r="E1033" s="147" t="s">
        <v>317</v>
      </c>
    </row>
    <row r="1034" spans="4:5" ht="15">
      <c r="D1034" s="147">
        <v>10128582</v>
      </c>
      <c r="E1034" s="147" t="s">
        <v>320</v>
      </c>
    </row>
    <row r="1035" spans="4:5" ht="15">
      <c r="D1035" s="147">
        <v>10128595</v>
      </c>
      <c r="E1035" s="147" t="s">
        <v>320</v>
      </c>
    </row>
    <row r="1036" spans="4:5" ht="15">
      <c r="D1036" s="147">
        <v>10128596</v>
      </c>
      <c r="E1036" s="147" t="s">
        <v>312</v>
      </c>
    </row>
    <row r="1037" spans="4:5" ht="15">
      <c r="D1037" s="147">
        <v>10128597</v>
      </c>
      <c r="E1037" s="147" t="s">
        <v>317</v>
      </c>
    </row>
    <row r="1038" spans="4:5" ht="15">
      <c r="D1038" s="147">
        <v>10128598</v>
      </c>
      <c r="E1038" s="147" t="s">
        <v>320</v>
      </c>
    </row>
    <row r="1039" spans="4:5" ht="15">
      <c r="D1039" s="147">
        <v>10128599</v>
      </c>
      <c r="E1039" s="147" t="s">
        <v>313</v>
      </c>
    </row>
    <row r="1040" spans="4:5" ht="15">
      <c r="D1040" s="147">
        <v>10128600</v>
      </c>
      <c r="E1040" s="147" t="s">
        <v>317</v>
      </c>
    </row>
    <row r="1041" spans="4:5" ht="15">
      <c r="D1041" s="147">
        <v>10128579</v>
      </c>
      <c r="E1041" s="147" t="s">
        <v>313</v>
      </c>
    </row>
    <row r="1042" spans="4:5" ht="15">
      <c r="D1042" s="147">
        <v>10128580</v>
      </c>
      <c r="E1042" s="147" t="s">
        <v>317</v>
      </c>
    </row>
    <row r="1043" spans="4:5" ht="15">
      <c r="D1043" s="147">
        <v>10128581</v>
      </c>
      <c r="E1043" s="147" t="s">
        <v>317</v>
      </c>
    </row>
    <row r="1044" spans="4:5" ht="15">
      <c r="D1044" s="147">
        <v>10128582</v>
      </c>
      <c r="E1044" s="147" t="s">
        <v>320</v>
      </c>
    </row>
    <row r="1045" spans="4:5" ht="15">
      <c r="D1045" s="147">
        <v>10128595</v>
      </c>
      <c r="E1045" s="147" t="s">
        <v>320</v>
      </c>
    </row>
    <row r="1046" spans="4:5" ht="15">
      <c r="D1046" s="147">
        <v>10128596</v>
      </c>
      <c r="E1046" s="147" t="s">
        <v>312</v>
      </c>
    </row>
    <row r="1047" spans="4:5" ht="15">
      <c r="D1047" s="147">
        <v>10128597</v>
      </c>
      <c r="E1047" s="147" t="s">
        <v>317</v>
      </c>
    </row>
    <row r="1048" spans="4:5" ht="15">
      <c r="D1048" s="147">
        <v>10128598</v>
      </c>
      <c r="E1048" s="147" t="s">
        <v>320</v>
      </c>
    </row>
    <row r="1049" spans="4:5" ht="15">
      <c r="D1049" s="147">
        <v>10128599</v>
      </c>
      <c r="E1049" s="147" t="s">
        <v>313</v>
      </c>
    </row>
    <row r="1050" spans="4:5" ht="15">
      <c r="D1050" s="147">
        <v>10128600</v>
      </c>
      <c r="E1050" s="147" t="s">
        <v>317</v>
      </c>
    </row>
    <row r="1051" spans="4:5" ht="15">
      <c r="D1051" s="147">
        <v>10128579</v>
      </c>
      <c r="E1051" s="147" t="s">
        <v>313</v>
      </c>
    </row>
    <row r="1052" spans="4:5" ht="15">
      <c r="D1052" s="147">
        <v>10128580</v>
      </c>
      <c r="E1052" s="147" t="s">
        <v>317</v>
      </c>
    </row>
    <row r="1053" spans="4:5" ht="15">
      <c r="D1053" s="147">
        <v>10128581</v>
      </c>
      <c r="E1053" s="147" t="s">
        <v>317</v>
      </c>
    </row>
    <row r="1054" spans="4:5" ht="15">
      <c r="D1054" s="147">
        <v>10128582</v>
      </c>
      <c r="E1054" s="147" t="s">
        <v>320</v>
      </c>
    </row>
    <row r="1055" spans="4:5" ht="15">
      <c r="D1055" s="147">
        <v>10128595</v>
      </c>
      <c r="E1055" s="147" t="s">
        <v>320</v>
      </c>
    </row>
    <row r="1056" spans="4:5" ht="15">
      <c r="D1056" s="147">
        <v>10128596</v>
      </c>
      <c r="E1056" s="147" t="s">
        <v>312</v>
      </c>
    </row>
    <row r="1057" spans="4:5" ht="15">
      <c r="D1057" s="147">
        <v>10128597</v>
      </c>
      <c r="E1057" s="147" t="s">
        <v>317</v>
      </c>
    </row>
    <row r="1058" spans="4:5" ht="15">
      <c r="D1058" s="147">
        <v>10128598</v>
      </c>
      <c r="E1058" s="147" t="s">
        <v>320</v>
      </c>
    </row>
    <row r="1059" spans="4:5" ht="15">
      <c r="D1059" s="147">
        <v>10128599</v>
      </c>
      <c r="E1059" s="147" t="s">
        <v>313</v>
      </c>
    </row>
    <row r="1060" spans="4:5" ht="15">
      <c r="D1060" s="147">
        <v>10128600</v>
      </c>
      <c r="E1060" s="147" t="s">
        <v>317</v>
      </c>
    </row>
    <row r="1061" spans="4:5" ht="15">
      <c r="D1061" s="147">
        <v>10128579</v>
      </c>
      <c r="E1061" s="147" t="s">
        <v>313</v>
      </c>
    </row>
    <row r="1062" spans="4:5" ht="15">
      <c r="D1062" s="147">
        <v>10128580</v>
      </c>
      <c r="E1062" s="147" t="s">
        <v>317</v>
      </c>
    </row>
    <row r="1063" spans="4:5" ht="15">
      <c r="D1063" s="147">
        <v>10128581</v>
      </c>
      <c r="E1063" s="147" t="s">
        <v>317</v>
      </c>
    </row>
    <row r="1064" spans="4:5" ht="15">
      <c r="D1064" s="147">
        <v>10128582</v>
      </c>
      <c r="E1064" s="147" t="s">
        <v>320</v>
      </c>
    </row>
    <row r="1065" spans="4:5" ht="15">
      <c r="D1065" s="147">
        <v>10128595</v>
      </c>
      <c r="E1065" s="147" t="s">
        <v>320</v>
      </c>
    </row>
    <row r="1066" spans="4:5" ht="15">
      <c r="D1066" s="147">
        <v>10128596</v>
      </c>
      <c r="E1066" s="147" t="s">
        <v>312</v>
      </c>
    </row>
    <row r="1067" spans="4:5" ht="15">
      <c r="D1067" s="147">
        <v>10128597</v>
      </c>
      <c r="E1067" s="147" t="s">
        <v>317</v>
      </c>
    </row>
    <row r="1068" spans="4:5" ht="15">
      <c r="D1068" s="147">
        <v>10128598</v>
      </c>
      <c r="E1068" s="147" t="s">
        <v>320</v>
      </c>
    </row>
    <row r="1069" spans="4:5" ht="15">
      <c r="D1069" s="147">
        <v>10128599</v>
      </c>
      <c r="E1069" s="147" t="s">
        <v>313</v>
      </c>
    </row>
    <row r="1070" spans="4:5" ht="15">
      <c r="D1070" s="147">
        <v>10128600</v>
      </c>
      <c r="E1070" s="147" t="s">
        <v>317</v>
      </c>
    </row>
    <row r="1071" spans="4:5" ht="15">
      <c r="D1071" s="147">
        <v>10128579</v>
      </c>
      <c r="E1071" s="147" t="s">
        <v>313</v>
      </c>
    </row>
    <row r="1072" spans="4:5" ht="15">
      <c r="D1072" s="147">
        <v>10128580</v>
      </c>
      <c r="E1072" s="147" t="s">
        <v>317</v>
      </c>
    </row>
    <row r="1073" spans="4:5" ht="15">
      <c r="D1073" s="147">
        <v>10128581</v>
      </c>
      <c r="E1073" s="147" t="s">
        <v>317</v>
      </c>
    </row>
    <row r="1074" spans="4:5" ht="15">
      <c r="D1074" s="147">
        <v>10128582</v>
      </c>
      <c r="E1074" s="147" t="s">
        <v>320</v>
      </c>
    </row>
    <row r="1075" spans="4:5" ht="15">
      <c r="D1075" s="147">
        <v>10128595</v>
      </c>
      <c r="E1075" s="147" t="s">
        <v>320</v>
      </c>
    </row>
    <row r="1076" spans="4:5" ht="15">
      <c r="D1076" s="147">
        <v>10128596</v>
      </c>
      <c r="E1076" s="147" t="s">
        <v>312</v>
      </c>
    </row>
    <row r="1077" spans="4:5" ht="15">
      <c r="D1077" s="147">
        <v>10128597</v>
      </c>
      <c r="E1077" s="147" t="s">
        <v>317</v>
      </c>
    </row>
    <row r="1078" spans="4:5" ht="15">
      <c r="D1078" s="147">
        <v>10128598</v>
      </c>
      <c r="E1078" s="147" t="s">
        <v>320</v>
      </c>
    </row>
    <row r="1079" spans="4:5" ht="15">
      <c r="D1079" s="147">
        <v>10128599</v>
      </c>
      <c r="E1079" s="147" t="s">
        <v>313</v>
      </c>
    </row>
    <row r="1080" spans="4:5" ht="15">
      <c r="D1080" s="147">
        <v>10128600</v>
      </c>
      <c r="E1080" s="147" t="s">
        <v>317</v>
      </c>
    </row>
    <row r="1081" spans="4:5" ht="15">
      <c r="D1081" s="147">
        <v>10128579</v>
      </c>
      <c r="E1081" s="147" t="s">
        <v>313</v>
      </c>
    </row>
    <row r="1082" spans="4:5" ht="15">
      <c r="D1082" s="147">
        <v>10128580</v>
      </c>
      <c r="E1082" s="147" t="s">
        <v>317</v>
      </c>
    </row>
    <row r="1083" spans="4:5" ht="15">
      <c r="D1083" s="147">
        <v>10128581</v>
      </c>
      <c r="E1083" s="147" t="s">
        <v>317</v>
      </c>
    </row>
    <row r="1084" spans="4:5" ht="15">
      <c r="D1084" s="147">
        <v>10128582</v>
      </c>
      <c r="E1084" s="147" t="s">
        <v>320</v>
      </c>
    </row>
    <row r="1085" spans="4:5" ht="15">
      <c r="D1085" s="147">
        <v>10128595</v>
      </c>
      <c r="E1085" s="147" t="s">
        <v>320</v>
      </c>
    </row>
    <row r="1086" spans="4:5" ht="15">
      <c r="D1086" s="147">
        <v>10128596</v>
      </c>
      <c r="E1086" s="147" t="s">
        <v>312</v>
      </c>
    </row>
    <row r="1087" spans="4:5" ht="15">
      <c r="D1087" s="147">
        <v>10128597</v>
      </c>
      <c r="E1087" s="147" t="s">
        <v>317</v>
      </c>
    </row>
    <row r="1088" spans="4:5" ht="15">
      <c r="D1088" s="147">
        <v>10128598</v>
      </c>
      <c r="E1088" s="147" t="s">
        <v>320</v>
      </c>
    </row>
    <row r="1089" spans="4:5" ht="15">
      <c r="D1089" s="147">
        <v>10128599</v>
      </c>
      <c r="E1089" s="147" t="s">
        <v>313</v>
      </c>
    </row>
    <row r="1090" spans="4:5" ht="15">
      <c r="D1090" s="147">
        <v>10128600</v>
      </c>
      <c r="E1090" s="147" t="s">
        <v>317</v>
      </c>
    </row>
    <row r="1091" spans="4:5" ht="15">
      <c r="D1091" s="147">
        <v>10128579</v>
      </c>
      <c r="E1091" s="147" t="s">
        <v>313</v>
      </c>
    </row>
    <row r="1092" spans="4:5" ht="15">
      <c r="D1092" s="147">
        <v>10128580</v>
      </c>
      <c r="E1092" s="147" t="s">
        <v>317</v>
      </c>
    </row>
    <row r="1093" spans="4:5" ht="15">
      <c r="D1093" s="147">
        <v>10128581</v>
      </c>
      <c r="E1093" s="147" t="s">
        <v>317</v>
      </c>
    </row>
    <row r="1094" spans="4:5" ht="15">
      <c r="D1094" s="147">
        <v>10128582</v>
      </c>
      <c r="E1094" s="147" t="s">
        <v>320</v>
      </c>
    </row>
    <row r="1095" spans="4:5" ht="15">
      <c r="D1095" s="147">
        <v>10128595</v>
      </c>
      <c r="E1095" s="147" t="s">
        <v>320</v>
      </c>
    </row>
    <row r="1096" spans="4:5" ht="15">
      <c r="D1096" s="147">
        <v>10128596</v>
      </c>
      <c r="E1096" s="147" t="s">
        <v>312</v>
      </c>
    </row>
    <row r="1097" spans="4:5" ht="15">
      <c r="D1097" s="147">
        <v>10128597</v>
      </c>
      <c r="E1097" s="147" t="s">
        <v>317</v>
      </c>
    </row>
    <row r="1098" spans="4:5" ht="15">
      <c r="D1098" s="147">
        <v>10128598</v>
      </c>
      <c r="E1098" s="147" t="s">
        <v>320</v>
      </c>
    </row>
    <row r="1099" spans="4:5" ht="15">
      <c r="D1099" s="147">
        <v>10128599</v>
      </c>
      <c r="E1099" s="147" t="s">
        <v>313</v>
      </c>
    </row>
    <row r="1100" spans="4:5" ht="15">
      <c r="D1100" s="147">
        <v>10128600</v>
      </c>
      <c r="E1100" s="147" t="s">
        <v>317</v>
      </c>
    </row>
    <row r="1101" spans="4:5" ht="15">
      <c r="D1101" s="147">
        <v>10128579</v>
      </c>
      <c r="E1101" s="147" t="s">
        <v>313</v>
      </c>
    </row>
    <row r="1102" spans="4:5" ht="15">
      <c r="D1102" s="147">
        <v>10128580</v>
      </c>
      <c r="E1102" s="147" t="s">
        <v>317</v>
      </c>
    </row>
    <row r="1103" spans="4:5" ht="15">
      <c r="D1103" s="147">
        <v>10128581</v>
      </c>
      <c r="E1103" s="147" t="s">
        <v>317</v>
      </c>
    </row>
    <row r="1104" spans="4:5" ht="15">
      <c r="D1104" s="147">
        <v>10128582</v>
      </c>
      <c r="E1104" s="147" t="s">
        <v>320</v>
      </c>
    </row>
    <row r="1105" spans="4:5" ht="15">
      <c r="D1105" s="147">
        <v>10128595</v>
      </c>
      <c r="E1105" s="147" t="s">
        <v>320</v>
      </c>
    </row>
    <row r="1106" spans="4:5" ht="15">
      <c r="D1106" s="147">
        <v>10128596</v>
      </c>
      <c r="E1106" s="147" t="s">
        <v>312</v>
      </c>
    </row>
    <row r="1107" spans="4:5" ht="15">
      <c r="D1107" s="147">
        <v>10128597</v>
      </c>
      <c r="E1107" s="147" t="s">
        <v>317</v>
      </c>
    </row>
    <row r="1108" spans="4:5" ht="15">
      <c r="D1108" s="147">
        <v>10128598</v>
      </c>
      <c r="E1108" s="147" t="s">
        <v>320</v>
      </c>
    </row>
    <row r="1109" spans="4:5" ht="15">
      <c r="D1109" s="147">
        <v>10128599</v>
      </c>
      <c r="E1109" s="147" t="s">
        <v>313</v>
      </c>
    </row>
    <row r="1110" spans="4:5" ht="15">
      <c r="D1110" s="147">
        <v>10128600</v>
      </c>
      <c r="E1110" s="147" t="s">
        <v>317</v>
      </c>
    </row>
    <row r="1111" spans="4:5" ht="15">
      <c r="D1111" s="147">
        <v>10128579</v>
      </c>
      <c r="E1111" s="147" t="s">
        <v>313</v>
      </c>
    </row>
    <row r="1112" spans="4:5" ht="15">
      <c r="D1112" s="147">
        <v>10128580</v>
      </c>
      <c r="E1112" s="147" t="s">
        <v>317</v>
      </c>
    </row>
    <row r="1113" spans="4:5" ht="15">
      <c r="D1113" s="147">
        <v>10128581</v>
      </c>
      <c r="E1113" s="147" t="s">
        <v>317</v>
      </c>
    </row>
    <row r="1114" spans="4:5" ht="15">
      <c r="D1114" s="147">
        <v>10128582</v>
      </c>
      <c r="E1114" s="147" t="s">
        <v>320</v>
      </c>
    </row>
    <row r="1115" spans="4:5" ht="15">
      <c r="D1115" s="147">
        <v>10128595</v>
      </c>
      <c r="E1115" s="147" t="s">
        <v>320</v>
      </c>
    </row>
    <row r="1116" spans="4:5" ht="15">
      <c r="D1116" s="147">
        <v>10128596</v>
      </c>
      <c r="E1116" s="147" t="s">
        <v>312</v>
      </c>
    </row>
    <row r="1117" spans="4:5" ht="15">
      <c r="D1117" s="147">
        <v>10128597</v>
      </c>
      <c r="E1117" s="147" t="s">
        <v>317</v>
      </c>
    </row>
    <row r="1118" spans="4:5" ht="15">
      <c r="D1118" s="147">
        <v>10128598</v>
      </c>
      <c r="E1118" s="147" t="s">
        <v>320</v>
      </c>
    </row>
    <row r="1119" spans="4:5" ht="15">
      <c r="D1119" s="147">
        <v>10128599</v>
      </c>
      <c r="E1119" s="147" t="s">
        <v>313</v>
      </c>
    </row>
    <row r="1120" spans="4:5" ht="15">
      <c r="D1120" s="147">
        <v>10128600</v>
      </c>
      <c r="E1120" s="147" t="s">
        <v>317</v>
      </c>
    </row>
    <row r="1121" spans="4:5" ht="15">
      <c r="D1121" s="147">
        <v>10128579</v>
      </c>
      <c r="E1121" s="147" t="s">
        <v>313</v>
      </c>
    </row>
    <row r="1122" spans="4:5" ht="15">
      <c r="D1122" s="147">
        <v>10128580</v>
      </c>
      <c r="E1122" s="147" t="s">
        <v>317</v>
      </c>
    </row>
    <row r="1123" spans="4:5" ht="15">
      <c r="D1123" s="147">
        <v>10128581</v>
      </c>
      <c r="E1123" s="147" t="s">
        <v>317</v>
      </c>
    </row>
    <row r="1124" spans="4:5" ht="15">
      <c r="D1124" s="147">
        <v>10128582</v>
      </c>
      <c r="E1124" s="147" t="s">
        <v>320</v>
      </c>
    </row>
    <row r="1125" spans="4:5" ht="15">
      <c r="D1125" s="147">
        <v>10128595</v>
      </c>
      <c r="E1125" s="147" t="s">
        <v>320</v>
      </c>
    </row>
    <row r="1126" spans="4:5" ht="15">
      <c r="D1126" s="147">
        <v>10128596</v>
      </c>
      <c r="E1126" s="147" t="s">
        <v>312</v>
      </c>
    </row>
    <row r="1127" spans="4:5" ht="15">
      <c r="D1127" s="147">
        <v>10128597</v>
      </c>
      <c r="E1127" s="147" t="s">
        <v>317</v>
      </c>
    </row>
    <row r="1128" spans="4:5" ht="15">
      <c r="D1128" s="147">
        <v>10128598</v>
      </c>
      <c r="E1128" s="147" t="s">
        <v>320</v>
      </c>
    </row>
    <row r="1129" spans="4:5" ht="15">
      <c r="D1129" s="147">
        <v>10128599</v>
      </c>
      <c r="E1129" s="147" t="s">
        <v>313</v>
      </c>
    </row>
    <row r="1130" spans="4:5" ht="15">
      <c r="D1130" s="147">
        <v>10128600</v>
      </c>
      <c r="E1130" s="147" t="s">
        <v>317</v>
      </c>
    </row>
    <row r="1131" spans="4:5" ht="15">
      <c r="D1131" s="147">
        <v>10128579</v>
      </c>
      <c r="E1131" s="147" t="s">
        <v>313</v>
      </c>
    </row>
    <row r="1132" spans="4:5" ht="15">
      <c r="D1132" s="147">
        <v>10128580</v>
      </c>
      <c r="E1132" s="147" t="s">
        <v>317</v>
      </c>
    </row>
    <row r="1133" spans="4:5" ht="15">
      <c r="D1133" s="147">
        <v>10128581</v>
      </c>
      <c r="E1133" s="147" t="s">
        <v>317</v>
      </c>
    </row>
    <row r="1134" spans="4:5" ht="15">
      <c r="D1134" s="147">
        <v>10128582</v>
      </c>
      <c r="E1134" s="147" t="s">
        <v>320</v>
      </c>
    </row>
    <row r="1135" spans="4:5" ht="15">
      <c r="D1135" s="147">
        <v>10128595</v>
      </c>
      <c r="E1135" s="147" t="s">
        <v>320</v>
      </c>
    </row>
    <row r="1136" spans="4:5" ht="15">
      <c r="D1136" s="147">
        <v>10128596</v>
      </c>
      <c r="E1136" s="147" t="s">
        <v>312</v>
      </c>
    </row>
    <row r="1137" spans="4:5" ht="15">
      <c r="D1137" s="147">
        <v>10128597</v>
      </c>
      <c r="E1137" s="147" t="s">
        <v>317</v>
      </c>
    </row>
    <row r="1138" spans="4:5" ht="15">
      <c r="D1138" s="147">
        <v>10128598</v>
      </c>
      <c r="E1138" s="147" t="s">
        <v>320</v>
      </c>
    </row>
    <row r="1139" spans="4:5" ht="15">
      <c r="D1139" s="147">
        <v>10128599</v>
      </c>
      <c r="E1139" s="147" t="s">
        <v>313</v>
      </c>
    </row>
    <row r="1140" spans="4:5" ht="15">
      <c r="D1140" s="147">
        <v>10128600</v>
      </c>
      <c r="E1140" s="147" t="s">
        <v>317</v>
      </c>
    </row>
    <row r="1141" spans="4:5" ht="15">
      <c r="D1141" s="147">
        <v>10128579</v>
      </c>
      <c r="E1141" s="147" t="s">
        <v>313</v>
      </c>
    </row>
    <row r="1142" spans="4:5" ht="15">
      <c r="D1142" s="147">
        <v>10128580</v>
      </c>
      <c r="E1142" s="147" t="s">
        <v>317</v>
      </c>
    </row>
    <row r="1143" spans="4:5" ht="15">
      <c r="D1143" s="147">
        <v>10128581</v>
      </c>
      <c r="E1143" s="147" t="s">
        <v>317</v>
      </c>
    </row>
    <row r="1144" spans="4:5" ht="15">
      <c r="D1144" s="147">
        <v>10128582</v>
      </c>
      <c r="E1144" s="147" t="s">
        <v>320</v>
      </c>
    </row>
    <row r="1145" spans="4:5" ht="15">
      <c r="D1145" s="147">
        <v>10128595</v>
      </c>
      <c r="E1145" s="147" t="s">
        <v>320</v>
      </c>
    </row>
    <row r="1146" spans="4:5" ht="15">
      <c r="D1146" s="147">
        <v>10128596</v>
      </c>
      <c r="E1146" s="147" t="s">
        <v>312</v>
      </c>
    </row>
    <row r="1147" spans="4:5" ht="15">
      <c r="D1147" s="147">
        <v>10128597</v>
      </c>
      <c r="E1147" s="147" t="s">
        <v>317</v>
      </c>
    </row>
    <row r="1148" spans="4:5" ht="15">
      <c r="D1148" s="147">
        <v>10128598</v>
      </c>
      <c r="E1148" s="147" t="s">
        <v>320</v>
      </c>
    </row>
    <row r="1149" spans="4:5" ht="15">
      <c r="D1149" s="147">
        <v>10128599</v>
      </c>
      <c r="E1149" s="147" t="s">
        <v>313</v>
      </c>
    </row>
    <row r="1150" spans="4:5" ht="15">
      <c r="D1150" s="147">
        <v>10128600</v>
      </c>
      <c r="E1150" s="147" t="s">
        <v>317</v>
      </c>
    </row>
    <row r="1151" spans="4:5" ht="15">
      <c r="D1151" s="147">
        <v>10128579</v>
      </c>
      <c r="E1151" s="147" t="s">
        <v>313</v>
      </c>
    </row>
    <row r="1152" spans="4:5" ht="15">
      <c r="D1152" s="147">
        <v>10128580</v>
      </c>
      <c r="E1152" s="147" t="s">
        <v>317</v>
      </c>
    </row>
    <row r="1153" spans="4:5" ht="15">
      <c r="D1153" s="147">
        <v>10128581</v>
      </c>
      <c r="E1153" s="147" t="s">
        <v>317</v>
      </c>
    </row>
    <row r="1154" spans="4:5" ht="15">
      <c r="D1154" s="147">
        <v>10128582</v>
      </c>
      <c r="E1154" s="147" t="s">
        <v>320</v>
      </c>
    </row>
    <row r="1155" spans="4:5" ht="15">
      <c r="D1155" s="147">
        <v>10128595</v>
      </c>
      <c r="E1155" s="147" t="s">
        <v>320</v>
      </c>
    </row>
    <row r="1156" spans="4:5" ht="15">
      <c r="D1156" s="147">
        <v>10128596</v>
      </c>
      <c r="E1156" s="147" t="s">
        <v>312</v>
      </c>
    </row>
    <row r="1157" spans="4:5" ht="15">
      <c r="D1157" s="147">
        <v>10128597</v>
      </c>
      <c r="E1157" s="147" t="s">
        <v>317</v>
      </c>
    </row>
    <row r="1158" spans="4:5" ht="15">
      <c r="D1158" s="147">
        <v>10128598</v>
      </c>
      <c r="E1158" s="147" t="s">
        <v>320</v>
      </c>
    </row>
    <row r="1159" spans="4:5" ht="15">
      <c r="D1159" s="147">
        <v>10128599</v>
      </c>
      <c r="E1159" s="147" t="s">
        <v>313</v>
      </c>
    </row>
    <row r="1160" spans="4:5" ht="15">
      <c r="D1160" s="147">
        <v>10128600</v>
      </c>
      <c r="E1160" s="147" t="s">
        <v>317</v>
      </c>
    </row>
    <row r="1161" spans="4:5" ht="15">
      <c r="D1161" s="147">
        <v>10128579</v>
      </c>
      <c r="E1161" s="147" t="s">
        <v>313</v>
      </c>
    </row>
    <row r="1162" spans="4:5" ht="15">
      <c r="D1162" s="147">
        <v>10128580</v>
      </c>
      <c r="E1162" s="147" t="s">
        <v>317</v>
      </c>
    </row>
    <row r="1163" spans="4:5" ht="15">
      <c r="D1163" s="147">
        <v>10128581</v>
      </c>
      <c r="E1163" s="147" t="s">
        <v>317</v>
      </c>
    </row>
    <row r="1164" spans="4:5" ht="15">
      <c r="D1164" s="147">
        <v>10128582</v>
      </c>
      <c r="E1164" s="147" t="s">
        <v>320</v>
      </c>
    </row>
    <row r="1165" spans="4:5" ht="15">
      <c r="D1165" s="147">
        <v>10128595</v>
      </c>
      <c r="E1165" s="147" t="s">
        <v>320</v>
      </c>
    </row>
    <row r="1166" spans="4:5" ht="15">
      <c r="D1166" s="147">
        <v>10128596</v>
      </c>
      <c r="E1166" s="147" t="s">
        <v>312</v>
      </c>
    </row>
    <row r="1167" spans="4:5" ht="15">
      <c r="D1167" s="147">
        <v>10128597</v>
      </c>
      <c r="E1167" s="147" t="s">
        <v>317</v>
      </c>
    </row>
    <row r="1168" spans="4:5" ht="15">
      <c r="D1168" s="147">
        <v>10128598</v>
      </c>
      <c r="E1168" s="147" t="s">
        <v>320</v>
      </c>
    </row>
    <row r="1169" spans="4:5" ht="15">
      <c r="D1169" s="147">
        <v>10128599</v>
      </c>
      <c r="E1169" s="147" t="s">
        <v>313</v>
      </c>
    </row>
    <row r="1170" spans="4:5" ht="15">
      <c r="D1170" s="147">
        <v>10128600</v>
      </c>
      <c r="E1170" s="147" t="s">
        <v>317</v>
      </c>
    </row>
    <row r="1171" spans="4:5" ht="15">
      <c r="D1171" s="147">
        <v>10128579</v>
      </c>
      <c r="E1171" s="147" t="s">
        <v>313</v>
      </c>
    </row>
    <row r="1172" spans="4:5" ht="15">
      <c r="D1172" s="147">
        <v>10128580</v>
      </c>
      <c r="E1172" s="147" t="s">
        <v>317</v>
      </c>
    </row>
    <row r="1173" spans="4:5" ht="15">
      <c r="D1173" s="147">
        <v>10128581</v>
      </c>
      <c r="E1173" s="147" t="s">
        <v>317</v>
      </c>
    </row>
    <row r="1174" spans="4:5" ht="15">
      <c r="D1174" s="147">
        <v>10128582</v>
      </c>
      <c r="E1174" s="147" t="s">
        <v>320</v>
      </c>
    </row>
    <row r="1175" spans="4:5" ht="15">
      <c r="D1175" s="147">
        <v>10128595</v>
      </c>
      <c r="E1175" s="147" t="s">
        <v>320</v>
      </c>
    </row>
    <row r="1176" spans="4:5" ht="15">
      <c r="D1176" s="147">
        <v>10128596</v>
      </c>
      <c r="E1176" s="147" t="s">
        <v>312</v>
      </c>
    </row>
    <row r="1177" spans="4:5" ht="15">
      <c r="D1177" s="147">
        <v>10128597</v>
      </c>
      <c r="E1177" s="147" t="s">
        <v>317</v>
      </c>
    </row>
    <row r="1178" spans="4:5" ht="15">
      <c r="D1178" s="147">
        <v>10128598</v>
      </c>
      <c r="E1178" s="147" t="s">
        <v>320</v>
      </c>
    </row>
    <row r="1179" spans="4:5" ht="15">
      <c r="D1179" s="147">
        <v>10128599</v>
      </c>
      <c r="E1179" s="147" t="s">
        <v>313</v>
      </c>
    </row>
    <row r="1180" spans="4:5" ht="15">
      <c r="D1180" s="147">
        <v>10128600</v>
      </c>
      <c r="E1180" s="147" t="s">
        <v>317</v>
      </c>
    </row>
    <row r="1181" spans="4:5" ht="15">
      <c r="D1181" s="147">
        <v>10128579</v>
      </c>
      <c r="E1181" s="147" t="s">
        <v>313</v>
      </c>
    </row>
    <row r="1182" spans="4:5" ht="15">
      <c r="D1182" s="147">
        <v>10128580</v>
      </c>
      <c r="E1182" s="147" t="s">
        <v>317</v>
      </c>
    </row>
    <row r="1183" spans="4:5" ht="15">
      <c r="D1183" s="147">
        <v>10128581</v>
      </c>
      <c r="E1183" s="147" t="s">
        <v>317</v>
      </c>
    </row>
    <row r="1184" spans="4:5" ht="15">
      <c r="D1184" s="147">
        <v>10128582</v>
      </c>
      <c r="E1184" s="147" t="s">
        <v>320</v>
      </c>
    </row>
    <row r="1185" spans="4:5" ht="15">
      <c r="D1185" s="147">
        <v>10128595</v>
      </c>
      <c r="E1185" s="147" t="s">
        <v>320</v>
      </c>
    </row>
    <row r="1186" spans="4:5" ht="15">
      <c r="D1186" s="147">
        <v>10128596</v>
      </c>
      <c r="E1186" s="147" t="s">
        <v>312</v>
      </c>
    </row>
    <row r="1187" spans="4:5" ht="15">
      <c r="D1187" s="147">
        <v>10128597</v>
      </c>
      <c r="E1187" s="147" t="s">
        <v>317</v>
      </c>
    </row>
    <row r="1188" spans="4:5" ht="15">
      <c r="D1188" s="147">
        <v>10128598</v>
      </c>
      <c r="E1188" s="147" t="s">
        <v>320</v>
      </c>
    </row>
    <row r="1189" spans="4:5" ht="15">
      <c r="D1189" s="147">
        <v>10128599</v>
      </c>
      <c r="E1189" s="147" t="s">
        <v>313</v>
      </c>
    </row>
    <row r="1190" spans="4:5" ht="15">
      <c r="D1190" s="147">
        <v>10128600</v>
      </c>
      <c r="E1190" s="147" t="s">
        <v>317</v>
      </c>
    </row>
    <row r="1191" spans="4:5" ht="15">
      <c r="D1191" s="147">
        <v>10128579</v>
      </c>
      <c r="E1191" s="147" t="s">
        <v>313</v>
      </c>
    </row>
    <row r="1192" spans="4:5" ht="15">
      <c r="D1192" s="147">
        <v>10128580</v>
      </c>
      <c r="E1192" s="147" t="s">
        <v>317</v>
      </c>
    </row>
    <row r="1193" spans="4:5" ht="15">
      <c r="D1193" s="147">
        <v>10128581</v>
      </c>
      <c r="E1193" s="147" t="s">
        <v>317</v>
      </c>
    </row>
    <row r="1194" spans="4:5" ht="15">
      <c r="D1194" s="147">
        <v>10128582</v>
      </c>
      <c r="E1194" s="147" t="s">
        <v>320</v>
      </c>
    </row>
    <row r="1195" spans="4:5" ht="15">
      <c r="D1195" s="147">
        <v>10128595</v>
      </c>
      <c r="E1195" s="147" t="s">
        <v>320</v>
      </c>
    </row>
    <row r="1196" spans="4:5" ht="15">
      <c r="D1196" s="147">
        <v>10128596</v>
      </c>
      <c r="E1196" s="147" t="s">
        <v>312</v>
      </c>
    </row>
    <row r="1197" spans="4:5" ht="15">
      <c r="D1197" s="147">
        <v>10128597</v>
      </c>
      <c r="E1197" s="147" t="s">
        <v>317</v>
      </c>
    </row>
    <row r="1198" spans="4:5" ht="15">
      <c r="D1198" s="147">
        <v>10128598</v>
      </c>
      <c r="E1198" s="147" t="s">
        <v>320</v>
      </c>
    </row>
    <row r="1199" spans="4:5" ht="15">
      <c r="D1199" s="147">
        <v>10128599</v>
      </c>
      <c r="E1199" s="147" t="s">
        <v>313</v>
      </c>
    </row>
    <row r="1200" spans="4:5" ht="15">
      <c r="D1200" s="147">
        <v>10128600</v>
      </c>
      <c r="E1200" s="147" t="s">
        <v>317</v>
      </c>
    </row>
    <row r="1201" spans="4:5" ht="15">
      <c r="D1201" s="147">
        <v>10128579</v>
      </c>
      <c r="E1201" s="147" t="s">
        <v>313</v>
      </c>
    </row>
    <row r="1202" spans="4:5" ht="15">
      <c r="D1202" s="147">
        <v>10128580</v>
      </c>
      <c r="E1202" s="147" t="s">
        <v>317</v>
      </c>
    </row>
    <row r="1203" spans="4:5" ht="15">
      <c r="D1203" s="147">
        <v>10128581</v>
      </c>
      <c r="E1203" s="147" t="s">
        <v>317</v>
      </c>
    </row>
    <row r="1204" spans="4:5" ht="15">
      <c r="D1204" s="147">
        <v>10128582</v>
      </c>
      <c r="E1204" s="147" t="s">
        <v>320</v>
      </c>
    </row>
    <row r="1205" spans="4:5" ht="15">
      <c r="D1205" s="147">
        <v>10128595</v>
      </c>
      <c r="E1205" s="147" t="s">
        <v>320</v>
      </c>
    </row>
    <row r="1206" spans="4:5" ht="15">
      <c r="D1206" s="147">
        <v>10128596</v>
      </c>
      <c r="E1206" s="147" t="s">
        <v>312</v>
      </c>
    </row>
    <row r="1207" spans="4:5" ht="15">
      <c r="D1207" s="147">
        <v>10128597</v>
      </c>
      <c r="E1207" s="147" t="s">
        <v>317</v>
      </c>
    </row>
    <row r="1208" spans="4:5" ht="15">
      <c r="D1208" s="147">
        <v>10128598</v>
      </c>
      <c r="E1208" s="147" t="s">
        <v>320</v>
      </c>
    </row>
    <row r="1209" spans="4:5" ht="15">
      <c r="D1209" s="147">
        <v>10128599</v>
      </c>
      <c r="E1209" s="147" t="s">
        <v>313</v>
      </c>
    </row>
    <row r="1210" spans="4:5" ht="15">
      <c r="D1210" s="147">
        <v>10128600</v>
      </c>
      <c r="E1210" s="147" t="s">
        <v>317</v>
      </c>
    </row>
    <row r="1211" spans="4:5" ht="15">
      <c r="D1211" s="147">
        <v>10128579</v>
      </c>
      <c r="E1211" s="147" t="s">
        <v>313</v>
      </c>
    </row>
    <row r="1212" spans="4:5" ht="15">
      <c r="D1212" s="147">
        <v>10128580</v>
      </c>
      <c r="E1212" s="147" t="s">
        <v>317</v>
      </c>
    </row>
    <row r="1213" spans="4:5" ht="15">
      <c r="D1213" s="147">
        <v>10128581</v>
      </c>
      <c r="E1213" s="147" t="s">
        <v>317</v>
      </c>
    </row>
    <row r="1214" spans="4:5" ht="15">
      <c r="D1214" s="147">
        <v>10128582</v>
      </c>
      <c r="E1214" s="147" t="s">
        <v>320</v>
      </c>
    </row>
    <row r="1215" spans="4:5" ht="15">
      <c r="D1215" s="147">
        <v>10128595</v>
      </c>
      <c r="E1215" s="147" t="s">
        <v>320</v>
      </c>
    </row>
    <row r="1216" spans="4:5" ht="15">
      <c r="D1216" s="147">
        <v>10128596</v>
      </c>
      <c r="E1216" s="147" t="s">
        <v>312</v>
      </c>
    </row>
    <row r="1217" spans="4:5" ht="15">
      <c r="D1217" s="147">
        <v>10128597</v>
      </c>
      <c r="E1217" s="147" t="s">
        <v>317</v>
      </c>
    </row>
    <row r="1218" spans="4:5" ht="15">
      <c r="D1218" s="147">
        <v>10128598</v>
      </c>
      <c r="E1218" s="147" t="s">
        <v>320</v>
      </c>
    </row>
    <row r="1219" spans="4:5" ht="15">
      <c r="D1219" s="147">
        <v>10128599</v>
      </c>
      <c r="E1219" s="147" t="s">
        <v>313</v>
      </c>
    </row>
    <row r="1220" spans="4:5" ht="15">
      <c r="D1220" s="147">
        <v>10128600</v>
      </c>
      <c r="E1220" s="147" t="s">
        <v>317</v>
      </c>
    </row>
    <row r="1221" spans="4:5" ht="15">
      <c r="D1221" s="147">
        <v>10128579</v>
      </c>
      <c r="E1221" s="147" t="s">
        <v>313</v>
      </c>
    </row>
    <row r="1222" spans="4:5" ht="15">
      <c r="D1222" s="147">
        <v>10128580</v>
      </c>
      <c r="E1222" s="147" t="s">
        <v>317</v>
      </c>
    </row>
    <row r="1223" spans="4:5" ht="15">
      <c r="D1223" s="147">
        <v>10128581</v>
      </c>
      <c r="E1223" s="147" t="s">
        <v>317</v>
      </c>
    </row>
    <row r="1224" spans="4:5" ht="15">
      <c r="D1224" s="147">
        <v>10128582</v>
      </c>
      <c r="E1224" s="147" t="s">
        <v>320</v>
      </c>
    </row>
    <row r="1225" spans="4:5" ht="15">
      <c r="D1225" s="147">
        <v>10128595</v>
      </c>
      <c r="E1225" s="147" t="s">
        <v>320</v>
      </c>
    </row>
    <row r="1226" spans="4:5" ht="15">
      <c r="D1226" s="147">
        <v>10128596</v>
      </c>
      <c r="E1226" s="147" t="s">
        <v>312</v>
      </c>
    </row>
    <row r="1227" spans="4:5" ht="15">
      <c r="D1227" s="147">
        <v>10128597</v>
      </c>
      <c r="E1227" s="147" t="s">
        <v>317</v>
      </c>
    </row>
    <row r="1228" spans="4:5" ht="15">
      <c r="D1228" s="147">
        <v>10128598</v>
      </c>
      <c r="E1228" s="147" t="s">
        <v>320</v>
      </c>
    </row>
    <row r="1229" spans="4:5" ht="15">
      <c r="D1229" s="147">
        <v>10128599</v>
      </c>
      <c r="E1229" s="147" t="s">
        <v>313</v>
      </c>
    </row>
    <row r="1230" spans="4:5" ht="15">
      <c r="D1230" s="147">
        <v>10128600</v>
      </c>
      <c r="E1230" s="147" t="s">
        <v>317</v>
      </c>
    </row>
    <row r="1231" spans="4:5" ht="15">
      <c r="D1231" s="147">
        <v>10128579</v>
      </c>
      <c r="E1231" s="147" t="s">
        <v>313</v>
      </c>
    </row>
    <row r="1232" spans="4:5" ht="15">
      <c r="D1232" s="147">
        <v>10128580</v>
      </c>
      <c r="E1232" s="147" t="s">
        <v>317</v>
      </c>
    </row>
    <row r="1233" spans="4:5" ht="15">
      <c r="D1233" s="147">
        <v>10128581</v>
      </c>
      <c r="E1233" s="147" t="s">
        <v>317</v>
      </c>
    </row>
    <row r="1234" spans="4:5" ht="15">
      <c r="D1234" s="147">
        <v>10128582</v>
      </c>
      <c r="E1234" s="147" t="s">
        <v>320</v>
      </c>
    </row>
    <row r="1235" spans="4:5" ht="15">
      <c r="D1235" s="147">
        <v>10128595</v>
      </c>
      <c r="E1235" s="147" t="s">
        <v>320</v>
      </c>
    </row>
    <row r="1236" spans="4:5" ht="15">
      <c r="D1236" s="147">
        <v>10128596</v>
      </c>
      <c r="E1236" s="147" t="s">
        <v>312</v>
      </c>
    </row>
    <row r="1237" spans="4:5" ht="15">
      <c r="D1237" s="147">
        <v>10128597</v>
      </c>
      <c r="E1237" s="147" t="s">
        <v>317</v>
      </c>
    </row>
    <row r="1238" spans="4:5" ht="15">
      <c r="D1238" s="147">
        <v>10128598</v>
      </c>
      <c r="E1238" s="147" t="s">
        <v>320</v>
      </c>
    </row>
    <row r="1239" spans="4:5" ht="15">
      <c r="D1239" s="147">
        <v>10128599</v>
      </c>
      <c r="E1239" s="147" t="s">
        <v>313</v>
      </c>
    </row>
    <row r="1240" spans="4:5" ht="15">
      <c r="D1240" s="147">
        <v>10128600</v>
      </c>
      <c r="E1240" s="147" t="s">
        <v>317</v>
      </c>
    </row>
    <row r="1241" spans="4:5" ht="15">
      <c r="D1241" s="147">
        <v>10128579</v>
      </c>
      <c r="E1241" s="147" t="s">
        <v>313</v>
      </c>
    </row>
    <row r="1242" spans="4:5" ht="15">
      <c r="D1242" s="147">
        <v>10128580</v>
      </c>
      <c r="E1242" s="147" t="s">
        <v>317</v>
      </c>
    </row>
    <row r="1243" spans="4:5" ht="15">
      <c r="D1243" s="147">
        <v>10128581</v>
      </c>
      <c r="E1243" s="147" t="s">
        <v>317</v>
      </c>
    </row>
    <row r="1244" spans="4:5" ht="15">
      <c r="D1244" s="147">
        <v>10128582</v>
      </c>
      <c r="E1244" s="147" t="s">
        <v>320</v>
      </c>
    </row>
    <row r="1245" spans="4:5" ht="15">
      <c r="D1245" s="147">
        <v>10128595</v>
      </c>
      <c r="E1245" s="147" t="s">
        <v>320</v>
      </c>
    </row>
    <row r="1246" spans="4:5" ht="15">
      <c r="D1246" s="147">
        <v>10128596</v>
      </c>
      <c r="E1246" s="147" t="s">
        <v>312</v>
      </c>
    </row>
    <row r="1247" spans="4:5" ht="15">
      <c r="D1247" s="147">
        <v>10128597</v>
      </c>
      <c r="E1247" s="147" t="s">
        <v>317</v>
      </c>
    </row>
    <row r="1248" spans="4:5" ht="15">
      <c r="D1248" s="147">
        <v>10128598</v>
      </c>
      <c r="E1248" s="147" t="s">
        <v>320</v>
      </c>
    </row>
    <row r="1249" spans="4:5" ht="15">
      <c r="D1249" s="147">
        <v>10128599</v>
      </c>
      <c r="E1249" s="147" t="s">
        <v>313</v>
      </c>
    </row>
    <row r="1250" spans="4:5" ht="15">
      <c r="D1250" s="147">
        <v>10128600</v>
      </c>
      <c r="E1250" s="147" t="s">
        <v>317</v>
      </c>
    </row>
    <row r="1251" spans="4:5" ht="15">
      <c r="D1251" s="147">
        <v>10128579</v>
      </c>
      <c r="E1251" s="147" t="s">
        <v>313</v>
      </c>
    </row>
    <row r="1252" spans="4:5" ht="15">
      <c r="D1252" s="147">
        <v>10128580</v>
      </c>
      <c r="E1252" s="147" t="s">
        <v>317</v>
      </c>
    </row>
    <row r="1253" spans="4:5" ht="15">
      <c r="D1253" s="147">
        <v>10128581</v>
      </c>
      <c r="E1253" s="147" t="s">
        <v>317</v>
      </c>
    </row>
    <row r="1254" spans="4:5" ht="15">
      <c r="D1254" s="147">
        <v>10128582</v>
      </c>
      <c r="E1254" s="147" t="s">
        <v>320</v>
      </c>
    </row>
    <row r="1255" spans="4:5" ht="15">
      <c r="D1255" s="147">
        <v>10128595</v>
      </c>
      <c r="E1255" s="147" t="s">
        <v>320</v>
      </c>
    </row>
    <row r="1256" spans="4:5" ht="15">
      <c r="D1256" s="147">
        <v>10128596</v>
      </c>
      <c r="E1256" s="147" t="s">
        <v>312</v>
      </c>
    </row>
    <row r="1257" spans="4:5" ht="15">
      <c r="D1257" s="147">
        <v>10128597</v>
      </c>
      <c r="E1257" s="147" t="s">
        <v>317</v>
      </c>
    </row>
    <row r="1258" spans="4:5" ht="15">
      <c r="D1258" s="147">
        <v>10128598</v>
      </c>
      <c r="E1258" s="147" t="s">
        <v>320</v>
      </c>
    </row>
    <row r="1259" spans="4:5" ht="15">
      <c r="D1259" s="147">
        <v>10128599</v>
      </c>
      <c r="E1259" s="147" t="s">
        <v>313</v>
      </c>
    </row>
    <row r="1260" spans="4:5" ht="15">
      <c r="D1260" s="147">
        <v>10128600</v>
      </c>
      <c r="E1260" s="147" t="s">
        <v>317</v>
      </c>
    </row>
    <row r="1261" spans="4:5" ht="15">
      <c r="D1261" s="147">
        <v>10128579</v>
      </c>
      <c r="E1261" s="147" t="s">
        <v>313</v>
      </c>
    </row>
    <row r="1262" spans="4:5" ht="15">
      <c r="D1262" s="147">
        <v>10128580</v>
      </c>
      <c r="E1262" s="147" t="s">
        <v>317</v>
      </c>
    </row>
    <row r="1263" spans="4:5" ht="15">
      <c r="D1263" s="147">
        <v>10128581</v>
      </c>
      <c r="E1263" s="147" t="s">
        <v>317</v>
      </c>
    </row>
    <row r="1264" spans="4:5" ht="15">
      <c r="D1264" s="147">
        <v>10128582</v>
      </c>
      <c r="E1264" s="147" t="s">
        <v>320</v>
      </c>
    </row>
    <row r="1265" spans="4:5" ht="15">
      <c r="D1265" s="147">
        <v>10128595</v>
      </c>
      <c r="E1265" s="147" t="s">
        <v>320</v>
      </c>
    </row>
    <row r="1266" spans="4:5" ht="15">
      <c r="D1266" s="147">
        <v>10128596</v>
      </c>
      <c r="E1266" s="147" t="s">
        <v>312</v>
      </c>
    </row>
    <row r="1267" spans="4:5" ht="15">
      <c r="D1267" s="147">
        <v>10128597</v>
      </c>
      <c r="E1267" s="147" t="s">
        <v>317</v>
      </c>
    </row>
    <row r="1268" spans="4:5" ht="15">
      <c r="D1268" s="147">
        <v>10128598</v>
      </c>
      <c r="E1268" s="147" t="s">
        <v>320</v>
      </c>
    </row>
    <row r="1269" spans="4:5" ht="15">
      <c r="D1269" s="147">
        <v>10128599</v>
      </c>
      <c r="E1269" s="147" t="s">
        <v>313</v>
      </c>
    </row>
    <row r="1270" spans="4:5" ht="15">
      <c r="D1270" s="147">
        <v>10128600</v>
      </c>
      <c r="E1270" s="147" t="s">
        <v>317</v>
      </c>
    </row>
    <row r="1271" spans="4:5" ht="15">
      <c r="D1271" s="147">
        <v>10128579</v>
      </c>
      <c r="E1271" s="147" t="s">
        <v>313</v>
      </c>
    </row>
    <row r="1272" spans="4:5" ht="15">
      <c r="D1272" s="147">
        <v>10128580</v>
      </c>
      <c r="E1272" s="147" t="s">
        <v>317</v>
      </c>
    </row>
    <row r="1273" spans="4:5" ht="15">
      <c r="D1273" s="147">
        <v>10128581</v>
      </c>
      <c r="E1273" s="147" t="s">
        <v>317</v>
      </c>
    </row>
    <row r="1274" spans="4:5" ht="15">
      <c r="D1274" s="147">
        <v>10128582</v>
      </c>
      <c r="E1274" s="147" t="s">
        <v>320</v>
      </c>
    </row>
    <row r="1275" spans="4:5" ht="15">
      <c r="D1275" s="147">
        <v>10128595</v>
      </c>
      <c r="E1275" s="147" t="s">
        <v>320</v>
      </c>
    </row>
    <row r="1276" spans="4:5" ht="15">
      <c r="D1276" s="147">
        <v>10128596</v>
      </c>
      <c r="E1276" s="147" t="s">
        <v>312</v>
      </c>
    </row>
    <row r="1277" spans="4:5" ht="15">
      <c r="D1277" s="147">
        <v>10128597</v>
      </c>
      <c r="E1277" s="147" t="s">
        <v>317</v>
      </c>
    </row>
    <row r="1278" spans="4:5" ht="15">
      <c r="D1278" s="147">
        <v>10128598</v>
      </c>
      <c r="E1278" s="147" t="s">
        <v>320</v>
      </c>
    </row>
    <row r="1279" spans="4:5" ht="15">
      <c r="D1279" s="147">
        <v>10128599</v>
      </c>
      <c r="E1279" s="147" t="s">
        <v>313</v>
      </c>
    </row>
    <row r="1280" spans="4:5" ht="15">
      <c r="D1280" s="147">
        <v>10128600</v>
      </c>
      <c r="E1280" s="147" t="s">
        <v>317</v>
      </c>
    </row>
    <row r="1281" spans="4:5" ht="15">
      <c r="D1281" s="147">
        <v>10128579</v>
      </c>
      <c r="E1281" s="147" t="s">
        <v>313</v>
      </c>
    </row>
    <row r="1282" spans="4:5" ht="15">
      <c r="D1282" s="147">
        <v>10128580</v>
      </c>
      <c r="E1282" s="147" t="s">
        <v>317</v>
      </c>
    </row>
    <row r="1283" spans="4:5" ht="15">
      <c r="D1283" s="147">
        <v>10128581</v>
      </c>
      <c r="E1283" s="147" t="s">
        <v>317</v>
      </c>
    </row>
    <row r="1284" spans="4:5" ht="15">
      <c r="D1284" s="147">
        <v>10128582</v>
      </c>
      <c r="E1284" s="147" t="s">
        <v>320</v>
      </c>
    </row>
    <row r="1285" spans="4:5" ht="15">
      <c r="D1285" s="147">
        <v>10128595</v>
      </c>
      <c r="E1285" s="147" t="s">
        <v>320</v>
      </c>
    </row>
    <row r="1286" spans="4:5" ht="15">
      <c r="D1286" s="147">
        <v>10128596</v>
      </c>
      <c r="E1286" s="147" t="s">
        <v>312</v>
      </c>
    </row>
    <row r="1287" spans="4:5" ht="15">
      <c r="D1287" s="147">
        <v>10128597</v>
      </c>
      <c r="E1287" s="147" t="s">
        <v>317</v>
      </c>
    </row>
    <row r="1288" spans="4:5" ht="15">
      <c r="D1288" s="147">
        <v>10128598</v>
      </c>
      <c r="E1288" s="147" t="s">
        <v>320</v>
      </c>
    </row>
    <row r="1289" spans="4:5" ht="15">
      <c r="D1289" s="147">
        <v>10128599</v>
      </c>
      <c r="E1289" s="147" t="s">
        <v>313</v>
      </c>
    </row>
    <row r="1290" spans="4:5" ht="15">
      <c r="D1290" s="147">
        <v>10128600</v>
      </c>
      <c r="E1290" s="147" t="s">
        <v>317</v>
      </c>
    </row>
    <row r="1291" spans="4:5" ht="15">
      <c r="D1291" s="147">
        <v>10128579</v>
      </c>
      <c r="E1291" s="147" t="s">
        <v>313</v>
      </c>
    </row>
    <row r="1292" spans="4:5" ht="15">
      <c r="D1292" s="147">
        <v>10128580</v>
      </c>
      <c r="E1292" s="147" t="s">
        <v>317</v>
      </c>
    </row>
    <row r="1293" spans="4:5" ht="15">
      <c r="D1293" s="147">
        <v>10128581</v>
      </c>
      <c r="E1293" s="147" t="s">
        <v>317</v>
      </c>
    </row>
    <row r="1294" spans="4:5" ht="15">
      <c r="D1294" s="147">
        <v>10128582</v>
      </c>
      <c r="E1294" s="147" t="s">
        <v>320</v>
      </c>
    </row>
    <row r="1295" spans="4:5" ht="15">
      <c r="D1295" s="147">
        <v>10128595</v>
      </c>
      <c r="E1295" s="147" t="s">
        <v>320</v>
      </c>
    </row>
    <row r="1296" spans="4:5" ht="15">
      <c r="D1296" s="147">
        <v>10128596</v>
      </c>
      <c r="E1296" s="147" t="s">
        <v>312</v>
      </c>
    </row>
    <row r="1297" spans="4:5" ht="15">
      <c r="D1297" s="147">
        <v>10128597</v>
      </c>
      <c r="E1297" s="147" t="s">
        <v>317</v>
      </c>
    </row>
    <row r="1298" spans="4:5" ht="15">
      <c r="D1298" s="147">
        <v>10128598</v>
      </c>
      <c r="E1298" s="147" t="s">
        <v>320</v>
      </c>
    </row>
    <row r="1299" spans="4:5" ht="15">
      <c r="D1299" s="147">
        <v>10128599</v>
      </c>
      <c r="E1299" s="147" t="s">
        <v>313</v>
      </c>
    </row>
    <row r="1300" spans="4:5" ht="15">
      <c r="D1300" s="147">
        <v>10128600</v>
      </c>
      <c r="E1300" s="147" t="s">
        <v>317</v>
      </c>
    </row>
    <row r="1301" spans="4:5" ht="15">
      <c r="D1301" s="147">
        <v>10128579</v>
      </c>
      <c r="E1301" s="147" t="s">
        <v>313</v>
      </c>
    </row>
    <row r="1302" spans="4:5" ht="15">
      <c r="D1302" s="147">
        <v>10128580</v>
      </c>
      <c r="E1302" s="147" t="s">
        <v>317</v>
      </c>
    </row>
    <row r="1303" spans="4:5" ht="15">
      <c r="D1303" s="147">
        <v>10128581</v>
      </c>
      <c r="E1303" s="147" t="s">
        <v>317</v>
      </c>
    </row>
    <row r="1304" spans="4:5" ht="15">
      <c r="D1304" s="147">
        <v>10128582</v>
      </c>
      <c r="E1304" s="147" t="s">
        <v>320</v>
      </c>
    </row>
    <row r="1305" spans="4:5" ht="15">
      <c r="D1305" s="147">
        <v>10128595</v>
      </c>
      <c r="E1305" s="147" t="s">
        <v>320</v>
      </c>
    </row>
    <row r="1306" spans="4:5" ht="15">
      <c r="D1306" s="147">
        <v>10128596</v>
      </c>
      <c r="E1306" s="147" t="s">
        <v>312</v>
      </c>
    </row>
    <row r="1307" spans="4:5" ht="15">
      <c r="D1307" s="147">
        <v>10128597</v>
      </c>
      <c r="E1307" s="147" t="s">
        <v>317</v>
      </c>
    </row>
    <row r="1308" spans="4:5" ht="15">
      <c r="D1308" s="147">
        <v>10128598</v>
      </c>
      <c r="E1308" s="147" t="s">
        <v>320</v>
      </c>
    </row>
    <row r="1309" spans="4:5" ht="15">
      <c r="D1309" s="147">
        <v>10128599</v>
      </c>
      <c r="E1309" s="147" t="s">
        <v>313</v>
      </c>
    </row>
    <row r="1310" spans="4:5" ht="15">
      <c r="D1310" s="147">
        <v>10128600</v>
      </c>
      <c r="E1310" s="147" t="s">
        <v>317</v>
      </c>
    </row>
    <row r="1311" spans="4:5" ht="15">
      <c r="D1311" s="147">
        <v>10128579</v>
      </c>
      <c r="E1311" s="147" t="s">
        <v>313</v>
      </c>
    </row>
    <row r="1312" spans="4:5" ht="15">
      <c r="D1312" s="147">
        <v>10128580</v>
      </c>
      <c r="E1312" s="147" t="s">
        <v>317</v>
      </c>
    </row>
    <row r="1313" spans="4:5" ht="15">
      <c r="D1313" s="147">
        <v>10128581</v>
      </c>
      <c r="E1313" s="147" t="s">
        <v>317</v>
      </c>
    </row>
    <row r="1314" spans="4:5" ht="15">
      <c r="D1314" s="147">
        <v>10128582</v>
      </c>
      <c r="E1314" s="147" t="s">
        <v>320</v>
      </c>
    </row>
    <row r="1315" spans="4:5" ht="15">
      <c r="D1315" s="147">
        <v>10128595</v>
      </c>
      <c r="E1315" s="147" t="s">
        <v>320</v>
      </c>
    </row>
    <row r="1316" spans="4:5" ht="15">
      <c r="D1316" s="147">
        <v>10128596</v>
      </c>
      <c r="E1316" s="147" t="s">
        <v>312</v>
      </c>
    </row>
    <row r="1317" spans="4:5" ht="15">
      <c r="D1317" s="147">
        <v>10128597</v>
      </c>
      <c r="E1317" s="147" t="s">
        <v>317</v>
      </c>
    </row>
    <row r="1318" spans="4:5" ht="15">
      <c r="D1318" s="147">
        <v>10128598</v>
      </c>
      <c r="E1318" s="147" t="s">
        <v>320</v>
      </c>
    </row>
    <row r="1319" spans="4:5" ht="15">
      <c r="D1319" s="147">
        <v>10128599</v>
      </c>
      <c r="E1319" s="147" t="s">
        <v>313</v>
      </c>
    </row>
    <row r="1320" spans="4:5" ht="15">
      <c r="D1320" s="147">
        <v>10128600</v>
      </c>
      <c r="E1320" s="147" t="s">
        <v>317</v>
      </c>
    </row>
    <row r="1321" spans="4:5" ht="15">
      <c r="D1321" s="147">
        <v>10128579</v>
      </c>
      <c r="E1321" s="147" t="s">
        <v>313</v>
      </c>
    </row>
    <row r="1322" spans="4:5" ht="15">
      <c r="D1322" s="147">
        <v>10128580</v>
      </c>
      <c r="E1322" s="147" t="s">
        <v>317</v>
      </c>
    </row>
    <row r="1323" spans="4:5" ht="15">
      <c r="D1323" s="147">
        <v>10128581</v>
      </c>
      <c r="E1323" s="147" t="s">
        <v>317</v>
      </c>
    </row>
    <row r="1324" spans="4:5" ht="15">
      <c r="D1324" s="147">
        <v>10128582</v>
      </c>
      <c r="E1324" s="147" t="s">
        <v>320</v>
      </c>
    </row>
    <row r="1325" spans="4:5" ht="15">
      <c r="D1325" s="147">
        <v>10128595</v>
      </c>
      <c r="E1325" s="147" t="s">
        <v>320</v>
      </c>
    </row>
    <row r="1326" spans="4:5" ht="15">
      <c r="D1326" s="147">
        <v>10128596</v>
      </c>
      <c r="E1326" s="147" t="s">
        <v>312</v>
      </c>
    </row>
    <row r="1327" spans="4:5" ht="15">
      <c r="D1327" s="147">
        <v>10128597</v>
      </c>
      <c r="E1327" s="147" t="s">
        <v>317</v>
      </c>
    </row>
    <row r="1328" spans="4:5" ht="15">
      <c r="D1328" s="147">
        <v>10128598</v>
      </c>
      <c r="E1328" s="147" t="s">
        <v>320</v>
      </c>
    </row>
    <row r="1329" spans="4:5" ht="15">
      <c r="D1329" s="147">
        <v>10128599</v>
      </c>
      <c r="E1329" s="147" t="s">
        <v>313</v>
      </c>
    </row>
    <row r="1330" spans="4:5" ht="15">
      <c r="D1330" s="147">
        <v>10128600</v>
      </c>
      <c r="E1330" s="147" t="s">
        <v>317</v>
      </c>
    </row>
    <row r="1331" spans="4:5" ht="15">
      <c r="D1331" s="147">
        <v>10128579</v>
      </c>
      <c r="E1331" s="147" t="s">
        <v>313</v>
      </c>
    </row>
    <row r="1332" spans="4:5" ht="15">
      <c r="D1332" s="147">
        <v>10128580</v>
      </c>
      <c r="E1332" s="147" t="s">
        <v>317</v>
      </c>
    </row>
    <row r="1333" spans="4:5" ht="15">
      <c r="D1333" s="147">
        <v>10128581</v>
      </c>
      <c r="E1333" s="147" t="s">
        <v>317</v>
      </c>
    </row>
    <row r="1334" spans="4:5" ht="15">
      <c r="D1334" s="147">
        <v>10128582</v>
      </c>
      <c r="E1334" s="147" t="s">
        <v>320</v>
      </c>
    </row>
    <row r="1335" spans="4:5" ht="15">
      <c r="D1335" s="147">
        <v>10128595</v>
      </c>
      <c r="E1335" s="147" t="s">
        <v>320</v>
      </c>
    </row>
    <row r="1336" spans="4:5" ht="15">
      <c r="D1336" s="147">
        <v>10128596</v>
      </c>
      <c r="E1336" s="147" t="s">
        <v>312</v>
      </c>
    </row>
    <row r="1337" spans="4:5" ht="15">
      <c r="D1337" s="147">
        <v>10128597</v>
      </c>
      <c r="E1337" s="147" t="s">
        <v>317</v>
      </c>
    </row>
    <row r="1338" spans="4:5" ht="15">
      <c r="D1338" s="147">
        <v>10128598</v>
      </c>
      <c r="E1338" s="147" t="s">
        <v>320</v>
      </c>
    </row>
    <row r="1339" spans="4:5" ht="15">
      <c r="D1339" s="147">
        <v>10128599</v>
      </c>
      <c r="E1339" s="147" t="s">
        <v>313</v>
      </c>
    </row>
    <row r="1340" spans="4:5" ht="15">
      <c r="D1340" s="147">
        <v>10128600</v>
      </c>
      <c r="E1340" s="147" t="s">
        <v>317</v>
      </c>
    </row>
    <row r="1341" spans="4:5" ht="15">
      <c r="D1341" s="147">
        <v>10128579</v>
      </c>
      <c r="E1341" s="147" t="s">
        <v>313</v>
      </c>
    </row>
    <row r="1342" spans="4:5" ht="15">
      <c r="D1342" s="147">
        <v>10128580</v>
      </c>
      <c r="E1342" s="147" t="s">
        <v>317</v>
      </c>
    </row>
    <row r="1343" spans="4:5" ht="15">
      <c r="D1343" s="147">
        <v>10128581</v>
      </c>
      <c r="E1343" s="147" t="s">
        <v>317</v>
      </c>
    </row>
    <row r="1344" spans="4:5" ht="15">
      <c r="D1344" s="147">
        <v>10128582</v>
      </c>
      <c r="E1344" s="147" t="s">
        <v>320</v>
      </c>
    </row>
    <row r="1345" spans="4:5" ht="15">
      <c r="D1345" s="147">
        <v>10128595</v>
      </c>
      <c r="E1345" s="147" t="s">
        <v>320</v>
      </c>
    </row>
    <row r="1346" spans="4:5" ht="15">
      <c r="D1346" s="147">
        <v>10128596</v>
      </c>
      <c r="E1346" s="147" t="s">
        <v>312</v>
      </c>
    </row>
    <row r="1347" spans="4:5" ht="15">
      <c r="D1347" s="147">
        <v>10128597</v>
      </c>
      <c r="E1347" s="147" t="s">
        <v>317</v>
      </c>
    </row>
    <row r="1348" spans="4:5" ht="15">
      <c r="D1348" s="147">
        <v>10128598</v>
      </c>
      <c r="E1348" s="147" t="s">
        <v>320</v>
      </c>
    </row>
    <row r="1349" spans="4:5" ht="15">
      <c r="D1349" s="147">
        <v>10128599</v>
      </c>
      <c r="E1349" s="147" t="s">
        <v>313</v>
      </c>
    </row>
    <row r="1350" spans="4:5" ht="15">
      <c r="D1350" s="147">
        <v>10128600</v>
      </c>
      <c r="E1350" s="147" t="s">
        <v>317</v>
      </c>
    </row>
    <row r="1351" spans="4:5" ht="15">
      <c r="D1351" s="147">
        <v>10128579</v>
      </c>
      <c r="E1351" s="147" t="s">
        <v>313</v>
      </c>
    </row>
    <row r="1352" spans="4:5" ht="15">
      <c r="D1352" s="147">
        <v>10128580</v>
      </c>
      <c r="E1352" s="147" t="s">
        <v>317</v>
      </c>
    </row>
    <row r="1353" spans="4:5" ht="15">
      <c r="D1353" s="147">
        <v>10128581</v>
      </c>
      <c r="E1353" s="147" t="s">
        <v>317</v>
      </c>
    </row>
    <row r="1354" spans="4:5" ht="15">
      <c r="D1354" s="147">
        <v>10128582</v>
      </c>
      <c r="E1354" s="147" t="s">
        <v>320</v>
      </c>
    </row>
    <row r="1355" spans="4:5" ht="15">
      <c r="D1355" s="147">
        <v>10128595</v>
      </c>
      <c r="E1355" s="147" t="s">
        <v>320</v>
      </c>
    </row>
    <row r="1356" spans="4:5" ht="15">
      <c r="D1356" s="147">
        <v>10128596</v>
      </c>
      <c r="E1356" s="147" t="s">
        <v>312</v>
      </c>
    </row>
    <row r="1357" spans="4:5" ht="15">
      <c r="D1357" s="147">
        <v>10128597</v>
      </c>
      <c r="E1357" s="147" t="s">
        <v>317</v>
      </c>
    </row>
    <row r="1358" spans="4:5" ht="15">
      <c r="D1358" s="147">
        <v>10128598</v>
      </c>
      <c r="E1358" s="147" t="s">
        <v>320</v>
      </c>
    </row>
    <row r="1359" spans="4:5" ht="15">
      <c r="D1359" s="147">
        <v>10128599</v>
      </c>
      <c r="E1359" s="147" t="s">
        <v>313</v>
      </c>
    </row>
    <row r="1360" spans="4:5" ht="15">
      <c r="D1360" s="147">
        <v>10128600</v>
      </c>
      <c r="E1360" s="147" t="s">
        <v>317</v>
      </c>
    </row>
    <row r="1361" spans="4:5" ht="15">
      <c r="D1361" s="147">
        <v>10128579</v>
      </c>
      <c r="E1361" s="147" t="s">
        <v>313</v>
      </c>
    </row>
    <row r="1362" spans="4:5" ht="15">
      <c r="D1362" s="147">
        <v>10128580</v>
      </c>
      <c r="E1362" s="147" t="s">
        <v>317</v>
      </c>
    </row>
    <row r="1363" spans="4:5" ht="15">
      <c r="D1363" s="147">
        <v>10128581</v>
      </c>
      <c r="E1363" s="147" t="s">
        <v>317</v>
      </c>
    </row>
    <row r="1364" spans="4:5" ht="15">
      <c r="D1364" s="147">
        <v>10128582</v>
      </c>
      <c r="E1364" s="147" t="s">
        <v>320</v>
      </c>
    </row>
    <row r="1365" spans="4:5" ht="15">
      <c r="D1365" s="147">
        <v>10128595</v>
      </c>
      <c r="E1365" s="147" t="s">
        <v>320</v>
      </c>
    </row>
    <row r="1366" spans="4:5" ht="15">
      <c r="D1366" s="147">
        <v>10128596</v>
      </c>
      <c r="E1366" s="147" t="s">
        <v>312</v>
      </c>
    </row>
    <row r="1367" spans="4:5" ht="15">
      <c r="D1367" s="147">
        <v>10128597</v>
      </c>
      <c r="E1367" s="147" t="s">
        <v>317</v>
      </c>
    </row>
    <row r="1368" spans="4:5" ht="15">
      <c r="D1368" s="147">
        <v>10128598</v>
      </c>
      <c r="E1368" s="147" t="s">
        <v>320</v>
      </c>
    </row>
    <row r="1369" spans="4:5" ht="15">
      <c r="D1369" s="147">
        <v>10128599</v>
      </c>
      <c r="E1369" s="147" t="s">
        <v>313</v>
      </c>
    </row>
    <row r="1370" spans="4:5" ht="15">
      <c r="D1370" s="147">
        <v>10128600</v>
      </c>
      <c r="E1370" s="147" t="s">
        <v>317</v>
      </c>
    </row>
    <row r="1371" spans="4:5" ht="15">
      <c r="D1371" s="147">
        <v>10128579</v>
      </c>
      <c r="E1371" s="147" t="s">
        <v>313</v>
      </c>
    </row>
    <row r="1372" spans="4:5" ht="15">
      <c r="D1372" s="147">
        <v>10128580</v>
      </c>
      <c r="E1372" s="147" t="s">
        <v>317</v>
      </c>
    </row>
    <row r="1373" spans="4:5" ht="15">
      <c r="D1373" s="147">
        <v>10128581</v>
      </c>
      <c r="E1373" s="147" t="s">
        <v>317</v>
      </c>
    </row>
    <row r="1374" spans="4:5" ht="15">
      <c r="D1374" s="147">
        <v>10128582</v>
      </c>
      <c r="E1374" s="147" t="s">
        <v>320</v>
      </c>
    </row>
    <row r="1375" spans="4:5" ht="15">
      <c r="D1375" s="147">
        <v>10128595</v>
      </c>
      <c r="E1375" s="147" t="s">
        <v>320</v>
      </c>
    </row>
    <row r="1376" spans="4:5" ht="15">
      <c r="D1376" s="147">
        <v>10128596</v>
      </c>
      <c r="E1376" s="147" t="s">
        <v>312</v>
      </c>
    </row>
    <row r="1377" spans="4:5" ht="15">
      <c r="D1377" s="147">
        <v>10128597</v>
      </c>
      <c r="E1377" s="147" t="s">
        <v>317</v>
      </c>
    </row>
    <row r="1378" spans="4:5" ht="15">
      <c r="D1378" s="147">
        <v>10128598</v>
      </c>
      <c r="E1378" s="147" t="s">
        <v>320</v>
      </c>
    </row>
    <row r="1379" spans="4:5" ht="15">
      <c r="D1379" s="147">
        <v>10128599</v>
      </c>
      <c r="E1379" s="147" t="s">
        <v>313</v>
      </c>
    </row>
    <row r="1380" spans="4:5" ht="15">
      <c r="D1380" s="147">
        <v>10128600</v>
      </c>
      <c r="E1380" s="147" t="s">
        <v>317</v>
      </c>
    </row>
    <row r="1381" spans="4:5" ht="15">
      <c r="D1381" s="147">
        <v>10128579</v>
      </c>
      <c r="E1381" s="147" t="s">
        <v>313</v>
      </c>
    </row>
    <row r="1382" spans="4:5" ht="15">
      <c r="D1382" s="147">
        <v>10128580</v>
      </c>
      <c r="E1382" s="147" t="s">
        <v>317</v>
      </c>
    </row>
    <row r="1383" spans="4:5" ht="15">
      <c r="D1383" s="147">
        <v>10128581</v>
      </c>
      <c r="E1383" s="147" t="s">
        <v>317</v>
      </c>
    </row>
    <row r="1384" spans="4:5" ht="15">
      <c r="D1384" s="147">
        <v>10128582</v>
      </c>
      <c r="E1384" s="147" t="s">
        <v>320</v>
      </c>
    </row>
    <row r="1385" spans="4:5" ht="15">
      <c r="D1385" s="147">
        <v>10128595</v>
      </c>
      <c r="E1385" s="147" t="s">
        <v>320</v>
      </c>
    </row>
    <row r="1386" spans="4:5" ht="15">
      <c r="D1386" s="147">
        <v>10128596</v>
      </c>
      <c r="E1386" s="147" t="s">
        <v>312</v>
      </c>
    </row>
    <row r="1387" spans="4:5" ht="15">
      <c r="D1387" s="147">
        <v>10128597</v>
      </c>
      <c r="E1387" s="147" t="s">
        <v>317</v>
      </c>
    </row>
    <row r="1388" spans="4:5" ht="15">
      <c r="D1388" s="147">
        <v>10128598</v>
      </c>
      <c r="E1388" s="147" t="s">
        <v>320</v>
      </c>
    </row>
    <row r="1389" spans="4:5" ht="15">
      <c r="D1389" s="147">
        <v>10128599</v>
      </c>
      <c r="E1389" s="147" t="s">
        <v>313</v>
      </c>
    </row>
    <row r="1390" spans="4:5" ht="15">
      <c r="D1390" s="147">
        <v>10128600</v>
      </c>
      <c r="E1390" s="147" t="s">
        <v>317</v>
      </c>
    </row>
    <row r="1391" spans="4:5" ht="15">
      <c r="D1391" s="147">
        <v>10128579</v>
      </c>
      <c r="E1391" s="147" t="s">
        <v>313</v>
      </c>
    </row>
    <row r="1392" spans="4:5" ht="15">
      <c r="D1392" s="147">
        <v>10128580</v>
      </c>
      <c r="E1392" s="147" t="s">
        <v>317</v>
      </c>
    </row>
    <row r="1393" spans="4:5" ht="15">
      <c r="D1393" s="147">
        <v>10128581</v>
      </c>
      <c r="E1393" s="147" t="s">
        <v>317</v>
      </c>
    </row>
    <row r="1394" spans="4:5" ht="15">
      <c r="D1394" s="147">
        <v>10128582</v>
      </c>
      <c r="E1394" s="147" t="s">
        <v>320</v>
      </c>
    </row>
    <row r="1395" spans="4:5" ht="15">
      <c r="D1395" s="147">
        <v>10128595</v>
      </c>
      <c r="E1395" s="147" t="s">
        <v>320</v>
      </c>
    </row>
    <row r="1396" spans="4:5" ht="15">
      <c r="D1396" s="147">
        <v>10128596</v>
      </c>
      <c r="E1396" s="147" t="s">
        <v>312</v>
      </c>
    </row>
    <row r="1397" spans="4:5" ht="15">
      <c r="D1397" s="147">
        <v>10128597</v>
      </c>
      <c r="E1397" s="147" t="s">
        <v>317</v>
      </c>
    </row>
    <row r="1398" spans="4:5" ht="15">
      <c r="D1398" s="147">
        <v>10128598</v>
      </c>
      <c r="E1398" s="147" t="s">
        <v>320</v>
      </c>
    </row>
    <row r="1399" spans="4:5" ht="15">
      <c r="D1399" s="147">
        <v>10128599</v>
      </c>
      <c r="E1399" s="147" t="s">
        <v>313</v>
      </c>
    </row>
    <row r="1400" spans="4:5" ht="15">
      <c r="D1400" s="147">
        <v>10128600</v>
      </c>
      <c r="E1400" s="147" t="s">
        <v>317</v>
      </c>
    </row>
    <row r="1401" spans="4:5" ht="15">
      <c r="D1401" s="147">
        <v>10128579</v>
      </c>
      <c r="E1401" s="147" t="s">
        <v>313</v>
      </c>
    </row>
    <row r="1402" spans="4:5" ht="15">
      <c r="D1402" s="147">
        <v>10128580</v>
      </c>
      <c r="E1402" s="147" t="s">
        <v>317</v>
      </c>
    </row>
    <row r="1403" spans="4:5" ht="15">
      <c r="D1403" s="147">
        <v>10128581</v>
      </c>
      <c r="E1403" s="147" t="s">
        <v>317</v>
      </c>
    </row>
    <row r="1404" spans="4:5" ht="15">
      <c r="D1404" s="147">
        <v>10128582</v>
      </c>
      <c r="E1404" s="147" t="s">
        <v>320</v>
      </c>
    </row>
    <row r="1405" spans="4:5" ht="15">
      <c r="D1405" s="147">
        <v>10128595</v>
      </c>
      <c r="E1405" s="147" t="s">
        <v>320</v>
      </c>
    </row>
    <row r="1406" spans="4:5" ht="15">
      <c r="D1406" s="147">
        <v>10128596</v>
      </c>
      <c r="E1406" s="147" t="s">
        <v>312</v>
      </c>
    </row>
    <row r="1407" spans="4:5" ht="15">
      <c r="D1407" s="147">
        <v>10128597</v>
      </c>
      <c r="E1407" s="147" t="s">
        <v>317</v>
      </c>
    </row>
    <row r="1408" spans="4:5" ht="15">
      <c r="D1408" s="147">
        <v>10128598</v>
      </c>
      <c r="E1408" s="147" t="s">
        <v>320</v>
      </c>
    </row>
    <row r="1409" spans="4:5" ht="15">
      <c r="D1409" s="147">
        <v>10128599</v>
      </c>
      <c r="E1409" s="147" t="s">
        <v>313</v>
      </c>
    </row>
    <row r="1410" spans="4:5" ht="15">
      <c r="D1410" s="147">
        <v>10128600</v>
      </c>
      <c r="E1410" s="147" t="s">
        <v>317</v>
      </c>
    </row>
    <row r="1411" spans="4:5" ht="15">
      <c r="D1411" s="147">
        <v>10128579</v>
      </c>
      <c r="E1411" s="147" t="s">
        <v>313</v>
      </c>
    </row>
    <row r="1412" spans="4:5" ht="15">
      <c r="D1412" s="147">
        <v>10128580</v>
      </c>
      <c r="E1412" s="147" t="s">
        <v>317</v>
      </c>
    </row>
    <row r="1413" spans="4:5" ht="15">
      <c r="D1413" s="147">
        <v>10128581</v>
      </c>
      <c r="E1413" s="147" t="s">
        <v>317</v>
      </c>
    </row>
    <row r="1414" spans="4:5" ht="15">
      <c r="D1414" s="147">
        <v>10128582</v>
      </c>
      <c r="E1414" s="147" t="s">
        <v>320</v>
      </c>
    </row>
    <row r="1415" spans="4:5" ht="15">
      <c r="D1415" s="147">
        <v>10128595</v>
      </c>
      <c r="E1415" s="147" t="s">
        <v>320</v>
      </c>
    </row>
    <row r="1416" spans="4:5" ht="15">
      <c r="D1416" s="147">
        <v>10128596</v>
      </c>
      <c r="E1416" s="147" t="s">
        <v>312</v>
      </c>
    </row>
    <row r="1417" spans="4:5" ht="15">
      <c r="D1417" s="147">
        <v>10128597</v>
      </c>
      <c r="E1417" s="147" t="s">
        <v>317</v>
      </c>
    </row>
    <row r="1418" spans="4:5" ht="15">
      <c r="D1418" s="147">
        <v>10128598</v>
      </c>
      <c r="E1418" s="147" t="s">
        <v>320</v>
      </c>
    </row>
    <row r="1419" spans="4:5" ht="15">
      <c r="D1419" s="147">
        <v>10128599</v>
      </c>
      <c r="E1419" s="147" t="s">
        <v>313</v>
      </c>
    </row>
    <row r="1420" spans="4:5" ht="15">
      <c r="D1420" s="147">
        <v>10128600</v>
      </c>
      <c r="E1420" s="147" t="s">
        <v>317</v>
      </c>
    </row>
    <row r="1421" spans="4:5" ht="15">
      <c r="D1421" s="147">
        <v>10128579</v>
      </c>
      <c r="E1421" s="147" t="s">
        <v>313</v>
      </c>
    </row>
    <row r="1422" spans="4:5" ht="15">
      <c r="D1422" s="147">
        <v>10128580</v>
      </c>
      <c r="E1422" s="147" t="s">
        <v>317</v>
      </c>
    </row>
    <row r="1423" spans="4:5" ht="15">
      <c r="D1423" s="147">
        <v>10128581</v>
      </c>
      <c r="E1423" s="147" t="s">
        <v>317</v>
      </c>
    </row>
    <row r="1424" spans="4:5" ht="15">
      <c r="D1424" s="147">
        <v>10128582</v>
      </c>
      <c r="E1424" s="147" t="s">
        <v>320</v>
      </c>
    </row>
    <row r="1425" spans="4:5" ht="15">
      <c r="D1425" s="147">
        <v>10128595</v>
      </c>
      <c r="E1425" s="147" t="s">
        <v>320</v>
      </c>
    </row>
    <row r="1426" spans="4:5" ht="15">
      <c r="D1426" s="147">
        <v>10128596</v>
      </c>
      <c r="E1426" s="147" t="s">
        <v>312</v>
      </c>
    </row>
    <row r="1427" spans="4:5" ht="15">
      <c r="D1427" s="147">
        <v>10128597</v>
      </c>
      <c r="E1427" s="147" t="s">
        <v>317</v>
      </c>
    </row>
    <row r="1428" spans="4:5" ht="15">
      <c r="D1428" s="147">
        <v>10128598</v>
      </c>
      <c r="E1428" s="147" t="s">
        <v>320</v>
      </c>
    </row>
    <row r="1429" spans="4:5" ht="15">
      <c r="D1429" s="147">
        <v>10128599</v>
      </c>
      <c r="E1429" s="147" t="s">
        <v>313</v>
      </c>
    </row>
    <row r="1430" spans="4:5" ht="15">
      <c r="D1430" s="147">
        <v>10128600</v>
      </c>
      <c r="E1430" s="147" t="s">
        <v>317</v>
      </c>
    </row>
    <row r="1431" spans="4:5" ht="15">
      <c r="D1431" s="147">
        <v>10128579</v>
      </c>
      <c r="E1431" s="147" t="s">
        <v>313</v>
      </c>
    </row>
    <row r="1432" spans="4:5" ht="15">
      <c r="D1432" s="147">
        <v>10128580</v>
      </c>
      <c r="E1432" s="147" t="s">
        <v>317</v>
      </c>
    </row>
    <row r="1433" spans="4:5" ht="15">
      <c r="D1433" s="147">
        <v>10128581</v>
      </c>
      <c r="E1433" s="147" t="s">
        <v>317</v>
      </c>
    </row>
    <row r="1434" spans="4:5" ht="15">
      <c r="D1434" s="147">
        <v>10128582</v>
      </c>
      <c r="E1434" s="147" t="s">
        <v>320</v>
      </c>
    </row>
    <row r="1435" spans="4:5" ht="15">
      <c r="D1435" s="147">
        <v>10128595</v>
      </c>
      <c r="E1435" s="147" t="s">
        <v>320</v>
      </c>
    </row>
    <row r="1436" spans="4:5" ht="15">
      <c r="D1436" s="147">
        <v>10128596</v>
      </c>
      <c r="E1436" s="147" t="s">
        <v>312</v>
      </c>
    </row>
    <row r="1437" spans="4:5" ht="15">
      <c r="D1437" s="147">
        <v>10128597</v>
      </c>
      <c r="E1437" s="147" t="s">
        <v>317</v>
      </c>
    </row>
    <row r="1438" spans="4:5" ht="15">
      <c r="D1438" s="147">
        <v>10128598</v>
      </c>
      <c r="E1438" s="147" t="s">
        <v>320</v>
      </c>
    </row>
    <row r="1439" spans="4:5" ht="15">
      <c r="D1439" s="147">
        <v>10128599</v>
      </c>
      <c r="E1439" s="147" t="s">
        <v>313</v>
      </c>
    </row>
    <row r="1440" spans="4:5" ht="15">
      <c r="D1440" s="147">
        <v>10128600</v>
      </c>
      <c r="E1440" s="147" t="s">
        <v>317</v>
      </c>
    </row>
    <row r="1441" spans="4:5" ht="15">
      <c r="D1441" s="147">
        <v>10128579</v>
      </c>
      <c r="E1441" s="147" t="s">
        <v>313</v>
      </c>
    </row>
    <row r="1442" spans="4:5" ht="15">
      <c r="D1442" s="147">
        <v>10128580</v>
      </c>
      <c r="E1442" s="147" t="s">
        <v>317</v>
      </c>
    </row>
    <row r="1443" spans="4:5" ht="15">
      <c r="D1443" s="147">
        <v>10128581</v>
      </c>
      <c r="E1443" s="147" t="s">
        <v>317</v>
      </c>
    </row>
    <row r="1444" spans="4:5" ht="15">
      <c r="D1444" s="147">
        <v>10128582</v>
      </c>
      <c r="E1444" s="147" t="s">
        <v>320</v>
      </c>
    </row>
    <row r="1445" spans="4:5" ht="15">
      <c r="D1445" s="147">
        <v>10128595</v>
      </c>
      <c r="E1445" s="147" t="s">
        <v>320</v>
      </c>
    </row>
    <row r="1446" spans="4:5" ht="15">
      <c r="D1446" s="147">
        <v>10128596</v>
      </c>
      <c r="E1446" s="147" t="s">
        <v>312</v>
      </c>
    </row>
    <row r="1447" spans="4:5" ht="15">
      <c r="D1447" s="147">
        <v>10128597</v>
      </c>
      <c r="E1447" s="147" t="s">
        <v>317</v>
      </c>
    </row>
    <row r="1448" spans="4:5" ht="15">
      <c r="D1448" s="147">
        <v>10128598</v>
      </c>
      <c r="E1448" s="147" t="s">
        <v>320</v>
      </c>
    </row>
    <row r="1449" spans="4:5" ht="15">
      <c r="D1449" s="147">
        <v>10128599</v>
      </c>
      <c r="E1449" s="147" t="s">
        <v>313</v>
      </c>
    </row>
    <row r="1450" spans="4:5" ht="15">
      <c r="D1450" s="147">
        <v>10128600</v>
      </c>
      <c r="E1450" s="147" t="s">
        <v>317</v>
      </c>
    </row>
    <row r="1451" spans="4:5" ht="15">
      <c r="D1451" s="147">
        <v>10128579</v>
      </c>
      <c r="E1451" s="147" t="s">
        <v>313</v>
      </c>
    </row>
    <row r="1452" spans="4:5" ht="15">
      <c r="D1452" s="147">
        <v>10128580</v>
      </c>
      <c r="E1452" s="147" t="s">
        <v>317</v>
      </c>
    </row>
    <row r="1453" spans="4:5" ht="15">
      <c r="D1453" s="147">
        <v>10128581</v>
      </c>
      <c r="E1453" s="147" t="s">
        <v>317</v>
      </c>
    </row>
    <row r="1454" spans="4:5" ht="15">
      <c r="D1454" s="147">
        <v>10128582</v>
      </c>
      <c r="E1454" s="147" t="s">
        <v>320</v>
      </c>
    </row>
    <row r="1455" spans="4:5" ht="15">
      <c r="D1455" s="147">
        <v>10128595</v>
      </c>
      <c r="E1455" s="147" t="s">
        <v>320</v>
      </c>
    </row>
    <row r="1456" spans="4:5" ht="15">
      <c r="D1456" s="147">
        <v>10128596</v>
      </c>
      <c r="E1456" s="147" t="s">
        <v>312</v>
      </c>
    </row>
    <row r="1457" spans="4:5" ht="15">
      <c r="D1457" s="147">
        <v>10128597</v>
      </c>
      <c r="E1457" s="147" t="s">
        <v>317</v>
      </c>
    </row>
    <row r="1458" spans="4:5" ht="15">
      <c r="D1458" s="147">
        <v>10128598</v>
      </c>
      <c r="E1458" s="147" t="s">
        <v>320</v>
      </c>
    </row>
    <row r="1459" spans="4:5" ht="15">
      <c r="D1459" s="147">
        <v>10128599</v>
      </c>
      <c r="E1459" s="147" t="s">
        <v>313</v>
      </c>
    </row>
    <row r="1460" spans="4:5" ht="15">
      <c r="D1460" s="147">
        <v>10128600</v>
      </c>
      <c r="E1460" s="147" t="s">
        <v>317</v>
      </c>
    </row>
    <row r="1461" spans="4:5" ht="15">
      <c r="D1461" s="147">
        <v>10128579</v>
      </c>
      <c r="E1461" s="147" t="s">
        <v>313</v>
      </c>
    </row>
    <row r="1462" spans="4:5" ht="15">
      <c r="D1462" s="147">
        <v>10128580</v>
      </c>
      <c r="E1462" s="147" t="s">
        <v>317</v>
      </c>
    </row>
    <row r="1463" spans="4:5" ht="15">
      <c r="D1463" s="147">
        <v>10128581</v>
      </c>
      <c r="E1463" s="147" t="s">
        <v>317</v>
      </c>
    </row>
    <row r="1464" spans="4:5" ht="15">
      <c r="D1464" s="147">
        <v>10128582</v>
      </c>
      <c r="E1464" s="147" t="s">
        <v>320</v>
      </c>
    </row>
    <row r="1465" spans="4:5" ht="15">
      <c r="D1465" s="147">
        <v>10128595</v>
      </c>
      <c r="E1465" s="147" t="s">
        <v>320</v>
      </c>
    </row>
    <row r="1466" spans="4:5" ht="15">
      <c r="D1466" s="147">
        <v>10128596</v>
      </c>
      <c r="E1466" s="147" t="s">
        <v>312</v>
      </c>
    </row>
    <row r="1467" spans="4:5" ht="15">
      <c r="D1467" s="147">
        <v>10128597</v>
      </c>
      <c r="E1467" s="147" t="s">
        <v>317</v>
      </c>
    </row>
    <row r="1468" spans="4:5" ht="15">
      <c r="D1468" s="147">
        <v>10128598</v>
      </c>
      <c r="E1468" s="147" t="s">
        <v>320</v>
      </c>
    </row>
    <row r="1469" spans="4:5" ht="15">
      <c r="D1469" s="147">
        <v>10128599</v>
      </c>
      <c r="E1469" s="147" t="s">
        <v>313</v>
      </c>
    </row>
    <row r="1470" spans="4:5" ht="15">
      <c r="D1470" s="147">
        <v>10128600</v>
      </c>
      <c r="E1470" s="147" t="s">
        <v>317</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