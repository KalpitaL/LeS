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Quote!$A$1:$R$74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Quote!$A$55</definedName>
    <definedName name="Enquiry_To_Vendor_ID" comment="Enquiry to Vendor ID">Quote!$C$55</definedName>
    <definedName name="GrandTotal">Quote!$N$54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Quote!$A$47</definedName>
    <definedName name="ItemListStartupRow" comment="Item List Start Up Row">Quote!$A$19</definedName>
    <definedName name="ItemSubTotal">Quote!$N$53</definedName>
    <definedName name="ItemSubTotalTitle">Quote!$J$53</definedName>
    <definedName name="LeadDay">Quote!$M$11</definedName>
    <definedName name="Lock">Quote!$M$55</definedName>
    <definedName name="LoggedInEmailID">Quote!$N$55</definedName>
    <definedName name="LoggedInPwd">Quote!$O$55</definedName>
    <definedName name="OtherCharges">Quote!$C$49</definedName>
    <definedName name="OtherChargesLastRow">Quote!$A$53</definedName>
    <definedName name="OtherChargesStartRow">Quote!$A$48</definedName>
    <definedName name="Port">Quote!$P$55</definedName>
    <definedName name="PortOfDelivery" comment="Port of Delivery">Quote!$M$9</definedName>
    <definedName name="PurchaserName">Quote!$J$55</definedName>
    <definedName name="QuoteBefore">Quote!$M$8</definedName>
    <definedName name="QuoteID">MasterData!$N$7</definedName>
    <definedName name="QuoteSubject">Quote!$E$55</definedName>
    <definedName name="Remarks">Quote!$E$57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Quote!$K$55</definedName>
    <definedName name="SentIndex">Quote!$L$55</definedName>
    <definedName name="Server">Quote!$Q$55</definedName>
    <definedName name="Terms">Quote!$A$61:$T$82</definedName>
    <definedName name="ToEmailID">Quote!$I$55</definedName>
    <definedName name="ToEmailPwd">Quote!$H$55</definedName>
    <definedName name="VAL">Quote!$F$55</definedName>
    <definedName name="VAT_All">Quote!$M$16</definedName>
    <definedName name="Vendor_ID" comment="Vendor ID">Quote!$B$55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Quote!$D$55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Quote!$E$58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</definedName>
  </definedNames>
  <calcPr fullCalcOnLoad="1"/>
</workbook>
</file>

<file path=xl/sharedStrings.xml><?xml version="1.0" encoding="utf-8"?>
<sst xmlns="http://schemas.openxmlformats.org/spreadsheetml/2006/main" count="267" uniqueCount="185">
  <si>
    <t>RFQ</t>
  </si>
  <si>
    <t>Request for Quote</t>
  </si>
  <si>
    <t>Invoice To</t>
  </si>
  <si>
    <t xml:space="preserve">Bernhard Schulte Shipmanagement (China) Company Ltd.
</t>
  </si>
  <si>
    <t>Vessel</t>
  </si>
  <si>
    <t>Berge Nimba</t>
  </si>
  <si>
    <t>RFQ No.</t>
  </si>
  <si>
    <t>XHZ/O0106/RF19</t>
  </si>
  <si>
    <t>RFQ Date</t>
  </si>
  <si>
    <t>Submit Quote Before:</t>
  </si>
  <si>
    <t>Port of Delivery</t>
  </si>
  <si>
    <t>Beilun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</si>
  <si>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</si>
  <si>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</si>
  <si>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</si>
  <si>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</si>
  <si>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</si>
  <si>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</si>
  <si>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</si>
  <si>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</si>
  <si>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</si>
  <si>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</si>
  <si>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</si>
  <si>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</si>
  <si>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</si>
  <si>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</si>
  <si>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</si>
  <si>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</si>
  <si>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</si>
  <si>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</si>
  <si>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</si>
  <si>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</si>
  <si>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</si>
  <si>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</si>
  <si>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</si>
  <si>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</si>
  <si>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</si>
  <si>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</si>
  <si>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</si>
  <si>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</si>
  <si>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SAFETY SIGN FIRST AID, 100X300MM</t>
  </si>
  <si>
    <t>PCS</t>
  </si>
  <si>
    <t>SAFETY SIGN STRETCHER, 100X300MM</t>
  </si>
  <si>
    <t>SAFETY SIGN EMERGENCY EYE WASH, 100X300MM</t>
  </si>
  <si>
    <t>GUN APPLICATOR FOR STANDARD, CARTRIDGE</t>
  </si>
  <si>
    <t>ADHESIVE FOR SIGN</t>
  </si>
  <si>
    <t>SET</t>
  </si>
  <si>
    <t>DUST MASK DISPOSABLE 50'S/PKT</t>
  </si>
  <si>
    <t>PKT</t>
  </si>
  <si>
    <t>Engine &amp; Deck</t>
  </si>
  <si>
    <t>GOGGLE ULTRASONIC UVEX 9302, GRAY FRAME</t>
  </si>
  <si>
    <t>PRS</t>
  </si>
  <si>
    <t>EYEWEAR PROTECTIVE ANTIFOG , BLUE MIRROR LENS #10026008</t>
  </si>
  <si>
    <t>HELMET SAFETY LATERAL PROTECT, POLYETHLENE WHITE</t>
  </si>
  <si>
    <t>RAIN SUITS WITH HOOD, CLOTH LINED RUBBER XXL (3L)</t>
  </si>
  <si>
    <t>RAIN SUITS WITH HOOD, CLOTH LINED RUBBER SIZE 4L</t>
  </si>
  <si>
    <t>BOOTS RUBBER CLOTH-LINING, LONG 26CM</t>
  </si>
  <si>
    <t>BOOTS RUBBER CLOTH-LINING, LONG 27CM</t>
  </si>
  <si>
    <t>BOOTS RUBBER CLOTH-LINING, LONG 28CM</t>
  </si>
  <si>
    <t>BOOTS RUBBER CLOTH-LINING, LONG 30CM</t>
  </si>
  <si>
    <t>GLOVES WORKING CALF HIDE SOFT</t>
  </si>
  <si>
    <t>EAR MUFF LEFT/RIGHT MEDIUM, SNR 28-H/M/L 32/26/17 YELLOW</t>
  </si>
  <si>
    <t>Engine</t>
  </si>
  <si>
    <t>EAR PLUG SELF-FIT FOAM</t>
  </si>
  <si>
    <t>SAFETY HARNESS FULL BODY TYPE</t>
  </si>
  <si>
    <t>BOILERSUIT COTTON BUTTON TYPE, ORANGE SIZE XXL (3L)</t>
  </si>
  <si>
    <t>BOILERSUIT COTTON BUTTON TYPE, WHITE SIZE LL</t>
  </si>
  <si>
    <t>BOILERSUIT COTTON BUTTON TYPE, WHITE SIZE XXL (3L)</t>
  </si>
  <si>
    <t>GLOVES WORKING COTTON ORDINARY</t>
  </si>
  <si>
    <t>DOZ</t>
  </si>
  <si>
    <t>BREATH ALCOHOL MEASURING, INSTRUMENT (ALCOHOLMETER ) MAKE &amp; MODEL TO BE GIVEN IN REMARK COLUMN</t>
  </si>
  <si>
    <t>CPS 0067</t>
  </si>
  <si>
    <t>MOUTHPIECE  FOR BREATHE, ALCOHOL MEASURING INSTRUMENT MAKE &amp; MODEL TO BE GIVEN IN REMARK COLUMN</t>
  </si>
  <si>
    <t>CPS 0068</t>
  </si>
  <si>
    <t>FIRE AXE WITH INSULATED HANDLE</t>
  </si>
  <si>
    <t>LIFEBOAT FIRST AID KIT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</si>
  <si>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</si>
  <si>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</si>
  <si>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</si>
  <si>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</si>
  <si>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</si>
  <si>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</si>
  <si>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</si>
  <si>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</si>
  <si>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</si>
  <si>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</si>
  <si>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</si>
  <si>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</si>
  <si>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</si>
  <si>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</si>
  <si>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</si>
  <si>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</si>
  <si>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</si>
  <si>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</si>
  <si>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</si>
  <si>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</si>
  <si>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</si>
  <si>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</si>
  <si>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</si>
  <si>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</si>
  <si>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</si>
  <si>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</si>
  <si>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</si>
  <si>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CP - SS : SAFETY EQUIP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</si>
  <si>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</si>
  <si>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</si>
  <si>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</si>
  <si>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</si>
  <si>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</si>
  <si>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</si>
  <si>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</si>
  <si>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</si>
  <si>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</si>
  <si>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</si>
  <si>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</si>
  <si>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</si>
  <si>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</si>
  <si>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</si>
  <si>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</si>
  <si>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</si>
  <si>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</si>
  <si>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</si>
  <si>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</si>
  <si>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</si>
  <si>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</si>
  <si>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</si>
  <si>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</si>
  <si>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</si>
  <si>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</si>
  <si>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</si>
  <si>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</si>
  <si>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</si>
  <si>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</si>
  <si>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</si>
  <si>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</si>
  <si>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</si>
  <si>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</si>
  <si>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</si>
  <si>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</si>
  <si>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</si>
  <si>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</si>
  <si>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</si>
  <si>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</si>
  <si>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</si>
  <si>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</si>
  <si>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</si>
  <si>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</si>
  <si>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</si>
  <si>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</si>
  <si>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</si>
  <si>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</si>
  <si>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</si>
  <si>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</si>
  <si>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</si>
  <si>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</si>
  <si>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</si>
  <si>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</si>
  <si>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</si>
  <si>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</si>
  <si>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</si>
  <si>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</si>
  <si>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</si>
  <si>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</si>
  <si>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</si>
  <si>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</si>
  <si>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</si>
  <si>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</si>
  <si>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</si>
  <si>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</si>
  <si>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</si>
  <si>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</si>
  <si>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</si>
  <si>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</si>
  <si>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</si>
  <si>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</si>
  <si>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</si>
  <si>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</si>
  <si>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</si>
  <si>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BJD1908281525921LET</t>
  </si>
  <si>
    <t>YONGSHENG</t>
  </si>
  <si>
    <t>3M</t>
  </si>
  <si>
    <t>UNIT PRICE 0.14USD/PR</t>
  </si>
  <si>
    <t>AL6000</t>
  </si>
  <si>
    <t>RONGGUI,90-A</t>
  </si>
  <si>
    <t xml:space="preserve">
Date promised : 2019-09-09
Quote validity : 2019-10-06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</si>
</sst>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84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43705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43705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43717.50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11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178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171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99990009872575</v>
      </c>
      <c r="C20" s="227">
        <v>334171</v>
      </c>
      <c r="D20" s="228" t="s">
        <v>40</v>
      </c>
      <c r="E20" s="229"/>
      <c r="F20" s="229">
        <v>334171</v>
      </c>
      <c r="G20" s="229" t="s">
        <v>41</v>
      </c>
      <c r="H20" s="230">
        <v>0</v>
      </c>
      <c r="I20" s="231">
        <v>10</v>
      </c>
      <c r="J20" s="232">
        <v>0.74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99990009872574</v>
      </c>
      <c r="C21" s="227">
        <v>334172</v>
      </c>
      <c r="D21" s="228" t="s">
        <v>42</v>
      </c>
      <c r="E21" s="229"/>
      <c r="F21" s="229">
        <v>334172</v>
      </c>
      <c r="G21" s="229" t="s">
        <v>41</v>
      </c>
      <c r="H21" s="230">
        <v>0</v>
      </c>
      <c r="I21" s="231">
        <v>1</v>
      </c>
      <c r="J21" s="232">
        <v>0.74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99990009872569</v>
      </c>
      <c r="C22" s="227">
        <v>334177</v>
      </c>
      <c r="D22" s="228" t="s">
        <v>43</v>
      </c>
      <c r="E22" s="229"/>
      <c r="F22" s="229">
        <v>334177</v>
      </c>
      <c r="G22" s="229" t="s">
        <v>41</v>
      </c>
      <c r="H22" s="230">
        <v>0</v>
      </c>
      <c r="I22" s="231">
        <v>15</v>
      </c>
      <c r="J22" s="232">
        <v>0.74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99990009872468</v>
      </c>
      <c r="C23" s="227">
        <v>332803</v>
      </c>
      <c r="D23" s="228" t="s">
        <v>44</v>
      </c>
      <c r="E23" s="229"/>
      <c r="F23" s="229">
        <v>332803</v>
      </c>
      <c r="G23" s="229" t="s">
        <v>41</v>
      </c>
      <c r="H23" s="230">
        <v>0</v>
      </c>
      <c r="I23" s="231">
        <v>2</v>
      </c>
      <c r="J23" s="232">
        <v>1.2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99990009872469</v>
      </c>
      <c r="C24" s="227">
        <v>332802</v>
      </c>
      <c r="D24" s="228" t="s">
        <v>45</v>
      </c>
      <c r="E24" s="229"/>
      <c r="F24" s="229">
        <v>332802</v>
      </c>
      <c r="G24" s="229" t="s">
        <v>46</v>
      </c>
      <c r="H24" s="230">
        <v>0</v>
      </c>
      <c r="I24" s="231">
        <v>15</v>
      </c>
      <c r="J24" s="232">
        <v>1.08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99990009867018</v>
      </c>
      <c r="C25" s="227">
        <v>331130</v>
      </c>
      <c r="D25" s="228" t="s">
        <v>47</v>
      </c>
      <c r="E25" s="229"/>
      <c r="F25" s="229">
        <v>331130</v>
      </c>
      <c r="G25" s="229" t="s">
        <v>48</v>
      </c>
      <c r="H25" s="230">
        <v>0</v>
      </c>
      <c r="I25" s="231">
        <v>10</v>
      </c>
      <c r="J25" s="232">
        <v>1.5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 t="s">
        <v>49</v>
      </c>
      <c r="S25" s="238"/>
      <c r="T25" s="239"/>
    </row>
    <row r="26" spans="1:20" ht="24" customHeight="1">
      <c r="A26" s="226">
        <v>7</v>
      </c>
      <c r="B26" s="226">
        <v>99990009873258</v>
      </c>
      <c r="C26" s="227">
        <v>311102</v>
      </c>
      <c r="D26" s="228" t="s">
        <v>50</v>
      </c>
      <c r="E26" s="229"/>
      <c r="F26" s="229">
        <v>311102</v>
      </c>
      <c r="G26" s="229" t="s">
        <v>51</v>
      </c>
      <c r="H26" s="230">
        <v>0</v>
      </c>
      <c r="I26" s="231">
        <v>30</v>
      </c>
      <c r="J26" s="232">
        <v>3.44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 t="s">
        <v>179</v>
      </c>
      <c r="Q26" s="236"/>
      <c r="R26" s="237" t="s">
        <v>49</v>
      </c>
      <c r="S26" s="238"/>
      <c r="T26" s="239"/>
    </row>
    <row r="27" spans="1:20" ht="24" customHeight="1">
      <c r="A27" s="226">
        <v>8</v>
      </c>
      <c r="B27" s="226">
        <v>99990009873261</v>
      </c>
      <c r="C27" s="227">
        <v>311054</v>
      </c>
      <c r="D27" s="228" t="s">
        <v>52</v>
      </c>
      <c r="E27" s="229"/>
      <c r="F27" s="229">
        <v>311054</v>
      </c>
      <c r="G27" s="229" t="s">
        <v>51</v>
      </c>
      <c r="H27" s="230">
        <v>0</v>
      </c>
      <c r="I27" s="231">
        <v>30</v>
      </c>
      <c r="J27" s="232">
        <v>0.67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 t="s">
        <v>179</v>
      </c>
      <c r="Q27" s="236"/>
      <c r="R27" s="237" t="s">
        <v>49</v>
      </c>
      <c r="S27" s="238"/>
      <c r="T27" s="239"/>
    </row>
    <row r="28" spans="1:20" ht="24" customHeight="1">
      <c r="A28" s="226">
        <v>9</v>
      </c>
      <c r="B28" s="226">
        <v>99990009873318</v>
      </c>
      <c r="C28" s="227">
        <v>310202</v>
      </c>
      <c r="D28" s="228" t="s">
        <v>53</v>
      </c>
      <c r="E28" s="229"/>
      <c r="F28" s="229">
        <v>310202</v>
      </c>
      <c r="G28" s="229" t="s">
        <v>41</v>
      </c>
      <c r="H28" s="230">
        <v>0</v>
      </c>
      <c r="I28" s="231">
        <v>30</v>
      </c>
      <c r="J28" s="232">
        <v>2.42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 t="s">
        <v>49</v>
      </c>
      <c r="S28" s="238"/>
      <c r="T28" s="239"/>
    </row>
    <row r="29" spans="1:20" ht="24" customHeight="1">
      <c r="A29" s="226">
        <v>10</v>
      </c>
      <c r="B29" s="226">
        <v>99990009872430</v>
      </c>
      <c r="C29" s="227">
        <v>190414</v>
      </c>
      <c r="D29" s="228" t="s">
        <v>54</v>
      </c>
      <c r="E29" s="229"/>
      <c r="F29" s="229">
        <v>190414</v>
      </c>
      <c r="G29" s="229" t="s">
        <v>46</v>
      </c>
      <c r="H29" s="230">
        <v>0</v>
      </c>
      <c r="I29" s="231">
        <v>20</v>
      </c>
      <c r="J29" s="232">
        <v>5.16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99990009872429</v>
      </c>
      <c r="C30" s="227">
        <v>190415</v>
      </c>
      <c r="D30" s="228" t="s">
        <v>55</v>
      </c>
      <c r="E30" s="229"/>
      <c r="F30" s="229">
        <v>190415</v>
      </c>
      <c r="G30" s="229" t="s">
        <v>46</v>
      </c>
      <c r="H30" s="230">
        <v>0</v>
      </c>
      <c r="I30" s="231">
        <v>5</v>
      </c>
      <c r="J30" s="232">
        <v>5.16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99990009872878</v>
      </c>
      <c r="C31" s="227">
        <v>190212</v>
      </c>
      <c r="D31" s="228" t="s">
        <v>56</v>
      </c>
      <c r="E31" s="229"/>
      <c r="F31" s="229">
        <v>190212</v>
      </c>
      <c r="G31" s="229" t="s">
        <v>51</v>
      </c>
      <c r="H31" s="230">
        <v>0</v>
      </c>
      <c r="I31" s="231">
        <v>5</v>
      </c>
      <c r="J31" s="232">
        <v>4.59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/>
      <c r="S31" s="238"/>
      <c r="T31" s="239"/>
    </row>
    <row r="32" spans="1:20" ht="24" customHeight="1">
      <c r="A32" s="226">
        <v>13</v>
      </c>
      <c r="B32" s="226">
        <v>99990009872877</v>
      </c>
      <c r="C32" s="227">
        <v>190213</v>
      </c>
      <c r="D32" s="228" t="s">
        <v>57</v>
      </c>
      <c r="E32" s="229"/>
      <c r="F32" s="229">
        <v>190213</v>
      </c>
      <c r="G32" s="229" t="s">
        <v>51</v>
      </c>
      <c r="H32" s="230">
        <v>0</v>
      </c>
      <c r="I32" s="231">
        <v>5</v>
      </c>
      <c r="J32" s="232">
        <v>4.59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99990009872876</v>
      </c>
      <c r="C33" s="227">
        <v>190214</v>
      </c>
      <c r="D33" s="228" t="s">
        <v>58</v>
      </c>
      <c r="E33" s="229"/>
      <c r="F33" s="229">
        <v>190214</v>
      </c>
      <c r="G33" s="229" t="s">
        <v>51</v>
      </c>
      <c r="H33" s="230">
        <v>0</v>
      </c>
      <c r="I33" s="231">
        <v>5</v>
      </c>
      <c r="J33" s="232">
        <v>4.59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99990009872874</v>
      </c>
      <c r="C34" s="227">
        <v>190216</v>
      </c>
      <c r="D34" s="228" t="s">
        <v>59</v>
      </c>
      <c r="E34" s="229"/>
      <c r="F34" s="229">
        <v>190216</v>
      </c>
      <c r="G34" s="229" t="s">
        <v>51</v>
      </c>
      <c r="H34" s="230">
        <v>0</v>
      </c>
      <c r="I34" s="231">
        <v>2</v>
      </c>
      <c r="J34" s="232">
        <v>9.57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99990009872898</v>
      </c>
      <c r="C35" s="227">
        <v>190112</v>
      </c>
      <c r="D35" s="228" t="s">
        <v>60</v>
      </c>
      <c r="E35" s="229"/>
      <c r="F35" s="229">
        <v>190112</v>
      </c>
      <c r="G35" s="229" t="s">
        <v>51</v>
      </c>
      <c r="H35" s="230">
        <v>0</v>
      </c>
      <c r="I35" s="231">
        <v>200</v>
      </c>
      <c r="J35" s="232">
        <v>1.3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/>
      <c r="Q35" s="236"/>
      <c r="R35" s="237" t="s">
        <v>49</v>
      </c>
      <c r="S35" s="238"/>
      <c r="T35" s="239"/>
    </row>
    <row r="36" spans="1:20" ht="24" customHeight="1">
      <c r="A36" s="226">
        <v>17</v>
      </c>
      <c r="B36" s="226">
        <v>99990009866962</v>
      </c>
      <c r="C36" s="227">
        <v>331255</v>
      </c>
      <c r="D36" s="228" t="s">
        <v>61</v>
      </c>
      <c r="E36" s="229"/>
      <c r="F36" s="229">
        <v>331255</v>
      </c>
      <c r="G36" s="229" t="s">
        <v>51</v>
      </c>
      <c r="H36" s="230">
        <v>0</v>
      </c>
      <c r="I36" s="231">
        <v>10</v>
      </c>
      <c r="J36" s="232">
        <v>2.83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 t="s">
        <v>179</v>
      </c>
      <c r="Q36" s="236"/>
      <c r="R36" s="237" t="s">
        <v>62</v>
      </c>
      <c r="S36" s="238"/>
      <c r="T36" s="239"/>
    </row>
    <row r="37" spans="1:20" ht="24" customHeight="1">
      <c r="A37" s="226">
        <v>18</v>
      </c>
      <c r="B37" s="226">
        <v>99990009866953</v>
      </c>
      <c r="C37" s="227">
        <v>331158</v>
      </c>
      <c r="D37" s="228" t="s">
        <v>63</v>
      </c>
      <c r="E37" s="229"/>
      <c r="F37" s="229">
        <v>331158</v>
      </c>
      <c r="G37" s="229" t="s">
        <v>51</v>
      </c>
      <c r="H37" s="230">
        <v>0</v>
      </c>
      <c r="I37" s="231">
        <v>30</v>
      </c>
      <c r="J37" s="232">
        <v>0.14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 t="s">
        <v>180</v>
      </c>
      <c r="Q37" s="236"/>
      <c r="R37" s="237" t="s">
        <v>62</v>
      </c>
      <c r="S37" s="238"/>
      <c r="T37" s="239"/>
    </row>
    <row r="38" spans="1:20" ht="24" customHeight="1">
      <c r="A38" s="226">
        <v>19</v>
      </c>
      <c r="B38" s="226">
        <v>99990009867047</v>
      </c>
      <c r="C38" s="227">
        <v>331104</v>
      </c>
      <c r="D38" s="228" t="s">
        <v>64</v>
      </c>
      <c r="E38" s="229"/>
      <c r="F38" s="229">
        <v>331104</v>
      </c>
      <c r="G38" s="229" t="s">
        <v>41</v>
      </c>
      <c r="H38" s="230">
        <v>0</v>
      </c>
      <c r="I38" s="231">
        <v>10</v>
      </c>
      <c r="J38" s="232">
        <v>5.39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 t="s">
        <v>62</v>
      </c>
      <c r="S38" s="238"/>
      <c r="T38" s="239"/>
    </row>
    <row r="39" spans="1:20" ht="24" customHeight="1">
      <c r="A39" s="226">
        <v>20</v>
      </c>
      <c r="B39" s="226">
        <v>99990009872385</v>
      </c>
      <c r="C39" s="227">
        <v>190519</v>
      </c>
      <c r="D39" s="228" t="s">
        <v>65</v>
      </c>
      <c r="E39" s="229"/>
      <c r="F39" s="229">
        <v>190519</v>
      </c>
      <c r="G39" s="229" t="s">
        <v>41</v>
      </c>
      <c r="H39" s="230">
        <v>0</v>
      </c>
      <c r="I39" s="231">
        <v>4</v>
      </c>
      <c r="J39" s="232">
        <v>8.79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 t="s">
        <v>62</v>
      </c>
      <c r="S39" s="238"/>
      <c r="T39" s="239"/>
    </row>
    <row r="40" spans="1:20" ht="24" customHeight="1">
      <c r="A40" s="226">
        <v>21</v>
      </c>
      <c r="B40" s="226">
        <v>99990009872401</v>
      </c>
      <c r="C40" s="227">
        <v>190503</v>
      </c>
      <c r="D40" s="228" t="s">
        <v>66</v>
      </c>
      <c r="E40" s="229"/>
      <c r="F40" s="229">
        <v>190503</v>
      </c>
      <c r="G40" s="229" t="s">
        <v>41</v>
      </c>
      <c r="H40" s="230">
        <v>0</v>
      </c>
      <c r="I40" s="231">
        <v>4</v>
      </c>
      <c r="J40" s="232">
        <v>8.79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 t="s">
        <v>62</v>
      </c>
      <c r="S40" s="238"/>
      <c r="T40" s="239"/>
    </row>
    <row r="41" spans="1:20" ht="24" customHeight="1">
      <c r="A41" s="226">
        <v>22</v>
      </c>
      <c r="B41" s="226">
        <v>99990009872400</v>
      </c>
      <c r="C41" s="227">
        <v>190504</v>
      </c>
      <c r="D41" s="228" t="s">
        <v>67</v>
      </c>
      <c r="E41" s="229"/>
      <c r="F41" s="229">
        <v>190504</v>
      </c>
      <c r="G41" s="229" t="s">
        <v>41</v>
      </c>
      <c r="H41" s="230">
        <v>0</v>
      </c>
      <c r="I41" s="231">
        <v>4</v>
      </c>
      <c r="J41" s="232">
        <v>8.79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 t="s">
        <v>62</v>
      </c>
      <c r="S41" s="238"/>
      <c r="T41" s="239"/>
    </row>
    <row r="42" spans="1:20" ht="24" customHeight="1">
      <c r="A42" s="226">
        <v>23</v>
      </c>
      <c r="B42" s="226">
        <v>99990009872907</v>
      </c>
      <c r="C42" s="227">
        <v>190101</v>
      </c>
      <c r="D42" s="228" t="s">
        <v>68</v>
      </c>
      <c r="E42" s="229"/>
      <c r="F42" s="229">
        <v>190101</v>
      </c>
      <c r="G42" s="229" t="s">
        <v>69</v>
      </c>
      <c r="H42" s="230">
        <v>0</v>
      </c>
      <c r="I42" s="231">
        <v>100</v>
      </c>
      <c r="J42" s="232">
        <v>0.14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 t="s">
        <v>181</v>
      </c>
      <c r="Q42" s="236"/>
      <c r="R42" s="237" t="s">
        <v>49</v>
      </c>
      <c r="S42" s="238"/>
      <c r="T42" s="239"/>
    </row>
    <row r="43" spans="1:20" ht="24" customHeight="1">
      <c r="A43" s="226">
        <v>24</v>
      </c>
      <c r="B43" s="226">
        <v>99990010766774</v>
      </c>
      <c r="C43" s="227">
        <v>2396630</v>
      </c>
      <c r="D43" s="228" t="s">
        <v>70</v>
      </c>
      <c r="E43" s="229"/>
      <c r="F43" s="229" t="s">
        <v>71</v>
      </c>
      <c r="G43" s="229" t="s">
        <v>46</v>
      </c>
      <c r="H43" s="230">
        <v>0</v>
      </c>
      <c r="I43" s="231">
        <v>3</v>
      </c>
      <c r="J43" s="232">
        <v>100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 t="s">
        <v>182</v>
      </c>
      <c r="Q43" s="236"/>
      <c r="R43" s="237"/>
      <c r="S43" s="238"/>
      <c r="T43" s="239"/>
    </row>
    <row r="44" spans="1:20" ht="24" customHeight="1">
      <c r="A44" s="226">
        <v>25</v>
      </c>
      <c r="B44" s="226">
        <v>99990010766808</v>
      </c>
      <c r="C44" s="227">
        <v>2396664</v>
      </c>
      <c r="D44" s="228" t="s">
        <v>72</v>
      </c>
      <c r="E44" s="229"/>
      <c r="F44" s="229" t="s">
        <v>73</v>
      </c>
      <c r="G44" s="229" t="s">
        <v>41</v>
      </c>
      <c r="H44" s="230">
        <v>0</v>
      </c>
      <c r="I44" s="231">
        <v>300</v>
      </c>
      <c r="J44" s="232">
        <v>0.4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 t="s">
        <v>182</v>
      </c>
      <c r="Q44" s="236"/>
      <c r="R44" s="237"/>
      <c r="S44" s="238"/>
      <c r="T44" s="239"/>
    </row>
    <row r="45" spans="1:20" ht="24" customHeight="1">
      <c r="A45" s="226">
        <v>26</v>
      </c>
      <c r="B45" s="226">
        <v>99990009867147</v>
      </c>
      <c r="C45" s="227">
        <v>330962</v>
      </c>
      <c r="D45" s="228" t="s">
        <v>74</v>
      </c>
      <c r="E45" s="229"/>
      <c r="F45" s="229">
        <v>330962</v>
      </c>
      <c r="G45" s="229" t="s">
        <v>41</v>
      </c>
      <c r="H45" s="230">
        <v>0</v>
      </c>
      <c r="I45" s="231">
        <v>4</v>
      </c>
      <c r="J45" s="232">
        <v>14.72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99990009872713</v>
      </c>
      <c r="C46" s="227">
        <v>330246</v>
      </c>
      <c r="D46" s="228" t="s">
        <v>75</v>
      </c>
      <c r="E46" s="229"/>
      <c r="F46" s="229">
        <v>330246</v>
      </c>
      <c r="G46" s="229" t="s">
        <v>46</v>
      </c>
      <c r="H46" s="230">
        <v>0</v>
      </c>
      <c r="I46" s="231">
        <v>3</v>
      </c>
      <c r="J46" s="232">
        <v>15.69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183</v>
      </c>
      <c r="Q46" s="236"/>
      <c r="R46" s="237"/>
      <c r="S46" s="238"/>
      <c r="T46" s="239"/>
    </row>
    <row r="47" spans="1:20" ht="15" customHeight="1">
      <c r="A47" s="32"/>
      <c r="B47" s="295"/>
      <c r="C47" s="296"/>
      <c r="D47" s="296"/>
      <c r="E47" s="296"/>
      <c r="F47" s="296"/>
      <c r="G47" s="296"/>
      <c r="H47" s="297"/>
      <c r="I47" s="297"/>
      <c r="J47" s="297"/>
      <c r="K47" s="297"/>
      <c r="L47" s="297"/>
      <c r="M47" s="297"/>
      <c r="N47" s="297"/>
      <c r="O47" s="297"/>
      <c r="P47" s="297"/>
      <c r="Q47" s="297"/>
      <c r="R47" s="297"/>
      <c r="S47" s="297"/>
      <c r="T47" s="298"/>
    </row>
    <row r="48" spans="1:20" ht="12.75" customHeight="1">
      <c r="A48" s="289" t="s">
        <v>28</v>
      </c>
      <c r="B48" s="289"/>
      <c r="C48" s="290" t="s">
        <v>76</v>
      </c>
      <c r="D48" s="291"/>
      <c r="E48" s="291"/>
      <c r="F48" s="291"/>
      <c r="G48" s="291"/>
      <c r="H48" s="291"/>
      <c r="I48" s="292"/>
      <c r="J48" s="292" t="s">
        <v>77</v>
      </c>
      <c r="K48" s="292"/>
      <c r="L48" s="292" t="s">
        <v>35</v>
      </c>
      <c r="M48" s="292" t="s">
        <v>36</v>
      </c>
      <c r="N48" s="293" t="s">
        <v>78</v>
      </c>
      <c r="O48" s="294" t="s">
        <v>38</v>
      </c>
      <c r="P48" s="294"/>
      <c r="Q48" s="294"/>
      <c r="R48" s="294"/>
      <c r="S48" s="294"/>
      <c r="T48" s="225"/>
    </row>
    <row r="49" spans="1:20" ht="15" customHeight="1">
      <c r="A49" s="269">
        <v>1</v>
      </c>
      <c r="B49" s="270"/>
      <c r="C49" s="271" t="s">
        <v>79</v>
      </c>
      <c r="D49" s="272" t="s">
        <v>79</v>
      </c>
      <c r="E49" s="272" t="s">
        <v>79</v>
      </c>
      <c r="F49" s="272" t="s">
        <v>79</v>
      </c>
      <c r="G49" s="272" t="s">
        <v>79</v>
      </c>
      <c r="H49" s="273" t="s">
        <v>79</v>
      </c>
      <c r="I49" s="274"/>
      <c r="J49" s="275">
        <v>0</v>
      </c>
      <c r="K49" s="276"/>
      <c r="L49" s="277">
        <v>0</v>
      </c>
      <c r="M49" s="277">
        <v>0</v>
      </c>
      <c r="N49" s="285">
        <f>(J49-(J49*L49/100)+((J49-(J49*L49/100))*M49/100))</f>
      </c>
      <c r="O49" s="286"/>
      <c r="P49" s="287"/>
      <c r="Q49" s="287"/>
      <c r="R49" s="287"/>
      <c r="S49" s="288"/>
      <c r="T49" s="283"/>
    </row>
    <row r="50" spans="1:20" ht="15" customHeight="1">
      <c r="A50" s="269">
        <v>2</v>
      </c>
      <c r="B50" s="270"/>
      <c r="C50" s="271" t="s">
        <v>80</v>
      </c>
      <c r="D50" s="272" t="s">
        <v>80</v>
      </c>
      <c r="E50" s="272" t="s">
        <v>80</v>
      </c>
      <c r="F50" s="272" t="s">
        <v>80</v>
      </c>
      <c r="G50" s="272" t="s">
        <v>80</v>
      </c>
      <c r="H50" s="273" t="s">
        <v>80</v>
      </c>
      <c r="I50" s="284"/>
      <c r="J50" s="275">
        <v>0</v>
      </c>
      <c r="K50" s="276"/>
      <c r="L50" s="277">
        <v>0</v>
      </c>
      <c r="M50" s="277">
        <v>0</v>
      </c>
      <c r="N50" s="279">
        <f>(J50-(J50*L50/100)+((J50-(J50*L50/100))*M50/100))</f>
      </c>
      <c r="O50" s="280"/>
      <c r="P50" s="281"/>
      <c r="Q50" s="281"/>
      <c r="R50" s="281"/>
      <c r="S50" s="282"/>
      <c r="T50" s="283"/>
    </row>
    <row r="51" spans="1:20" ht="15" customHeight="1">
      <c r="A51" s="269">
        <v>3</v>
      </c>
      <c r="B51" s="270"/>
      <c r="C51" s="271"/>
      <c r="D51" s="272"/>
      <c r="E51" s="272"/>
      <c r="F51" s="272"/>
      <c r="G51" s="272"/>
      <c r="H51" s="273"/>
      <c r="I51" s="274"/>
      <c r="J51" s="275">
        <v>0</v>
      </c>
      <c r="K51" s="276"/>
      <c r="L51" s="277">
        <v>0</v>
      </c>
      <c r="M51" s="277">
        <v>0</v>
      </c>
      <c r="N51" s="279">
        <f>(J51-(J51*L51/100)+((J51-(J51*L51/100))*M51/100))</f>
      </c>
      <c r="O51" s="280"/>
      <c r="P51" s="281"/>
      <c r="Q51" s="281"/>
      <c r="R51" s="281"/>
      <c r="S51" s="282"/>
      <c r="T51" s="283"/>
    </row>
    <row r="52" spans="1:20" ht="15.75" customHeight="1">
      <c r="A52" s="269">
        <v>4</v>
      </c>
      <c r="B52" s="270"/>
      <c r="C52" s="271"/>
      <c r="D52" s="272"/>
      <c r="E52" s="272"/>
      <c r="F52" s="272"/>
      <c r="G52" s="272"/>
      <c r="H52" s="273"/>
      <c r="I52" s="274"/>
      <c r="J52" s="275">
        <v>0</v>
      </c>
      <c r="K52" s="276"/>
      <c r="L52" s="277">
        <v>0</v>
      </c>
      <c r="M52" s="278">
        <v>0</v>
      </c>
      <c r="N52" s="279">
        <f>(J52-(J52*L52/100)+((J52-(J52*L52/100))*M52/100))</f>
      </c>
      <c r="O52" s="280"/>
      <c r="P52" s="281"/>
      <c r="Q52" s="281"/>
      <c r="R52" s="281"/>
      <c r="S52" s="282"/>
      <c r="T52" s="283"/>
    </row>
    <row r="53" spans="1:16" ht="15.95" customHeight="1">
      <c r="A53" s="247"/>
      <c r="B53" s="247"/>
      <c r="C53" s="248"/>
      <c r="D53" s="248"/>
      <c r="I53" s="163"/>
      <c r="J53" s="58" t="s">
        <v>81</v>
      </c>
      <c r="K53" s="59"/>
      <c r="L53" s="58"/>
      <c r="M53" s="59"/>
      <c r="N53" s="264">
        <f>SUM(ItmPrice)</f>
      </c>
      <c r="O53" s="267"/>
      <c r="P53" s="268"/>
    </row>
    <row r="54" spans="1:16" ht="15" customHeight="1">
      <c r="A54" s="247"/>
      <c r="B54" s="247"/>
      <c r="C54" s="248"/>
      <c r="D54" s="248"/>
      <c r="I54" s="163"/>
      <c r="J54" s="123" t="s">
        <v>82</v>
      </c>
      <c r="K54" s="124"/>
      <c r="L54" s="124"/>
      <c r="M54" s="125"/>
      <c r="N54" s="264">
        <f>SUM(N49:N53)</f>
      </c>
      <c r="O54" s="265"/>
      <c r="P54" s="266"/>
    </row>
    <row r="55" spans="1:19" ht="2.25" customHeight="1" hidden="1">
      <c r="A55" s="258">
        <v>0</v>
      </c>
      <c r="B55" s="258">
        <v>0</v>
      </c>
      <c r="C55" s="259">
        <v>0</v>
      </c>
      <c r="D55" s="248"/>
      <c r="E55" s="248"/>
      <c r="F55" s="260">
        <v>1</v>
      </c>
      <c r="G55" s="248"/>
      <c r="H55" s="248"/>
      <c r="I55" s="248"/>
      <c r="J55" s="248"/>
      <c r="K55" s="261"/>
      <c r="L55" s="262">
        <v>0</v>
      </c>
      <c r="M55" s="263">
        <v>0</v>
      </c>
      <c r="N55" s="162" t="s">
        <v>83</v>
      </c>
      <c r="O55" s="257"/>
      <c r="P55" s="263">
        <v>995</v>
      </c>
      <c r="Q55" s="248" t="s">
        <v>84</v>
      </c>
      <c r="R55" s="248"/>
      <c r="S55" s="248"/>
    </row>
    <row r="56" spans="1:19" ht="18.75" customHeight="1">
      <c r="A56" s="247"/>
      <c r="B56" s="247"/>
      <c r="C56" s="247"/>
      <c r="H56" s="257"/>
      <c r="I56" s="163"/>
      <c r="J56" s="248"/>
      <c r="K56" s="248"/>
      <c r="L56" s="248"/>
      <c r="M56" s="248"/>
      <c r="N56" s="248"/>
      <c r="O56" s="248"/>
      <c r="P56" s="248"/>
      <c r="R56" s="248"/>
      <c r="S56" s="248"/>
    </row>
    <row r="57" spans="1:20" ht="127.5" customHeight="1">
      <c r="A57" s="249" t="s">
        <v>85</v>
      </c>
      <c r="B57" s="249"/>
      <c r="C57" s="249"/>
      <c r="D57" s="250"/>
      <c r="E57" s="254"/>
      <c r="F57" s="255"/>
      <c r="G57" s="255"/>
      <c r="H57" s="255"/>
      <c r="I57" s="255"/>
      <c r="J57" s="255"/>
      <c r="K57" s="255"/>
      <c r="L57" s="255"/>
      <c r="M57" s="255"/>
      <c r="N57" s="255"/>
      <c r="O57" s="255"/>
      <c r="P57" s="255"/>
      <c r="Q57" s="255"/>
      <c r="R57" s="255"/>
      <c r="S57" s="255"/>
      <c r="T57" s="256"/>
    </row>
    <row r="58" spans="1:20" ht="129.75" customHeight="1">
      <c r="A58" s="249" t="s">
        <v>38</v>
      </c>
      <c r="B58" s="249"/>
      <c r="C58" s="249"/>
      <c r="D58" s="250"/>
      <c r="E58" s="251" t="s">
        <v>184</v>
      </c>
      <c r="F58" s="252"/>
      <c r="G58" s="252"/>
      <c r="H58" s="252"/>
      <c r="I58" s="252"/>
      <c r="J58" s="252"/>
      <c r="K58" s="252"/>
      <c r="L58" s="252"/>
      <c r="M58" s="252"/>
      <c r="N58" s="252"/>
      <c r="O58" s="252"/>
      <c r="P58" s="252"/>
      <c r="Q58" s="252"/>
      <c r="R58" s="252"/>
      <c r="S58" s="252"/>
      <c r="T58" s="253"/>
    </row>
    <row r="59" spans="1:19" ht="15.95" customHeight="1">
      <c r="A59" s="247"/>
      <c r="B59" s="247"/>
      <c r="C59" s="247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</row>
    <row r="60" spans="1:20" ht="15.95" customHeight="1">
      <c r="A60" s="245" t="s">
        <v>86</v>
      </c>
      <c r="B60" s="245"/>
      <c r="C60" s="245"/>
      <c r="D60" s="245"/>
      <c r="E60" s="245"/>
      <c r="F60" s="245"/>
      <c r="G60" s="245"/>
      <c r="H60" s="245"/>
      <c r="I60" s="245"/>
      <c r="J60" s="245"/>
      <c r="K60" s="245"/>
      <c r="L60" s="245"/>
      <c r="M60" s="245"/>
      <c r="N60" s="245"/>
      <c r="O60" s="245"/>
      <c r="P60" s="245"/>
      <c r="Q60" s="245"/>
      <c r="R60" s="245"/>
      <c r="S60" s="245"/>
      <c r="T60" s="246"/>
    </row>
    <row r="61" spans="1:20" ht="12.75" customHeight="1">
      <c r="A61" s="243"/>
      <c r="B61" s="243"/>
      <c r="C61" s="243"/>
      <c r="D61" s="243"/>
      <c r="E61" s="243"/>
      <c r="F61" s="243"/>
      <c r="G61" s="243"/>
      <c r="H61" s="243"/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S61" s="243"/>
      <c r="T61" s="244"/>
    </row>
    <row r="62" spans="1:20" ht="12.75" customHeight="1">
      <c r="A62" s="243"/>
      <c r="B62" s="243"/>
      <c r="C62" s="243"/>
      <c r="D62" s="243"/>
      <c r="E62" s="243"/>
      <c r="F62" s="243"/>
      <c r="G62" s="243"/>
      <c r="H62" s="243"/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S62" s="243"/>
      <c r="T62" s="244"/>
    </row>
    <row r="63" spans="1:20" ht="7.5" customHeight="1">
      <c r="A63" s="243"/>
      <c r="B63" s="243"/>
      <c r="C63" s="243"/>
      <c r="D63" s="243"/>
      <c r="E63" s="243"/>
      <c r="F63" s="243"/>
      <c r="G63" s="243"/>
      <c r="H63" s="243"/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S63" s="243"/>
      <c r="T63" s="244"/>
    </row>
    <row r="64" spans="1:20" ht="12.75" customHeight="1">
      <c r="A64" s="243"/>
      <c r="B64" s="243"/>
      <c r="C64" s="243"/>
      <c r="D64" s="243"/>
      <c r="E64" s="243"/>
      <c r="F64" s="243"/>
      <c r="G64" s="243"/>
      <c r="H64" s="243"/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S64" s="243"/>
      <c r="T64" s="244"/>
    </row>
    <row r="65" spans="1:20" ht="12.75" customHeight="1">
      <c r="A65" s="243"/>
      <c r="B65" s="243"/>
      <c r="C65" s="243"/>
      <c r="D65" s="243"/>
      <c r="E65" s="243"/>
      <c r="F65" s="243"/>
      <c r="G65" s="243"/>
      <c r="H65" s="243"/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S65" s="243"/>
      <c r="T65" s="244"/>
    </row>
    <row r="66" spans="1:20" ht="12.75" customHeight="1">
      <c r="A66" s="243"/>
      <c r="B66" s="243"/>
      <c r="C66" s="243"/>
      <c r="D66" s="243"/>
      <c r="E66" s="243"/>
      <c r="F66" s="243"/>
      <c r="G66" s="243"/>
      <c r="H66" s="243"/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S66" s="243"/>
      <c r="T66" s="244"/>
    </row>
    <row r="67" spans="1:20" ht="7.5" customHeight="1">
      <c r="A67" s="243"/>
      <c r="B67" s="243"/>
      <c r="C67" s="243"/>
      <c r="D67" s="243"/>
      <c r="E67" s="243"/>
      <c r="F67" s="243"/>
      <c r="G67" s="243"/>
      <c r="H67" s="243"/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S67" s="243"/>
      <c r="T67" s="244"/>
    </row>
    <row r="68" spans="1:20" ht="12.75" customHeight="1">
      <c r="A68" s="243"/>
      <c r="B68" s="243"/>
      <c r="C68" s="243"/>
      <c r="D68" s="243"/>
      <c r="E68" s="243"/>
      <c r="F68" s="243"/>
      <c r="G68" s="243"/>
      <c r="H68" s="243"/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S68" s="243"/>
      <c r="T68" s="244"/>
    </row>
    <row r="69" spans="1:20" ht="12.75" customHeight="1">
      <c r="A69" s="243"/>
      <c r="B69" s="243"/>
      <c r="C69" s="243"/>
      <c r="D69" s="243"/>
      <c r="E69" s="243"/>
      <c r="F69" s="243"/>
      <c r="G69" s="243"/>
      <c r="H69" s="243"/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S69" s="243"/>
      <c r="T69" s="244"/>
    </row>
    <row r="70" spans="1:20" ht="12.75" customHeight="1">
      <c r="A70" s="243"/>
      <c r="B70" s="243"/>
      <c r="C70" s="243"/>
      <c r="D70" s="243"/>
      <c r="E70" s="243"/>
      <c r="F70" s="243"/>
      <c r="G70" s="243"/>
      <c r="H70" s="243"/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S70" s="243"/>
      <c r="T70" s="244"/>
    </row>
    <row r="71" spans="1:20" ht="12.75" customHeight="1">
      <c r="A71" s="243"/>
      <c r="B71" s="243"/>
      <c r="C71" s="243"/>
      <c r="D71" s="243"/>
      <c r="E71" s="243"/>
      <c r="F71" s="243"/>
      <c r="G71" s="243"/>
      <c r="H71" s="243"/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S71" s="243"/>
      <c r="T71" s="244"/>
    </row>
    <row r="72" spans="1:20" ht="12.75" customHeight="1">
      <c r="A72" s="243"/>
      <c r="B72" s="243"/>
      <c r="C72" s="243"/>
      <c r="D72" s="243"/>
      <c r="E72" s="243"/>
      <c r="F72" s="243"/>
      <c r="G72" s="243"/>
      <c r="H72" s="243"/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S72" s="243"/>
      <c r="T72" s="244"/>
    </row>
    <row r="73" spans="1:20" ht="12.75" customHeight="1">
      <c r="A73" s="243"/>
      <c r="B73" s="243"/>
      <c r="C73" s="243"/>
      <c r="D73" s="243"/>
      <c r="E73" s="243"/>
      <c r="F73" s="243"/>
      <c r="G73" s="243"/>
      <c r="H73" s="243"/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S73" s="243"/>
      <c r="T73" s="244"/>
    </row>
    <row r="74" spans="1:20" ht="7.5" customHeight="1">
      <c r="A74" s="243"/>
      <c r="B74" s="243"/>
      <c r="C74" s="243"/>
      <c r="D74" s="243"/>
      <c r="E74" s="243"/>
      <c r="F74" s="243"/>
      <c r="G74" s="243"/>
      <c r="H74" s="243"/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S74" s="243"/>
      <c r="T74" s="244"/>
    </row>
    <row r="75" spans="1:20" ht="12.75" customHeight="1">
      <c r="A75" s="243"/>
      <c r="B75" s="243"/>
      <c r="C75" s="243"/>
      <c r="D75" s="243"/>
      <c r="E75" s="243"/>
      <c r="F75" s="243"/>
      <c r="G75" s="243"/>
      <c r="H75" s="243"/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S75" s="243"/>
      <c r="T75" s="244"/>
    </row>
    <row r="76" spans="1:20" ht="12.75" customHeight="1">
      <c r="A76" s="243"/>
      <c r="B76" s="243"/>
      <c r="C76" s="243"/>
      <c r="D76" s="243"/>
      <c r="E76" s="243"/>
      <c r="F76" s="243"/>
      <c r="G76" s="243"/>
      <c r="H76" s="243"/>
      <c r="I76" s="243"/>
      <c r="J76" s="243"/>
      <c r="K76" s="243"/>
      <c r="L76" s="243"/>
      <c r="M76" s="243"/>
      <c r="N76" s="243"/>
      <c r="O76" s="243"/>
      <c r="P76" s="243"/>
      <c r="Q76" s="243"/>
      <c r="R76" s="243"/>
      <c r="S76" s="243"/>
      <c r="T76" s="244"/>
    </row>
    <row r="77" spans="1:20" ht="12.75" customHeight="1">
      <c r="A77" s="243"/>
      <c r="B77" s="243"/>
      <c r="C77" s="243"/>
      <c r="D77" s="243"/>
      <c r="E77" s="243"/>
      <c r="F77" s="243"/>
      <c r="G77" s="243"/>
      <c r="H77" s="243"/>
      <c r="I77" s="243"/>
      <c r="J77" s="243"/>
      <c r="K77" s="243"/>
      <c r="L77" s="243"/>
      <c r="M77" s="243"/>
      <c r="N77" s="243"/>
      <c r="O77" s="243"/>
      <c r="P77" s="243"/>
      <c r="Q77" s="243"/>
      <c r="R77" s="243"/>
      <c r="S77" s="243"/>
      <c r="T77" s="244"/>
    </row>
    <row r="78" spans="1:20" ht="12.75" customHeight="1">
      <c r="A78" s="243"/>
      <c r="B78" s="243"/>
      <c r="C78" s="243"/>
      <c r="D78" s="243"/>
      <c r="E78" s="243"/>
      <c r="F78" s="243"/>
      <c r="G78" s="243"/>
      <c r="H78" s="243"/>
      <c r="I78" s="243"/>
      <c r="J78" s="243"/>
      <c r="K78" s="243"/>
      <c r="L78" s="243"/>
      <c r="M78" s="243"/>
      <c r="N78" s="243"/>
      <c r="O78" s="243"/>
      <c r="P78" s="243"/>
      <c r="Q78" s="243"/>
      <c r="R78" s="243"/>
      <c r="S78" s="243"/>
      <c r="T78" s="244"/>
    </row>
    <row r="79" spans="1:20" ht="12.75" customHeight="1">
      <c r="A79" s="243"/>
      <c r="B79" s="243"/>
      <c r="C79" s="243"/>
      <c r="D79" s="243"/>
      <c r="E79" s="243"/>
      <c r="F79" s="243"/>
      <c r="G79" s="243"/>
      <c r="H79" s="243"/>
      <c r="I79" s="243"/>
      <c r="J79" s="243"/>
      <c r="K79" s="243"/>
      <c r="L79" s="243"/>
      <c r="M79" s="243"/>
      <c r="N79" s="243"/>
      <c r="O79" s="243"/>
      <c r="P79" s="243"/>
      <c r="Q79" s="243"/>
      <c r="R79" s="243"/>
      <c r="S79" s="243"/>
      <c r="T79" s="244"/>
    </row>
    <row r="80" spans="1:20" ht="7.5" customHeight="1">
      <c r="A80" s="243"/>
      <c r="B80" s="243"/>
      <c r="C80" s="243"/>
      <c r="D80" s="243"/>
      <c r="E80" s="243"/>
      <c r="F80" s="243"/>
      <c r="G80" s="243"/>
      <c r="H80" s="243"/>
      <c r="I80" s="243"/>
      <c r="J80" s="243"/>
      <c r="K80" s="243"/>
      <c r="L80" s="243"/>
      <c r="M80" s="243"/>
      <c r="N80" s="243"/>
      <c r="O80" s="243"/>
      <c r="P80" s="243"/>
      <c r="Q80" s="243"/>
      <c r="R80" s="243"/>
      <c r="S80" s="243"/>
      <c r="T80" s="244"/>
    </row>
    <row r="81" spans="1:20" ht="12.75" customHeight="1">
      <c r="A81" s="243"/>
      <c r="B81" s="243"/>
      <c r="C81" s="243"/>
      <c r="D81" s="243"/>
      <c r="E81" s="243"/>
      <c r="F81" s="243"/>
      <c r="G81" s="243"/>
      <c r="H81" s="243"/>
      <c r="I81" s="243"/>
      <c r="J81" s="243"/>
      <c r="K81" s="243"/>
      <c r="L81" s="243"/>
      <c r="M81" s="243"/>
      <c r="N81" s="243"/>
      <c r="O81" s="243"/>
      <c r="P81" s="243"/>
      <c r="Q81" s="243"/>
      <c r="R81" s="243"/>
      <c r="S81" s="243"/>
      <c r="T81" s="244"/>
    </row>
    <row r="82" spans="1:20" ht="12.75" customHeight="1">
      <c r="A82" s="243"/>
      <c r="B82" s="243"/>
      <c r="C82" s="243"/>
      <c r="D82" s="243"/>
      <c r="E82" s="243"/>
      <c r="F82" s="243"/>
      <c r="G82" s="243"/>
      <c r="H82" s="243"/>
      <c r="I82" s="243"/>
      <c r="J82" s="243"/>
      <c r="K82" s="243"/>
      <c r="L82" s="243"/>
      <c r="M82" s="243"/>
      <c r="N82" s="243"/>
      <c r="O82" s="243"/>
      <c r="P82" s="243"/>
      <c r="Q82" s="243"/>
      <c r="R82" s="243"/>
      <c r="S82" s="243"/>
      <c r="T82" s="244"/>
    </row>
    <row r="83" spans="1:20" ht="12.75" customHeight="1">
      <c r="A83" s="241"/>
      <c r="B83" s="241"/>
      <c r="C83" s="241"/>
      <c r="D83" s="241"/>
      <c r="E83" s="241"/>
      <c r="F83" s="241"/>
      <c r="G83" s="241"/>
      <c r="H83" s="241"/>
      <c r="I83" s="241"/>
      <c r="J83" s="241"/>
      <c r="K83" s="241"/>
      <c r="L83" s="241"/>
      <c r="M83" s="241"/>
      <c r="N83" s="241"/>
      <c r="O83" s="241"/>
      <c r="P83" s="241"/>
      <c r="Q83" s="241"/>
      <c r="R83" s="241"/>
      <c r="S83" s="241"/>
      <c r="T83" s="242"/>
    </row>
    <row r="84" spans="1:9" ht="12.75">
      <c r="A84" s="240" t="s">
        <v>87</v>
      </c>
      <c r="B84" s="240"/>
      <c r="C84" s="240"/>
      <c r="D84" s="240"/>
      <c r="E84" s="240"/>
      <c r="F84" s="240"/>
      <c r="G84" s="240"/>
      <c r="I84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119">
    <mergeCell ref="E57:S57"/>
    <mergeCell ref="E58:S58"/>
    <mergeCell ref="E60:S60"/>
    <mergeCell ref="A61:S82"/>
    <mergeCell ref="A83:S83"/>
    <mergeCell ref="A57:D57"/>
    <mergeCell ref="A58:D58"/>
    <mergeCell ref="K1:R1"/>
    <mergeCell ref="R19:S19"/>
    <mergeCell ref="R20:S20"/>
    <mergeCell ref="O49:S49"/>
    <mergeCell ref="O50:S50"/>
    <mergeCell ref="O48:S48"/>
    <mergeCell ref="J48:K48"/>
    <mergeCell ref="K4:L4"/>
    <mergeCell ref="M4:P4"/>
    <mergeCell ref="K5:L5"/>
    <mergeCell ref="M5:P5"/>
    <mergeCell ref="M7:Q7"/>
    <mergeCell ref="P20:Q20"/>
    <mergeCell ref="M12:O12"/>
    <mergeCell ref="K12:L12"/>
    <mergeCell ref="O53:P53"/>
    <mergeCell ref="O54:P54"/>
    <mergeCell ref="J54:M54"/>
    <mergeCell ref="O51:S51"/>
    <mergeCell ref="O52:S52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48:H48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C49:H49"/>
    <mergeCell ref="J49:K49"/>
    <mergeCell ref="C50:H50"/>
    <mergeCell ref="J50:K50"/>
    <mergeCell ref="C51:H51"/>
    <mergeCell ref="J51:K51"/>
    <mergeCell ref="C52:H52"/>
    <mergeCell ref="J52:K52"/>
  </mergeCells>
  <dataValidations count="11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list" allowBlank="1" showInputMessage="1" showErrorMessage="1" sqref="C49:H49">
      <formula1>'MasterData'!$H$1:$H$14</formula1>
    </dataValidation>
    <dataValidation type="list" allowBlank="1" showInputMessage="1" showErrorMessage="1" sqref="C50:H50">
      <formula1>'MasterData'!$H$1:$H$14</formula1>
    </dataValidation>
    <dataValidation type="list" allowBlank="1" showInputMessage="1" showErrorMessage="1" sqref="C51:H51">
      <formula1>'MasterData'!$H$1:$H$14</formula1>
    </dataValidation>
    <dataValidation type="list" allowBlank="1" showInputMessage="1" showErrorMessage="1" sqref="C52:H52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79</v>
      </c>
      <c r="M1" s="300" t="s">
        <v>88</v>
      </c>
      <c r="N1" s="301" t="s">
        <v>0</v>
      </c>
      <c r="O1" s="162" t="s">
        <v>89</v>
      </c>
    </row>
    <row r="2" spans="7:15" ht="12.75">
      <c r="G2" s="162">
        <v>1001310</v>
      </c>
      <c r="H2" s="162" t="s">
        <v>80</v>
      </c>
      <c r="M2" s="300" t="s">
        <v>90</v>
      </c>
      <c r="N2" s="301">
        <v>1020677823</v>
      </c>
      <c r="O2" s="162" t="s">
        <v>91</v>
      </c>
    </row>
    <row r="3" spans="7:15" ht="12.75">
      <c r="G3" s="162">
        <v>1012729</v>
      </c>
      <c r="H3" s="162" t="s">
        <v>92</v>
      </c>
      <c r="M3" s="300" t="s">
        <v>93</v>
      </c>
      <c r="N3" s="301">
        <v>99990000421371</v>
      </c>
      <c r="O3" s="162" t="s">
        <v>94</v>
      </c>
    </row>
    <row r="4" spans="7:15" ht="12.75">
      <c r="G4" s="162">
        <v>1012730</v>
      </c>
      <c r="H4" s="162" t="s">
        <v>95</v>
      </c>
      <c r="M4" s="300" t="s">
        <v>96</v>
      </c>
      <c r="N4" s="301">
        <v>1021718558</v>
      </c>
      <c r="O4" s="162" t="s">
        <v>97</v>
      </c>
    </row>
    <row r="5" spans="7:15" ht="12.75">
      <c r="G5" s="162">
        <v>1012731</v>
      </c>
      <c r="H5" s="162" t="s">
        <v>98</v>
      </c>
      <c r="M5" s="300" t="s">
        <v>99</v>
      </c>
      <c r="N5" s="301"/>
      <c r="O5" s="162" t="s">
        <v>100</v>
      </c>
    </row>
    <row r="6" spans="7:15" ht="12.75">
      <c r="G6" s="162">
        <v>1012732</v>
      </c>
      <c r="H6" s="162" t="s">
        <v>101</v>
      </c>
      <c r="M6" s="300" t="s">
        <v>102</v>
      </c>
      <c r="N6" s="301" t="s">
        <v>103</v>
      </c>
      <c r="O6" s="162" t="s">
        <v>104</v>
      </c>
    </row>
    <row r="7" spans="7:15" ht="12.75">
      <c r="G7" s="162">
        <v>1012733</v>
      </c>
      <c r="H7" s="162" t="s">
        <v>105</v>
      </c>
      <c r="M7" s="300" t="s">
        <v>106</v>
      </c>
      <c r="N7" s="301">
        <v>0</v>
      </c>
      <c r="O7" s="162" t="s">
        <v>107</v>
      </c>
    </row>
    <row r="8" spans="7:15" ht="12.75">
      <c r="G8" s="162">
        <v>1012735</v>
      </c>
      <c r="H8" s="162" t="s">
        <v>108</v>
      </c>
      <c r="O8" s="162" t="s">
        <v>109</v>
      </c>
    </row>
    <row r="9" spans="7:15" ht="12.75">
      <c r="G9" s="162">
        <v>1012736</v>
      </c>
      <c r="H9" s="162" t="s">
        <v>110</v>
      </c>
      <c r="O9" s="162" t="s">
        <v>111</v>
      </c>
    </row>
    <row r="10" spans="7:15" ht="12.75">
      <c r="G10" s="162">
        <v>1012737</v>
      </c>
      <c r="H10" s="162" t="s">
        <v>112</v>
      </c>
      <c r="O10" s="162" t="s">
        <v>113</v>
      </c>
    </row>
    <row r="11" spans="7:15" ht="12.75">
      <c r="G11" s="162">
        <v>1012741</v>
      </c>
      <c r="H11" s="162" t="s">
        <v>114</v>
      </c>
      <c r="O11" s="162" t="s">
        <v>115</v>
      </c>
    </row>
    <row r="12" spans="7:15" ht="12.75">
      <c r="G12" s="162">
        <v>1012742</v>
      </c>
      <c r="H12" s="162" t="s">
        <v>116</v>
      </c>
      <c r="O12" s="162" t="s">
        <v>117</v>
      </c>
    </row>
    <row r="13" spans="7:15" ht="12.75">
      <c r="G13" s="162">
        <v>1012743</v>
      </c>
      <c r="H13" s="162" t="s">
        <v>118</v>
      </c>
      <c r="O13" s="162" t="s">
        <v>119</v>
      </c>
    </row>
    <row r="14" spans="7:15" ht="12.75">
      <c r="G14" s="162">
        <v>1012744</v>
      </c>
      <c r="H14" s="162" t="s">
        <v>120</v>
      </c>
      <c r="O14" s="162" t="s">
        <v>121</v>
      </c>
    </row>
    <row r="15" ht="12.75">
      <c r="O15" s="162" t="s">
        <v>122</v>
      </c>
    </row>
    <row r="16" ht="12.75">
      <c r="O16" s="162" t="s">
        <v>123</v>
      </c>
    </row>
    <row r="17" ht="12.75">
      <c r="O17" s="162" t="s">
        <v>124</v>
      </c>
    </row>
    <row r="18" ht="12.75">
      <c r="O18" s="162" t="s">
        <v>125</v>
      </c>
    </row>
    <row r="19" ht="12.75">
      <c r="O19" s="162" t="s">
        <v>126</v>
      </c>
    </row>
    <row r="20" ht="12.75">
      <c r="O20" s="162" t="s">
        <v>127</v>
      </c>
    </row>
    <row r="21" ht="12.75">
      <c r="O21" s="162" t="s">
        <v>128</v>
      </c>
    </row>
    <row r="22" ht="12.75">
      <c r="O22" s="162" t="s">
        <v>129</v>
      </c>
    </row>
    <row r="23" ht="12.75">
      <c r="O23" s="162" t="s">
        <v>130</v>
      </c>
    </row>
    <row r="24" ht="12.75">
      <c r="O24" s="162" t="s">
        <v>131</v>
      </c>
    </row>
    <row r="25" ht="12.75">
      <c r="O25" s="162" t="s">
        <v>132</v>
      </c>
    </row>
    <row r="26" ht="12.75">
      <c r="O26" s="162" t="s">
        <v>133</v>
      </c>
    </row>
    <row r="27" ht="12.75">
      <c r="O27" s="162" t="s">
        <v>134</v>
      </c>
    </row>
    <row r="28" ht="12.75">
      <c r="O28" s="162" t="s">
        <v>135</v>
      </c>
    </row>
    <row r="29" ht="12.75">
      <c r="O29" s="162" t="s">
        <v>136</v>
      </c>
    </row>
    <row r="30" ht="12.75">
      <c r="O30" s="162" t="s">
        <v>137</v>
      </c>
    </row>
    <row r="31" ht="12.75">
      <c r="O31" s="162" t="s">
        <v>138</v>
      </c>
    </row>
    <row r="32" ht="12.75">
      <c r="O32" s="162" t="s">
        <v>139</v>
      </c>
    </row>
    <row r="33" ht="12.75">
      <c r="O33" s="162" t="s">
        <v>140</v>
      </c>
    </row>
    <row r="34" ht="12.75">
      <c r="O34" s="162" t="s">
        <v>141</v>
      </c>
    </row>
    <row r="35" ht="12.75">
      <c r="O35" s="162" t="s">
        <v>142</v>
      </c>
    </row>
    <row r="36" ht="12.75">
      <c r="O36" s="162" t="s">
        <v>143</v>
      </c>
    </row>
    <row r="37" ht="12.75">
      <c r="O37" s="162" t="s">
        <v>144</v>
      </c>
    </row>
    <row r="38" ht="12.75">
      <c r="O38" s="162" t="s">
        <v>145</v>
      </c>
    </row>
    <row r="39" ht="12.75">
      <c r="O39" s="162" t="s">
        <v>146</v>
      </c>
    </row>
    <row r="40" ht="12.75">
      <c r="O40" s="162" t="s">
        <v>147</v>
      </c>
    </row>
    <row r="41" ht="12.75">
      <c r="O41" s="162" t="s">
        <v>148</v>
      </c>
    </row>
    <row r="42" ht="12.75">
      <c r="O42" s="162" t="s">
        <v>149</v>
      </c>
    </row>
    <row r="43" ht="12.75">
      <c r="O43" s="162" t="s">
        <v>150</v>
      </c>
    </row>
    <row r="44" ht="12.75">
      <c r="O44" s="162" t="s">
        <v>151</v>
      </c>
    </row>
    <row r="45" ht="12.75">
      <c r="O45" s="162" t="s">
        <v>152</v>
      </c>
    </row>
    <row r="46" ht="12.75">
      <c r="O46" s="162" t="s">
        <v>153</v>
      </c>
    </row>
    <row r="47" ht="12.75">
      <c r="O47" s="162" t="s">
        <v>154</v>
      </c>
    </row>
    <row r="48" ht="12.75">
      <c r="O48" s="162" t="s">
        <v>155</v>
      </c>
    </row>
    <row r="49" ht="12.75">
      <c r="O49" s="162" t="s">
        <v>156</v>
      </c>
    </row>
    <row r="50" ht="12.75">
      <c r="O50" s="162" t="s">
        <v>157</v>
      </c>
    </row>
    <row r="51" ht="12.75">
      <c r="O51" s="162" t="s">
        <v>158</v>
      </c>
    </row>
    <row r="52" ht="12.75">
      <c r="O52" s="162" t="s">
        <v>159</v>
      </c>
    </row>
    <row r="53" ht="12.75">
      <c r="O53" s="162" t="s">
        <v>160</v>
      </c>
    </row>
    <row r="54" ht="12.75">
      <c r="O54" s="162" t="s">
        <v>161</v>
      </c>
    </row>
    <row r="55" ht="12.75">
      <c r="O55" s="162" t="s">
        <v>162</v>
      </c>
    </row>
    <row r="56" ht="12.75">
      <c r="O56" s="162" t="s">
        <v>163</v>
      </c>
    </row>
    <row r="57" ht="12.75">
      <c r="O57" s="162" t="s">
        <v>164</v>
      </c>
    </row>
    <row r="58" ht="12.75">
      <c r="O58" s="162" t="s">
        <v>165</v>
      </c>
    </row>
    <row r="59" ht="12.75">
      <c r="O59" s="162" t="s">
        <v>166</v>
      </c>
    </row>
    <row r="60" ht="12.75">
      <c r="O60" s="162" t="s">
        <v>167</v>
      </c>
    </row>
    <row r="61" ht="12.75">
      <c r="O61" s="162" t="s">
        <v>168</v>
      </c>
    </row>
    <row r="62" ht="12.75">
      <c r="O62" s="162" t="s">
        <v>169</v>
      </c>
    </row>
    <row r="63" ht="12.75">
      <c r="O63" s="162" t="s">
        <v>170</v>
      </c>
    </row>
    <row r="64" ht="12.75">
      <c r="O64" s="162" t="s">
        <v>171</v>
      </c>
    </row>
    <row r="65" ht="12.75">
      <c r="O65" s="162" t="s">
        <v>172</v>
      </c>
    </row>
    <row r="66" ht="12.75">
      <c r="O66" s="162" t="s">
        <v>173</v>
      </c>
    </row>
    <row r="67" ht="12.75">
      <c r="O67" s="162" t="s">
        <v>174</v>
      </c>
    </row>
    <row r="68" ht="12.75">
      <c r="O68" s="162" t="s">
        <v>175</v>
      </c>
    </row>
    <row r="69" ht="12.75">
      <c r="O69" s="162" t="s">
        <v>176</v>
      </c>
    </row>
    <row r="70" ht="12.75">
      <c r="O70" s="162" t="s">
        <v>177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