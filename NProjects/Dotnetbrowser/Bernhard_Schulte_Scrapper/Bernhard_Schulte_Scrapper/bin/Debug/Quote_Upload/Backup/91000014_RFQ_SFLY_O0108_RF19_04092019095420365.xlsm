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Quote!$A$58</definedName>
    <definedName name="Enquiry_To_Vendor_ID" comment="Enquiry to Vendor ID">Quote!$C$58</definedName>
    <definedName name="GrandTotal">Quote!$N$57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Quote!$A$50</definedName>
    <definedName name="ItemListStartupRow" comment="Item List Start Up Row">Quote!$A$19</definedName>
    <definedName name="ItemSubTotal">Quote!$N$56</definedName>
    <definedName name="ItemSubTotalTitle">Quote!$J$56</definedName>
    <definedName name="LeadDay">Quote!$M$11</definedName>
    <definedName name="Lock">Quote!$M$58</definedName>
    <definedName name="LoggedInEmailID">Quote!$N$58</definedName>
    <definedName name="LoggedInPwd">Quote!$O$58</definedName>
    <definedName name="OtherCharges">Quote!$C$52</definedName>
    <definedName name="OtherChargesLastRow">Quote!$A$56</definedName>
    <definedName name="OtherChargesStartRow">Quote!$A$51</definedName>
    <definedName name="Port">Quote!$P$58</definedName>
    <definedName name="PortOfDelivery" comment="Port of Delivery">Quote!$M$9</definedName>
    <definedName name="PurchaserName">Quote!$J$58</definedName>
    <definedName name="QuoteBefore">Quote!$M$8</definedName>
    <definedName name="QuoteID">MasterData!$N$7</definedName>
    <definedName name="QuoteSubject">Quote!$E$58</definedName>
    <definedName name="Remarks">Quote!$E$60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Quote!$K$58</definedName>
    <definedName name="SentIndex">Quote!$L$58</definedName>
    <definedName name="Server">Quote!$Q$58</definedName>
    <definedName name="Terms">Quote!$A$64:$T$85</definedName>
    <definedName name="ToEmailID">Quote!$I$58</definedName>
    <definedName name="ToEmailPwd">Quote!$H$58</definedName>
    <definedName name="VAL">Quote!$F$58</definedName>
    <definedName name="VAT_All">Quote!$M$16</definedName>
    <definedName name="Vendor_ID" comment="Vendor ID">Quote!$B$58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Quote!$D$58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Quote!$E$61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,Quote!$N$46:$N$46,Quote!$N$47:$N$47,Quote!$N$48:$N$48,Quote!$N$49:$N$49</definedName>
    <definedName name="_xlnm.Print_Area" localSheetId="0">Quote!$A$1:$R$77</definedName>
  </definedNames>
  <calcPr fullCalcOnLoad="1"/>
</workbook>
</file>

<file path=xl/sharedStrings.xml><?xml version="1.0" encoding="utf-8"?>
<sst xmlns="http://schemas.openxmlformats.org/spreadsheetml/2006/main" count="299" uniqueCount="216">
  <si>
    <t>RFQ</t>
  </si>
  <si>
    <t>Request for Quote</t>
  </si>
  <si>
    <t>Invoice To</t>
  </si>
  <si>
    <t>Bernhard Schulte Shipmanagement (Singapore) Pte. Ltd.
Invoice To:  MASTER  &amp; OWNER OF SFL YUKON,
              REGD. OWNER: SFL YUKON INC,
             AS AGENTS: Bernhard Schulte Shipmanagement (Singapore) Pte Ltd
             108 Middle Road, 
             #08-00 Bernhard Schulte House, Singapore 188967
             ATTN:- Accounts Department
             PLEASE SEND SOFT COPY TO:- sg-smc-acct@bs-shipmanagement.com</t>
  </si>
  <si>
    <t>Vessel</t>
  </si>
  <si>
    <t>SFL Yukon</t>
  </si>
  <si>
    <t>RFQ No.</t>
  </si>
  <si>
    <t>SFLY/O0108/RF19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</si>
  <si>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</si>
  <si>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</si>
  <si>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</si>
  <si>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</si>
  <si>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</si>
  <si>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</si>
  <si>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</si>
  <si>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</si>
  <si>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</si>
  <si>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</si>
  <si>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</si>
  <si>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</si>
  <si>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</si>
  <si>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</si>
  <si>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</si>
  <si>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</si>
  <si>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</si>
  <si>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</si>
  <si>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</si>
  <si>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</si>
  <si>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</si>
  <si>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</si>
  <si>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</si>
  <si>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</si>
  <si>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</si>
  <si>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</si>
  <si>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</si>
  <si>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</si>
  <si>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</si>
  <si>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</si>
  <si>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</si>
  <si>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</si>
  <si>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KERGER 744682</t>
  </si>
  <si>
    <t>WT.RECEPTACLE HNA 3P F 3PLUG
-0-</t>
  </si>
  <si>
    <t>PCS</t>
  </si>
  <si>
    <t>KERGER 762100</t>
  </si>
  <si>
    <t>EX RUBBER PORTABLE HANDLAMP
ATEX APPROVED</t>
  </si>
  <si>
    <t>KERGER 743010</t>
  </si>
  <si>
    <t>WT.PLUG HNA 3P 10A BRASS</t>
  </si>
  <si>
    <t>CABLE CABTYRE NATURAL RUBBER, SHEATHED 1CT 2.0MM/SQ.X3C</t>
  </si>
  <si>
    <t>MTR</t>
  </si>
  <si>
    <t>**CHINA / KOREA</t>
  </si>
  <si>
    <t>CABLE CABTYRE NATURAL RUBBER, SHEATHED 1CT 1.25MM/SQ.X3C</t>
  </si>
  <si>
    <t>KERGER 202406</t>
  </si>
  <si>
    <t>HANDLAMP RECHARGEABLE 230V
NIMH  18 LEDS</t>
  </si>
  <si>
    <t>BATTERY DRY CELL R03(UM-4) 1.5V LEAK-PROOF</t>
  </si>
  <si>
    <t>**GP OR JAPANESE BRAND</t>
  </si>
  <si>
    <t>KERGER 202230</t>
  </si>
  <si>
    <t>HEADLIGHT ATEX LED, HIGH AND
LOW WHITE  BEAM WITH BATTERIES
(3XAA) ZONE 0</t>
  </si>
  <si>
    <t>VENTILATION TUBE EXPLOSION, PROOF D200 X PITCH150MM X 5MTR</t>
  </si>
  <si>
    <t>SET</t>
  </si>
  <si>
    <t>FAN VENTILATION EXPLOSIONPROOF, 200MM DIAM AC200V 1-PHASE</t>
  </si>
  <si>
    <t>BOOTS OIL-ACID RESISTANT, 28CM</t>
  </si>
  <si>
    <t>PRS</t>
  </si>
  <si>
    <t>BOOTS OIL-ACID RESISTANT, 26CM</t>
  </si>
  <si>
    <t>GLOVES PLASTIC OIL/ACID RESIST SHORT</t>
  </si>
  <si>
    <t>GLOVES WORKING COTTON ORDINARY</t>
  </si>
  <si>
    <t>GME FILTER P/N 492790, FOR COMFO CLASSIC RESPIRATOR</t>
  </si>
  <si>
    <t>WITH GME FILTERWITH GME CARTRIDGE</t>
  </si>
  <si>
    <t>BOILERSUIT DISPOSABLE, POLYPROPYLENE SIZE XXL (3L)</t>
  </si>
  <si>
    <t>BOILERSUIT DISPOSABLE, POLYPROPYLENE SIZE L</t>
  </si>
  <si>
    <t>GOGGLE ULTRASONIC UVEX 9302, ORANGE FRAME</t>
  </si>
  <si>
    <t>REPLACEABLE HEAD FOR YACHT MOP</t>
  </si>
  <si>
    <t>**OFFER : REPLACEMENT HEAD ONLY**</t>
  </si>
  <si>
    <t>YACHT MOP COMPLETE</t>
  </si>
  <si>
    <t>**ALCONA</t>
  </si>
  <si>
    <t>REFILL BLADE WIDTH 330MM, FOR RUBBER SQUEEGEE</t>
  </si>
  <si>
    <t>**SQUEEGEE RUBBER 440MM  W/WOOD HANDLE C/SET**</t>
  </si>
  <si>
    <t>SQUEEGEE RUBBER HANDLED 330MM (Mainly for windows)</t>
  </si>
  <si>
    <t>**OFFER : LOCAL IN-HSE BRAND**</t>
  </si>
  <si>
    <t>VACUUM CLEANER PNEUMATIC BLOBAC CLEANER" MODEL V-300</t>
  </si>
  <si>
    <t>**OFFER V-500 EQUIVALENT**</t>
  </si>
  <si>
    <t>DUST PAN GALV OPEN</t>
  </si>
  <si>
    <t>**OFFER : ECONOMY TYPE**</t>
  </si>
  <si>
    <t>BUCKET PLASTIC 10LTR</t>
  </si>
  <si>
    <t>MARINE REFUSE SACK "MIDI", 52.5X50CM 50'S/PKT</t>
  </si>
  <si>
    <t>PKT</t>
  </si>
  <si>
    <t>**OFFER : 50'S/PKT**</t>
  </si>
  <si>
    <t>PLASTIC BAG BLACK, 500X400X1300MM 50'S</t>
  </si>
  <si>
    <t>**OFFER 800X1300MM 50`S/PKT**</t>
  </si>
  <si>
    <t>WRINGER MOP BUCKET (Hard Plastic)</t>
  </si>
  <si>
    <t>** OFFER MOP BUCKET LOCAL TYPE W/STRAINER**</t>
  </si>
  <si>
    <t>RAG COTTON 100% STERILIZED, WHITE</t>
  </si>
  <si>
    <t>KGS</t>
  </si>
  <si>
    <t>**OFFER : 25KG**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</si>
  <si>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</si>
  <si>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</si>
  <si>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</si>
  <si>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</si>
  <si>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</si>
  <si>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</si>
  <si>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</si>
  <si>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</si>
  <si>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</si>
  <si>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</si>
  <si>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Please supply in next convenient Port.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</si>
  <si>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</si>
  <si>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</si>
  <si>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</si>
  <si>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</si>
  <si>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</si>
  <si>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</si>
  <si>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</si>
  <si>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</si>
  <si>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</si>
  <si>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</si>
  <si>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</si>
  <si>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</si>
  <si>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</si>
  <si>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</si>
  <si>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</si>
  <si>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</si>
  <si>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</si>
  <si>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</si>
  <si>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</si>
  <si>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</si>
  <si>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</si>
  <si>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</si>
  <si>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</si>
  <si>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</si>
  <si>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</si>
  <si>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</si>
  <si>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</si>
  <si>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</si>
  <si>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</si>
  <si>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</si>
  <si>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</si>
  <si>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</si>
  <si>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</si>
  <si>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</si>
  <si>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</si>
  <si>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</si>
  <si>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</si>
  <si>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</si>
  <si>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</si>
  <si>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</si>
  <si>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</si>
  <si>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</si>
  <si>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</si>
  <si>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</si>
  <si>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</si>
  <si>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</si>
  <si>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</si>
  <si>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</si>
  <si>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</si>
  <si>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</si>
  <si>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</si>
  <si>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</si>
  <si>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</si>
  <si>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</si>
  <si>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</si>
  <si>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</si>
  <si>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</si>
  <si>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</si>
  <si>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</si>
  <si>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</si>
  <si>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</si>
  <si>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</si>
  <si>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</si>
  <si>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</si>
  <si>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</si>
  <si>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</si>
  <si>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</si>
  <si>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</si>
  <si>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</si>
  <si>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</si>
  <si>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</si>
  <si>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</si>
  <si>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</si>
  <si>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</si>
  <si>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</si>
  <si>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</si>
  <si>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</si>
  <si>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</si>
  <si>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</si>
  <si>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</si>
  <si>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</si>
  <si>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</si>
  <si>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</si>
  <si>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</si>
  <si>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</si>
  <si>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</si>
  <si>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</si>
  <si>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</si>
  <si>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</si>
  <si>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</si>
  <si>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</si>
  <si>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</si>
  <si>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T-SQ-190900721</t>
  </si>
  <si>
    <t xml:space="preserve">OFFER EQUIVALENT </t>
  </si>
  <si>
    <t xml:space="preserve">OFFER EQUIVALENT EX-PROOF E27 RUBBER HANDLAMP 60W </t>
  </si>
  <si>
    <t>CUT ITEM, NON-RETURNABLE</t>
  </si>
  <si>
    <t xml:space="preserve">OFFER EQUIVALENT BRIGHTSTAR </t>
  </si>
  <si>
    <t xml:space="preserve">OFFER VENTILATION TUBE, ANTI-STATIC DIA 200MM X 10MTR (SPIRAL TYPE) PVC </t>
  </si>
  <si>
    <t xml:space="preserve">OFFER SAFETY BOOTS MED CUT OIL-ACID RESISTANT W/STEEL TOE SIZE 10/44 EN345 </t>
  </si>
  <si>
    <t xml:space="preserve">OFFER SAFETY BOOTS MED CUT OIL-ACID RESISTANT W/STEEL TOE SIZE 8/42 EN345 </t>
  </si>
  <si>
    <t xml:space="preserve">OFFER ALCONA OR AMSAFE" BRAND  </t>
  </si>
  <si>
    <t>OFFER 2040ABEK1P3 FILTER (2PCS/SET) |  QTY : 9 | UOM : SET</t>
  </si>
  <si>
    <t>OFFER DUO TWIN HALFMASK C/W (2PCS/SET) 2040ABEK1P3 FILTER (NEW 2013 MODEL)</t>
  </si>
  <si>
    <t>OFFER GOGGLE ULTRASONIC EQUIVALENT |  QTY : 9 | UOM : PCS</t>
  </si>
  <si>
    <t>OFFER SQUEEGEE RUBBER 440MM W/WOOD HANDLE C/SET</t>
  </si>
  <si>
    <t>OFFER SQUEEGEE RUBBER 440MM W/WOOD HANDLE C/SET (SAME AS ABOVE ITEM)</t>
  </si>
  <si>
    <t>OFFER VACUUM CLEANER PNEUMATIC  V-500 EQUIVALENT  |  QTY : 1 | UOM : PCS</t>
  </si>
  <si>
    <t>MIN 50'S/PKT, PRICE QUOTED IN PCS |  QTY : 100 | UOM : PCS</t>
  </si>
  <si>
    <t>OFFER PLASTIC BAG BLACK 30X34INCH(762X863MM) 94 - 100'S / PKT |  QTY : 2 | UOM : PKT</t>
  </si>
  <si>
    <t>OFFER LOCAL TYPE W/STRAINER</t>
  </si>
  <si>
    <t>OFFER WHITE SHIRT COLOUR UNSIEW RAG COTTON 90% 25KG/BAG |  QTY : 8 | UOM : BAG</t>
  </si>
  <si>
    <t>PLEASE SUPPLY IN NEXT CONVENIENT PORT.
ITEM ADDED - 19.1 : @@OPTION 2 : OFFER GOGGLE ULTRASONIC UVEX 9302-245 ORANGE COLOUR@@ | QTY : 0 | UOM : PCS | PRICE : 18.1 SGD
 ITEM TOTAL : 9287.43 (INCLUDING ADDITIONAL ITEMS) 
Price Valid Until: 04-Oct-2019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</si>
</sst>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49991703033"/>
      <name val="Calibri"/>
      <family val="2"/>
      <scheme val="minor"/>
    </font>
    <font>
      <b/>
      <sz val="10"/>
      <color theme="3" tint="-0.499949991703033"/>
      <name val="Calibri"/>
      <family val="2"/>
      <scheme val="minor"/>
    </font>
    <font>
      <sz val="8"/>
      <color theme="3" tint="-0.499949991703033"/>
      <name val="Calibri"/>
      <family val="2"/>
      <scheme val="minor"/>
    </font>
    <font>
      <b/>
      <sz val="9"/>
      <color theme="3" tint="-0.499949991703033"/>
      <name val="Calibri"/>
      <family val="2"/>
      <scheme val="minor"/>
    </font>
    <font>
      <sz val="10"/>
      <color theme="3" tint="-0.499949991703033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49991703033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89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48"/>
    <cellStyle name="Heading 3" xfId="49"/>
    <cellStyle name="Calculation" xfId="50"/>
    <cellStyle name="40% - Accent1" xfId="51"/>
    <cellStyle name="Title" xfId="52"/>
    <cellStyle name="Heading 2" xfId="53"/>
    <cellStyle name="Heading 4" xfId="54"/>
    <cellStyle name="Good" xfId="55"/>
    <cellStyle name="Bad" xfId="56"/>
    <cellStyle name="Neutral" xfId="57"/>
    <cellStyle name="Input" xfId="58"/>
    <cellStyle name="Output" xfId="59"/>
    <cellStyle name="Linked Cell" xfId="60"/>
    <cellStyle name="Check Cell" xfId="61"/>
    <cellStyle name="Warning Text" xfId="62"/>
    <cellStyle name="Note" xfId="63"/>
    <cellStyle name="Explanatory Text" xfId="64"/>
    <cellStyle name="Total" xfId="65"/>
    <cellStyle name="Accent1" xfId="66"/>
    <cellStyle name="20% - Accent1" xfId="67"/>
    <cellStyle name="60% - Accent1" xfId="68"/>
    <cellStyle name="Accent2" xfId="69"/>
    <cellStyle name="20% - Accent2" xfId="70"/>
    <cellStyle name="40% - Accent2" xfId="71"/>
    <cellStyle name="60% - Accent2" xfId="72"/>
    <cellStyle name="Accent3" xfId="73"/>
    <cellStyle name="20% - Accent3" xfId="74"/>
    <cellStyle name="40% - Accent3" xfId="75"/>
    <cellStyle name="60% - Accent3" xfId="76"/>
    <cellStyle name="Accent4" xfId="77"/>
    <cellStyle name="20% - Accent4" xfId="78"/>
    <cellStyle name="40% - Accent4" xfId="79"/>
    <cellStyle name="60% - Accent4" xfId="80"/>
    <cellStyle name="Accent5" xfId="81"/>
    <cellStyle name="20% - Accent5" xfId="82"/>
    <cellStyle name="40% - Accent5" xfId="83"/>
    <cellStyle name="60% - Accent5" xfId="84"/>
    <cellStyle name="Accent6" xfId="85"/>
    <cellStyle name="20% - Accent6" xfId="86"/>
    <cellStyle name="40% - Accent6" xfId="87"/>
    <cellStyle name="60% - Accent6" xfId="8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87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43712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43712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196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180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99990011920784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3</v>
      </c>
      <c r="J20" s="232">
        <v>189.65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197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99990011920833</v>
      </c>
      <c r="C21" s="227" t="s">
        <v>43</v>
      </c>
      <c r="D21" s="228" t="s">
        <v>44</v>
      </c>
      <c r="E21" s="229"/>
      <c r="F21" s="229" t="s">
        <v>43</v>
      </c>
      <c r="G21" s="229" t="s">
        <v>42</v>
      </c>
      <c r="H21" s="230">
        <v>0</v>
      </c>
      <c r="I21" s="231">
        <v>9</v>
      </c>
      <c r="J21" s="232">
        <v>94.85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198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99990011920678</v>
      </c>
      <c r="C22" s="227" t="s">
        <v>45</v>
      </c>
      <c r="D22" s="228" t="s">
        <v>46</v>
      </c>
      <c r="E22" s="229"/>
      <c r="F22" s="229" t="s">
        <v>45</v>
      </c>
      <c r="G22" s="229" t="s">
        <v>42</v>
      </c>
      <c r="H22" s="230">
        <v>0</v>
      </c>
      <c r="I22" s="231">
        <v>12</v>
      </c>
      <c r="J22" s="232">
        <v>26.55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197</v>
      </c>
      <c r="Q22" s="236"/>
      <c r="R22" s="237"/>
      <c r="S22" s="238"/>
      <c r="T22" s="239"/>
    </row>
    <row r="23" spans="1:20" ht="24" customHeight="1">
      <c r="A23" s="226">
        <v>4</v>
      </c>
      <c r="B23" s="226">
        <v>99990008656824</v>
      </c>
      <c r="C23" s="227">
        <v>794133</v>
      </c>
      <c r="D23" s="228" t="s">
        <v>47</v>
      </c>
      <c r="E23" s="229"/>
      <c r="F23" s="229">
        <v>794133</v>
      </c>
      <c r="G23" s="229" t="s">
        <v>48</v>
      </c>
      <c r="H23" s="230">
        <v>1.93</v>
      </c>
      <c r="I23" s="231">
        <v>60</v>
      </c>
      <c r="J23" s="232">
        <v>1.93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199</v>
      </c>
      <c r="Q23" s="236"/>
      <c r="R23" s="237" t="s">
        <v>49</v>
      </c>
      <c r="S23" s="238"/>
      <c r="T23" s="239"/>
    </row>
    <row r="24" spans="1:20" ht="24" customHeight="1">
      <c r="A24" s="226">
        <v>5</v>
      </c>
      <c r="B24" s="226">
        <v>99990009696779</v>
      </c>
      <c r="C24" s="227">
        <v>794132</v>
      </c>
      <c r="D24" s="228" t="s">
        <v>50</v>
      </c>
      <c r="E24" s="229"/>
      <c r="F24" s="229">
        <v>794132</v>
      </c>
      <c r="G24" s="229" t="s">
        <v>48</v>
      </c>
      <c r="H24" s="230">
        <v>0</v>
      </c>
      <c r="I24" s="231">
        <v>150</v>
      </c>
      <c r="J24" s="232">
        <v>1.25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199</v>
      </c>
      <c r="Q24" s="236"/>
      <c r="R24" s="237"/>
      <c r="S24" s="238"/>
      <c r="T24" s="239"/>
    </row>
    <row r="25" spans="1:20" ht="24" customHeight="1">
      <c r="A25" s="226">
        <v>6</v>
      </c>
      <c r="B25" s="226">
        <v>99990011921684</v>
      </c>
      <c r="C25" s="227" t="s">
        <v>51</v>
      </c>
      <c r="D25" s="228" t="s">
        <v>52</v>
      </c>
      <c r="E25" s="229"/>
      <c r="F25" s="229" t="s">
        <v>51</v>
      </c>
      <c r="G25" s="229" t="s">
        <v>42</v>
      </c>
      <c r="H25" s="230">
        <v>0</v>
      </c>
      <c r="I25" s="231">
        <v>3</v>
      </c>
      <c r="J25" s="232">
        <v>69.55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197</v>
      </c>
      <c r="Q25" s="236"/>
      <c r="R25" s="237"/>
      <c r="S25" s="238"/>
      <c r="T25" s="239"/>
    </row>
    <row r="26" spans="1:20" ht="24" customHeight="1">
      <c r="A26" s="226">
        <v>7</v>
      </c>
      <c r="B26" s="226">
        <v>99990008656766</v>
      </c>
      <c r="C26" s="227">
        <v>792410</v>
      </c>
      <c r="D26" s="228" t="s">
        <v>53</v>
      </c>
      <c r="E26" s="229"/>
      <c r="F26" s="229">
        <v>792410</v>
      </c>
      <c r="G26" s="229" t="s">
        <v>42</v>
      </c>
      <c r="H26" s="230">
        <v>0.33</v>
      </c>
      <c r="I26" s="231">
        <v>54</v>
      </c>
      <c r="J26" s="232">
        <v>0.33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 t="s">
        <v>54</v>
      </c>
      <c r="S26" s="238"/>
      <c r="T26" s="239"/>
    </row>
    <row r="27" spans="1:20" ht="24" customHeight="1">
      <c r="A27" s="226">
        <v>8</v>
      </c>
      <c r="B27" s="226">
        <v>99990011921677</v>
      </c>
      <c r="C27" s="227" t="s">
        <v>55</v>
      </c>
      <c r="D27" s="228" t="s">
        <v>56</v>
      </c>
      <c r="E27" s="229"/>
      <c r="F27" s="229" t="s">
        <v>55</v>
      </c>
      <c r="G27" s="229" t="s">
        <v>42</v>
      </c>
      <c r="H27" s="230">
        <v>0</v>
      </c>
      <c r="I27" s="231">
        <v>9</v>
      </c>
      <c r="J27" s="232">
        <v>40.5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200</v>
      </c>
      <c r="Q27" s="236"/>
      <c r="R27" s="237"/>
      <c r="S27" s="238"/>
      <c r="T27" s="239"/>
    </row>
    <row r="28" spans="1:20" ht="24" customHeight="1">
      <c r="A28" s="226">
        <v>9</v>
      </c>
      <c r="B28" s="226">
        <v>99990008187936</v>
      </c>
      <c r="C28" s="227">
        <v>591421</v>
      </c>
      <c r="D28" s="228" t="s">
        <v>57</v>
      </c>
      <c r="E28" s="229"/>
      <c r="F28" s="229">
        <v>591421</v>
      </c>
      <c r="G28" s="229" t="s">
        <v>58</v>
      </c>
      <c r="H28" s="230">
        <v>0</v>
      </c>
      <c r="I28" s="231">
        <v>4</v>
      </c>
      <c r="J28" s="232">
        <v>145.4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 t="s">
        <v>201</v>
      </c>
      <c r="Q28" s="236"/>
      <c r="R28" s="237"/>
      <c r="S28" s="238"/>
      <c r="T28" s="239"/>
    </row>
    <row r="29" spans="1:20" ht="24" customHeight="1">
      <c r="A29" s="226">
        <v>10</v>
      </c>
      <c r="B29" s="226">
        <v>99990008187933</v>
      </c>
      <c r="C29" s="227">
        <v>591417</v>
      </c>
      <c r="D29" s="228" t="s">
        <v>59</v>
      </c>
      <c r="E29" s="229"/>
      <c r="F29" s="229">
        <v>591417</v>
      </c>
      <c r="G29" s="229" t="s">
        <v>58</v>
      </c>
      <c r="H29" s="230">
        <v>0</v>
      </c>
      <c r="I29" s="231">
        <v>3</v>
      </c>
      <c r="J29" s="232">
        <v>1390.65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/>
      <c r="Q29" s="236"/>
      <c r="R29" s="237"/>
      <c r="S29" s="238"/>
      <c r="T29" s="239"/>
    </row>
    <row r="30" spans="1:20" ht="24" customHeight="1">
      <c r="A30" s="226">
        <v>11</v>
      </c>
      <c r="B30" s="226">
        <v>99990009872829</v>
      </c>
      <c r="C30" s="227">
        <v>190269</v>
      </c>
      <c r="D30" s="228" t="s">
        <v>60</v>
      </c>
      <c r="E30" s="229"/>
      <c r="F30" s="229">
        <v>190269</v>
      </c>
      <c r="G30" s="229" t="s">
        <v>61</v>
      </c>
      <c r="H30" s="230">
        <v>0</v>
      </c>
      <c r="I30" s="231">
        <v>4</v>
      </c>
      <c r="J30" s="232">
        <v>46.05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 t="s">
        <v>202</v>
      </c>
      <c r="Q30" s="236"/>
      <c r="R30" s="237"/>
      <c r="S30" s="238"/>
      <c r="T30" s="239"/>
    </row>
    <row r="31" spans="1:20" ht="24" customHeight="1">
      <c r="A31" s="226">
        <v>12</v>
      </c>
      <c r="B31" s="226">
        <v>99990009872833</v>
      </c>
      <c r="C31" s="227">
        <v>190265</v>
      </c>
      <c r="D31" s="228" t="s">
        <v>62</v>
      </c>
      <c r="E31" s="229"/>
      <c r="F31" s="229">
        <v>190265</v>
      </c>
      <c r="G31" s="229" t="s">
        <v>61</v>
      </c>
      <c r="H31" s="230">
        <v>0</v>
      </c>
      <c r="I31" s="231">
        <v>5</v>
      </c>
      <c r="J31" s="232">
        <v>48.05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 t="s">
        <v>203</v>
      </c>
      <c r="Q31" s="236"/>
      <c r="R31" s="237"/>
      <c r="S31" s="238"/>
      <c r="T31" s="239"/>
    </row>
    <row r="32" spans="1:20" ht="24" customHeight="1">
      <c r="A32" s="226">
        <v>13</v>
      </c>
      <c r="B32" s="226">
        <v>99990005569005</v>
      </c>
      <c r="C32" s="227">
        <v>1778806</v>
      </c>
      <c r="D32" s="228" t="s">
        <v>63</v>
      </c>
      <c r="E32" s="229"/>
      <c r="F32" s="229">
        <v>190131</v>
      </c>
      <c r="G32" s="229" t="s">
        <v>61</v>
      </c>
      <c r="H32" s="230">
        <v>0</v>
      </c>
      <c r="I32" s="231">
        <v>36</v>
      </c>
      <c r="J32" s="232">
        <v>1.19</v>
      </c>
      <c r="K32" s="233"/>
      <c r="L32" s="231" t="s">
        <v>23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 t="s">
        <v>204</v>
      </c>
      <c r="Q32" s="236"/>
      <c r="R32" s="237"/>
      <c r="S32" s="238"/>
      <c r="T32" s="239"/>
    </row>
    <row r="33" spans="1:20" ht="24" customHeight="1">
      <c r="A33" s="226">
        <v>14</v>
      </c>
      <c r="B33" s="226">
        <v>99990009872906</v>
      </c>
      <c r="C33" s="227">
        <v>190104</v>
      </c>
      <c r="D33" s="228" t="s">
        <v>64</v>
      </c>
      <c r="E33" s="229"/>
      <c r="F33" s="229">
        <v>190104</v>
      </c>
      <c r="G33" s="229" t="s">
        <v>61</v>
      </c>
      <c r="H33" s="230">
        <v>0</v>
      </c>
      <c r="I33" s="231">
        <v>100</v>
      </c>
      <c r="J33" s="232">
        <v>0.19</v>
      </c>
      <c r="K33" s="233"/>
      <c r="L33" s="231" t="s">
        <v>23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/>
      <c r="Q33" s="236"/>
      <c r="R33" s="237"/>
      <c r="S33" s="238"/>
      <c r="T33" s="239"/>
    </row>
    <row r="34" spans="1:20" ht="24" customHeight="1">
      <c r="A34" s="226">
        <v>15</v>
      </c>
      <c r="B34" s="226">
        <v>99990009867030</v>
      </c>
      <c r="C34" s="227">
        <v>331127</v>
      </c>
      <c r="D34" s="228" t="s">
        <v>65</v>
      </c>
      <c r="E34" s="229"/>
      <c r="F34" s="229">
        <v>331127</v>
      </c>
      <c r="G34" s="229" t="s">
        <v>42</v>
      </c>
      <c r="H34" s="230">
        <v>0</v>
      </c>
      <c r="I34" s="231">
        <v>18</v>
      </c>
      <c r="J34" s="232">
        <v>12.025</v>
      </c>
      <c r="K34" s="233"/>
      <c r="L34" s="231" t="s">
        <v>23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 t="s">
        <v>205</v>
      </c>
      <c r="Q34" s="236"/>
      <c r="R34" s="237"/>
      <c r="S34" s="238"/>
      <c r="T34" s="239"/>
    </row>
    <row r="35" spans="1:20" ht="24" customHeight="1">
      <c r="A35" s="226">
        <v>16</v>
      </c>
      <c r="B35" s="226">
        <v>99990009867032</v>
      </c>
      <c r="C35" s="227">
        <v>331124</v>
      </c>
      <c r="D35" s="228" t="s">
        <v>66</v>
      </c>
      <c r="E35" s="229"/>
      <c r="F35" s="229">
        <v>331124</v>
      </c>
      <c r="G35" s="229" t="s">
        <v>58</v>
      </c>
      <c r="H35" s="230">
        <v>0</v>
      </c>
      <c r="I35" s="231">
        <v>9</v>
      </c>
      <c r="J35" s="232">
        <v>37.95</v>
      </c>
      <c r="K35" s="233"/>
      <c r="L35" s="231" t="s">
        <v>23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 t="s">
        <v>206</v>
      </c>
      <c r="Q35" s="236"/>
      <c r="R35" s="237"/>
      <c r="S35" s="238"/>
      <c r="T35" s="239"/>
    </row>
    <row r="36" spans="1:20" ht="24" customHeight="1">
      <c r="A36" s="226">
        <v>17</v>
      </c>
      <c r="B36" s="226">
        <v>99990009872350</v>
      </c>
      <c r="C36" s="227">
        <v>190570</v>
      </c>
      <c r="D36" s="228" t="s">
        <v>67</v>
      </c>
      <c r="E36" s="229"/>
      <c r="F36" s="229">
        <v>190570</v>
      </c>
      <c r="G36" s="229" t="s">
        <v>42</v>
      </c>
      <c r="H36" s="230">
        <v>0</v>
      </c>
      <c r="I36" s="231">
        <v>36</v>
      </c>
      <c r="J36" s="232">
        <v>2.3</v>
      </c>
      <c r="K36" s="233"/>
      <c r="L36" s="231" t="s">
        <v>23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/>
      <c r="Q36" s="236"/>
      <c r="R36" s="237"/>
      <c r="S36" s="238"/>
      <c r="T36" s="239"/>
    </row>
    <row r="37" spans="1:20" ht="24" customHeight="1">
      <c r="A37" s="226">
        <v>18</v>
      </c>
      <c r="B37" s="226">
        <v>99990009872352</v>
      </c>
      <c r="C37" s="227">
        <v>190568</v>
      </c>
      <c r="D37" s="228" t="s">
        <v>68</v>
      </c>
      <c r="E37" s="229"/>
      <c r="F37" s="229">
        <v>190568</v>
      </c>
      <c r="G37" s="229" t="s">
        <v>42</v>
      </c>
      <c r="H37" s="230">
        <v>0</v>
      </c>
      <c r="I37" s="231">
        <v>36</v>
      </c>
      <c r="J37" s="232">
        <v>1.8</v>
      </c>
      <c r="K37" s="233"/>
      <c r="L37" s="231" t="s">
        <v>23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/>
      <c r="Q37" s="236"/>
      <c r="R37" s="237"/>
      <c r="S37" s="238"/>
      <c r="T37" s="239"/>
    </row>
    <row r="38" spans="1:20" ht="24" customHeight="1">
      <c r="A38" s="226">
        <v>19</v>
      </c>
      <c r="B38" s="226">
        <v>99990009873204</v>
      </c>
      <c r="C38" s="227">
        <v>311101</v>
      </c>
      <c r="D38" s="228" t="s">
        <v>69</v>
      </c>
      <c r="E38" s="229"/>
      <c r="F38" s="229">
        <v>311101</v>
      </c>
      <c r="G38" s="229" t="s">
        <v>61</v>
      </c>
      <c r="H38" s="230">
        <v>0</v>
      </c>
      <c r="I38" s="231">
        <v>9</v>
      </c>
      <c r="J38" s="232">
        <v>4.95</v>
      </c>
      <c r="K38" s="233"/>
      <c r="L38" s="231" t="s">
        <v>23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 t="s">
        <v>207</v>
      </c>
      <c r="Q38" s="236"/>
      <c r="R38" s="237"/>
      <c r="S38" s="238"/>
      <c r="T38" s="239"/>
    </row>
    <row r="39" spans="1:20" ht="24" customHeight="1">
      <c r="A39" s="226">
        <v>20</v>
      </c>
      <c r="B39" s="226">
        <v>99990008655455</v>
      </c>
      <c r="C39" s="227">
        <v>174272</v>
      </c>
      <c r="D39" s="228" t="s">
        <v>70</v>
      </c>
      <c r="E39" s="229"/>
      <c r="F39" s="229">
        <v>174272</v>
      </c>
      <c r="G39" s="229" t="s">
        <v>42</v>
      </c>
      <c r="H39" s="230">
        <v>0.94</v>
      </c>
      <c r="I39" s="231">
        <v>48</v>
      </c>
      <c r="J39" s="232">
        <v>0.94</v>
      </c>
      <c r="K39" s="233"/>
      <c r="L39" s="231" t="s">
        <v>23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/>
      <c r="Q39" s="236"/>
      <c r="R39" s="237" t="s">
        <v>71</v>
      </c>
      <c r="S39" s="238"/>
      <c r="T39" s="239"/>
    </row>
    <row r="40" spans="1:20" ht="24" customHeight="1">
      <c r="A40" s="226">
        <v>21</v>
      </c>
      <c r="B40" s="226">
        <v>99990008655454</v>
      </c>
      <c r="C40" s="227">
        <v>174271</v>
      </c>
      <c r="D40" s="228" t="s">
        <v>72</v>
      </c>
      <c r="E40" s="229"/>
      <c r="F40" s="229">
        <v>174271</v>
      </c>
      <c r="G40" s="229" t="s">
        <v>42</v>
      </c>
      <c r="H40" s="230">
        <v>1.38</v>
      </c>
      <c r="I40" s="231">
        <v>12</v>
      </c>
      <c r="J40" s="232">
        <v>1.38</v>
      </c>
      <c r="K40" s="233"/>
      <c r="L40" s="231" t="s">
        <v>23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/>
      <c r="Q40" s="236"/>
      <c r="R40" s="237" t="s">
        <v>73</v>
      </c>
      <c r="S40" s="238"/>
      <c r="T40" s="239"/>
    </row>
    <row r="41" spans="1:20" ht="24" customHeight="1">
      <c r="A41" s="226">
        <v>22</v>
      </c>
      <c r="B41" s="226">
        <v>99990009630939</v>
      </c>
      <c r="C41" s="227">
        <v>174290</v>
      </c>
      <c r="D41" s="228" t="s">
        <v>74</v>
      </c>
      <c r="E41" s="229"/>
      <c r="F41" s="229">
        <v>174290</v>
      </c>
      <c r="G41" s="229" t="s">
        <v>42</v>
      </c>
      <c r="H41" s="230">
        <v>2.47</v>
      </c>
      <c r="I41" s="231">
        <v>36</v>
      </c>
      <c r="J41" s="232">
        <v>3.04</v>
      </c>
      <c r="K41" s="233"/>
      <c r="L41" s="231" t="s">
        <v>23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 t="s">
        <v>208</v>
      </c>
      <c r="Q41" s="236"/>
      <c r="R41" s="237" t="s">
        <v>75</v>
      </c>
      <c r="S41" s="238"/>
      <c r="T41" s="239"/>
    </row>
    <row r="42" spans="1:20" ht="24" customHeight="1">
      <c r="A42" s="226">
        <v>23</v>
      </c>
      <c r="B42" s="226">
        <v>99990008655462</v>
      </c>
      <c r="C42" s="227">
        <v>174291</v>
      </c>
      <c r="D42" s="228" t="s">
        <v>76</v>
      </c>
      <c r="E42" s="229"/>
      <c r="F42" s="229">
        <v>174291</v>
      </c>
      <c r="G42" s="229" t="s">
        <v>42</v>
      </c>
      <c r="H42" s="230">
        <v>2.63</v>
      </c>
      <c r="I42" s="231">
        <v>12</v>
      </c>
      <c r="J42" s="232">
        <v>3.04</v>
      </c>
      <c r="K42" s="233"/>
      <c r="L42" s="231" t="s">
        <v>23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 t="s">
        <v>209</v>
      </c>
      <c r="Q42" s="236"/>
      <c r="R42" s="237" t="s">
        <v>77</v>
      </c>
      <c r="S42" s="238"/>
      <c r="T42" s="239"/>
    </row>
    <row r="43" spans="1:20" ht="24" customHeight="1">
      <c r="A43" s="226">
        <v>24</v>
      </c>
      <c r="B43" s="226">
        <v>99990008656213</v>
      </c>
      <c r="C43" s="227">
        <v>590721</v>
      </c>
      <c r="D43" s="228" t="s">
        <v>78</v>
      </c>
      <c r="E43" s="229"/>
      <c r="F43" s="229">
        <v>590721</v>
      </c>
      <c r="G43" s="229" t="s">
        <v>58</v>
      </c>
      <c r="H43" s="230">
        <v>95.77</v>
      </c>
      <c r="I43" s="231">
        <v>1</v>
      </c>
      <c r="J43" s="232">
        <v>95.77</v>
      </c>
      <c r="K43" s="233"/>
      <c r="L43" s="231" t="s">
        <v>23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 t="s">
        <v>210</v>
      </c>
      <c r="Q43" s="236"/>
      <c r="R43" s="237" t="s">
        <v>79</v>
      </c>
      <c r="S43" s="238"/>
      <c r="T43" s="239"/>
    </row>
    <row r="44" spans="1:20" ht="24" customHeight="1">
      <c r="A44" s="226">
        <v>25</v>
      </c>
      <c r="B44" s="226">
        <v>99990008655431</v>
      </c>
      <c r="C44" s="227">
        <v>174142</v>
      </c>
      <c r="D44" s="228" t="s">
        <v>80</v>
      </c>
      <c r="E44" s="229"/>
      <c r="F44" s="229">
        <v>174142</v>
      </c>
      <c r="G44" s="229" t="s">
        <v>42</v>
      </c>
      <c r="H44" s="230">
        <v>3.3</v>
      </c>
      <c r="I44" s="231">
        <v>12</v>
      </c>
      <c r="J44" s="232">
        <v>3.3</v>
      </c>
      <c r="K44" s="233"/>
      <c r="L44" s="231" t="s">
        <v>23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/>
      <c r="Q44" s="236"/>
      <c r="R44" s="237" t="s">
        <v>81</v>
      </c>
      <c r="S44" s="238"/>
      <c r="T44" s="239"/>
    </row>
    <row r="45" spans="1:20" ht="24" customHeight="1">
      <c r="A45" s="226">
        <v>26</v>
      </c>
      <c r="B45" s="226">
        <v>99990008655426</v>
      </c>
      <c r="C45" s="227">
        <v>174122</v>
      </c>
      <c r="D45" s="228" t="s">
        <v>82</v>
      </c>
      <c r="E45" s="229"/>
      <c r="F45" s="229">
        <v>174122</v>
      </c>
      <c r="G45" s="229" t="s">
        <v>42</v>
      </c>
      <c r="H45" s="230">
        <v>1.8</v>
      </c>
      <c r="I45" s="231">
        <v>24</v>
      </c>
      <c r="J45" s="232">
        <v>1.8</v>
      </c>
      <c r="K45" s="233"/>
      <c r="L45" s="231" t="s">
        <v>23</v>
      </c>
      <c r="M45" s="231">
        <v>0</v>
      </c>
      <c r="N45" s="234">
        <f>ROUND(((I45*J45)-((I45*J45)*L45/100))+(((I45*J45)-((I45*J45)*L45/100))*M45/100),2)</f>
      </c>
      <c r="O45" s="230">
        <f>M11</f>
      </c>
      <c r="P45" s="235"/>
      <c r="Q45" s="236"/>
      <c r="R45" s="237" t="s">
        <v>81</v>
      </c>
      <c r="S45" s="238"/>
      <c r="T45" s="239"/>
    </row>
    <row r="46" spans="1:20" ht="24" customHeight="1">
      <c r="A46" s="226">
        <v>27</v>
      </c>
      <c r="B46" s="226">
        <v>99990008655446</v>
      </c>
      <c r="C46" s="227">
        <v>174179</v>
      </c>
      <c r="D46" s="228" t="s">
        <v>83</v>
      </c>
      <c r="E46" s="229"/>
      <c r="F46" s="229">
        <v>174179</v>
      </c>
      <c r="G46" s="229" t="s">
        <v>84</v>
      </c>
      <c r="H46" s="230">
        <v>19.59</v>
      </c>
      <c r="I46" s="231">
        <v>2</v>
      </c>
      <c r="J46" s="232">
        <v>19.5</v>
      </c>
      <c r="K46" s="233"/>
      <c r="L46" s="231" t="s">
        <v>23</v>
      </c>
      <c r="M46" s="231">
        <v>0</v>
      </c>
      <c r="N46" s="234">
        <f>ROUND(((I46*J46)-((I46*J46)*L46/100))+(((I46*J46)-((I46*J46)*L46/100))*M46/100),2)</f>
      </c>
      <c r="O46" s="230">
        <f>M11</f>
      </c>
      <c r="P46" s="235" t="s">
        <v>211</v>
      </c>
      <c r="Q46" s="236"/>
      <c r="R46" s="237" t="s">
        <v>85</v>
      </c>
      <c r="S46" s="238"/>
      <c r="T46" s="239"/>
    </row>
    <row r="47" spans="1:20" ht="24" customHeight="1">
      <c r="A47" s="226">
        <v>28</v>
      </c>
      <c r="B47" s="226">
        <v>99990008655444</v>
      </c>
      <c r="C47" s="227">
        <v>174176</v>
      </c>
      <c r="D47" s="228" t="s">
        <v>86</v>
      </c>
      <c r="E47" s="229"/>
      <c r="F47" s="229">
        <v>174176</v>
      </c>
      <c r="G47" s="229" t="s">
        <v>84</v>
      </c>
      <c r="H47" s="230">
        <v>3.97</v>
      </c>
      <c r="I47" s="231">
        <v>4</v>
      </c>
      <c r="J47" s="232">
        <v>1.925</v>
      </c>
      <c r="K47" s="233"/>
      <c r="L47" s="231" t="s">
        <v>23</v>
      </c>
      <c r="M47" s="231">
        <v>0</v>
      </c>
      <c r="N47" s="234">
        <f>ROUND(((I47*J47)-((I47*J47)*L47/100))+(((I47*J47)-((I47*J47)*L47/100))*M47/100),2)</f>
      </c>
      <c r="O47" s="230">
        <f>M11</f>
      </c>
      <c r="P47" s="235" t="s">
        <v>212</v>
      </c>
      <c r="Q47" s="236"/>
      <c r="R47" s="237" t="s">
        <v>87</v>
      </c>
      <c r="S47" s="238"/>
      <c r="T47" s="239"/>
    </row>
    <row r="48" spans="1:20" ht="24" customHeight="1">
      <c r="A48" s="226">
        <v>29</v>
      </c>
      <c r="B48" s="226">
        <v>99990008655459</v>
      </c>
      <c r="C48" s="227">
        <v>174280</v>
      </c>
      <c r="D48" s="228" t="s">
        <v>88</v>
      </c>
      <c r="E48" s="229"/>
      <c r="F48" s="229">
        <v>174280</v>
      </c>
      <c r="G48" s="229" t="s">
        <v>42</v>
      </c>
      <c r="H48" s="230">
        <v>4.85</v>
      </c>
      <c r="I48" s="231">
        <v>6</v>
      </c>
      <c r="J48" s="232">
        <v>4.85</v>
      </c>
      <c r="K48" s="233"/>
      <c r="L48" s="231" t="s">
        <v>23</v>
      </c>
      <c r="M48" s="231">
        <v>0</v>
      </c>
      <c r="N48" s="234">
        <f>ROUND(((I48*J48)-((I48*J48)*L48/100))+(((I48*J48)-((I48*J48)*L48/100))*M48/100),2)</f>
      </c>
      <c r="O48" s="230">
        <f>M11</f>
      </c>
      <c r="P48" s="235" t="s">
        <v>213</v>
      </c>
      <c r="Q48" s="236"/>
      <c r="R48" s="237" t="s">
        <v>89</v>
      </c>
      <c r="S48" s="238"/>
      <c r="T48" s="239"/>
    </row>
    <row r="49" spans="1:20" ht="24" customHeight="1">
      <c r="A49" s="226">
        <v>30</v>
      </c>
      <c r="B49" s="226">
        <v>99990008655515</v>
      </c>
      <c r="C49" s="227">
        <v>232907</v>
      </c>
      <c r="D49" s="228" t="s">
        <v>90</v>
      </c>
      <c r="E49" s="229"/>
      <c r="F49" s="229">
        <v>232907</v>
      </c>
      <c r="G49" s="229" t="s">
        <v>91</v>
      </c>
      <c r="H49" s="230">
        <v>1.6</v>
      </c>
      <c r="I49" s="231">
        <v>200</v>
      </c>
      <c r="J49" s="232">
        <v>1</v>
      </c>
      <c r="K49" s="233"/>
      <c r="L49" s="231" t="s">
        <v>23</v>
      </c>
      <c r="M49" s="231">
        <v>0</v>
      </c>
      <c r="N49" s="234">
        <f>ROUND(((I49*J49)-((I49*J49)*L49/100))+(((I49*J49)-((I49*J49)*L49/100))*M49/100),2)</f>
      </c>
      <c r="O49" s="230">
        <f>M11</f>
      </c>
      <c r="P49" s="235" t="s">
        <v>214</v>
      </c>
      <c r="Q49" s="236"/>
      <c r="R49" s="237" t="s">
        <v>92</v>
      </c>
      <c r="S49" s="238"/>
      <c r="T49" s="239"/>
    </row>
    <row r="50" spans="1:20" ht="15" customHeight="1">
      <c r="A50" s="32"/>
      <c r="B50" s="295"/>
      <c r="C50" s="296"/>
      <c r="D50" s="296"/>
      <c r="E50" s="296"/>
      <c r="F50" s="296"/>
      <c r="G50" s="296"/>
      <c r="H50" s="297"/>
      <c r="I50" s="297"/>
      <c r="J50" s="297"/>
      <c r="K50" s="297"/>
      <c r="L50" s="297"/>
      <c r="M50" s="297"/>
      <c r="N50" s="297"/>
      <c r="O50" s="297"/>
      <c r="P50" s="297"/>
      <c r="Q50" s="297"/>
      <c r="R50" s="297"/>
      <c r="S50" s="297"/>
      <c r="T50" s="298"/>
    </row>
    <row r="51" spans="1:20" ht="12.75" customHeight="1">
      <c r="A51" s="289" t="s">
        <v>28</v>
      </c>
      <c r="B51" s="289"/>
      <c r="C51" s="290" t="s">
        <v>93</v>
      </c>
      <c r="D51" s="291"/>
      <c r="E51" s="291"/>
      <c r="F51" s="291"/>
      <c r="G51" s="291"/>
      <c r="H51" s="291"/>
      <c r="I51" s="292"/>
      <c r="J51" s="292" t="s">
        <v>94</v>
      </c>
      <c r="K51" s="292"/>
      <c r="L51" s="292" t="s">
        <v>35</v>
      </c>
      <c r="M51" s="292" t="s">
        <v>36</v>
      </c>
      <c r="N51" s="293" t="s">
        <v>95</v>
      </c>
      <c r="O51" s="294" t="s">
        <v>38</v>
      </c>
      <c r="P51" s="294"/>
      <c r="Q51" s="294"/>
      <c r="R51" s="294"/>
      <c r="S51" s="294"/>
      <c r="T51" s="225"/>
    </row>
    <row r="52" spans="1:20" ht="15" customHeight="1">
      <c r="A52" s="269">
        <v>1</v>
      </c>
      <c r="B52" s="270"/>
      <c r="C52" s="271" t="s">
        <v>96</v>
      </c>
      <c r="D52" s="272" t="s">
        <v>96</v>
      </c>
      <c r="E52" s="272" t="s">
        <v>96</v>
      </c>
      <c r="F52" s="272" t="s">
        <v>96</v>
      </c>
      <c r="G52" s="272" t="s">
        <v>96</v>
      </c>
      <c r="H52" s="273" t="s">
        <v>96</v>
      </c>
      <c r="I52" s="274"/>
      <c r="J52" s="275">
        <v>0</v>
      </c>
      <c r="K52" s="276"/>
      <c r="L52" s="277">
        <v>0</v>
      </c>
      <c r="M52" s="277">
        <v>0</v>
      </c>
      <c r="N52" s="285">
        <f>(J52-(J52*L52/100)+((J52-(J52*L52/100))*M52/100))</f>
      </c>
      <c r="O52" s="286"/>
      <c r="P52" s="287"/>
      <c r="Q52" s="287"/>
      <c r="R52" s="287"/>
      <c r="S52" s="288"/>
      <c r="T52" s="283"/>
    </row>
    <row r="53" spans="1:20" ht="15" customHeight="1">
      <c r="A53" s="269">
        <v>2</v>
      </c>
      <c r="B53" s="270"/>
      <c r="C53" s="271" t="s">
        <v>97</v>
      </c>
      <c r="D53" s="272" t="s">
        <v>97</v>
      </c>
      <c r="E53" s="272" t="s">
        <v>97</v>
      </c>
      <c r="F53" s="272" t="s">
        <v>97</v>
      </c>
      <c r="G53" s="272" t="s">
        <v>97</v>
      </c>
      <c r="H53" s="273" t="s">
        <v>97</v>
      </c>
      <c r="I53" s="284"/>
      <c r="J53" s="275">
        <v>0</v>
      </c>
      <c r="K53" s="276"/>
      <c r="L53" s="277">
        <v>0</v>
      </c>
      <c r="M53" s="277">
        <v>0</v>
      </c>
      <c r="N53" s="279">
        <f>(J53-(J53*L53/100)+((J53-(J53*L53/100))*M53/100))</f>
      </c>
      <c r="O53" s="280"/>
      <c r="P53" s="281"/>
      <c r="Q53" s="281"/>
      <c r="R53" s="281"/>
      <c r="S53" s="282"/>
      <c r="T53" s="283"/>
    </row>
    <row r="54" spans="1:20" ht="15" customHeight="1">
      <c r="A54" s="269">
        <v>3</v>
      </c>
      <c r="B54" s="270"/>
      <c r="C54" s="271"/>
      <c r="D54" s="272"/>
      <c r="E54" s="272"/>
      <c r="F54" s="272"/>
      <c r="G54" s="272"/>
      <c r="H54" s="273"/>
      <c r="I54" s="274"/>
      <c r="J54" s="275">
        <v>0</v>
      </c>
      <c r="K54" s="276"/>
      <c r="L54" s="277">
        <v>0</v>
      </c>
      <c r="M54" s="277">
        <v>0</v>
      </c>
      <c r="N54" s="279">
        <f>(J54-(J54*L54/100)+((J54-(J54*L54/100))*M54/100))</f>
      </c>
      <c r="O54" s="280"/>
      <c r="P54" s="281"/>
      <c r="Q54" s="281"/>
      <c r="R54" s="281"/>
      <c r="S54" s="282"/>
      <c r="T54" s="283"/>
    </row>
    <row r="55" spans="1:20" ht="15.75" customHeight="1">
      <c r="A55" s="269">
        <v>4</v>
      </c>
      <c r="B55" s="270"/>
      <c r="C55" s="271"/>
      <c r="D55" s="272"/>
      <c r="E55" s="272"/>
      <c r="F55" s="272"/>
      <c r="G55" s="272"/>
      <c r="H55" s="273"/>
      <c r="I55" s="274"/>
      <c r="J55" s="275">
        <v>0</v>
      </c>
      <c r="K55" s="276"/>
      <c r="L55" s="277">
        <v>0</v>
      </c>
      <c r="M55" s="278">
        <v>0</v>
      </c>
      <c r="N55" s="279">
        <f>(J55-(J55*L55/100)+((J55-(J55*L55/100))*M55/100))</f>
      </c>
      <c r="O55" s="280"/>
      <c r="P55" s="281"/>
      <c r="Q55" s="281"/>
      <c r="R55" s="281"/>
      <c r="S55" s="282"/>
      <c r="T55" s="283"/>
    </row>
    <row r="56" spans="1:16" ht="15.95" customHeight="1">
      <c r="A56" s="247"/>
      <c r="B56" s="247"/>
      <c r="C56" s="248"/>
      <c r="D56" s="248"/>
      <c r="I56" s="163"/>
      <c r="J56" s="58" t="s">
        <v>98</v>
      </c>
      <c r="K56" s="59"/>
      <c r="L56" s="58"/>
      <c r="M56" s="59"/>
      <c r="N56" s="264">
        <f>SUM(ItmPrice)</f>
      </c>
      <c r="O56" s="267"/>
      <c r="P56" s="268"/>
    </row>
    <row r="57" spans="1:16" ht="15" customHeight="1">
      <c r="A57" s="247"/>
      <c r="B57" s="247"/>
      <c r="C57" s="248"/>
      <c r="D57" s="248"/>
      <c r="I57" s="163"/>
      <c r="J57" s="123" t="s">
        <v>99</v>
      </c>
      <c r="K57" s="124"/>
      <c r="L57" s="124"/>
      <c r="M57" s="125"/>
      <c r="N57" s="264">
        <f>SUM(N52:N56)</f>
      </c>
      <c r="O57" s="265"/>
      <c r="P57" s="266"/>
    </row>
    <row r="58" spans="1:19" ht="2.25" customHeight="1" hidden="1">
      <c r="A58" s="258">
        <v>0</v>
      </c>
      <c r="B58" s="258">
        <v>0</v>
      </c>
      <c r="C58" s="259">
        <v>0</v>
      </c>
      <c r="D58" s="248"/>
      <c r="E58" s="248"/>
      <c r="F58" s="260">
        <v>1</v>
      </c>
      <c r="G58" s="248"/>
      <c r="H58" s="248"/>
      <c r="I58" s="248"/>
      <c r="J58" s="248"/>
      <c r="K58" s="261"/>
      <c r="L58" s="262">
        <v>0</v>
      </c>
      <c r="M58" s="263">
        <v>0</v>
      </c>
      <c r="N58" s="162" t="s">
        <v>100</v>
      </c>
      <c r="O58" s="257"/>
      <c r="P58" s="263">
        <v>995</v>
      </c>
      <c r="Q58" s="248" t="s">
        <v>101</v>
      </c>
      <c r="R58" s="248"/>
      <c r="S58" s="248"/>
    </row>
    <row r="59" spans="1:19" ht="18.75" customHeight="1">
      <c r="A59" s="247"/>
      <c r="B59" s="247"/>
      <c r="C59" s="247"/>
      <c r="H59" s="257"/>
      <c r="I59" s="163"/>
      <c r="J59" s="248"/>
      <c r="K59" s="248"/>
      <c r="L59" s="248"/>
      <c r="M59" s="248"/>
      <c r="N59" s="248"/>
      <c r="O59" s="248"/>
      <c r="P59" s="248"/>
      <c r="R59" s="248"/>
      <c r="S59" s="248"/>
    </row>
    <row r="60" spans="1:20" ht="127.5" customHeight="1">
      <c r="A60" s="249" t="s">
        <v>102</v>
      </c>
      <c r="B60" s="249"/>
      <c r="C60" s="249"/>
      <c r="D60" s="250"/>
      <c r="E60" s="254" t="s">
        <v>103</v>
      </c>
      <c r="F60" s="255"/>
      <c r="G60" s="255"/>
      <c r="H60" s="255"/>
      <c r="I60" s="255"/>
      <c r="J60" s="255"/>
      <c r="K60" s="255"/>
      <c r="L60" s="255"/>
      <c r="M60" s="255"/>
      <c r="N60" s="255"/>
      <c r="O60" s="255"/>
      <c r="P60" s="255"/>
      <c r="Q60" s="255"/>
      <c r="R60" s="255"/>
      <c r="S60" s="255"/>
      <c r="T60" s="256"/>
    </row>
    <row r="61" spans="1:20" ht="129.75" customHeight="1">
      <c r="A61" s="249" t="s">
        <v>38</v>
      </c>
      <c r="B61" s="249"/>
      <c r="C61" s="249"/>
      <c r="D61" s="250"/>
      <c r="E61" s="251" t="s">
        <v>215</v>
      </c>
      <c r="F61" s="252"/>
      <c r="G61" s="252"/>
      <c r="H61" s="252"/>
      <c r="I61" s="252"/>
      <c r="J61" s="252"/>
      <c r="K61" s="252"/>
      <c r="L61" s="252"/>
      <c r="M61" s="252"/>
      <c r="N61" s="252"/>
      <c r="O61" s="252"/>
      <c r="P61" s="252"/>
      <c r="Q61" s="252"/>
      <c r="R61" s="252"/>
      <c r="S61" s="252"/>
      <c r="T61" s="253"/>
    </row>
    <row r="62" spans="1:19" ht="15.95" customHeight="1">
      <c r="A62" s="247"/>
      <c r="B62" s="247"/>
      <c r="C62" s="247"/>
      <c r="H62" s="248"/>
      <c r="I62" s="248"/>
      <c r="J62" s="248"/>
      <c r="K62" s="248"/>
      <c r="L62" s="248"/>
      <c r="M62" s="248"/>
      <c r="N62" s="248"/>
      <c r="O62" s="248"/>
      <c r="P62" s="248"/>
      <c r="Q62" s="248"/>
      <c r="R62" s="248"/>
      <c r="S62" s="248"/>
    </row>
    <row r="63" spans="1:20" ht="15.95" customHeight="1">
      <c r="A63" s="245" t="s">
        <v>104</v>
      </c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6"/>
    </row>
    <row r="64" spans="1:20" ht="12.7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7.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12.75" customHeight="1">
      <c r="A68" s="243"/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4"/>
    </row>
    <row r="69" spans="1:20" ht="12.75" customHeight="1">
      <c r="A69" s="243"/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4"/>
    </row>
    <row r="70" spans="1:20" ht="7.5" customHeight="1">
      <c r="A70" s="243"/>
      <c r="B70" s="243"/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4"/>
    </row>
    <row r="71" spans="1:20" ht="12.75" customHeight="1">
      <c r="A71" s="243"/>
      <c r="B71" s="243"/>
      <c r="C71" s="243"/>
      <c r="D71" s="243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4"/>
    </row>
    <row r="72" spans="1:20" ht="12.75" customHeight="1">
      <c r="A72" s="243"/>
      <c r="B72" s="243"/>
      <c r="C72" s="243"/>
      <c r="D72" s="243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4"/>
    </row>
    <row r="73" spans="1:20" ht="12.75" customHeight="1">
      <c r="A73" s="243"/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4"/>
    </row>
    <row r="74" spans="1:20" ht="12.75" customHeight="1">
      <c r="A74" s="243"/>
      <c r="B74" s="243"/>
      <c r="C74" s="243"/>
      <c r="D74" s="243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S74" s="243"/>
      <c r="T74" s="244"/>
    </row>
    <row r="75" spans="1:20" ht="12.75" customHeight="1">
      <c r="A75" s="243"/>
      <c r="B75" s="243"/>
      <c r="C75" s="243"/>
      <c r="D75" s="243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4"/>
    </row>
    <row r="76" spans="1:20" ht="12.75" customHeight="1">
      <c r="A76" s="243"/>
      <c r="B76" s="243"/>
      <c r="C76" s="243"/>
      <c r="D76" s="243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4"/>
    </row>
    <row r="77" spans="1:20" ht="7.5" customHeight="1">
      <c r="A77" s="243"/>
      <c r="B77" s="243"/>
      <c r="C77" s="243"/>
      <c r="D77" s="243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4"/>
    </row>
    <row r="78" spans="1:20" ht="12.75" customHeight="1">
      <c r="A78" s="243"/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4"/>
    </row>
    <row r="79" spans="1:20" ht="12.75" customHeight="1">
      <c r="A79" s="243"/>
      <c r="B79" s="243"/>
      <c r="C79" s="243"/>
      <c r="D79" s="243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4"/>
    </row>
    <row r="80" spans="1:20" ht="12.75" customHeight="1">
      <c r="A80" s="243"/>
      <c r="B80" s="243"/>
      <c r="C80" s="243"/>
      <c r="D80" s="243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4"/>
    </row>
    <row r="81" spans="1:20" ht="12.75" customHeight="1">
      <c r="A81" s="243"/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4"/>
    </row>
    <row r="82" spans="1:20" ht="12.75" customHeight="1">
      <c r="A82" s="243"/>
      <c r="B82" s="243"/>
      <c r="C82" s="243"/>
      <c r="D82" s="243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43"/>
      <c r="Q82" s="243"/>
      <c r="R82" s="243"/>
      <c r="S82" s="243"/>
      <c r="T82" s="244"/>
    </row>
    <row r="83" spans="1:20" ht="7.5" customHeight="1">
      <c r="A83" s="243"/>
      <c r="B83" s="243"/>
      <c r="C83" s="243"/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4"/>
    </row>
    <row r="84" spans="1:20" ht="12.75" customHeight="1">
      <c r="A84" s="243"/>
      <c r="B84" s="243"/>
      <c r="C84" s="243"/>
      <c r="D84" s="243"/>
      <c r="E84" s="243"/>
      <c r="F84" s="243"/>
      <c r="G84" s="243"/>
      <c r="H84" s="243"/>
      <c r="I84" s="243"/>
      <c r="J84" s="243"/>
      <c r="K84" s="243"/>
      <c r="L84" s="243"/>
      <c r="M84" s="243"/>
      <c r="N84" s="243"/>
      <c r="O84" s="243"/>
      <c r="P84" s="243"/>
      <c r="Q84" s="243"/>
      <c r="R84" s="243"/>
      <c r="S84" s="243"/>
      <c r="T84" s="244"/>
    </row>
    <row r="85" spans="1:20" ht="12.75" customHeight="1">
      <c r="A85" s="243"/>
      <c r="B85" s="243"/>
      <c r="C85" s="243"/>
      <c r="D85" s="243"/>
      <c r="E85" s="243"/>
      <c r="F85" s="243"/>
      <c r="G85" s="243"/>
      <c r="H85" s="243"/>
      <c r="I85" s="243"/>
      <c r="J85" s="243"/>
      <c r="K85" s="243"/>
      <c r="L85" s="243"/>
      <c r="M85" s="243"/>
      <c r="N85" s="243"/>
      <c r="O85" s="243"/>
      <c r="P85" s="243"/>
      <c r="Q85" s="243"/>
      <c r="R85" s="243"/>
      <c r="S85" s="243"/>
      <c r="T85" s="244"/>
    </row>
    <row r="86" spans="1:20" ht="12.75" customHeight="1">
      <c r="A86" s="241"/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241"/>
      <c r="N86" s="241"/>
      <c r="O86" s="241"/>
      <c r="P86" s="241"/>
      <c r="Q86" s="241"/>
      <c r="R86" s="241"/>
      <c r="S86" s="241"/>
      <c r="T86" s="242"/>
    </row>
    <row r="87" spans="1:9" ht="12.75">
      <c r="A87" s="240" t="s">
        <v>105</v>
      </c>
      <c r="B87" s="240"/>
      <c r="C87" s="240"/>
      <c r="D87" s="240"/>
      <c r="E87" s="240"/>
      <c r="F87" s="240"/>
      <c r="G87" s="240"/>
      <c r="I87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25">
    <mergeCell ref="E60:S60"/>
    <mergeCell ref="E61:S61"/>
    <mergeCell ref="E63:S63"/>
    <mergeCell ref="A64:S85"/>
    <mergeCell ref="A86:S86"/>
    <mergeCell ref="A60:D60"/>
    <mergeCell ref="A61:D61"/>
    <mergeCell ref="K1:R1"/>
    <mergeCell ref="R19:S19"/>
    <mergeCell ref="R20:S20"/>
    <mergeCell ref="O52:S52"/>
    <mergeCell ref="O53:S53"/>
    <mergeCell ref="O51:S51"/>
    <mergeCell ref="J51:K51"/>
    <mergeCell ref="K4:L4"/>
    <mergeCell ref="M4:P4"/>
    <mergeCell ref="K5:L5"/>
    <mergeCell ref="M5:P5"/>
    <mergeCell ref="M7:Q7"/>
    <mergeCell ref="P20:Q20"/>
    <mergeCell ref="M12:O12"/>
    <mergeCell ref="K12:L12"/>
    <mergeCell ref="O56:P56"/>
    <mergeCell ref="O57:P57"/>
    <mergeCell ref="J57:M57"/>
    <mergeCell ref="O54:S54"/>
    <mergeCell ref="O55:S55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51:H51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D49:E49"/>
    <mergeCell ref="J49:K49"/>
    <mergeCell ref="C52:H52"/>
    <mergeCell ref="J52:K52"/>
    <mergeCell ref="C53:H53"/>
    <mergeCell ref="J53:K53"/>
    <mergeCell ref="C54:H54"/>
    <mergeCell ref="J54:K54"/>
    <mergeCell ref="C55:H55"/>
    <mergeCell ref="J55:K55"/>
  </mergeCells>
  <dataValidations count="130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decimal" operator="greaterThanOrEqual" allowBlank="1" showInputMessage="1" showErrorMessage="1" sqref="I46">
      <formula1>0</formula1>
    </dataValidation>
    <dataValidation type="decimal" operator="greaterThanOrEqual" allowBlank="1" showInputMessage="1" showErrorMessage="1" sqref="J46">
      <formula1>0</formula1>
    </dataValidation>
    <dataValidation type="decimal" allowBlank="1" showInputMessage="1" showErrorMessage="1" sqref="L46">
      <formula1>0</formula1>
      <formula2>100</formula2>
    </dataValidation>
    <dataValidation type="decimal" allowBlank="1" showInputMessage="1" showErrorMessage="1" sqref="M46">
      <formula1>0</formula1>
      <formula2>100</formula2>
    </dataValidation>
    <dataValidation type="decimal" operator="greaterThanOrEqual" allowBlank="1" showInputMessage="1" showErrorMessage="1" sqref="I47">
      <formula1>0</formula1>
    </dataValidation>
    <dataValidation type="decimal" operator="greaterThanOrEqual" allowBlank="1" showInputMessage="1" showErrorMessage="1" sqref="J47">
      <formula1>0</formula1>
    </dataValidation>
    <dataValidation type="decimal" allowBlank="1" showInputMessage="1" showErrorMessage="1" sqref="L47">
      <formula1>0</formula1>
      <formula2>100</formula2>
    </dataValidation>
    <dataValidation type="decimal" allowBlank="1" showInputMessage="1" showErrorMessage="1" sqref="M47">
      <formula1>0</formula1>
      <formula2>100</formula2>
    </dataValidation>
    <dataValidation type="decimal" operator="greaterThanOrEqual" allowBlank="1" showInputMessage="1" showErrorMessage="1" sqref="I48">
      <formula1>0</formula1>
    </dataValidation>
    <dataValidation type="decimal" operator="greaterThanOrEqual" allowBlank="1" showInputMessage="1" showErrorMessage="1" sqref="J48">
      <formula1>0</formula1>
    </dataValidation>
    <dataValidation type="decimal" allowBlank="1" showInputMessage="1" showErrorMessage="1" sqref="L48">
      <formula1>0</formula1>
      <formula2>100</formula2>
    </dataValidation>
    <dataValidation type="decimal" allowBlank="1" showInputMessage="1" showErrorMessage="1" sqref="M48">
      <formula1>0</formula1>
      <formula2>100</formula2>
    </dataValidation>
    <dataValidation type="decimal" operator="greaterThanOrEqual" allowBlank="1" showInputMessage="1" showErrorMessage="1" sqref="I49">
      <formula1>0</formula1>
    </dataValidation>
    <dataValidation type="decimal" operator="greaterThanOrEqual" allowBlank="1" showInputMessage="1" showErrorMessage="1" sqref="J49">
      <formula1>0</formula1>
    </dataValidation>
    <dataValidation type="decimal" allowBlank="1" showInputMessage="1" showErrorMessage="1" sqref="L49">
      <formula1>0</formula1>
      <formula2>100</formula2>
    </dataValidation>
    <dataValidation type="decimal" allowBlank="1" showInputMessage="1" showErrorMessage="1" sqref="M49">
      <formula1>0</formula1>
      <formula2>100</formula2>
    </dataValidation>
    <dataValidation type="list" allowBlank="1" showInputMessage="1" showErrorMessage="1" sqref="C52:H52">
      <formula1>'MasterData'!$H$1:$H$14</formula1>
    </dataValidation>
    <dataValidation type="list" allowBlank="1" showInputMessage="1" showErrorMessage="1" sqref="C53:H53">
      <formula1>'MasterData'!$H$1:$H$14</formula1>
    </dataValidation>
    <dataValidation type="list" allowBlank="1" showInputMessage="1" showErrorMessage="1" sqref="C54:H54">
      <formula1>'MasterData'!$H$1:$H$14</formula1>
    </dataValidation>
    <dataValidation type="list" allowBlank="1" showInputMessage="1" showErrorMessage="1" sqref="C55:H55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horizontalDpi="600" verticalDpi="600" orientation="landscape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96</v>
      </c>
      <c r="M1" s="300" t="s">
        <v>106</v>
      </c>
      <c r="N1" s="301" t="s">
        <v>0</v>
      </c>
      <c r="O1" s="162" t="s">
        <v>107</v>
      </c>
    </row>
    <row r="2" spans="7:15" ht="12.75">
      <c r="G2" s="162">
        <v>1001310</v>
      </c>
      <c r="H2" s="162" t="s">
        <v>97</v>
      </c>
      <c r="M2" s="300" t="s">
        <v>108</v>
      </c>
      <c r="N2" s="301">
        <v>1020677566</v>
      </c>
      <c r="O2" s="162" t="s">
        <v>109</v>
      </c>
    </row>
    <row r="3" spans="7:15" ht="12.75">
      <c r="G3" s="162">
        <v>1012729</v>
      </c>
      <c r="H3" s="162" t="s">
        <v>110</v>
      </c>
      <c r="M3" s="300" t="s">
        <v>111</v>
      </c>
      <c r="N3" s="301">
        <v>99990000422727</v>
      </c>
      <c r="O3" s="162" t="s">
        <v>112</v>
      </c>
    </row>
    <row r="4" spans="7:15" ht="12.75">
      <c r="G4" s="162">
        <v>1012730</v>
      </c>
      <c r="H4" s="162" t="s">
        <v>113</v>
      </c>
      <c r="M4" s="300" t="s">
        <v>114</v>
      </c>
      <c r="N4" s="301">
        <v>1021718005</v>
      </c>
      <c r="O4" s="162" t="s">
        <v>115</v>
      </c>
    </row>
    <row r="5" spans="7:15" ht="12.75">
      <c r="G5" s="162">
        <v>1012731</v>
      </c>
      <c r="H5" s="162" t="s">
        <v>116</v>
      </c>
      <c r="M5" s="300" t="s">
        <v>117</v>
      </c>
      <c r="N5" s="301"/>
      <c r="O5" s="162" t="s">
        <v>118</v>
      </c>
    </row>
    <row r="6" spans="7:15" ht="12.75">
      <c r="G6" s="162">
        <v>1012732</v>
      </c>
      <c r="H6" s="162" t="s">
        <v>119</v>
      </c>
      <c r="M6" s="300" t="s">
        <v>120</v>
      </c>
      <c r="N6" s="301" t="s">
        <v>121</v>
      </c>
      <c r="O6" s="162" t="s">
        <v>122</v>
      </c>
    </row>
    <row r="7" spans="7:15" ht="12.75">
      <c r="G7" s="162">
        <v>1012733</v>
      </c>
      <c r="H7" s="162" t="s">
        <v>123</v>
      </c>
      <c r="M7" s="300" t="s">
        <v>124</v>
      </c>
      <c r="N7" s="301">
        <v>0</v>
      </c>
      <c r="O7" s="162" t="s">
        <v>125</v>
      </c>
    </row>
    <row r="8" spans="7:15" ht="12.75">
      <c r="G8" s="162">
        <v>1012735</v>
      </c>
      <c r="H8" s="162" t="s">
        <v>126</v>
      </c>
      <c r="O8" s="162" t="s">
        <v>127</v>
      </c>
    </row>
    <row r="9" spans="7:15" ht="12.75">
      <c r="G9" s="162">
        <v>1012736</v>
      </c>
      <c r="H9" s="162" t="s">
        <v>128</v>
      </c>
      <c r="O9" s="162" t="s">
        <v>129</v>
      </c>
    </row>
    <row r="10" spans="7:15" ht="12.75">
      <c r="G10" s="162">
        <v>1012737</v>
      </c>
      <c r="H10" s="162" t="s">
        <v>130</v>
      </c>
      <c r="O10" s="162" t="s">
        <v>131</v>
      </c>
    </row>
    <row r="11" spans="7:15" ht="12.75">
      <c r="G11" s="162">
        <v>1012741</v>
      </c>
      <c r="H11" s="162" t="s">
        <v>132</v>
      </c>
      <c r="O11" s="162" t="s">
        <v>133</v>
      </c>
    </row>
    <row r="12" spans="7:15" ht="12.75">
      <c r="G12" s="162">
        <v>1012742</v>
      </c>
      <c r="H12" s="162" t="s">
        <v>134</v>
      </c>
      <c r="O12" s="162" t="s">
        <v>135</v>
      </c>
    </row>
    <row r="13" spans="7:15" ht="12.75">
      <c r="G13" s="162">
        <v>1012743</v>
      </c>
      <c r="H13" s="162" t="s">
        <v>136</v>
      </c>
      <c r="O13" s="162" t="s">
        <v>137</v>
      </c>
    </row>
    <row r="14" spans="7:15" ht="12.75">
      <c r="G14" s="162">
        <v>1012744</v>
      </c>
      <c r="H14" s="162" t="s">
        <v>138</v>
      </c>
      <c r="O14" s="162" t="s">
        <v>139</v>
      </c>
    </row>
    <row r="15" ht="12.75">
      <c r="O15" s="162" t="s">
        <v>140</v>
      </c>
    </row>
    <row r="16" ht="12.75">
      <c r="O16" s="162" t="s">
        <v>141</v>
      </c>
    </row>
    <row r="17" ht="12.75">
      <c r="O17" s="162" t="s">
        <v>142</v>
      </c>
    </row>
    <row r="18" ht="12.75">
      <c r="O18" s="162" t="s">
        <v>143</v>
      </c>
    </row>
    <row r="19" ht="12.75">
      <c r="O19" s="162" t="s">
        <v>144</v>
      </c>
    </row>
    <row r="20" ht="12.75">
      <c r="O20" s="162" t="s">
        <v>145</v>
      </c>
    </row>
    <row r="21" ht="12.75">
      <c r="O21" s="162" t="s">
        <v>146</v>
      </c>
    </row>
    <row r="22" ht="12.75">
      <c r="O22" s="162" t="s">
        <v>147</v>
      </c>
    </row>
    <row r="23" ht="12.75">
      <c r="O23" s="162" t="s">
        <v>148</v>
      </c>
    </row>
    <row r="24" ht="12.75">
      <c r="O24" s="162" t="s">
        <v>149</v>
      </c>
    </row>
    <row r="25" ht="12.75">
      <c r="O25" s="162" t="s">
        <v>150</v>
      </c>
    </row>
    <row r="26" ht="12.75">
      <c r="O26" s="162" t="s">
        <v>151</v>
      </c>
    </row>
    <row r="27" ht="12.75">
      <c r="O27" s="162" t="s">
        <v>152</v>
      </c>
    </row>
    <row r="28" ht="12.75">
      <c r="O28" s="162" t="s">
        <v>153</v>
      </c>
    </row>
    <row r="29" ht="12.75">
      <c r="O29" s="162" t="s">
        <v>154</v>
      </c>
    </row>
    <row r="30" ht="12.75">
      <c r="O30" s="162" t="s">
        <v>155</v>
      </c>
    </row>
    <row r="31" ht="12.75">
      <c r="O31" s="162" t="s">
        <v>156</v>
      </c>
    </row>
    <row r="32" ht="12.75">
      <c r="O32" s="162" t="s">
        <v>157</v>
      </c>
    </row>
    <row r="33" ht="12.75">
      <c r="O33" s="162" t="s">
        <v>158</v>
      </c>
    </row>
    <row r="34" ht="12.75">
      <c r="O34" s="162" t="s">
        <v>159</v>
      </c>
    </row>
    <row r="35" ht="12.75">
      <c r="O35" s="162" t="s">
        <v>160</v>
      </c>
    </row>
    <row r="36" ht="12.75">
      <c r="O36" s="162" t="s">
        <v>161</v>
      </c>
    </row>
    <row r="37" ht="12.75">
      <c r="O37" s="162" t="s">
        <v>162</v>
      </c>
    </row>
    <row r="38" ht="12.75">
      <c r="O38" s="162" t="s">
        <v>163</v>
      </c>
    </row>
    <row r="39" ht="12.75">
      <c r="O39" s="162" t="s">
        <v>164</v>
      </c>
    </row>
    <row r="40" ht="12.75">
      <c r="O40" s="162" t="s">
        <v>165</v>
      </c>
    </row>
    <row r="41" ht="12.75">
      <c r="O41" s="162" t="s">
        <v>166</v>
      </c>
    </row>
    <row r="42" ht="12.75">
      <c r="O42" s="162" t="s">
        <v>167</v>
      </c>
    </row>
    <row r="43" ht="12.75">
      <c r="O43" s="162" t="s">
        <v>168</v>
      </c>
    </row>
    <row r="44" ht="12.75">
      <c r="O44" s="162" t="s">
        <v>169</v>
      </c>
    </row>
    <row r="45" ht="12.75">
      <c r="O45" s="162" t="s">
        <v>170</v>
      </c>
    </row>
    <row r="46" ht="12.75">
      <c r="O46" s="162" t="s">
        <v>171</v>
      </c>
    </row>
    <row r="47" ht="12.75">
      <c r="O47" s="162" t="s">
        <v>172</v>
      </c>
    </row>
    <row r="48" ht="12.75">
      <c r="O48" s="162" t="s">
        <v>173</v>
      </c>
    </row>
    <row r="49" ht="12.75">
      <c r="O49" s="162" t="s">
        <v>174</v>
      </c>
    </row>
    <row r="50" ht="12.75">
      <c r="O50" s="162" t="s">
        <v>175</v>
      </c>
    </row>
    <row r="51" ht="12.75">
      <c r="O51" s="162" t="s">
        <v>176</v>
      </c>
    </row>
    <row r="52" ht="12.75">
      <c r="O52" s="162" t="s">
        <v>177</v>
      </c>
    </row>
    <row r="53" ht="12.75">
      <c r="O53" s="162" t="s">
        <v>178</v>
      </c>
    </row>
    <row r="54" ht="12.75">
      <c r="O54" s="162" t="s">
        <v>179</v>
      </c>
    </row>
    <row r="55" ht="12.75">
      <c r="O55" s="162" t="s">
        <v>180</v>
      </c>
    </row>
    <row r="56" ht="12.75">
      <c r="O56" s="162" t="s">
        <v>181</v>
      </c>
    </row>
    <row r="57" ht="12.75">
      <c r="O57" s="162" t="s">
        <v>182</v>
      </c>
    </row>
    <row r="58" ht="12.75">
      <c r="O58" s="162" t="s">
        <v>183</v>
      </c>
    </row>
    <row r="59" ht="12.75">
      <c r="O59" s="162" t="s">
        <v>184</v>
      </c>
    </row>
    <row r="60" ht="12.75">
      <c r="O60" s="162" t="s">
        <v>185</v>
      </c>
    </row>
    <row r="61" ht="12.75">
      <c r="O61" s="162" t="s">
        <v>186</v>
      </c>
    </row>
    <row r="62" ht="12.75">
      <c r="O62" s="162" t="s">
        <v>187</v>
      </c>
    </row>
    <row r="63" ht="12.75">
      <c r="O63" s="162" t="s">
        <v>188</v>
      </c>
    </row>
    <row r="64" ht="12.75">
      <c r="O64" s="162" t="s">
        <v>189</v>
      </c>
    </row>
    <row r="65" ht="12.75">
      <c r="O65" s="162" t="s">
        <v>190</v>
      </c>
    </row>
    <row r="66" ht="12.75">
      <c r="O66" s="162" t="s">
        <v>191</v>
      </c>
    </row>
    <row r="67" ht="12.75">
      <c r="O67" s="162" t="s">
        <v>192</v>
      </c>
    </row>
    <row r="68" ht="12.75">
      <c r="O68" s="162" t="s">
        <v>193</v>
      </c>
    </row>
    <row r="69" ht="12.75">
      <c r="O69" s="162" t="s">
        <v>194</v>
      </c>
    </row>
    <row r="70" ht="12.75">
      <c r="O70" s="162" t="s">
        <v>195</v>
      </c>
    </row>
  </sheetData>
  <pageMargins left="0.7" right="0.7" top="0.75" bottom="0.75" header="0.3" footer="0.3"/>
  <pageSetup horizontalDpi="600" verticalDpi="600"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