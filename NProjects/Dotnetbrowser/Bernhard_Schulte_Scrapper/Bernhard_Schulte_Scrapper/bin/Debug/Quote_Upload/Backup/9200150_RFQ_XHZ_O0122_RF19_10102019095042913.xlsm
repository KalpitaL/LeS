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Quote!$A$1:$R$49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Quote!$A$30</definedName>
    <definedName name="Enquiry_To_Vendor_ID" comment="Enquiry to Vendor ID">Quote!$C$30</definedName>
    <definedName name="GrandTotal">Quote!$N$29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Quote!$A$22</definedName>
    <definedName name="ItemListStartupRow" comment="Item List Start Up Row">Quote!$A$19</definedName>
    <definedName name="ItemSubTotal">Quote!$N$28</definedName>
    <definedName name="ItemSubTotalTitle">Quote!$J$28</definedName>
    <definedName name="LeadDay">Quote!$M$11</definedName>
    <definedName name="Lock">Quote!$M$30</definedName>
    <definedName name="LoggedInEmailID">Quote!$N$30</definedName>
    <definedName name="LoggedInPwd">Quote!$O$30</definedName>
    <definedName name="OtherCharges">Quote!$C$24</definedName>
    <definedName name="OtherChargesLastRow">Quote!$A$28</definedName>
    <definedName name="OtherChargesStartRow">Quote!$A$23</definedName>
    <definedName name="Port">Quote!$P$30</definedName>
    <definedName name="PortOfDelivery" comment="Port of Delivery">Quote!$M$9</definedName>
    <definedName name="PurchaserName">Quote!$J$30</definedName>
    <definedName name="QuoteBefore">Quote!$M$8</definedName>
    <definedName name="QuoteID">MasterData!$N$7</definedName>
    <definedName name="QuoteSubject">Quote!$E$30</definedName>
    <definedName name="Remarks">Quote!$E$32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Quote!$K$30</definedName>
    <definedName name="SentIndex">Quote!$L$30</definedName>
    <definedName name="Server">Quote!$Q$30</definedName>
    <definedName name="Terms">Quote!$A$36:$T$57</definedName>
    <definedName name="ToEmailID">Quote!$I$30</definedName>
    <definedName name="ToEmailPwd">Quote!$H$30</definedName>
    <definedName name="VAL">Quote!$F$30</definedName>
    <definedName name="VAT_All">Quote!$M$16</definedName>
    <definedName name="Vendor_ID" comment="Vendor ID">Quote!$B$30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Quote!$E$33</definedName>
    <definedName name="VesselETA" comment="Vessel ETA">Quote!$M$10</definedName>
    <definedName name="VesselName" comment="Vessel Name">Quote!$M$4</definedName>
    <definedName name="ItmPrice">Quote!$N$20:$N$20,Quote!$N$21:$N$21</definedName>
  </definedNames>
  <calcPr fullCalcOnLoad="1"/>
</workbook>
</file>

<file path=xl/sharedStrings.xml><?xml version="1.0" encoding="utf-8"?>
<sst xmlns="http://schemas.openxmlformats.org/spreadsheetml/2006/main" count="175" uniqueCount="152">
  <si>
    <t>RFQ</t>
  </si>
  <si>
    <t>Request for Quote</t>
  </si>
  <si>
    <t>Invoice To</t>
  </si>
  <si>
    <t xml:space="preserve">Bernhard Schulte Shipmanagement (China) Company Ltd.
</t>
  </si>
  <si>
    <t>Vessel</t>
  </si>
  <si>
    <t>Berge Nimba</t>
  </si>
  <si>
    <t>RFQ No.</t>
  </si>
  <si>
    <t>XHZ/O0122/RF19</t>
  </si>
  <si>
    <t>RFQ Date</t>
  </si>
  <si>
    <t>Submit Quote Before:</t>
  </si>
  <si>
    <t>Port of Delivery</t>
  </si>
  <si>
    <t xml:space="preserve">Zhoushan Pt 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</si>
  <si>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</si>
  <si>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</si>
  <si>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</si>
  <si>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</si>
  <si>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</si>
  <si>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</si>
  <si>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</si>
  <si>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</si>
  <si>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</si>
  <si>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</si>
  <si>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</si>
  <si>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</si>
  <si>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</si>
  <si>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</si>
  <si>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</si>
  <si>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</si>
  <si>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</si>
  <si>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</si>
  <si>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</si>
  <si>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</si>
  <si>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</si>
  <si>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</si>
  <si>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</si>
  <si>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</si>
  <si>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</si>
  <si>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</si>
  <si>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</si>
  <si>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</si>
  <si>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ROPE WIRE GALV 6XWS(26)FC, JIS-A 14MM DIAX200MTR W/CERT.</t>
  </si>
  <si>
    <t>C/L</t>
  </si>
  <si>
    <t>HMD14(0917601L)wire,35W*7,GALVANISED STEEL WIRE ROPE18x19FC-14mm X40mtr-MBL=155KN</t>
  </si>
  <si>
    <t>ROPE WIRE GALV 6XWS(26)FC, JIS-A 16MM DIAX200MTR W/CERT.</t>
  </si>
  <si>
    <t>HD25(8065)  106445 Wire 16mm,MBL=236KN,2160N/mm2,HDG,60m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</si>
  <si>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</si>
  <si>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</si>
  <si>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</si>
  <si>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</si>
  <si>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</si>
  <si>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</si>
  <si>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</si>
  <si>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</si>
  <si>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</si>
  <si>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</si>
  <si>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 xml:space="preserve">HD25(8065)  106445 Wire 16mm,MBL=236KN,2160N/mm2,HDG,60m(Lifeboat wire)
HMD14(0917601L)wire,35W*7,GALVANISED STEEL WIRE ROPE18x19FC-14mm X40mtr-1length Thimble A-14 at one end ,MBL=155KN(Rescue boat hoisting wire)
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</si>
  <si>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</si>
  <si>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</si>
  <si>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</si>
  <si>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</si>
  <si>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</si>
  <si>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</si>
  <si>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</si>
  <si>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</si>
  <si>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</si>
  <si>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</si>
  <si>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</si>
  <si>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</si>
  <si>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</si>
  <si>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</si>
  <si>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</si>
  <si>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</si>
  <si>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</si>
  <si>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</si>
  <si>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</si>
  <si>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</si>
  <si>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</si>
  <si>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</si>
  <si>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</si>
  <si>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</si>
  <si>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</si>
  <si>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</si>
  <si>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</si>
  <si>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</si>
  <si>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</si>
  <si>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</si>
  <si>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</si>
  <si>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</si>
  <si>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</si>
  <si>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</si>
  <si>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</si>
  <si>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</si>
  <si>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</si>
  <si>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</si>
  <si>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</si>
  <si>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</si>
  <si>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</si>
  <si>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</si>
  <si>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</si>
  <si>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</si>
  <si>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</si>
  <si>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</si>
  <si>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</si>
  <si>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</si>
  <si>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</si>
  <si>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</si>
  <si>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</si>
  <si>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</si>
  <si>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</si>
  <si>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</si>
  <si>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</si>
  <si>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</si>
  <si>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</si>
  <si>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</si>
  <si>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</si>
  <si>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</si>
  <si>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</si>
  <si>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</si>
  <si>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</si>
  <si>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</si>
  <si>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</si>
  <si>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</si>
  <si>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</si>
  <si>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</si>
  <si>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</si>
  <si>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</si>
  <si>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</si>
  <si>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</si>
  <si>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</si>
  <si>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</si>
  <si>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</si>
  <si>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</si>
  <si>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</si>
  <si>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</si>
  <si>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</si>
  <si>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</si>
  <si>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</si>
  <si>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</si>
  <si>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</si>
  <si>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</si>
  <si>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</si>
  <si>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</si>
  <si>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</si>
  <si>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</si>
  <si>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</si>
  <si>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</si>
  <si>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</si>
  <si>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</si>
  <si>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BJD1910101005172LET</t>
  </si>
  <si>
    <t>GALV. WIRE ROPE 35W*K7-16*60M, ONE END THIMBLE, MBL: 217KN</t>
  </si>
  <si>
    <t>GALV. WIRE ROPE 35W*K7-14*40M, ONE END THIMBLE, MBL: 167KN</t>
  </si>
  <si>
    <t xml:space="preserve">
Date promised : 2019-10-13
Quote validity : 2019-11-09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</si>
</sst>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5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43748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43748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99990009864986</v>
      </c>
      <c r="C20" s="227">
        <v>212905</v>
      </c>
      <c r="D20" s="228" t="s">
        <v>40</v>
      </c>
      <c r="E20" s="229"/>
      <c r="F20" s="229">
        <v>212905</v>
      </c>
      <c r="G20" s="229" t="s">
        <v>41</v>
      </c>
      <c r="H20" s="230">
        <v>0</v>
      </c>
      <c r="I20" s="231">
        <v>1</v>
      </c>
      <c r="J20" s="232">
        <v>222.2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149</v>
      </c>
      <c r="Q20" s="236"/>
      <c r="R20" s="237" t="s">
        <v>42</v>
      </c>
      <c r="S20" s="238"/>
      <c r="T20" s="239"/>
    </row>
    <row r="21" spans="1:20" ht="24" customHeight="1">
      <c r="A21" s="226">
        <v>2</v>
      </c>
      <c r="B21" s="226">
        <v>99990009864987</v>
      </c>
      <c r="C21" s="227">
        <v>212906</v>
      </c>
      <c r="D21" s="228" t="s">
        <v>43</v>
      </c>
      <c r="E21" s="229"/>
      <c r="F21" s="229">
        <v>212906</v>
      </c>
      <c r="G21" s="229" t="s">
        <v>41</v>
      </c>
      <c r="H21" s="230">
        <v>0</v>
      </c>
      <c r="I21" s="231">
        <v>1</v>
      </c>
      <c r="J21" s="232">
        <v>133.36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150</v>
      </c>
      <c r="Q21" s="236"/>
      <c r="R21" s="237" t="s">
        <v>44</v>
      </c>
      <c r="S21" s="238"/>
      <c r="T21" s="239"/>
    </row>
    <row r="22" spans="1:20" ht="15" customHeight="1">
      <c r="A22" s="32"/>
      <c r="B22" s="295"/>
      <c r="C22" s="296"/>
      <c r="D22" s="296"/>
      <c r="E22" s="296"/>
      <c r="F22" s="296"/>
      <c r="G22" s="296"/>
      <c r="H22" s="297"/>
      <c r="I22" s="297"/>
      <c r="J22" s="297"/>
      <c r="K22" s="297"/>
      <c r="L22" s="297"/>
      <c r="M22" s="297"/>
      <c r="N22" s="297"/>
      <c r="O22" s="297"/>
      <c r="P22" s="297"/>
      <c r="Q22" s="297"/>
      <c r="R22" s="297"/>
      <c r="S22" s="297"/>
      <c r="T22" s="298"/>
    </row>
    <row r="23" spans="1:20" ht="12.75" customHeight="1">
      <c r="A23" s="289" t="s">
        <v>28</v>
      </c>
      <c r="B23" s="289"/>
      <c r="C23" s="290" t="s">
        <v>45</v>
      </c>
      <c r="D23" s="291"/>
      <c r="E23" s="291"/>
      <c r="F23" s="291"/>
      <c r="G23" s="291"/>
      <c r="H23" s="291"/>
      <c r="I23" s="292"/>
      <c r="J23" s="292" t="s">
        <v>46</v>
      </c>
      <c r="K23" s="292"/>
      <c r="L23" s="292" t="s">
        <v>35</v>
      </c>
      <c r="M23" s="292" t="s">
        <v>36</v>
      </c>
      <c r="N23" s="293" t="s">
        <v>47</v>
      </c>
      <c r="O23" s="294" t="s">
        <v>38</v>
      </c>
      <c r="P23" s="294"/>
      <c r="Q23" s="294"/>
      <c r="R23" s="294"/>
      <c r="S23" s="294"/>
      <c r="T23" s="225"/>
    </row>
    <row r="24" spans="1:20" ht="15" customHeight="1">
      <c r="A24" s="269">
        <v>1</v>
      </c>
      <c r="B24" s="270"/>
      <c r="C24" s="271" t="s">
        <v>48</v>
      </c>
      <c r="D24" s="272" t="s">
        <v>48</v>
      </c>
      <c r="E24" s="272" t="s">
        <v>48</v>
      </c>
      <c r="F24" s="272" t="s">
        <v>48</v>
      </c>
      <c r="G24" s="272" t="s">
        <v>48</v>
      </c>
      <c r="H24" s="273" t="s">
        <v>48</v>
      </c>
      <c r="I24" s="274"/>
      <c r="J24" s="275">
        <v>0</v>
      </c>
      <c r="K24" s="276"/>
      <c r="L24" s="277">
        <v>0</v>
      </c>
      <c r="M24" s="277">
        <v>0</v>
      </c>
      <c r="N24" s="285">
        <f>(J24-(J24*L24/100)+((J24-(J24*L24/100))*M24/100))</f>
      </c>
      <c r="O24" s="286"/>
      <c r="P24" s="287"/>
      <c r="Q24" s="287"/>
      <c r="R24" s="287"/>
      <c r="S24" s="288"/>
      <c r="T24" s="283"/>
    </row>
    <row r="25" spans="1:20" ht="15" customHeight="1">
      <c r="A25" s="269">
        <v>2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84"/>
      <c r="J25" s="275">
        <v>0</v>
      </c>
      <c r="K25" s="276"/>
      <c r="L25" s="277">
        <v>0</v>
      </c>
      <c r="M25" s="277">
        <v>0</v>
      </c>
      <c r="N25" s="279">
        <f>(J25-(J25*L25/100)+((J25-(J25*L25/100))*M25/100))</f>
      </c>
      <c r="O25" s="280"/>
      <c r="P25" s="281"/>
      <c r="Q25" s="281"/>
      <c r="R25" s="281"/>
      <c r="S25" s="282"/>
      <c r="T25" s="283"/>
    </row>
    <row r="26" spans="1:20" ht="15" customHeight="1">
      <c r="A26" s="269">
        <v>3</v>
      </c>
      <c r="B26" s="270"/>
      <c r="C26" s="271"/>
      <c r="D26" s="272"/>
      <c r="E26" s="272"/>
      <c r="F26" s="272"/>
      <c r="G26" s="272"/>
      <c r="H26" s="273"/>
      <c r="I26" s="27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.75" customHeight="1">
      <c r="A27" s="269">
        <v>4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8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16" ht="15.95" customHeight="1">
      <c r="A28" s="247"/>
      <c r="B28" s="247"/>
      <c r="C28" s="248"/>
      <c r="D28" s="248"/>
      <c r="I28" s="163"/>
      <c r="J28" s="58" t="s">
        <v>50</v>
      </c>
      <c r="K28" s="59"/>
      <c r="L28" s="58"/>
      <c r="M28" s="59"/>
      <c r="N28" s="264">
        <f>SUM(ItmPrice)</f>
      </c>
      <c r="O28" s="267"/>
      <c r="P28" s="268"/>
    </row>
    <row r="29" spans="1:16" ht="15" customHeight="1">
      <c r="A29" s="247"/>
      <c r="B29" s="247"/>
      <c r="C29" s="248"/>
      <c r="D29" s="248"/>
      <c r="I29" s="163"/>
      <c r="J29" s="123" t="s">
        <v>51</v>
      </c>
      <c r="K29" s="124"/>
      <c r="L29" s="124"/>
      <c r="M29" s="125"/>
      <c r="N29" s="264">
        <f>SUM(N24:N28)</f>
      </c>
      <c r="O29" s="265"/>
      <c r="P29" s="266"/>
    </row>
    <row r="30" spans="1:19" ht="2.25" customHeight="1" hidden="1">
      <c r="A30" s="258">
        <v>0</v>
      </c>
      <c r="B30" s="258">
        <v>0</v>
      </c>
      <c r="C30" s="259">
        <v>0</v>
      </c>
      <c r="D30" s="248"/>
      <c r="E30" s="248"/>
      <c r="F30" s="260">
        <v>1</v>
      </c>
      <c r="G30" s="248"/>
      <c r="H30" s="248"/>
      <c r="I30" s="248"/>
      <c r="J30" s="248"/>
      <c r="K30" s="261"/>
      <c r="L30" s="262">
        <v>0</v>
      </c>
      <c r="M30" s="263">
        <v>0</v>
      </c>
      <c r="N30" s="162" t="s">
        <v>52</v>
      </c>
      <c r="O30" s="257"/>
      <c r="P30" s="263">
        <v>995</v>
      </c>
      <c r="Q30" s="248" t="s">
        <v>53</v>
      </c>
      <c r="R30" s="248"/>
      <c r="S30" s="248"/>
    </row>
    <row r="31" spans="1:19" ht="18.75" customHeight="1">
      <c r="A31" s="247"/>
      <c r="B31" s="247"/>
      <c r="C31" s="247"/>
      <c r="H31" s="257"/>
      <c r="I31" s="163"/>
      <c r="J31" s="248"/>
      <c r="K31" s="248"/>
      <c r="L31" s="248"/>
      <c r="M31" s="248"/>
      <c r="N31" s="248"/>
      <c r="O31" s="248"/>
      <c r="P31" s="248"/>
      <c r="R31" s="248"/>
      <c r="S31" s="248"/>
    </row>
    <row r="32" spans="1:20" ht="127.5" customHeight="1">
      <c r="A32" s="249" t="s">
        <v>54</v>
      </c>
      <c r="B32" s="249"/>
      <c r="C32" s="249"/>
      <c r="D32" s="250"/>
      <c r="E32" s="254" t="s">
        <v>55</v>
      </c>
      <c r="F32" s="255"/>
      <c r="G32" s="255"/>
      <c r="H32" s="255"/>
      <c r="I32" s="255"/>
      <c r="J32" s="255"/>
      <c r="K32" s="255"/>
      <c r="L32" s="255"/>
      <c r="M32" s="255"/>
      <c r="N32" s="255"/>
      <c r="O32" s="255"/>
      <c r="P32" s="255"/>
      <c r="Q32" s="255"/>
      <c r="R32" s="255"/>
      <c r="S32" s="255"/>
      <c r="T32" s="256"/>
    </row>
    <row r="33" spans="1:20" ht="129.75" customHeight="1">
      <c r="A33" s="249" t="s">
        <v>38</v>
      </c>
      <c r="B33" s="249"/>
      <c r="C33" s="249"/>
      <c r="D33" s="250"/>
      <c r="E33" s="251" t="s">
        <v>151</v>
      </c>
      <c r="F33" s="252"/>
      <c r="G33" s="252"/>
      <c r="H33" s="252"/>
      <c r="I33" s="252"/>
      <c r="J33" s="252"/>
      <c r="K33" s="252"/>
      <c r="L33" s="252"/>
      <c r="M33" s="252"/>
      <c r="N33" s="252"/>
      <c r="O33" s="252"/>
      <c r="P33" s="252"/>
      <c r="Q33" s="252"/>
      <c r="R33" s="252"/>
      <c r="S33" s="252"/>
      <c r="T33" s="253"/>
    </row>
    <row r="34" spans="1:19" ht="15.95" customHeight="1">
      <c r="A34" s="247"/>
      <c r="B34" s="247"/>
      <c r="C34" s="247"/>
      <c r="H34" s="248"/>
      <c r="I34" s="248"/>
      <c r="J34" s="248"/>
      <c r="K34" s="248"/>
      <c r="L34" s="248"/>
      <c r="M34" s="248"/>
      <c r="N34" s="248"/>
      <c r="O34" s="248"/>
      <c r="P34" s="248"/>
      <c r="Q34" s="248"/>
      <c r="R34" s="248"/>
      <c r="S34" s="248"/>
    </row>
    <row r="35" spans="1:20" ht="15.95" customHeight="1">
      <c r="A35" s="245" t="s">
        <v>56</v>
      </c>
      <c r="B35" s="245"/>
      <c r="C35" s="245"/>
      <c r="D35" s="245"/>
      <c r="E35" s="245"/>
      <c r="F35" s="245"/>
      <c r="G35" s="245"/>
      <c r="H35" s="245"/>
      <c r="I35" s="245"/>
      <c r="J35" s="245"/>
      <c r="K35" s="245"/>
      <c r="L35" s="245"/>
      <c r="M35" s="245"/>
      <c r="N35" s="245"/>
      <c r="O35" s="245"/>
      <c r="P35" s="245"/>
      <c r="Q35" s="245"/>
      <c r="R35" s="245"/>
      <c r="S35" s="245"/>
      <c r="T35" s="246"/>
    </row>
    <row r="36" spans="1:20" ht="12.75" customHeight="1">
      <c r="A36" s="243"/>
      <c r="B36" s="243"/>
      <c r="C36" s="243"/>
      <c r="D36" s="243"/>
      <c r="E36" s="243"/>
      <c r="F36" s="243"/>
      <c r="G36" s="243"/>
      <c r="H36" s="243"/>
      <c r="I36" s="243"/>
      <c r="J36" s="243"/>
      <c r="K36" s="243"/>
      <c r="L36" s="243"/>
      <c r="M36" s="243"/>
      <c r="N36" s="243"/>
      <c r="O36" s="243"/>
      <c r="P36" s="243"/>
      <c r="Q36" s="243"/>
      <c r="R36" s="243"/>
      <c r="S36" s="243"/>
      <c r="T36" s="244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7.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12.7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7.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12.7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7.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12.7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7.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12.7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1"/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1"/>
      <c r="O58" s="241"/>
      <c r="P58" s="241"/>
      <c r="Q58" s="241"/>
      <c r="R58" s="241"/>
      <c r="S58" s="241"/>
      <c r="T58" s="242"/>
    </row>
    <row r="59" spans="1:9" ht="12.75">
      <c r="A59" s="240" t="s">
        <v>57</v>
      </c>
      <c r="B59" s="240"/>
      <c r="C59" s="240"/>
      <c r="D59" s="240"/>
      <c r="E59" s="240"/>
      <c r="F59" s="240"/>
      <c r="G59" s="240"/>
      <c r="I5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69">
    <mergeCell ref="E32:S32"/>
    <mergeCell ref="E33:S33"/>
    <mergeCell ref="E35:S35"/>
    <mergeCell ref="A36:S57"/>
    <mergeCell ref="A58:S58"/>
    <mergeCell ref="A32:D32"/>
    <mergeCell ref="A33:D33"/>
    <mergeCell ref="K1:R1"/>
    <mergeCell ref="R19:S19"/>
    <mergeCell ref="R20:S20"/>
    <mergeCell ref="O24:S24"/>
    <mergeCell ref="O25:S25"/>
    <mergeCell ref="O23:S23"/>
    <mergeCell ref="J23:K23"/>
    <mergeCell ref="K4:L4"/>
    <mergeCell ref="M4:P4"/>
    <mergeCell ref="K5:L5"/>
    <mergeCell ref="M5:P5"/>
    <mergeCell ref="M7:Q7"/>
    <mergeCell ref="P20:Q20"/>
    <mergeCell ref="M12:O12"/>
    <mergeCell ref="K12:L12"/>
    <mergeCell ref="O28:P28"/>
    <mergeCell ref="O29:P29"/>
    <mergeCell ref="J29:M29"/>
    <mergeCell ref="O26:S26"/>
    <mergeCell ref="O27:S2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3:H2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C24:H24"/>
    <mergeCell ref="J24:K24"/>
    <mergeCell ref="C25:H25"/>
    <mergeCell ref="J25:K25"/>
    <mergeCell ref="C26:H26"/>
    <mergeCell ref="J26:K26"/>
    <mergeCell ref="C27:H27"/>
    <mergeCell ref="J27:K27"/>
  </mergeCells>
  <dataValidations count="19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list" allowBlank="1" showInputMessage="1" showErrorMessage="1" sqref="C24:H24">
      <formula1>'MasterData'!$H$1:$H$14</formula1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48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49</v>
      </c>
      <c r="M2" s="300" t="s">
        <v>60</v>
      </c>
      <c r="N2" s="301">
        <v>1020718778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99990000429890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1021789577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