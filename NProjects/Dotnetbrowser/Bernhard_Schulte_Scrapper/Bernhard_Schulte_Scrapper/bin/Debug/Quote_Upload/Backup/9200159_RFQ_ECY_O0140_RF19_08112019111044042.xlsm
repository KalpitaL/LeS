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Quote!$A$1:$R$91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Quote!$A$72</definedName>
    <definedName name="Enquiry_To_Vendor_ID" comment="Enquiry to Vendor ID">Quote!$C$72</definedName>
    <definedName name="GrandTotal">Quote!$N$71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Quote!$A$64</definedName>
    <definedName name="ItemListStartupRow" comment="Item List Start Up Row">Quote!$A$19</definedName>
    <definedName name="ItemSubTotal">Quote!$N$70</definedName>
    <definedName name="ItemSubTotalTitle">Quote!$J$70</definedName>
    <definedName name="LeadDay">Quote!$M$11</definedName>
    <definedName name="Lock">Quote!$M$72</definedName>
    <definedName name="LoggedInEmailID">Quote!$N$72</definedName>
    <definedName name="LoggedInPwd">Quote!$O$72</definedName>
    <definedName name="OtherCharges">Quote!$C$66</definedName>
    <definedName name="OtherChargesLastRow">Quote!$A$70</definedName>
    <definedName name="OtherChargesStartRow">Quote!$A$65</definedName>
    <definedName name="Port">Quote!$P$72</definedName>
    <definedName name="PortOfDelivery" comment="Port of Delivery">Quote!$M$9</definedName>
    <definedName name="PurchaserName">Quote!$J$72</definedName>
    <definedName name="QuoteBefore">Quote!$M$8</definedName>
    <definedName name="QuoteID">MasterData!$N$7</definedName>
    <definedName name="QuoteSubject">Quote!$E$72</definedName>
    <definedName name="Remarks">Quote!$E$74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Quote!$K$72</definedName>
    <definedName name="SentIndex">Quote!$L$72</definedName>
    <definedName name="Server">Quote!$Q$72</definedName>
    <definedName name="Terms">Quote!$A$78:$T$99</definedName>
    <definedName name="ToEmailID">Quote!$I$72</definedName>
    <definedName name="ToEmailPwd">Quote!$H$72</definedName>
    <definedName name="VAL">Quote!$F$72</definedName>
    <definedName name="VAT_All">Quote!$M$16</definedName>
    <definedName name="Vendor_ID" comment="Vendor ID">Quote!$B$72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Quote!$D$72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Quote!$E$75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</definedName>
  </definedNames>
  <calcPr fullCalcOnLoad="1"/>
</workbook>
</file>

<file path=xl/sharedStrings.xml><?xml version="1.0" encoding="utf-8"?>
<sst xmlns="http://schemas.openxmlformats.org/spreadsheetml/2006/main" count="348" uniqueCount="252">
  <si>
    <t>RFQ</t>
  </si>
  <si>
    <t>Request for Quote</t>
  </si>
  <si>
    <t>Invoice To</t>
  </si>
  <si>
    <t>Bernhard Schulte Shipmanagement (Singapore) Pte. Ltd.
Master &amp; Owner Of Egeiro Cyan,
Regd. Owner: Egeiro Pte. Ltd.,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</si>
  <si>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</si>
  <si>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Egeiro Cyan</t>
  </si>
  <si>
    <t>RFQ No.</t>
  </si>
  <si>
    <t>ECY/O0140/RF19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</si>
  <si>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</si>
  <si>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</si>
  <si>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</si>
  <si>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</si>
  <si>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</si>
  <si>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</si>
  <si>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</si>
  <si>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</si>
  <si>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</si>
  <si>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</si>
  <si>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</si>
  <si>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</si>
  <si>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</si>
  <si>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</si>
  <si>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</si>
  <si>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</si>
  <si>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</si>
  <si>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</si>
  <si>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</si>
  <si>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</si>
  <si>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</si>
  <si>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</si>
  <si>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</si>
  <si>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</si>
  <si>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</si>
  <si>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</si>
  <si>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</si>
  <si>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</si>
  <si>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</si>
  <si>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</si>
  <si>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</si>
  <si>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</si>
  <si>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V_00002496</t>
  </si>
  <si>
    <t>BLANKETS (WOOL 100%) BLUE</t>
  </si>
  <si>
    <t>PA</t>
  </si>
  <si>
    <t>V_00002497</t>
  </si>
  <si>
    <t>BED WHITE SHEETS</t>
  </si>
  <si>
    <t>V_00002499</t>
  </si>
  <si>
    <t>TOWELS SWEAT</t>
  </si>
  <si>
    <t>V_00002500</t>
  </si>
  <si>
    <t>TOWELS FACE</t>
  </si>
  <si>
    <t>V_00002501</t>
  </si>
  <si>
    <t>TOWELS BATH</t>
  </si>
  <si>
    <t>V_00002533</t>
  </si>
  <si>
    <t>173602 SOUP BOWL REGULAR SIZE</t>
  </si>
  <si>
    <t>V_00002534</t>
  </si>
  <si>
    <t>171095 TOOTHPICKS HOLDER</t>
  </si>
  <si>
    <t>V_00002535</t>
  </si>
  <si>
    <t>171090 TOOTHPICKS ROUND</t>
  </si>
  <si>
    <t>PKG</t>
  </si>
  <si>
    <t>V_00002536</t>
  </si>
  <si>
    <t>175096 MICROWAVE OVEN (220V)</t>
  </si>
  <si>
    <t>V_00002537</t>
  </si>
  <si>
    <t>174554 BREAD TOASTER (220V)</t>
  </si>
  <si>
    <t>V_00002538</t>
  </si>
  <si>
    <t>174151 PEDAL FLIP WASTE BASKET</t>
  </si>
  <si>
    <t>V_00002539</t>
  </si>
  <si>
    <t>174258 TOILET PLUNGERS</t>
  </si>
  <si>
    <t>V_00002540</t>
  </si>
  <si>
    <t>174241 TOILET PAPER</t>
  </si>
  <si>
    <t>C/S</t>
  </si>
  <si>
    <t>V_00002541</t>
  </si>
  <si>
    <t>550120 BLEACHING WATER</t>
  </si>
  <si>
    <t>BTL</t>
  </si>
  <si>
    <t>V_00002542</t>
  </si>
  <si>
    <t>550133 HEAVY DUTY LAUNDRY DETERG</t>
  </si>
  <si>
    <t>SA</t>
  </si>
  <si>
    <t>V_00002546</t>
  </si>
  <si>
    <t>550331 AIR FRESHENER</t>
  </si>
  <si>
    <t>V_00002545</t>
  </si>
  <si>
    <t>550141 LIQUID SOAP</t>
  </si>
  <si>
    <t>BOX</t>
  </si>
  <si>
    <t>V_00002544</t>
  </si>
  <si>
    <t>550125 LAUNDRY SOFTENER</t>
  </si>
  <si>
    <t>V_00002543</t>
  </si>
  <si>
    <t>550256 BATH SOAP/TOILET SOAP</t>
  </si>
  <si>
    <t>V_00002531</t>
  </si>
  <si>
    <t>170746 TEMPERED SALAD BOWLS</t>
  </si>
  <si>
    <t>V_00002532</t>
  </si>
  <si>
    <t>173603 SOUP BOWL LARGE</t>
  </si>
  <si>
    <t>V_00002530</t>
  </si>
  <si>
    <t>150454 CAP'S CROWN TYPE</t>
  </si>
  <si>
    <t>V_00002529</t>
  </si>
  <si>
    <t>150462 APRON (BIB TYPE)</t>
  </si>
  <si>
    <t>V_00002528</t>
  </si>
  <si>
    <t>172321 BUTCHERS KNIVES</t>
  </si>
  <si>
    <t>V_00002527</t>
  </si>
  <si>
    <t>172287 FRENCH KNIVES</t>
  </si>
  <si>
    <t>V_00002526</t>
  </si>
  <si>
    <t>170921 FRUIT BASKET</t>
  </si>
  <si>
    <t>V_00002525</t>
  </si>
  <si>
    <t>171354 LONG TONG</t>
  </si>
  <si>
    <t>V_00002524</t>
  </si>
  <si>
    <t>174564 BLENDERS (220V)</t>
  </si>
  <si>
    <t>V_00002523</t>
  </si>
  <si>
    <t>150527 COAT HANGERS (PLASTIC)</t>
  </si>
  <si>
    <t>V_00002508</t>
  </si>
  <si>
    <t>174171 PLASTIC BAG (SMALL TRANS)</t>
  </si>
  <si>
    <t>V_00002509</t>
  </si>
  <si>
    <t>172770 FISH SHEARS</t>
  </si>
  <si>
    <t>V_00002510</t>
  </si>
  <si>
    <t>172218 OIL STRAINERS</t>
  </si>
  <si>
    <t>V_00002511</t>
  </si>
  <si>
    <t>172113 ALUMINUM PAN</t>
  </si>
  <si>
    <t>V_00002512</t>
  </si>
  <si>
    <t>171702 STEEL FRYING PANS</t>
  </si>
  <si>
    <t>V_00002513</t>
  </si>
  <si>
    <t>171730 TEFLON COATED FRY PAN</t>
  </si>
  <si>
    <t>V_00002514</t>
  </si>
  <si>
    <t>171346 ICE PAILS(STAINLESS)</t>
  </si>
  <si>
    <t>V_00002515</t>
  </si>
  <si>
    <t>171844 STANDARD BRAZIER</t>
  </si>
  <si>
    <t>V_00002516</t>
  </si>
  <si>
    <t>172541 EGG TURNER</t>
  </si>
  <si>
    <t>V_00002517</t>
  </si>
  <si>
    <t>172986 PLATE AND TRAY RACK</t>
  </si>
  <si>
    <t>V_00002518</t>
  </si>
  <si>
    <t>511066 RUBBER JOINTS DOOR MATT</t>
  </si>
  <si>
    <t>V_00002519</t>
  </si>
  <si>
    <t>550625 INSECT KILLER</t>
  </si>
  <si>
    <t>CTN</t>
  </si>
  <si>
    <t>V_00002520</t>
  </si>
  <si>
    <t>150101 BED WHITE SHEET</t>
  </si>
  <si>
    <t>V_00002521</t>
  </si>
  <si>
    <t>550336 TOILET ODOR BALLS</t>
  </si>
  <si>
    <t>V_00002522</t>
  </si>
  <si>
    <t>174723 ELECTRIC IRON (220V)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</si>
  <si>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</si>
  <si>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</si>
  <si>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</si>
  <si>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</si>
  <si>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</si>
  <si>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</si>
  <si>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</si>
  <si>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</si>
  <si>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</si>
  <si>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</si>
  <si>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Please ask if any doubt before quote.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</si>
  <si>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</si>
  <si>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</si>
  <si>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</si>
  <si>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</si>
  <si>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</si>
  <si>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</si>
  <si>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</si>
  <si>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</si>
  <si>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</si>
  <si>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</si>
  <si>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</si>
  <si>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</si>
  <si>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</si>
  <si>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</si>
  <si>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</si>
  <si>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</si>
  <si>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</si>
  <si>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</si>
  <si>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</si>
  <si>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</si>
  <si>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</si>
  <si>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</si>
  <si>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</si>
  <si>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</si>
  <si>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</si>
  <si>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</si>
  <si>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</si>
  <si>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</si>
  <si>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</si>
  <si>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</si>
  <si>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</si>
  <si>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</si>
  <si>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</si>
  <si>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</si>
  <si>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</si>
  <si>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</si>
  <si>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</si>
  <si>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</si>
  <si>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</si>
  <si>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</si>
  <si>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</si>
  <si>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</si>
  <si>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</si>
  <si>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</si>
  <si>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</si>
  <si>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</si>
  <si>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</si>
  <si>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</si>
  <si>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</si>
  <si>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</si>
  <si>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</si>
  <si>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</si>
  <si>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</si>
  <si>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</si>
  <si>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</si>
  <si>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</si>
  <si>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</si>
  <si>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</si>
  <si>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</si>
  <si>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</si>
  <si>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</si>
  <si>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</si>
  <si>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</si>
  <si>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</si>
  <si>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</si>
  <si>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</si>
  <si>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</si>
  <si>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</si>
  <si>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</si>
  <si>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</si>
  <si>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</si>
  <si>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</si>
  <si>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</si>
  <si>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</si>
  <si>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</si>
  <si>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</si>
  <si>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</si>
  <si>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</si>
  <si>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</si>
  <si>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</si>
  <si>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</si>
  <si>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</si>
  <si>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</si>
  <si>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</si>
  <si>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</si>
  <si>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</si>
  <si>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</si>
  <si>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</si>
  <si>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</si>
  <si>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</si>
  <si>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</si>
  <si>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</si>
  <si>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SG1911081146118LET</t>
  </si>
  <si>
    <t>220V/60HZ 20L 700W 45*31*26CM</t>
  </si>
  <si>
    <t>220V/60HZ 1300W 360*120*160MM</t>
  </si>
  <si>
    <t>3L</t>
  </si>
  <si>
    <t>10KG/PKT</t>
  </si>
  <si>
    <t>LUX 80G</t>
  </si>
  <si>
    <t>SAME AS ABV</t>
  </si>
  <si>
    <t>220V/60HZ/1.5L 400W180*380MM</t>
  </si>
  <si>
    <t>250*350MM 50S/PKT</t>
  </si>
  <si>
    <t>STAINLESS STEEL</t>
  </si>
  <si>
    <t>1500*2500MM,WHITE</t>
  </si>
  <si>
    <t>5S/PKT</t>
  </si>
  <si>
    <t>220V/60HZ 1200W 277*115*145MM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</si>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</sst>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0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238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231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247924801771</v>
      </c>
      <c r="C20" s="227" t="s">
        <v>40</v>
      </c>
      <c r="D20" s="228" t="s">
        <v>41</v>
      </c>
      <c r="E20" s="229"/>
      <c r="F20" s="229">
        <v>150303</v>
      </c>
      <c r="G20" s="229" t="s">
        <v>42</v>
      </c>
      <c r="H20" s="230">
        <v>0</v>
      </c>
      <c r="I20" s="231">
        <v>10</v>
      </c>
      <c r="J20" s="232">
        <v>9.21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247924801772</v>
      </c>
      <c r="C21" s="227" t="s">
        <v>43</v>
      </c>
      <c r="D21" s="228" t="s">
        <v>44</v>
      </c>
      <c r="E21" s="229"/>
      <c r="F21" s="229">
        <v>150101</v>
      </c>
      <c r="G21" s="229" t="s">
        <v>42</v>
      </c>
      <c r="H21" s="230">
        <v>0</v>
      </c>
      <c r="I21" s="231">
        <v>10</v>
      </c>
      <c r="J21" s="232">
        <v>4.73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247924801773</v>
      </c>
      <c r="C22" s="227" t="s">
        <v>45</v>
      </c>
      <c r="D22" s="228" t="s">
        <v>46</v>
      </c>
      <c r="E22" s="229"/>
      <c r="F22" s="229">
        <v>150611</v>
      </c>
      <c r="G22" s="229" t="s">
        <v>42</v>
      </c>
      <c r="H22" s="230">
        <v>0</v>
      </c>
      <c r="I22" s="231">
        <v>10</v>
      </c>
      <c r="J22" s="232">
        <v>0.97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247924801774</v>
      </c>
      <c r="C23" s="227" t="s">
        <v>47</v>
      </c>
      <c r="D23" s="228" t="s">
        <v>48</v>
      </c>
      <c r="E23" s="229"/>
      <c r="F23" s="229">
        <v>150609</v>
      </c>
      <c r="G23" s="229" t="s">
        <v>42</v>
      </c>
      <c r="H23" s="230">
        <v>0</v>
      </c>
      <c r="I23" s="231">
        <v>10</v>
      </c>
      <c r="J23" s="232">
        <v>1.08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247924801775</v>
      </c>
      <c r="C24" s="227" t="s">
        <v>49</v>
      </c>
      <c r="D24" s="228" t="s">
        <v>50</v>
      </c>
      <c r="E24" s="229"/>
      <c r="F24" s="229">
        <v>150602</v>
      </c>
      <c r="G24" s="229" t="s">
        <v>42</v>
      </c>
      <c r="H24" s="230">
        <v>0</v>
      </c>
      <c r="I24" s="231">
        <v>10</v>
      </c>
      <c r="J24" s="232">
        <v>3.69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247924801804</v>
      </c>
      <c r="C25" s="227" t="s">
        <v>51</v>
      </c>
      <c r="D25" s="228" t="s">
        <v>52</v>
      </c>
      <c r="E25" s="229"/>
      <c r="F25" s="229" t="s">
        <v>51</v>
      </c>
      <c r="G25" s="229" t="s">
        <v>42</v>
      </c>
      <c r="H25" s="230">
        <v>0</v>
      </c>
      <c r="I25" s="231">
        <v>15</v>
      </c>
      <c r="J25" s="232">
        <v>0.45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247924801805</v>
      </c>
      <c r="C26" s="227" t="s">
        <v>53</v>
      </c>
      <c r="D26" s="228" t="s">
        <v>54</v>
      </c>
      <c r="E26" s="229"/>
      <c r="F26" s="229" t="s">
        <v>53</v>
      </c>
      <c r="G26" s="229" t="s">
        <v>42</v>
      </c>
      <c r="H26" s="230">
        <v>0</v>
      </c>
      <c r="I26" s="231">
        <v>4</v>
      </c>
      <c r="J26" s="232">
        <v>0.2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247924801806</v>
      </c>
      <c r="C27" s="227" t="s">
        <v>55</v>
      </c>
      <c r="D27" s="228" t="s">
        <v>56</v>
      </c>
      <c r="E27" s="229"/>
      <c r="F27" s="229" t="s">
        <v>55</v>
      </c>
      <c r="G27" s="229" t="s">
        <v>57</v>
      </c>
      <c r="H27" s="230">
        <v>0</v>
      </c>
      <c r="I27" s="231">
        <v>4</v>
      </c>
      <c r="J27" s="232">
        <v>0.18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247924801807</v>
      </c>
      <c r="C28" s="227" t="s">
        <v>58</v>
      </c>
      <c r="D28" s="228" t="s">
        <v>59</v>
      </c>
      <c r="E28" s="229"/>
      <c r="F28" s="229" t="s">
        <v>58</v>
      </c>
      <c r="G28" s="229" t="s">
        <v>42</v>
      </c>
      <c r="H28" s="230">
        <v>0</v>
      </c>
      <c r="I28" s="231">
        <v>2</v>
      </c>
      <c r="J28" s="232">
        <v>65.89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239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247924801808</v>
      </c>
      <c r="C29" s="227" t="s">
        <v>60</v>
      </c>
      <c r="D29" s="228" t="s">
        <v>61</v>
      </c>
      <c r="E29" s="229"/>
      <c r="F29" s="229" t="s">
        <v>60</v>
      </c>
      <c r="G29" s="229" t="s">
        <v>42</v>
      </c>
      <c r="H29" s="230">
        <v>0</v>
      </c>
      <c r="I29" s="231">
        <v>2</v>
      </c>
      <c r="J29" s="232">
        <v>8.78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240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247924801809</v>
      </c>
      <c r="C30" s="227" t="s">
        <v>62</v>
      </c>
      <c r="D30" s="228" t="s">
        <v>63</v>
      </c>
      <c r="E30" s="229"/>
      <c r="F30" s="229" t="s">
        <v>62</v>
      </c>
      <c r="G30" s="229" t="s">
        <v>42</v>
      </c>
      <c r="H30" s="230">
        <v>0</v>
      </c>
      <c r="I30" s="231">
        <v>4</v>
      </c>
      <c r="J30" s="232">
        <v>4.8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241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247924801810</v>
      </c>
      <c r="C31" s="227" t="s">
        <v>64</v>
      </c>
      <c r="D31" s="228" t="s">
        <v>65</v>
      </c>
      <c r="E31" s="229"/>
      <c r="F31" s="229" t="s">
        <v>64</v>
      </c>
      <c r="G31" s="229" t="s">
        <v>42</v>
      </c>
      <c r="H31" s="230">
        <v>0</v>
      </c>
      <c r="I31" s="231">
        <v>10</v>
      </c>
      <c r="J31" s="232">
        <v>0.6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247924801811</v>
      </c>
      <c r="C32" s="227" t="s">
        <v>66</v>
      </c>
      <c r="D32" s="228" t="s">
        <v>67</v>
      </c>
      <c r="E32" s="229"/>
      <c r="F32" s="229" t="s">
        <v>66</v>
      </c>
      <c r="G32" s="229" t="s">
        <v>68</v>
      </c>
      <c r="H32" s="230">
        <v>0</v>
      </c>
      <c r="I32" s="231">
        <v>6</v>
      </c>
      <c r="J32" s="232">
        <v>30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247924801812</v>
      </c>
      <c r="C33" s="227" t="s">
        <v>69</v>
      </c>
      <c r="D33" s="228" t="s">
        <v>70</v>
      </c>
      <c r="E33" s="229"/>
      <c r="F33" s="229" t="s">
        <v>69</v>
      </c>
      <c r="G33" s="229" t="s">
        <v>71</v>
      </c>
      <c r="H33" s="230">
        <v>0</v>
      </c>
      <c r="I33" s="231">
        <v>48</v>
      </c>
      <c r="J33" s="232">
        <v>0.67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247924801813</v>
      </c>
      <c r="C34" s="227" t="s">
        <v>72</v>
      </c>
      <c r="D34" s="228" t="s">
        <v>73</v>
      </c>
      <c r="E34" s="229"/>
      <c r="F34" s="229" t="s">
        <v>72</v>
      </c>
      <c r="G34" s="229" t="s">
        <v>74</v>
      </c>
      <c r="H34" s="230">
        <v>0</v>
      </c>
      <c r="I34" s="231">
        <v>10</v>
      </c>
      <c r="J34" s="232">
        <v>4.43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242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247924801817</v>
      </c>
      <c r="C35" s="227" t="s">
        <v>75</v>
      </c>
      <c r="D35" s="228" t="s">
        <v>76</v>
      </c>
      <c r="E35" s="229"/>
      <c r="F35" s="229" t="s">
        <v>75</v>
      </c>
      <c r="G35" s="229" t="s">
        <v>42</v>
      </c>
      <c r="H35" s="230">
        <v>0</v>
      </c>
      <c r="I35" s="231">
        <v>20</v>
      </c>
      <c r="J35" s="232">
        <v>0.58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247924801816</v>
      </c>
      <c r="C36" s="227" t="s">
        <v>77</v>
      </c>
      <c r="D36" s="228" t="s">
        <v>78</v>
      </c>
      <c r="E36" s="229"/>
      <c r="F36" s="229" t="s">
        <v>77</v>
      </c>
      <c r="G36" s="229" t="s">
        <v>79</v>
      </c>
      <c r="H36" s="230">
        <v>0</v>
      </c>
      <c r="I36" s="231">
        <v>4</v>
      </c>
      <c r="J36" s="232">
        <v>0.84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247924801815</v>
      </c>
      <c r="C37" s="227" t="s">
        <v>80</v>
      </c>
      <c r="D37" s="228" t="s">
        <v>81</v>
      </c>
      <c r="E37" s="229"/>
      <c r="F37" s="229" t="s">
        <v>80</v>
      </c>
      <c r="G37" s="229" t="s">
        <v>71</v>
      </c>
      <c r="H37" s="230">
        <v>0</v>
      </c>
      <c r="I37" s="231">
        <v>36</v>
      </c>
      <c r="J37" s="232">
        <v>1.65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247924801814</v>
      </c>
      <c r="C38" s="227" t="s">
        <v>82</v>
      </c>
      <c r="D38" s="228" t="s">
        <v>83</v>
      </c>
      <c r="E38" s="229"/>
      <c r="F38" s="229" t="s">
        <v>82</v>
      </c>
      <c r="G38" s="229" t="s">
        <v>79</v>
      </c>
      <c r="H38" s="230">
        <v>0</v>
      </c>
      <c r="I38" s="231">
        <v>3</v>
      </c>
      <c r="J38" s="232">
        <v>32.4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243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247924801802</v>
      </c>
      <c r="C39" s="227" t="s">
        <v>84</v>
      </c>
      <c r="D39" s="228" t="s">
        <v>85</v>
      </c>
      <c r="E39" s="229"/>
      <c r="F39" s="229" t="s">
        <v>84</v>
      </c>
      <c r="G39" s="229" t="s">
        <v>42</v>
      </c>
      <c r="H39" s="230">
        <v>0</v>
      </c>
      <c r="I39" s="231">
        <v>15</v>
      </c>
      <c r="J39" s="232">
        <v>0.44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247924801803</v>
      </c>
      <c r="C40" s="227" t="s">
        <v>86</v>
      </c>
      <c r="D40" s="228" t="s">
        <v>87</v>
      </c>
      <c r="E40" s="229"/>
      <c r="F40" s="229" t="s">
        <v>86</v>
      </c>
      <c r="G40" s="229" t="s">
        <v>42</v>
      </c>
      <c r="H40" s="230">
        <v>0</v>
      </c>
      <c r="I40" s="231">
        <v>10</v>
      </c>
      <c r="J40" s="232">
        <v>0.54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247924801801</v>
      </c>
      <c r="C41" s="227" t="s">
        <v>88</v>
      </c>
      <c r="D41" s="228" t="s">
        <v>89</v>
      </c>
      <c r="E41" s="229"/>
      <c r="F41" s="229" t="s">
        <v>88</v>
      </c>
      <c r="G41" s="229" t="s">
        <v>42</v>
      </c>
      <c r="H41" s="230">
        <v>0</v>
      </c>
      <c r="I41" s="231">
        <v>4</v>
      </c>
      <c r="J41" s="232">
        <v>0.6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247924801800</v>
      </c>
      <c r="C42" s="227" t="s">
        <v>90</v>
      </c>
      <c r="D42" s="228" t="s">
        <v>91</v>
      </c>
      <c r="E42" s="229"/>
      <c r="F42" s="229" t="s">
        <v>90</v>
      </c>
      <c r="G42" s="229" t="s">
        <v>42</v>
      </c>
      <c r="H42" s="230">
        <v>0</v>
      </c>
      <c r="I42" s="231">
        <v>4</v>
      </c>
      <c r="J42" s="232">
        <v>0.7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247924801799</v>
      </c>
      <c r="C43" s="227" t="s">
        <v>92</v>
      </c>
      <c r="D43" s="228" t="s">
        <v>93</v>
      </c>
      <c r="E43" s="229"/>
      <c r="F43" s="229" t="s">
        <v>92</v>
      </c>
      <c r="G43" s="229" t="s">
        <v>42</v>
      </c>
      <c r="H43" s="230">
        <v>0</v>
      </c>
      <c r="I43" s="231">
        <v>2</v>
      </c>
      <c r="J43" s="232">
        <v>2.58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247924801798</v>
      </c>
      <c r="C44" s="227" t="s">
        <v>94</v>
      </c>
      <c r="D44" s="228" t="s">
        <v>95</v>
      </c>
      <c r="E44" s="229"/>
      <c r="F44" s="229" t="s">
        <v>94</v>
      </c>
      <c r="G44" s="229" t="s">
        <v>42</v>
      </c>
      <c r="H44" s="230">
        <v>0</v>
      </c>
      <c r="I44" s="231">
        <v>4</v>
      </c>
      <c r="J44" s="232">
        <v>2.58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244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247924801797</v>
      </c>
      <c r="C45" s="227" t="s">
        <v>96</v>
      </c>
      <c r="D45" s="228" t="s">
        <v>97</v>
      </c>
      <c r="E45" s="229"/>
      <c r="F45" s="229" t="s">
        <v>96</v>
      </c>
      <c r="G45" s="229" t="s">
        <v>42</v>
      </c>
      <c r="H45" s="230">
        <v>0</v>
      </c>
      <c r="I45" s="231">
        <v>4</v>
      </c>
      <c r="J45" s="232">
        <v>0.6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247924801796</v>
      </c>
      <c r="C46" s="227" t="s">
        <v>98</v>
      </c>
      <c r="D46" s="228" t="s">
        <v>99</v>
      </c>
      <c r="E46" s="229"/>
      <c r="F46" s="229" t="s">
        <v>98</v>
      </c>
      <c r="G46" s="229" t="s">
        <v>42</v>
      </c>
      <c r="H46" s="230">
        <v>0</v>
      </c>
      <c r="I46" s="231">
        <v>4</v>
      </c>
      <c r="J46" s="232">
        <v>0.49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247924801795</v>
      </c>
      <c r="C47" s="227" t="s">
        <v>100</v>
      </c>
      <c r="D47" s="228" t="s">
        <v>101</v>
      </c>
      <c r="E47" s="229"/>
      <c r="F47" s="229" t="s">
        <v>100</v>
      </c>
      <c r="G47" s="229" t="s">
        <v>42</v>
      </c>
      <c r="H47" s="230">
        <v>0</v>
      </c>
      <c r="I47" s="231">
        <v>2</v>
      </c>
      <c r="J47" s="232">
        <v>21.9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245</v>
      </c>
      <c r="Q47" s="236"/>
      <c r="R47" s="237"/>
      <c r="S47" s="238"/>
      <c r="T47" s="239"/>
    </row>
    <row r="48" spans="1:20" ht="24" customHeight="1">
      <c r="A48" s="226">
        <v>29</v>
      </c>
      <c r="B48" s="226">
        <v>247924801794</v>
      </c>
      <c r="C48" s="227" t="s">
        <v>102</v>
      </c>
      <c r="D48" s="228" t="s">
        <v>103</v>
      </c>
      <c r="E48" s="229"/>
      <c r="F48" s="229" t="s">
        <v>102</v>
      </c>
      <c r="G48" s="229" t="s">
        <v>42</v>
      </c>
      <c r="H48" s="230">
        <v>0</v>
      </c>
      <c r="I48" s="231">
        <v>20</v>
      </c>
      <c r="J48" s="232">
        <v>0.22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247924801779</v>
      </c>
      <c r="C49" s="227" t="s">
        <v>104</v>
      </c>
      <c r="D49" s="228" t="s">
        <v>105</v>
      </c>
      <c r="E49" s="229"/>
      <c r="F49" s="229" t="s">
        <v>104</v>
      </c>
      <c r="G49" s="229" t="s">
        <v>42</v>
      </c>
      <c r="H49" s="230">
        <v>0</v>
      </c>
      <c r="I49" s="231">
        <v>100</v>
      </c>
      <c r="J49" s="232">
        <v>0.49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246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247924801780</v>
      </c>
      <c r="C50" s="227" t="s">
        <v>106</v>
      </c>
      <c r="D50" s="228" t="s">
        <v>107</v>
      </c>
      <c r="E50" s="229"/>
      <c r="F50" s="229" t="s">
        <v>106</v>
      </c>
      <c r="G50" s="229" t="s">
        <v>42</v>
      </c>
      <c r="H50" s="230">
        <v>0</v>
      </c>
      <c r="I50" s="231">
        <v>4</v>
      </c>
      <c r="J50" s="232">
        <v>0.8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247924801781</v>
      </c>
      <c r="C51" s="227" t="s">
        <v>108</v>
      </c>
      <c r="D51" s="228" t="s">
        <v>109</v>
      </c>
      <c r="E51" s="229"/>
      <c r="F51" s="229" t="s">
        <v>108</v>
      </c>
      <c r="G51" s="229" t="s">
        <v>42</v>
      </c>
      <c r="H51" s="230">
        <v>0</v>
      </c>
      <c r="I51" s="231">
        <v>4</v>
      </c>
      <c r="J51" s="232">
        <v>2.34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247924801782</v>
      </c>
      <c r="C52" s="227" t="s">
        <v>110</v>
      </c>
      <c r="D52" s="228" t="s">
        <v>111</v>
      </c>
      <c r="E52" s="229"/>
      <c r="F52" s="229" t="s">
        <v>110</v>
      </c>
      <c r="G52" s="229" t="s">
        <v>42</v>
      </c>
      <c r="H52" s="230">
        <v>0</v>
      </c>
      <c r="I52" s="231">
        <v>2</v>
      </c>
      <c r="J52" s="232">
        <v>1.09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247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247924801783</v>
      </c>
      <c r="C53" s="227" t="s">
        <v>112</v>
      </c>
      <c r="D53" s="228" t="s">
        <v>113</v>
      </c>
      <c r="E53" s="229"/>
      <c r="F53" s="229" t="s">
        <v>112</v>
      </c>
      <c r="G53" s="229" t="s">
        <v>42</v>
      </c>
      <c r="H53" s="230">
        <v>0</v>
      </c>
      <c r="I53" s="231">
        <v>2</v>
      </c>
      <c r="J53" s="232">
        <v>6.15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247924801784</v>
      </c>
      <c r="C54" s="227" t="s">
        <v>114</v>
      </c>
      <c r="D54" s="228" t="s">
        <v>115</v>
      </c>
      <c r="E54" s="229"/>
      <c r="F54" s="229" t="s">
        <v>114</v>
      </c>
      <c r="G54" s="229" t="s">
        <v>42</v>
      </c>
      <c r="H54" s="230">
        <v>0</v>
      </c>
      <c r="I54" s="231">
        <v>2</v>
      </c>
      <c r="J54" s="232">
        <v>5.39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247924801785</v>
      </c>
      <c r="C55" s="227" t="s">
        <v>116</v>
      </c>
      <c r="D55" s="228" t="s">
        <v>117</v>
      </c>
      <c r="E55" s="229"/>
      <c r="F55" s="229" t="s">
        <v>116</v>
      </c>
      <c r="G55" s="229" t="s">
        <v>42</v>
      </c>
      <c r="H55" s="230">
        <v>0</v>
      </c>
      <c r="I55" s="231">
        <v>2</v>
      </c>
      <c r="J55" s="232">
        <v>3.59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247924801786</v>
      </c>
      <c r="C56" s="227" t="s">
        <v>118</v>
      </c>
      <c r="D56" s="228" t="s">
        <v>119</v>
      </c>
      <c r="E56" s="229"/>
      <c r="F56" s="229" t="s">
        <v>118</v>
      </c>
      <c r="G56" s="229" t="s">
        <v>42</v>
      </c>
      <c r="H56" s="230">
        <v>0</v>
      </c>
      <c r="I56" s="231">
        <v>2</v>
      </c>
      <c r="J56" s="232">
        <v>19.53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247924801787</v>
      </c>
      <c r="C57" s="227" t="s">
        <v>120</v>
      </c>
      <c r="D57" s="228" t="s">
        <v>121</v>
      </c>
      <c r="E57" s="229"/>
      <c r="F57" s="229" t="s">
        <v>120</v>
      </c>
      <c r="G57" s="229" t="s">
        <v>42</v>
      </c>
      <c r="H57" s="230">
        <v>0</v>
      </c>
      <c r="I57" s="231">
        <v>4</v>
      </c>
      <c r="J57" s="232">
        <v>1.21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247924801788</v>
      </c>
      <c r="C58" s="227" t="s">
        <v>122</v>
      </c>
      <c r="D58" s="228" t="s">
        <v>123</v>
      </c>
      <c r="E58" s="229"/>
      <c r="F58" s="229" t="s">
        <v>122</v>
      </c>
      <c r="G58" s="229" t="s">
        <v>42</v>
      </c>
      <c r="H58" s="230">
        <v>0</v>
      </c>
      <c r="I58" s="231">
        <v>1</v>
      </c>
      <c r="J58" s="232">
        <v>6.72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247924801789</v>
      </c>
      <c r="C59" s="227" t="s">
        <v>124</v>
      </c>
      <c r="D59" s="228" t="s">
        <v>125</v>
      </c>
      <c r="E59" s="229"/>
      <c r="F59" s="229" t="s">
        <v>124</v>
      </c>
      <c r="G59" s="229" t="s">
        <v>42</v>
      </c>
      <c r="H59" s="230">
        <v>0</v>
      </c>
      <c r="I59" s="231">
        <v>6</v>
      </c>
      <c r="J59" s="232">
        <v>1.86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247924801790</v>
      </c>
      <c r="C60" s="227" t="s">
        <v>126</v>
      </c>
      <c r="D60" s="228" t="s">
        <v>127</v>
      </c>
      <c r="E60" s="229"/>
      <c r="F60" s="229" t="s">
        <v>126</v>
      </c>
      <c r="G60" s="229" t="s">
        <v>128</v>
      </c>
      <c r="H60" s="230">
        <v>0</v>
      </c>
      <c r="I60" s="231">
        <v>2</v>
      </c>
      <c r="J60" s="232">
        <v>10.2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247924801791</v>
      </c>
      <c r="C61" s="227" t="s">
        <v>129</v>
      </c>
      <c r="D61" s="228" t="s">
        <v>130</v>
      </c>
      <c r="E61" s="229"/>
      <c r="F61" s="229" t="s">
        <v>129</v>
      </c>
      <c r="G61" s="229" t="s">
        <v>42</v>
      </c>
      <c r="H61" s="230">
        <v>0</v>
      </c>
      <c r="I61" s="231">
        <v>10</v>
      </c>
      <c r="J61" s="232">
        <v>4.73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 t="s">
        <v>248</v>
      </c>
      <c r="Q61" s="236"/>
      <c r="R61" s="237"/>
      <c r="S61" s="238"/>
      <c r="T61" s="239"/>
    </row>
    <row r="62" spans="1:20" ht="24" customHeight="1">
      <c r="A62" s="226">
        <v>43</v>
      </c>
      <c r="B62" s="226">
        <v>247924801792</v>
      </c>
      <c r="C62" s="227" t="s">
        <v>131</v>
      </c>
      <c r="D62" s="228" t="s">
        <v>132</v>
      </c>
      <c r="E62" s="229"/>
      <c r="F62" s="229" t="s">
        <v>131</v>
      </c>
      <c r="G62" s="229" t="s">
        <v>42</v>
      </c>
      <c r="H62" s="230">
        <v>0</v>
      </c>
      <c r="I62" s="231">
        <v>40</v>
      </c>
      <c r="J62" s="232">
        <v>0.45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249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247924801793</v>
      </c>
      <c r="C63" s="227" t="s">
        <v>133</v>
      </c>
      <c r="D63" s="228" t="s">
        <v>134</v>
      </c>
      <c r="E63" s="229"/>
      <c r="F63" s="229" t="s">
        <v>133</v>
      </c>
      <c r="G63" s="229" t="s">
        <v>42</v>
      </c>
      <c r="H63" s="230">
        <v>0</v>
      </c>
      <c r="I63" s="231">
        <v>1</v>
      </c>
      <c r="J63" s="232">
        <v>11.98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250</v>
      </c>
      <c r="Q63" s="236"/>
      <c r="R63" s="237"/>
      <c r="S63" s="238"/>
      <c r="T63" s="239"/>
    </row>
    <row r="64" spans="1:20" ht="15" customHeight="1">
      <c r="A64" s="32"/>
      <c r="B64" s="295"/>
      <c r="C64" s="296"/>
      <c r="D64" s="296"/>
      <c r="E64" s="296"/>
      <c r="F64" s="296"/>
      <c r="G64" s="296"/>
      <c r="H64" s="297"/>
      <c r="I64" s="297"/>
      <c r="J64" s="297"/>
      <c r="K64" s="297"/>
      <c r="L64" s="297"/>
      <c r="M64" s="297"/>
      <c r="N64" s="297"/>
      <c r="O64" s="297"/>
      <c r="P64" s="297"/>
      <c r="Q64" s="297"/>
      <c r="R64" s="297"/>
      <c r="S64" s="297"/>
      <c r="T64" s="298"/>
    </row>
    <row r="65" spans="1:20" ht="12.75" customHeight="1">
      <c r="A65" s="289" t="s">
        <v>28</v>
      </c>
      <c r="B65" s="289"/>
      <c r="C65" s="290" t="s">
        <v>135</v>
      </c>
      <c r="D65" s="291"/>
      <c r="E65" s="291"/>
      <c r="F65" s="291"/>
      <c r="G65" s="291"/>
      <c r="H65" s="291"/>
      <c r="I65" s="292"/>
      <c r="J65" s="292" t="s">
        <v>136</v>
      </c>
      <c r="K65" s="292"/>
      <c r="L65" s="292" t="s">
        <v>35</v>
      </c>
      <c r="M65" s="292" t="s">
        <v>36</v>
      </c>
      <c r="N65" s="293" t="s">
        <v>137</v>
      </c>
      <c r="O65" s="294" t="s">
        <v>38</v>
      </c>
      <c r="P65" s="294"/>
      <c r="Q65" s="294"/>
      <c r="R65" s="294"/>
      <c r="S65" s="294"/>
      <c r="T65" s="225"/>
    </row>
    <row r="66" spans="1:20" ht="15" customHeight="1">
      <c r="A66" s="269">
        <v>1</v>
      </c>
      <c r="B66" s="270"/>
      <c r="C66" s="271" t="s">
        <v>138</v>
      </c>
      <c r="D66" s="272" t="s">
        <v>138</v>
      </c>
      <c r="E66" s="272" t="s">
        <v>138</v>
      </c>
      <c r="F66" s="272" t="s">
        <v>138</v>
      </c>
      <c r="G66" s="272" t="s">
        <v>138</v>
      </c>
      <c r="H66" s="273" t="s">
        <v>138</v>
      </c>
      <c r="I66" s="274"/>
      <c r="J66" s="275">
        <v>0</v>
      </c>
      <c r="K66" s="276"/>
      <c r="L66" s="277">
        <v>0</v>
      </c>
      <c r="M66" s="277">
        <v>0</v>
      </c>
      <c r="N66" s="285">
        <f>(J66-(J66*L66/100)+((J66-(J66*L66/100))*M66/100))</f>
      </c>
      <c r="O66" s="286"/>
      <c r="P66" s="287"/>
      <c r="Q66" s="287"/>
      <c r="R66" s="287"/>
      <c r="S66" s="288"/>
      <c r="T66" s="283"/>
    </row>
    <row r="67" spans="1:20" ht="15" customHeight="1">
      <c r="A67" s="269">
        <v>2</v>
      </c>
      <c r="B67" s="270"/>
      <c r="C67" s="271" t="s">
        <v>139</v>
      </c>
      <c r="D67" s="272" t="s">
        <v>139</v>
      </c>
      <c r="E67" s="272" t="s">
        <v>139</v>
      </c>
      <c r="F67" s="272" t="s">
        <v>139</v>
      </c>
      <c r="G67" s="272" t="s">
        <v>139</v>
      </c>
      <c r="H67" s="273" t="s">
        <v>139</v>
      </c>
      <c r="I67" s="284"/>
      <c r="J67" s="275">
        <v>0</v>
      </c>
      <c r="K67" s="276"/>
      <c r="L67" s="277">
        <v>0</v>
      </c>
      <c r="M67" s="277">
        <v>0</v>
      </c>
      <c r="N67" s="279">
        <f>(J67-(J67*L67/100)+((J67-(J67*L67/100))*M67/100))</f>
      </c>
      <c r="O67" s="280"/>
      <c r="P67" s="281"/>
      <c r="Q67" s="281"/>
      <c r="R67" s="281"/>
      <c r="S67" s="282"/>
      <c r="T67" s="283"/>
    </row>
    <row r="68" spans="1:20" ht="15" customHeight="1">
      <c r="A68" s="269">
        <v>3</v>
      </c>
      <c r="B68" s="270"/>
      <c r="C68" s="271"/>
      <c r="D68" s="272"/>
      <c r="E68" s="272"/>
      <c r="F68" s="272"/>
      <c r="G68" s="272"/>
      <c r="H68" s="273"/>
      <c r="I68" s="274"/>
      <c r="J68" s="275">
        <v>0</v>
      </c>
      <c r="K68" s="276"/>
      <c r="L68" s="277">
        <v>0</v>
      </c>
      <c r="M68" s="277">
        <v>0</v>
      </c>
      <c r="N68" s="279">
        <f>(J68-(J68*L68/100)+((J68-(J68*L68/100))*M68/100))</f>
      </c>
      <c r="O68" s="280"/>
      <c r="P68" s="281"/>
      <c r="Q68" s="281"/>
      <c r="R68" s="281"/>
      <c r="S68" s="282"/>
      <c r="T68" s="283"/>
    </row>
    <row r="69" spans="1:20" ht="15.75" customHeight="1">
      <c r="A69" s="269">
        <v>4</v>
      </c>
      <c r="B69" s="270"/>
      <c r="C69" s="271"/>
      <c r="D69" s="272"/>
      <c r="E69" s="272"/>
      <c r="F69" s="272"/>
      <c r="G69" s="272"/>
      <c r="H69" s="273"/>
      <c r="I69" s="274"/>
      <c r="J69" s="275">
        <v>0</v>
      </c>
      <c r="K69" s="276"/>
      <c r="L69" s="277">
        <v>0</v>
      </c>
      <c r="M69" s="278">
        <v>0</v>
      </c>
      <c r="N69" s="279">
        <f>(J69-(J69*L69/100)+((J69-(J69*L69/100))*M69/100))</f>
      </c>
      <c r="O69" s="280"/>
      <c r="P69" s="281"/>
      <c r="Q69" s="281"/>
      <c r="R69" s="281"/>
      <c r="S69" s="282"/>
      <c r="T69" s="283"/>
    </row>
    <row r="70" spans="1:16" ht="15.95" customHeight="1">
      <c r="A70" s="247"/>
      <c r="B70" s="247"/>
      <c r="C70" s="248"/>
      <c r="D70" s="248"/>
      <c r="I70" s="163"/>
      <c r="J70" s="58" t="s">
        <v>140</v>
      </c>
      <c r="K70" s="59"/>
      <c r="L70" s="58"/>
      <c r="M70" s="59"/>
      <c r="N70" s="264">
        <f>SUM(ItmPrice)</f>
      </c>
      <c r="O70" s="267"/>
      <c r="P70" s="268"/>
    </row>
    <row r="71" spans="1:16" ht="15" customHeight="1">
      <c r="A71" s="247"/>
      <c r="B71" s="247"/>
      <c r="C71" s="248"/>
      <c r="D71" s="248"/>
      <c r="I71" s="163"/>
      <c r="J71" s="123" t="s">
        <v>141</v>
      </c>
      <c r="K71" s="124"/>
      <c r="L71" s="124"/>
      <c r="M71" s="125"/>
      <c r="N71" s="264">
        <f>SUM(N66:N70)</f>
      </c>
      <c r="O71" s="265"/>
      <c r="P71" s="266"/>
    </row>
    <row r="72" spans="1:19" ht="2.25" customHeight="1" hidden="1">
      <c r="A72" s="258">
        <v>0</v>
      </c>
      <c r="B72" s="258">
        <v>0</v>
      </c>
      <c r="C72" s="259">
        <v>0</v>
      </c>
      <c r="D72" s="248"/>
      <c r="E72" s="248"/>
      <c r="F72" s="260">
        <v>1</v>
      </c>
      <c r="G72" s="248"/>
      <c r="H72" s="248"/>
      <c r="I72" s="248"/>
      <c r="J72" s="248"/>
      <c r="K72" s="261"/>
      <c r="L72" s="262">
        <v>0</v>
      </c>
      <c r="M72" s="263">
        <v>0</v>
      </c>
      <c r="N72" s="162" t="s">
        <v>142</v>
      </c>
      <c r="O72" s="257"/>
      <c r="P72" s="263">
        <v>995</v>
      </c>
      <c r="Q72" s="248" t="s">
        <v>143</v>
      </c>
      <c r="R72" s="248"/>
      <c r="S72" s="248"/>
    </row>
    <row r="73" spans="1:19" ht="18.75" customHeight="1">
      <c r="A73" s="247"/>
      <c r="B73" s="247"/>
      <c r="C73" s="247"/>
      <c r="H73" s="257"/>
      <c r="I73" s="163"/>
      <c r="J73" s="248"/>
      <c r="K73" s="248"/>
      <c r="L73" s="248"/>
      <c r="M73" s="248"/>
      <c r="N73" s="248"/>
      <c r="O73" s="248"/>
      <c r="P73" s="248"/>
      <c r="R73" s="248"/>
      <c r="S73" s="248"/>
    </row>
    <row r="74" spans="1:20" ht="127.5" customHeight="1">
      <c r="A74" s="249" t="s">
        <v>144</v>
      </c>
      <c r="B74" s="249"/>
      <c r="C74" s="249"/>
      <c r="D74" s="250"/>
      <c r="E74" s="254" t="s">
        <v>145</v>
      </c>
      <c r="F74" s="255"/>
      <c r="G74" s="255"/>
      <c r="H74" s="255"/>
      <c r="I74" s="255"/>
      <c r="J74" s="255"/>
      <c r="K74" s="255"/>
      <c r="L74" s="255"/>
      <c r="M74" s="255"/>
      <c r="N74" s="255"/>
      <c r="O74" s="255"/>
      <c r="P74" s="255"/>
      <c r="Q74" s="255"/>
      <c r="R74" s="255"/>
      <c r="S74" s="255"/>
      <c r="T74" s="256"/>
    </row>
    <row r="75" spans="1:20" ht="129.75" customHeight="1">
      <c r="A75" s="249" t="s">
        <v>38</v>
      </c>
      <c r="B75" s="249"/>
      <c r="C75" s="249"/>
      <c r="D75" s="250"/>
      <c r="E75" s="251" t="s">
        <v>251</v>
      </c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3"/>
    </row>
    <row r="76" spans="1:19" ht="15.95" customHeight="1">
      <c r="A76" s="247"/>
      <c r="B76" s="247"/>
      <c r="C76" s="247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</row>
    <row r="77" spans="1:20" ht="15.95" customHeight="1">
      <c r="A77" s="245" t="s">
        <v>146</v>
      </c>
      <c r="B77" s="245"/>
      <c r="C77" s="245"/>
      <c r="D77" s="245"/>
      <c r="E77" s="245"/>
      <c r="F77" s="245"/>
      <c r="G77" s="245"/>
      <c r="H77" s="245"/>
      <c r="I77" s="245"/>
      <c r="J77" s="245"/>
      <c r="K77" s="245"/>
      <c r="L77" s="245"/>
      <c r="M77" s="245"/>
      <c r="N77" s="245"/>
      <c r="O77" s="245"/>
      <c r="P77" s="245"/>
      <c r="Q77" s="245"/>
      <c r="R77" s="245"/>
      <c r="S77" s="245"/>
      <c r="T77" s="246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7.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7.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12.7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7.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12.7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7.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2"/>
    </row>
    <row r="101" spans="1:9" ht="12.75">
      <c r="A101" s="240" t="s">
        <v>147</v>
      </c>
      <c r="B101" s="240"/>
      <c r="C101" s="240"/>
      <c r="D101" s="240"/>
      <c r="E101" s="240"/>
      <c r="F101" s="240"/>
      <c r="G101" s="240"/>
      <c r="I10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53">
    <mergeCell ref="E74:S74"/>
    <mergeCell ref="E75:S75"/>
    <mergeCell ref="E77:S77"/>
    <mergeCell ref="A78:S99"/>
    <mergeCell ref="A100:S100"/>
    <mergeCell ref="A74:D74"/>
    <mergeCell ref="A75:D75"/>
    <mergeCell ref="K1:R1"/>
    <mergeCell ref="R19:S19"/>
    <mergeCell ref="R20:S20"/>
    <mergeCell ref="O66:S66"/>
    <mergeCell ref="O67:S67"/>
    <mergeCell ref="O65:S65"/>
    <mergeCell ref="J65:K65"/>
    <mergeCell ref="K4:L4"/>
    <mergeCell ref="M4:P4"/>
    <mergeCell ref="K5:L5"/>
    <mergeCell ref="M5:P5"/>
    <mergeCell ref="M7:Q7"/>
    <mergeCell ref="P20:Q20"/>
    <mergeCell ref="M12:O12"/>
    <mergeCell ref="K12:L12"/>
    <mergeCell ref="O70:P70"/>
    <mergeCell ref="O71:P71"/>
    <mergeCell ref="J71:M71"/>
    <mergeCell ref="O68:S68"/>
    <mergeCell ref="O69:S6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65:H6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C66:H66"/>
    <mergeCell ref="J66:K66"/>
    <mergeCell ref="C67:H67"/>
    <mergeCell ref="J67:K67"/>
    <mergeCell ref="C68:H68"/>
    <mergeCell ref="J68:K68"/>
    <mergeCell ref="C69:H69"/>
    <mergeCell ref="J69:K69"/>
  </mergeCells>
  <dataValidations count="18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list" allowBlank="1" showInputMessage="1" showErrorMessage="1" sqref="C66:H66">
      <formula1>'MasterData'!$H$1:$H$14</formula1>
    </dataValidation>
    <dataValidation type="list" allowBlank="1" showInputMessage="1" showErrorMessage="1" sqref="C67:H67">
      <formula1>'MasterData'!$H$1:$H$14</formula1>
    </dataValidation>
    <dataValidation type="list" allowBlank="1" showInputMessage="1" showErrorMessage="1" sqref="C68:H68">
      <formula1>'MasterData'!$H$1:$H$14</formula1>
    </dataValidation>
    <dataValidation type="list" allowBlank="1" showInputMessage="1" showErrorMessage="1" sqref="C69:H6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138</v>
      </c>
      <c r="M1" s="300" t="s">
        <v>148</v>
      </c>
      <c r="N1" s="301" t="s">
        <v>0</v>
      </c>
      <c r="O1" s="162" t="s">
        <v>149</v>
      </c>
    </row>
    <row r="2" spans="7:15" ht="12.75">
      <c r="G2" s="162">
        <v>1001310</v>
      </c>
      <c r="H2" s="162" t="s">
        <v>139</v>
      </c>
      <c r="M2" s="300" t="s">
        <v>150</v>
      </c>
      <c r="N2" s="301">
        <v>1020738217</v>
      </c>
      <c r="O2" s="162" t="s">
        <v>151</v>
      </c>
    </row>
    <row r="3" spans="7:15" ht="12.75">
      <c r="G3" s="162">
        <v>1012729</v>
      </c>
      <c r="H3" s="162" t="s">
        <v>152</v>
      </c>
      <c r="M3" s="300" t="s">
        <v>153</v>
      </c>
      <c r="N3" s="301">
        <v>99990000436581</v>
      </c>
      <c r="O3" s="162" t="s">
        <v>154</v>
      </c>
    </row>
    <row r="4" spans="7:15" ht="12.75">
      <c r="G4" s="162">
        <v>1012730</v>
      </c>
      <c r="H4" s="162" t="s">
        <v>155</v>
      </c>
      <c r="M4" s="300" t="s">
        <v>156</v>
      </c>
      <c r="N4" s="301">
        <v>1021858725</v>
      </c>
      <c r="O4" s="162" t="s">
        <v>157</v>
      </c>
    </row>
    <row r="5" spans="7:15" ht="12.75">
      <c r="G5" s="162">
        <v>1012731</v>
      </c>
      <c r="H5" s="162" t="s">
        <v>158</v>
      </c>
      <c r="M5" s="300" t="s">
        <v>159</v>
      </c>
      <c r="N5" s="301"/>
      <c r="O5" s="162" t="s">
        <v>160</v>
      </c>
    </row>
    <row r="6" spans="7:15" ht="12.75">
      <c r="G6" s="162">
        <v>1012732</v>
      </c>
      <c r="H6" s="162" t="s">
        <v>161</v>
      </c>
      <c r="M6" s="300" t="s">
        <v>162</v>
      </c>
      <c r="N6" s="301" t="s">
        <v>163</v>
      </c>
      <c r="O6" s="162" t="s">
        <v>164</v>
      </c>
    </row>
    <row r="7" spans="7:15" ht="12.75">
      <c r="G7" s="162">
        <v>1012733</v>
      </c>
      <c r="H7" s="162" t="s">
        <v>165</v>
      </c>
      <c r="M7" s="300" t="s">
        <v>166</v>
      </c>
      <c r="N7" s="301">
        <v>0</v>
      </c>
      <c r="O7" s="162" t="s">
        <v>167</v>
      </c>
    </row>
    <row r="8" spans="7:15" ht="12.75">
      <c r="G8" s="162">
        <v>1012735</v>
      </c>
      <c r="H8" s="162" t="s">
        <v>168</v>
      </c>
      <c r="O8" s="162" t="s">
        <v>169</v>
      </c>
    </row>
    <row r="9" spans="7:15" ht="12.75">
      <c r="G9" s="162">
        <v>1012736</v>
      </c>
      <c r="H9" s="162" t="s">
        <v>170</v>
      </c>
      <c r="O9" s="162" t="s">
        <v>171</v>
      </c>
    </row>
    <row r="10" spans="7:15" ht="12.75">
      <c r="G10" s="162">
        <v>1012737</v>
      </c>
      <c r="H10" s="162" t="s">
        <v>172</v>
      </c>
      <c r="O10" s="162" t="s">
        <v>173</v>
      </c>
    </row>
    <row r="11" spans="7:15" ht="12.75">
      <c r="G11" s="162">
        <v>1012741</v>
      </c>
      <c r="H11" s="162" t="s">
        <v>174</v>
      </c>
      <c r="O11" s="162" t="s">
        <v>175</v>
      </c>
    </row>
    <row r="12" spans="7:15" ht="12.75">
      <c r="G12" s="162">
        <v>1012742</v>
      </c>
      <c r="H12" s="162" t="s">
        <v>176</v>
      </c>
      <c r="O12" s="162" t="s">
        <v>177</v>
      </c>
    </row>
    <row r="13" spans="7:15" ht="12.75">
      <c r="G13" s="162">
        <v>1012743</v>
      </c>
      <c r="H13" s="162" t="s">
        <v>178</v>
      </c>
      <c r="O13" s="162" t="s">
        <v>179</v>
      </c>
    </row>
    <row r="14" spans="7:15" ht="12.75">
      <c r="G14" s="162">
        <v>1012744</v>
      </c>
      <c r="H14" s="162" t="s">
        <v>180</v>
      </c>
      <c r="O14" s="162" t="s">
        <v>181</v>
      </c>
    </row>
    <row r="15" ht="12.75">
      <c r="O15" s="162" t="s">
        <v>182</v>
      </c>
    </row>
    <row r="16" ht="12.75">
      <c r="O16" s="162" t="s">
        <v>183</v>
      </c>
    </row>
    <row r="17" ht="12.75">
      <c r="O17" s="162" t="s">
        <v>184</v>
      </c>
    </row>
    <row r="18" ht="12.75">
      <c r="O18" s="162" t="s">
        <v>185</v>
      </c>
    </row>
    <row r="19" ht="12.75">
      <c r="O19" s="162" t="s">
        <v>186</v>
      </c>
    </row>
    <row r="20" ht="12.75">
      <c r="O20" s="162" t="s">
        <v>187</v>
      </c>
    </row>
    <row r="21" ht="12.75">
      <c r="O21" s="162" t="s">
        <v>188</v>
      </c>
    </row>
    <row r="22" ht="12.75">
      <c r="O22" s="162" t="s">
        <v>189</v>
      </c>
    </row>
    <row r="23" ht="12.75">
      <c r="O23" s="162" t="s">
        <v>190</v>
      </c>
    </row>
    <row r="24" ht="12.75">
      <c r="O24" s="162" t="s">
        <v>191</v>
      </c>
    </row>
    <row r="25" ht="12.75">
      <c r="O25" s="162" t="s">
        <v>192</v>
      </c>
    </row>
    <row r="26" ht="12.75">
      <c r="O26" s="162" t="s">
        <v>193</v>
      </c>
    </row>
    <row r="27" ht="12.75">
      <c r="O27" s="162" t="s">
        <v>194</v>
      </c>
    </row>
    <row r="28" ht="12.75">
      <c r="O28" s="162" t="s">
        <v>195</v>
      </c>
    </row>
    <row r="29" ht="12.75">
      <c r="O29" s="162" t="s">
        <v>196</v>
      </c>
    </row>
    <row r="30" ht="12.75">
      <c r="O30" s="162" t="s">
        <v>197</v>
      </c>
    </row>
    <row r="31" ht="12.75">
      <c r="O31" s="162" t="s">
        <v>198</v>
      </c>
    </row>
    <row r="32" ht="12.75">
      <c r="O32" s="162" t="s">
        <v>199</v>
      </c>
    </row>
    <row r="33" ht="12.75">
      <c r="O33" s="162" t="s">
        <v>200</v>
      </c>
    </row>
    <row r="34" ht="12.75">
      <c r="O34" s="162" t="s">
        <v>201</v>
      </c>
    </row>
    <row r="35" ht="12.75">
      <c r="O35" s="162" t="s">
        <v>202</v>
      </c>
    </row>
    <row r="36" ht="12.75">
      <c r="O36" s="162" t="s">
        <v>203</v>
      </c>
    </row>
    <row r="37" ht="12.75">
      <c r="O37" s="162" t="s">
        <v>204</v>
      </c>
    </row>
    <row r="38" ht="12.75">
      <c r="O38" s="162" t="s">
        <v>205</v>
      </c>
    </row>
    <row r="39" ht="12.75">
      <c r="O39" s="162" t="s">
        <v>206</v>
      </c>
    </row>
    <row r="40" ht="12.75">
      <c r="O40" s="162" t="s">
        <v>207</v>
      </c>
    </row>
    <row r="41" ht="12.75">
      <c r="O41" s="162" t="s">
        <v>208</v>
      </c>
    </row>
    <row r="42" ht="12.75">
      <c r="O42" s="162" t="s">
        <v>209</v>
      </c>
    </row>
    <row r="43" ht="12.75">
      <c r="O43" s="162" t="s">
        <v>210</v>
      </c>
    </row>
    <row r="44" ht="12.75">
      <c r="O44" s="162" t="s">
        <v>211</v>
      </c>
    </row>
    <row r="45" ht="12.75">
      <c r="O45" s="162" t="s">
        <v>212</v>
      </c>
    </row>
    <row r="46" ht="12.75">
      <c r="O46" s="162" t="s">
        <v>213</v>
      </c>
    </row>
    <row r="47" ht="12.75">
      <c r="O47" s="162" t="s">
        <v>214</v>
      </c>
    </row>
    <row r="48" ht="12.75">
      <c r="O48" s="162" t="s">
        <v>215</v>
      </c>
    </row>
    <row r="49" ht="12.75">
      <c r="O49" s="162" t="s">
        <v>216</v>
      </c>
    </row>
    <row r="50" ht="12.75">
      <c r="O50" s="162" t="s">
        <v>217</v>
      </c>
    </row>
    <row r="51" ht="12.75">
      <c r="O51" s="162" t="s">
        <v>218</v>
      </c>
    </row>
    <row r="52" ht="12.75">
      <c r="O52" s="162" t="s">
        <v>219</v>
      </c>
    </row>
    <row r="53" ht="12.75">
      <c r="O53" s="162" t="s">
        <v>220</v>
      </c>
    </row>
    <row r="54" ht="12.75">
      <c r="O54" s="162" t="s">
        <v>221</v>
      </c>
    </row>
    <row r="55" ht="12.75">
      <c r="O55" s="162" t="s">
        <v>222</v>
      </c>
    </row>
    <row r="56" ht="12.75">
      <c r="O56" s="162" t="s">
        <v>223</v>
      </c>
    </row>
    <row r="57" ht="12.75">
      <c r="O57" s="162" t="s">
        <v>224</v>
      </c>
    </row>
    <row r="58" ht="12.75">
      <c r="O58" s="162" t="s">
        <v>225</v>
      </c>
    </row>
    <row r="59" ht="12.75">
      <c r="O59" s="162" t="s">
        <v>226</v>
      </c>
    </row>
    <row r="60" ht="12.75">
      <c r="O60" s="162" t="s">
        <v>227</v>
      </c>
    </row>
    <row r="61" ht="12.75">
      <c r="O61" s="162" t="s">
        <v>228</v>
      </c>
    </row>
    <row r="62" ht="12.75">
      <c r="O62" s="162" t="s">
        <v>229</v>
      </c>
    </row>
    <row r="63" ht="12.75">
      <c r="O63" s="162" t="s">
        <v>230</v>
      </c>
    </row>
    <row r="64" ht="12.75">
      <c r="O64" s="162" t="s">
        <v>231</v>
      </c>
    </row>
    <row r="65" ht="12.75">
      <c r="O65" s="162" t="s">
        <v>232</v>
      </c>
    </row>
    <row r="66" ht="12.75">
      <c r="O66" s="162" t="s">
        <v>233</v>
      </c>
    </row>
    <row r="67" ht="12.75">
      <c r="O67" s="162" t="s">
        <v>234</v>
      </c>
    </row>
    <row r="68" ht="12.75">
      <c r="O68" s="162" t="s">
        <v>235</v>
      </c>
    </row>
    <row r="69" ht="12.75">
      <c r="O69" s="162" t="s">
        <v>236</v>
      </c>
    </row>
    <row r="70" ht="12.75">
      <c r="O70" s="162" t="s">
        <v>237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