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ac="http://schemas.microsoft.com/office/spreadsheetml/2010/11/ac" xmlns:mc="http://schemas.openxmlformats.org/markup-compatibility/2006" xmlns:x15="http://schemas.microsoft.com/office/spreadsheetml/2010/11/main" xmlns:x="http://schemas.openxmlformats.org/spreadsheetml/2006/main" mc:Ignorable="x15">
  <fileVersion appName="xl" lastEdited="7" lowestEdited="5" rupBuild="18431" codeName="{B1203076-2D4D-A25B-A398-973B695A806A}"/>
  <workbookPr codeName="ThisWorkbook" defaultThemeVersion="124226"/>
  <bookViews>
    <workbookView xWindow="480" yWindow="180" windowWidth="16530" windowHeight="9435" activeTab="0"/>
  </bookViews>
  <sheets>
    <sheet name="Quote" sheetId="1" r:id="rId1"/>
    <sheet name="MasterData" sheetId="2" state="hidden" r:id="rId2"/>
  </sheets>
  <definedNames>
    <definedName name="BCCEmailId">Quote!$N$108</definedName>
    <definedName name="BuyerRemarks">Quote!$F$110</definedName>
    <definedName name="CompanyAddress">Quote!$A$5</definedName>
    <definedName name="CompanyName">Quote!$A$4</definedName>
    <definedName name="Currency">Quote!$O$14</definedName>
    <definedName name="Days">Quote!$Q$11</definedName>
    <definedName name="Discount_All">Quote!$O$15</definedName>
    <definedName name="Enquiry_ID">Quote!$A$108</definedName>
    <definedName name="Enquiry_To_Vendor_ID">Quote!$C$108</definedName>
    <definedName name="ErrorMessage">Quote!$Q$108</definedName>
    <definedName name="GrandTotal">Quote!$P$107</definedName>
    <definedName name="HeaderID">MasterData!$N$4</definedName>
    <definedName name="ItemID">Quote!$B$19</definedName>
    <definedName name="ItemListEndRow">Quote!$A$100</definedName>
    <definedName name="ItemListStartupRow">Quote!$A$19</definedName>
    <definedName name="ItemSubTotal">Quote!$P$106</definedName>
    <definedName name="ItemSubTotalTitle">Quote!$L$106</definedName>
    <definedName name="LoggedInEmailID">Quote!$J$108</definedName>
    <definedName name="LoggedInPwd">Quote!$K$108</definedName>
    <definedName name="OtherChargesLastRow">Quote!$A$106</definedName>
    <definedName name="OtherChargesStartRow">Quote!$A$101</definedName>
    <definedName name="PackingInstruction">Quote!$F$111</definedName>
    <definedName name="Payment_Terms">Quote!$O$11</definedName>
    <definedName name="PortOfDelivery">Quote!$O$9</definedName>
    <definedName name="QuoteBefore">Quote!$O$8</definedName>
    <definedName name="QuoteID">MasterData!$N$7</definedName>
    <definedName name="QuoteSubject">Quote!$E$108</definedName>
    <definedName name="ReqNumber">Quote!$O$7</definedName>
    <definedName name="RequestForQuoteID">MasterData!$N$3</definedName>
    <definedName name="RFQ_ID">MasterData!$N$2</definedName>
    <definedName name="RFQCategory">MasterData!$N$6</definedName>
    <definedName name="RFQDate">Quote!$O$6</definedName>
    <definedName name="RFQFileType">MasterData!$N$1</definedName>
    <definedName name="RFQNumber">Quote!$O$5</definedName>
    <definedName name="SentDate">Quote!$M$108</definedName>
    <definedName name="SentIndex">Quote!$F$108</definedName>
    <definedName name="ToEmailID">Quote!$G$108</definedName>
    <definedName name="ToEmailPwd">Quote!$H$108</definedName>
    <definedName name="VAT_All">Quote!$O$16</definedName>
    <definedName name="Vendor_ID">Quote!$B$108</definedName>
    <definedName name="VendorAddress">Quote!$D$14</definedName>
    <definedName name="VendorAddressCity">Quote!$D$15</definedName>
    <definedName name="VendorAddressEmail">Quote!$D$17</definedName>
    <definedName name="VendorAddressPhone">Quote!$D$16</definedName>
    <definedName name="VendorEmailID">Quote!$D$108</definedName>
    <definedName name="VendorID">MasterData!$N$5</definedName>
    <definedName name="VendorName">Quote!$D$13</definedName>
    <definedName name="VendorReference">Quote!$O$12</definedName>
    <definedName name="VendorRemarks">Quote!$F$112</definedName>
    <definedName name="VesselETA">Quote!$O$10</definedName>
    <definedName name="VesselName">Quote!$O$4</definedName>
    <definedName name="SubItemTotal">Quote!$P$98:$P$98</definedName>
    <definedName name="_xlnm.Print_Area" localSheetId="0">Quote!$A$1:$S$128</definedName>
  </definedNames>
  <calcPr fullCalcOnLoad="1"/>
</workbook>
</file>

<file path=xl/sharedStrings.xml><?xml version="1.0" encoding="utf-8"?>
<sst xmlns="http://schemas.openxmlformats.org/spreadsheetml/2006/main" count="1182" uniqueCount="312">
  <si>
    <t>Request for Quote</t>
  </si>
  <si>
    <t>Vessel \ Company Details</t>
  </si>
  <si>
    <t>BERNHARD SCHULTE SHIPMANAGEMENT (INDIA) PRIVATE LTD.</t>
  </si>
  <si>
    <t>Vessel</t>
  </si>
  <si>
    <t>United Dignity</t>
  </si>
  <si>
    <t>SEACHEF - HOSPITALITY SERVICES,</t>
  </si>
  <si>
    <t>RFQ No.</t>
  </si>
  <si>
    <t>UND/O0087/RF19</t>
  </si>
  <si>
    <t>BERNHARD SCHULTE SHIPMANAGEMENT (L) LTD.,</t>
  </si>
  <si>
    <t>RFQ Date</t>
  </si>
  <si>
    <t>C\O Bernhard Schulte Shipmanagement (India) Pvt. Limited</t>
  </si>
  <si>
    <t>401 Olympia, Hiranandani Gardens, Powai, Mumbai 400 076, India</t>
  </si>
  <si>
    <t>Submit Quote Before:</t>
  </si>
  <si>
    <t>Tel: +91-22-40017300        Fax: +91-22-40017555</t>
  </si>
  <si>
    <t>Port of Delivery</t>
  </si>
  <si>
    <t>Kimitsu</t>
  </si>
  <si>
    <t>Email:</t>
  </si>
  <si>
    <t>seachef@seachef.com</t>
  </si>
  <si>
    <t>Vessel ETA</t>
  </si>
  <si>
    <t>Web:</t>
  </si>
  <si>
    <t>www.seachef.com /  www.bs-shipmanagement.com</t>
  </si>
  <si>
    <t>Payment Terms</t>
  </si>
  <si>
    <t>Credit</t>
  </si>
  <si>
    <t>Days</t>
  </si>
  <si>
    <t>Vendor Details</t>
  </si>
  <si>
    <t xml:space="preserve">Vendor Reference </t>
  </si>
  <si>
    <t>Name</t>
  </si>
  <si>
    <t>FUJI TRADING CO., LTD.</t>
  </si>
  <si>
    <t>Address</t>
  </si>
  <si>
    <t>6, Fukaehamamachi, Higashinada-Ku,</t>
  </si>
  <si>
    <r>
      <rPr>
        <b/>
        <sz val="10"/>
        <color theme="0" tint="-0.24991999566555"/>
        <rFont val="Calibri"/>
        <family val="2"/>
      </rPr>
      <t xml:space="preserve">Select Currency </t>
    </r>
    <r>
      <rPr>
        <b/>
        <sz val="12"/>
        <color rgb="FFFF0000"/>
        <rFont val="Calibri"/>
        <family val="2"/>
      </rPr>
      <t>*</t>
    </r>
  </si>
  <si>
    <t>JPY</t>
  </si>
  <si>
    <t>City</t>
  </si>
  <si>
    <t>Discount (%) for all items</t>
  </si>
  <si>
    <t>0</t>
  </si>
  <si>
    <t>Phone</t>
  </si>
  <si>
    <t>+81 78 413 2622</t>
  </si>
  <si>
    <t>VAT(%) for all items</t>
  </si>
  <si>
    <t>Email</t>
  </si>
  <si>
    <t>mach-4@fujitrading.co.jp,mach-4@fujitrading.co.jp</t>
  </si>
  <si>
    <t>No</t>
  </si>
  <si>
    <t>Product Code</t>
  </si>
  <si>
    <t>Description</t>
  </si>
  <si>
    <t>Brand</t>
  </si>
  <si>
    <t>Weight</t>
  </si>
  <si>
    <t>Unit</t>
  </si>
  <si>
    <t>Package</t>
  </si>
  <si>
    <t>Contract Price</t>
  </si>
  <si>
    <t>Quantity</t>
  </si>
  <si>
    <t>Discount %</t>
  </si>
  <si>
    <t>VAT %</t>
  </si>
  <si>
    <t>Total Price</t>
  </si>
  <si>
    <t>Vendor Remarks</t>
  </si>
  <si>
    <t>Office Remarks</t>
  </si>
  <si>
    <t>GENERAL STORES - CP</t>
  </si>
  <si>
    <t xml:space="preserve">HAND SOAP IN PUM DISPENSER - JELL TYPE  </t>
  </si>
  <si>
    <t>PCS</t>
  </si>
  <si>
    <t xml:space="preserve">ANTI-SPLASHING TAPE 100MM X 10MTR </t>
  </si>
  <si>
    <t>RLS</t>
  </si>
  <si>
    <t xml:space="preserve">ANTI-SPLASHING TAPE 50MM X 10MTR </t>
  </si>
  <si>
    <t xml:space="preserve">BRUSH HAND BRASS, STRAIGHT HANDLE </t>
  </si>
  <si>
    <t xml:space="preserve">CYLINDER MORTISE LOCK, WITH LEVER HANDLE OHS#2320 </t>
  </si>
  <si>
    <t>SET</t>
  </si>
  <si>
    <t>2-left hand ; 3- right hand</t>
  </si>
  <si>
    <t>DIAPHRAGM PUMP AIR-OPERATED, WILDEN T-4(EX.M-4) ALUMI CASE ('ARO' or equivalent)</t>
  </si>
  <si>
    <t xml:space="preserve">HEAD FOR SPRING CLAMP MOP </t>
  </si>
  <si>
    <t xml:space="preserve">OIL SORBENT, SHEET, 500 X 500 MM, 100 SHT/BOX </t>
  </si>
  <si>
    <t>BOX</t>
  </si>
  <si>
    <t xml:space="preserve">PLASTIC BAG BLACK, 500X400X1300MM 50'S </t>
  </si>
  <si>
    <t>PKT</t>
  </si>
  <si>
    <t xml:space="preserve">SPARE PAINT ROLLER NYLON, 230MM WIDTH </t>
  </si>
  <si>
    <t xml:space="preserve">TURNBUCKLE FRAME GALV, EYE&amp;HOOK 12MMX200MM </t>
  </si>
  <si>
    <t>KERGER 182232</t>
  </si>
  <si>
    <t xml:space="preserve">BATT.ALC. 1,5V LR6 </t>
  </si>
  <si>
    <t xml:space="preserve">BATTERY ALKALINE 6LR61(006P), 9V </t>
  </si>
  <si>
    <t xml:space="preserve">BATTERY ALKALINE LR20(AM-1), 1.5V </t>
  </si>
  <si>
    <t xml:space="preserve">BATTERY ALKALINE LR6(AM-3), 1.5V </t>
  </si>
  <si>
    <t xml:space="preserve">BATTERY DRY CELL R1(UM-5) 1.5V  </t>
  </si>
  <si>
    <t xml:space="preserve">FL-LAMP HOLDER TURRET-TYPE, PHENOL RESIN 300V 1A 40MM-WIDE </t>
  </si>
  <si>
    <t xml:space="preserve">FL-LAMP HOLDER TURRET-TYPE, PHENOL RESIN 300V 1A 50MM-WIDE </t>
  </si>
  <si>
    <t xml:space="preserve">GLASS GLOBE SCREW TYPE S90A </t>
  </si>
  <si>
    <t xml:space="preserve">LAMP PILOT GLOBULAR CLEAR BA-9S 30V 1W 11X23.5MM </t>
  </si>
  <si>
    <t xml:space="preserve">LAMP PILOT TUBULAR CLEAR BA-9S 28V 0.11A 10X28MM </t>
  </si>
  <si>
    <t xml:space="preserve">LAMP PILOT TUBULAR CLEAR BA-9S, 24V 3W 10X28MM </t>
  </si>
  <si>
    <t xml:space="preserve">LAMP PILOT TUBULAR CLEAR BA-9S, 48V 2W 10X28MM </t>
  </si>
  <si>
    <t xml:space="preserve">LAMP PILOT TUBULAR CLEAR E-10, 30V 2W 10X28MM  </t>
  </si>
  <si>
    <t xml:space="preserve">LAMP PILOT TUBULAR CLEAR E-12, 24V 0.11A 20X48MM </t>
  </si>
  <si>
    <t xml:space="preserve">LAMP PILOT TUBULAR CLEAR E-12, 48V 5W 20X48MM </t>
  </si>
  <si>
    <t xml:space="preserve">LAMP PILOT TUBULAR CLEAR E-9 6.3V 0.15A 10X28MM </t>
  </si>
  <si>
    <t xml:space="preserve">LAMP REFLECTOR FLAT RF-H, OUTDOOR-USE E-39 100-110V 300W </t>
  </si>
  <si>
    <t xml:space="preserve">PLUG 2-FLAT PIN NON-WATERTIGHT PHENOL RESIN </t>
  </si>
  <si>
    <t xml:space="preserve">STARTER FOR FL LAMP FG-1E  </t>
  </si>
  <si>
    <t xml:space="preserve">STARTER FOR FL LAMP FG-1P </t>
  </si>
  <si>
    <t xml:space="preserve">WALL LIGHT MARINE WATERTIGHT, TYPE WB-2 E-26 60W </t>
  </si>
  <si>
    <t xml:space="preserve">BRUSH WIRE CUP OD50MM, WITH 6MM ARBOR </t>
  </si>
  <si>
    <t xml:space="preserve">EMERY CLOTH ABRASIVE 230X280MM, GRIT #240 </t>
  </si>
  <si>
    <t>SHT</t>
  </si>
  <si>
    <t xml:space="preserve">EMERY CLOTH ABRASIVE 230X280MM, GRIT #80 </t>
  </si>
  <si>
    <t xml:space="preserve">KEROSENE 18LTR </t>
  </si>
  <si>
    <t>CAN</t>
  </si>
  <si>
    <t xml:space="preserve">MOLYKOTE 1000 SPRAY 300ML </t>
  </si>
  <si>
    <t xml:space="preserve">RAG COTTON 100% STERILIZED, WHITE </t>
  </si>
  <si>
    <t>KGS</t>
  </si>
  <si>
    <t xml:space="preserve">TAPE WATER ACTIVATED, 5CMX1.2MTR </t>
  </si>
  <si>
    <t xml:space="preserve">WIRE CUP BRUSH KNOT TYPE, 75MMX5/8" </t>
  </si>
  <si>
    <t xml:space="preserve">CLEAVER CARBON STEEL, BLADE 210MM </t>
  </si>
  <si>
    <t xml:space="preserve">WITH RED HANDLE </t>
  </si>
  <si>
    <t xml:space="preserve">FRENCH KNIFE STAINLESS STEEL, BLADE 240MM </t>
  </si>
  <si>
    <t xml:space="preserve">05 CUTTING KNIFE WITH DIFFERENT COLOUR CODE , SEE ATTACHMENT </t>
  </si>
  <si>
    <t xml:space="preserve">PAPER TOWEL ROLL 228MMX17.6MTR 2 ROLL/PKT </t>
  </si>
  <si>
    <t xml:space="preserve">PLASTIC BAG BLACK 30"X34", (762X864MM) 65LTR 50'S </t>
  </si>
  <si>
    <t xml:space="preserve">REPLACEABLE HEAD FOR YACHT MOP </t>
  </si>
  <si>
    <t xml:space="preserve">SCOTCH BRITE SCOURING PAD, 115X150MM </t>
  </si>
  <si>
    <t xml:space="preserve">WASHING MACHINE FULL AUTOMATIC, 110V </t>
  </si>
  <si>
    <t xml:space="preserve">COUPLING CAM&amp;GROOVE S. STEEL, A PLUG W/FEMALE THREAD 2" </t>
  </si>
  <si>
    <t xml:space="preserve">COUPLING CAM&amp;GROOVE S. STEEL, C SOCKET W/HOSE END 2" </t>
  </si>
  <si>
    <t xml:space="preserve">HOSE PVC STEEL COIL REINFORCED, ID-50 X OD-62MM 5KG </t>
  </si>
  <si>
    <t>MTR</t>
  </si>
  <si>
    <t xml:space="preserve">INDICATOR PAPER M-2, METALLIC WHITE 50'S 66X146MM </t>
  </si>
  <si>
    <t>PAD</t>
  </si>
  <si>
    <t xml:space="preserve">BRASS ROUND 32MM 4MTR </t>
  </si>
  <si>
    <t>LGH</t>
  </si>
  <si>
    <t xml:space="preserve">WIRE COPPER 2.0MM  </t>
  </si>
  <si>
    <t xml:space="preserve">  WATER FILTER SPONGE, VINYL ACETATE 10X1000X1000MM </t>
  </si>
  <si>
    <t xml:space="preserve">CLOTH GLASS 1.3X1000MM </t>
  </si>
  <si>
    <t xml:space="preserve">WATER FILTER SPONGE PIECE, VINYL ACETATE 1KG </t>
  </si>
  <si>
    <t>BAG</t>
  </si>
  <si>
    <t xml:space="preserve">BRUSH RADIATOR ANGLE(DOG LEG), 40MM WIDTH </t>
  </si>
  <si>
    <t xml:space="preserve">SPARE MINI ROLLER 100MM WIDTH </t>
  </si>
  <si>
    <t xml:space="preserve">WIRE BRUSHES, STRAIGHT HANDLED STANDARD LENGTH 270 MM </t>
  </si>
  <si>
    <t xml:space="preserve">LINK LASHING PEAR-SHAPE GALV, 22X240MM </t>
  </si>
  <si>
    <t>SCF-S-DEC293</t>
  </si>
  <si>
    <t xml:space="preserve">PELICAN HOOK ( SENHOUSE SLIP ), STAINLESS STEEL, L 120MM, D 5MM  </t>
  </si>
  <si>
    <t xml:space="preserve">PILOT LADDER (SOLAS APPROVED) WITH FURTHER DETAILS. </t>
  </si>
  <si>
    <t xml:space="preserve">As per attached specifications </t>
  </si>
  <si>
    <t xml:space="preserve">SLING BELT POLYESTER, WIDTH 25MM X L 5MTR </t>
  </si>
  <si>
    <t xml:space="preserve">TURNBUCKLE FRAME GALV, EYE&amp;HOOK 9MMX150MM </t>
  </si>
  <si>
    <t>PRTCONS</t>
  </si>
  <si>
    <t xml:space="preserve">BINDING STRING VARNISHED 450MM, 100'S/PKT </t>
  </si>
  <si>
    <t xml:space="preserve">TAPE CELLOPHANE 24MMX35MTRS  </t>
  </si>
  <si>
    <t xml:space="preserve">TAPE MASKING PAPER 12MMXL55MTR </t>
  </si>
  <si>
    <t xml:space="preserve">TAPE SEALING CLOTH 100MMX25MTR </t>
  </si>
  <si>
    <t xml:space="preserve">TAPE SEALING CLOTH 50MMX25MTR </t>
  </si>
  <si>
    <t xml:space="preserve">WRAPPING PAPER, KRAFT 910MM X 60MTR </t>
  </si>
  <si>
    <t xml:space="preserve">MICROWAVE OVEN 23LTR 110V </t>
  </si>
  <si>
    <t xml:space="preserve">DERUSTING BRUSH AIR GG30/54, HOLGER CLASEN  5400MIN-1 </t>
  </si>
  <si>
    <t xml:space="preserve">EMERY CLOTH ABRASIVE 230X280MM GRIT #400 </t>
  </si>
  <si>
    <t xml:space="preserve">EMERY CLOTH ABRASIVE 230X280MM, GRIT #120 </t>
  </si>
  <si>
    <t xml:space="preserve">FILE NEEDLE SET 215MM 5'S, SECOND-CUT </t>
  </si>
  <si>
    <t xml:space="preserve">GREASE LUBRICATOR PORTABLE, AIR-OPERATED DSR-80 </t>
  </si>
  <si>
    <t xml:space="preserve">PUNCHING TOOL SET DIES &amp; TABLE, 6-38MM 16'S </t>
  </si>
  <si>
    <t>Item Sub Total :</t>
  </si>
  <si>
    <t>Other Charges</t>
  </si>
  <si>
    <t>Amount</t>
  </si>
  <si>
    <t>Price</t>
  </si>
  <si>
    <t>Packing cost</t>
  </si>
  <si>
    <t>Freight charge</t>
  </si>
  <si>
    <t>aaa</t>
  </si>
  <si>
    <t>Grand Total :</t>
  </si>
  <si>
    <t>Buyer Remarks</t>
  </si>
  <si>
    <t>1. item No 1 - Knife should be colour coded as per attached Colour code 
2. Item No 3 Pilot Ladder as per attachedSpecification and certificate
3.REQUIRE IMPA CATALOGUE LATEST EDITION ( 7TH )  03 COPIES.</t>
  </si>
  <si>
    <t>Packing Instructions</t>
  </si>
  <si>
    <t>Your Quotation is subjected to :</t>
  </si>
  <si>
    <t>All meats and milk derivatives to be supplied must be free from FMD. All meat, milk and milk products, if imported, are purchased from countries not affected by FMD. All Poultry products must be free from</t>
  </si>
  <si>
    <t>Birds Flu / Avian Influenza (H5N1) &amp; if demanded you must be able to produce a certification to this effect. All provisions and bond products must have proper expiry dates mentioned in English.</t>
  </si>
  <si>
    <r>
      <rPr>
        <sz val="8"/>
        <color theme="3" tint="-0.499920010566711"/>
        <rFont val="Calibri"/>
        <family val="2"/>
      </rPr>
      <t>You must quote for the</t>
    </r>
    <r>
      <rPr>
        <b/>
        <sz val="8"/>
        <color theme="3" tint="-0.499920010566711"/>
        <rFont val="Calibri"/>
        <family val="2"/>
      </rPr>
      <t xml:space="preserve"> Packaging and Brands </t>
    </r>
    <r>
      <rPr>
        <sz val="8"/>
        <color theme="3" tint="-0.499920010566711"/>
        <rFont val="Calibri"/>
        <family val="2"/>
      </rPr>
      <t>as has been asked by us. If the same is not available then please quote for the nearest matching Packaging and Brands available in local market. You must clearly specify the</t>
    </r>
  </si>
  <si>
    <t>weight &amp; packaging of each &amp; every packed, bottled or canned products in case different from the one that has been requested for. If certain items can only be supplied in a given case or Packaging then, mention the</t>
  </si>
  <si>
    <t>weight of the case or packaging, with the minimum quantity of order required by you, as we do not accept / pay for any oversupply at later stage.</t>
  </si>
  <si>
    <t>Pls. ensure that all items quoted must have long expiry dates as per the parameters below : -</t>
  </si>
  <si>
    <t>All Dry Provisions, Frozen Meat &amp; Fish / Processed Meat etc.: Minimum 06 Months.</t>
  </si>
  <si>
    <t>All Ready Mixes / Cereals / Juices / Jam &amp; Marmalade / Pickles / All Other Canned or Bottled Products like Sauces, Tinned Fruits, Tinned Meat etc.: Minimum 12 Months.</t>
  </si>
  <si>
    <t>Dairy Products (L.L Milk, Evaporated Milk &amp; Condensed Milk, Milk Powder): Minimum 06 months.</t>
  </si>
  <si>
    <t>Yoghurt / Slice Cheese / Block cheese: Minimum 03 Months.</t>
  </si>
  <si>
    <t>Bond Items to have minimum 6 months expiry.</t>
  </si>
  <si>
    <t xml:space="preserve">Stores Items to have minimum 12 months expiry. The Supplier shall ensure that ordered stores do not contain asbestos materials as regulated by SOLAS II - 1/3 – 5. Applicable supplies have to be delivered with free asbestos guarantee declaration/letter             
</t>
  </si>
  <si>
    <t xml:space="preserve">Your Quote must indicate the following: --  </t>
  </si>
  <si>
    <t>Currency Quoted: Preferably should be in Local Currency</t>
  </si>
  <si>
    <t>Delivery: Free on Board / If any charges are applicable they have to be clearly advised beforehand.</t>
  </si>
  <si>
    <t>Discount offered by you: For Cash / For Credit with 30/21/15 Banking days net of bank charges</t>
  </si>
  <si>
    <t>Launch Hire Charges: If applicable</t>
  </si>
  <si>
    <t xml:space="preserve">You must quote only for high quality &amp; branded products, please do not quote for sub–standard products, just to get the order as we shall not pay if the items are found of sub-standard or poor quality, upon delivery &amp; </t>
  </si>
  <si>
    <t>shall also try to avoid your company for future.</t>
  </si>
  <si>
    <t>GMS</t>
  </si>
  <si>
    <t>KG</t>
  </si>
  <si>
    <t>RFQFileType</t>
  </si>
  <si>
    <t>RFQ</t>
  </si>
  <si>
    <t>ADP</t>
  </si>
  <si>
    <t>Ml</t>
  </si>
  <si>
    <t>RFQ_ID</t>
  </si>
  <si>
    <t>AED</t>
  </si>
  <si>
    <t>Ltr</t>
  </si>
  <si>
    <t>ADDITIONAL JOBS</t>
  </si>
  <si>
    <t>RequestForQuoteID</t>
  </si>
  <si>
    <t>AFA</t>
  </si>
  <si>
    <t>AGENCY FEE</t>
  </si>
  <si>
    <t>HeaderID</t>
  </si>
  <si>
    <t>AUD</t>
  </si>
  <si>
    <t>NOS</t>
  </si>
  <si>
    <t>HANDLING CHARGE</t>
  </si>
  <si>
    <t>VendorID</t>
  </si>
  <si>
    <t>BAD</t>
  </si>
  <si>
    <t>UNIT</t>
  </si>
  <si>
    <t>PACKING CHARGE</t>
  </si>
  <si>
    <t>RFQCategory</t>
  </si>
  <si>
    <t>CP - GENERAL STORES</t>
  </si>
  <si>
    <t>BAM</t>
  </si>
  <si>
    <t>CAL</t>
  </si>
  <si>
    <t>SPARE USED</t>
  </si>
  <si>
    <t>QuoteID</t>
  </si>
  <si>
    <t>BBD</t>
  </si>
  <si>
    <t>Perc</t>
  </si>
  <si>
    <t>WAREHOUSING</t>
  </si>
  <si>
    <t>BHD</t>
  </si>
  <si>
    <t>Mg</t>
  </si>
  <si>
    <t>CRANAGE</t>
  </si>
  <si>
    <t>BMD</t>
  </si>
  <si>
    <t>Can</t>
  </si>
  <si>
    <t>CUSTOMS</t>
  </si>
  <si>
    <t>BOL</t>
  </si>
  <si>
    <t>Tin</t>
  </si>
  <si>
    <t>LAUNCH HIRE CHARGE</t>
  </si>
  <si>
    <t>BRL</t>
  </si>
  <si>
    <t>Btl</t>
  </si>
  <si>
    <t>ROUNDING ADJUSTMENT</t>
  </si>
  <si>
    <t>BSD</t>
  </si>
  <si>
    <t>Ctn</t>
  </si>
  <si>
    <t>BOAT CHARGES</t>
  </si>
  <si>
    <t>CAD</t>
  </si>
  <si>
    <t>OZ</t>
  </si>
  <si>
    <t>MINIMUM QUANTITY CHARGE</t>
  </si>
  <si>
    <t>CDZ</t>
  </si>
  <si>
    <t>CHF</t>
  </si>
  <si>
    <t>CLP</t>
  </si>
  <si>
    <t>CNY</t>
  </si>
  <si>
    <t>CYP</t>
  </si>
  <si>
    <t>CZK</t>
  </si>
  <si>
    <t>DEM</t>
  </si>
  <si>
    <t>DKK</t>
  </si>
  <si>
    <t>EGP</t>
  </si>
  <si>
    <t>ESP</t>
  </si>
  <si>
    <t>ETB</t>
  </si>
  <si>
    <t>EUR</t>
  </si>
  <si>
    <t>FKP</t>
  </si>
  <si>
    <t>GBP</t>
  </si>
  <si>
    <t>GEK</t>
  </si>
  <si>
    <t>GEL</t>
  </si>
  <si>
    <t>GRD</t>
  </si>
  <si>
    <t>HKD</t>
  </si>
  <si>
    <t>HRK</t>
  </si>
  <si>
    <t>IDR</t>
  </si>
  <si>
    <t>INR</t>
  </si>
  <si>
    <t>KRW</t>
  </si>
  <si>
    <t>KWD</t>
  </si>
  <si>
    <t>MAD</t>
  </si>
  <si>
    <t>MDL</t>
  </si>
  <si>
    <t>MXN</t>
  </si>
  <si>
    <t>MYR</t>
  </si>
  <si>
    <t>NAD</t>
  </si>
  <si>
    <t>NOK</t>
  </si>
  <si>
    <t>NZD</t>
  </si>
  <si>
    <t>OMR</t>
  </si>
  <si>
    <t>PGK</t>
  </si>
  <si>
    <t>PHP</t>
  </si>
  <si>
    <t>PLN</t>
  </si>
  <si>
    <t>QAR</t>
  </si>
  <si>
    <t>RON</t>
  </si>
  <si>
    <t>RUB</t>
  </si>
  <si>
    <t>SAR</t>
  </si>
  <si>
    <t>SDG</t>
  </si>
  <si>
    <t>SEK</t>
  </si>
  <si>
    <t>SGD</t>
  </si>
  <si>
    <t>SLL</t>
  </si>
  <si>
    <t>STD</t>
  </si>
  <si>
    <t>THB</t>
  </si>
  <si>
    <t>TRY</t>
  </si>
  <si>
    <t>TWD</t>
  </si>
  <si>
    <t>UAH</t>
  </si>
  <si>
    <t>UAK</t>
  </si>
  <si>
    <t>UGS</t>
  </si>
  <si>
    <t>USD</t>
  </si>
  <si>
    <t>UYU</t>
  </si>
  <si>
    <t>VEF</t>
  </si>
  <si>
    <t>VND</t>
  </si>
  <si>
    <t>ZAR</t>
  </si>
  <si>
    <t>ZRZ</t>
  </si>
  <si>
    <t>ZWD</t>
  </si>
  <si>
    <t>2067094(10)</t>
  </si>
  <si>
    <t>DETTOL 250ML</t>
  </si>
  <si>
    <t>PLEASE ADVISE EACH QUANTITY, LEFT HAND AND RIGHT HAND. PRICE IS THE SAMA.</t>
  </si>
  <si>
    <t>KOREA, K4(DOLPHINE), AL+NE</t>
  </si>
  <si>
    <t>5T, 100'S/BOX</t>
  </si>
  <si>
    <t>800X900MM *PLS CHECK QUANTITY. WE OFFER PER PACKET (TOTAL 10'000 PCS)</t>
  </si>
  <si>
    <t>C/W MILL CERTIFICATE</t>
  </si>
  <si>
    <t>KOREAN LOCAL BRAND, 24V 2W</t>
  </si>
  <si>
    <t>KOREAN LOCAL BRAND</t>
  </si>
  <si>
    <t>KOREAN LOCAL BRAND, E12, 24V 2W 20+33MM</t>
  </si>
  <si>
    <t>KOREA (SM)</t>
  </si>
  <si>
    <t>TECH (KOREAM LOCAL BRAND)</t>
  </si>
  <si>
    <t>RED, BLUE, GREEN, YELLOW, BLACK</t>
  </si>
  <si>
    <t>222MMX8MTR, 2'S/PKT *PLS CHECK QUANTITY AS IT SEEMS TOO SMALL!</t>
  </si>
  <si>
    <t>50'S/PKT *PLS CHECK QUANTITY AS IT SEEMS TOO MUCH!</t>
  </si>
  <si>
    <t>KORAEN LOCAL BRAND</t>
  </si>
  <si>
    <t>5.5KG</t>
  </si>
  <si>
    <t>KOREAN LOCAL BRAND, 140MM LENGTH *PHOTO WILL BE SENT VIA MAIL.</t>
  </si>
  <si>
    <t>PLS ADVISE US DETAILS</t>
  </si>
  <si>
    <t>DAEHAN, L=7MTR</t>
  </si>
  <si>
    <t>L=40MTR</t>
  </si>
  <si>
    <t>22LTR</t>
  </si>
  <si>
    <t>KOREAN, DAEWOO / DG-38L</t>
  </si>
  <si>
    <t xml:space="preserve"> "WE HEREBY DECLARE THAT ALL OF OUR SUPPLYING PRODUCTS ARE ASBESTOS-FREE." &lt;D/TIME&gt; 10 WORKING DAYS &lt;IMPORTANT REMARKS&gt; IF YOU ORDER BY 21ST OCOTBER MORNING HERE, WE CAN ARRANGE AND DELIVER THEM TO THE VESSEL AT KIMITSU ON/ABOUT 2ND NOV. DELIVERY CHARGE AT KIMITSU IS JPY60,000.-. PLS CONFIRM THIS DELIVERY CHARGE, TOO, WHEN ORDERING. &lt;REMARKS&gt; #1&gt;&gt;DETTOL 250ML #5&gt;&gt;PCS ADVISE EACH QUANTITY, LEFT HAND AND RIGHT HAND. PRICE IS THE SAMA. #6&gt;&gt;KOREA, K4(DOLPHINE), AL+NE #8&gt;&gt;5T, 100'S/BOX #9&gt;&gt;800X900MM *PLS CHECK QUANTITY. WE OFFER PER PACKET (TOTAL 10'000 PCS) #11&gt;&gt;C/W MILL CERTIFICATE #22&gt;&gt;KOREAN LOCAL BRAND,24V 2W #23&gt;&gt;KOREAN LOCAL BRAND #24&gt;&gt;KOREAN LOCAL BRAND #25&gt;&gt;KOREAN LOCAL BRAND, E12, 24V 2W 20+33MM #37&gt;&gt;KOREA (SM) #39&gt;&gt;TECH (KOREAM LOCAL BRAND) #42&gt;&gt;RED, BLUE, GREEN, YELLOW, BLACK #43&gt;&gt;222MMX8MTR, 2'S/PKT *PLS CHECK QUANTITY AS IT SEEMS TOO SMALL! #44&gt;&gt;50'S/PKT *PLS CHECK QUANTITY AS IT SEEMS TOO MUCH! #46&gt;&gt;KORAEN LOCAL BRAND #47&gt;&gt;5.5</t>
  </si>
  <si>
    <t xml:space="preserve"> WITHIN 030 DAYS AFTER DELIVERY Delivery Terms: EX-WORK. "WE HEREBY DECLARE THAT ALL OF OUR SUPPLYING PRODUCTS ARE ASBESTOS-FREE." &lt;D/TIME&gt; 10 WORKING DAYS &lt;IMPORTANT REMARKS&gt; IF YOU ORDER BY 21ST OCOTBER MORNING HERE, WE CAN ARRANGE AND DELIVER THEM TO THE VESSEL AT KIMITSU ON/ABOUT 2ND NOV. DELIVERY CHARGE AT KIMITSU IS JPY60,000.-. PLS CONFIRM THIS DELIVERY CHARGE, TOO, WHEN ORDERING. &lt;REMARKS&gt; #1&gt;&gt;DETTOL 250ML #5&gt;&gt;PCS ADVISE EACH QUANTITY, LEFT HAND AND RIGHT HAND. PRICE IS THE SAMA. #6&gt;&gt;KOREA, K4(DOLPHINE), AL+NE #8&gt;&gt;5T, 100'S/BOX #9&gt;&gt;800X900MM *PLS CHECK QUANTITY. WE OFFER PER PACKET (TOTAL 10'000 PCS) #11&gt;&gt;C/W MILL CERTIFICATE #22&gt;&gt;KOREAN LOCAL BRAND,24V 2W #23&gt;&gt;KOREAN LOCAL BRAND #24&gt;&gt;KOREAN LOCAL BRAND #25&gt;&gt;KOREAN LOCAL BRAND, E12, 24V 2W 20+33MM #37&gt;&gt;KOREA (SM) #39&gt;&gt;TECH (KOREAM LOCAL BRAND) #42&gt;&gt;RED, BLUE, GREEN, YELLOW, BLACK #43&gt;&gt;222MMX8MTR, 2'S/PKT *PLS CHECK QUANTITY AS IT SEEMS TOO SMALL! #44&gt;&gt;50'S/PKT *PLS CHECK QUANTITY AS IT SEEMS TOO MUCH! #46&gt;&gt;KORAEN LOCAL BRAND #47&gt;&gt;5.5
Price Valid Until: 17-Nov-2019</t>
  </si>
  <si>
    <t>60000</t>
  </si>
</sst>
</file>

<file path=xl/styles.xml><?xml version="1.0" encoding="utf-8"?>
<styleSheet xmlns="http://schemas.openxmlformats.org/spreadsheetml/2006/main"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numFmts count="9">
    <numFmt numFmtId="44" formatCode="_(&quot;$&quot;* #,##0.00_);_(&quot;$&quot;* \(#,##0.00\);_(&quot;$&quot;* &quot;-&quot;??_);_(@_)"/>
    <numFmt numFmtId="164" formatCode="[$-409]d/mmm/yyyy;@"/>
    <numFmt numFmtId="165" formatCode="m/d/yy;@"/>
    <numFmt numFmtId="166" formatCode=";;;"/>
    <numFmt numFmtId="167" formatCode="#,##0.000"/>
    <numFmt numFmtId="168" formatCode="0.000"/>
    <numFmt numFmtId="169" formatCode="[$-409]d\-mmm\-yyyy;@"/>
    <numFmt numFmtId="170" formatCode="[$-409]d\-mmm\-yy;@"/>
    <numFmt numFmtId="172" formatCode="#,##0.00"/>
  </numFmts>
  <fonts count="41">
    <font>
      <sz val="11"/>
      <color theme="1"/>
      <name val="Calibri"/>
      <family val="2"/>
      <scheme val="minor"/>
    </font>
    <font>
      <sz val="10"/>
      <name val="Arial"/>
      <family val="2"/>
    </font>
    <font>
      <b/>
      <sz val="15"/>
      <color theme="3"/>
      <name val="Calibri"/>
      <family val="2"/>
      <scheme val="minor"/>
    </font>
    <font>
      <b/>
      <sz val="11"/>
      <color theme="3"/>
      <name val="Calibri"/>
      <family val="2"/>
      <scheme val="minor"/>
    </font>
    <font>
      <b/>
      <sz val="11"/>
      <color rgb="FFFA7D00"/>
      <name val="Calibri"/>
      <family val="2"/>
      <scheme val="minor"/>
    </font>
    <font>
      <sz val="12"/>
      <name val="Calibri"/>
      <family val="2"/>
      <scheme val="minor"/>
    </font>
    <font>
      <sz val="10"/>
      <name val="Calibri"/>
      <family val="2"/>
      <scheme val="minor"/>
    </font>
    <font>
      <i/>
      <sz val="38"/>
      <color indexed="41"/>
      <name val="Calibri"/>
      <family val="2"/>
      <scheme val="minor"/>
    </font>
    <font>
      <b/>
      <i/>
      <sz val="36"/>
      <color indexed="41"/>
      <name val="Calibri"/>
      <family val="2"/>
      <scheme val="minor"/>
    </font>
    <font>
      <b/>
      <i/>
      <sz val="36"/>
      <color theme="0" tint="-0.149939998984337"/>
      <name val="Calibri"/>
      <family val="2"/>
      <scheme val="minor"/>
    </font>
    <font>
      <b/>
      <sz val="10"/>
      <color theme="3"/>
      <name val="Calibri"/>
      <family val="2"/>
      <scheme val="minor"/>
    </font>
    <font>
      <sz val="8"/>
      <name val="Calibri"/>
      <family val="2"/>
      <scheme val="minor"/>
    </font>
    <font>
      <sz val="8"/>
      <color indexed="61"/>
      <name val="Calibri"/>
      <family val="2"/>
      <scheme val="minor"/>
    </font>
    <font>
      <b/>
      <sz val="8"/>
      <color indexed="61"/>
      <name val="Calibri"/>
      <family val="2"/>
      <scheme val="minor"/>
    </font>
    <font>
      <b/>
      <sz val="9"/>
      <color theme="3" tint="-0.499920010566711"/>
      <name val="Calibri"/>
      <family val="2"/>
      <scheme val="minor"/>
    </font>
    <font>
      <sz val="8"/>
      <color theme="3" tint="-0.499920010566711"/>
      <name val="Calibri"/>
      <family val="2"/>
      <scheme val="minor"/>
    </font>
    <font>
      <sz val="11"/>
      <color theme="3" tint="-0.499920010566711"/>
      <name val="Calibri"/>
      <family val="2"/>
      <scheme val="minor"/>
    </font>
    <font>
      <b/>
      <sz val="11"/>
      <color theme="9"/>
      <name val="Calibri"/>
      <family val="2"/>
      <scheme val="minor"/>
    </font>
    <font>
      <i/>
      <sz val="8"/>
      <name val="Calibri"/>
      <family val="2"/>
      <scheme val="minor"/>
    </font>
    <font>
      <b/>
      <sz val="9"/>
      <name val="Calibri"/>
      <family val="2"/>
      <scheme val="minor"/>
    </font>
    <font>
      <b/>
      <sz val="8"/>
      <color theme="3" tint="-0.499920010566711"/>
      <name val="Calibri"/>
      <family val="2"/>
      <scheme val="minor"/>
    </font>
    <font>
      <sz val="9"/>
      <name val="Calibri"/>
      <family val="2"/>
      <scheme val="minor"/>
    </font>
    <font>
      <b/>
      <sz val="10"/>
      <color theme="0" tint="-0.24991999566555"/>
      <name val="Calibri"/>
      <family val="2"/>
      <scheme val="minor"/>
    </font>
    <font>
      <b/>
      <sz val="11"/>
      <color theme="0" tint="-0.24991999566555"/>
      <name val="Calibri"/>
      <family val="2"/>
      <scheme val="minor"/>
    </font>
    <font>
      <sz val="8"/>
      <color theme="1"/>
      <name val="Calibri"/>
      <family val="2"/>
      <scheme val="minor"/>
    </font>
    <font>
      <b/>
      <sz val="11"/>
      <color theme="1" tint="0.349990010261536"/>
      <name val="Calibri"/>
      <family val="2"/>
      <scheme val="minor"/>
    </font>
    <font>
      <sz val="11"/>
      <color theme="1" tint="0.349990010261536"/>
      <name val="Calibri"/>
      <family val="2"/>
      <scheme val="minor"/>
    </font>
    <font>
      <b/>
      <sz val="12"/>
      <color rgb="FFFF0000"/>
      <name val="Calibri"/>
      <family val="2"/>
      <scheme val="minor"/>
    </font>
    <font>
      <sz val="10"/>
      <color rgb="FF4B7279"/>
      <name val="Calibri"/>
      <family val="2"/>
      <scheme val="minor"/>
    </font>
    <font>
      <sz val="10"/>
      <color indexed="61"/>
      <name val="Calibri"/>
      <family val="2"/>
      <scheme val="minor"/>
    </font>
    <font>
      <u val="single"/>
      <sz val="11"/>
      <color theme="10"/>
      <name val="Calibri"/>
      <family val="2"/>
      <scheme val="minor"/>
    </font>
    <font>
      <sz val="11"/>
      <color rgb="FF000000"/>
      <name val="Calibri"/>
      <family val="2"/>
    </font>
    <font>
      <sz val="12"/>
      <color theme="1"/>
      <name val="Calibri"/>
      <family val="2"/>
    </font>
    <font>
      <sz val="10"/>
      <color theme="1"/>
      <name val="Calibri"/>
      <family val="2"/>
    </font>
    <font>
      <i/>
      <sz val="8"/>
      <color theme="1"/>
      <name val="Calibri"/>
      <family val="2"/>
    </font>
    <font>
      <b/>
      <sz val="9"/>
      <color theme="1"/>
      <name val="Calibri"/>
      <family val="2"/>
    </font>
    <font>
      <sz val="9"/>
      <color theme="1"/>
      <name val="Calibri"/>
      <family val="2"/>
    </font>
    <font>
      <b/>
      <sz val="10"/>
      <color theme="0" tint="-0.24991999566555"/>
      <name val="Calibri"/>
      <family val="2"/>
    </font>
    <font>
      <b/>
      <sz val="12"/>
      <color rgb="FFFF0000"/>
      <name val="Calibri"/>
      <family val="2"/>
    </font>
    <font>
      <sz val="8"/>
      <color theme="3" tint="-0.499920010566711"/>
      <name val="Calibri"/>
      <family val="2"/>
    </font>
    <font>
      <b/>
      <sz val="8"/>
      <color theme="3" tint="-0.499920010566711"/>
      <name val="Calibri"/>
      <family val="2"/>
    </font>
  </fonts>
  <fills count="12">
    <fill>
      <patternFill/>
    </fill>
    <fill>
      <patternFill patternType="gray125"/>
    </fill>
    <fill>
      <patternFill patternType="solid">
        <fgColor rgb="FFF2F2F2"/>
        <bgColor indexed="64"/>
      </patternFill>
    </fill>
    <fill>
      <patternFill patternType="solid">
        <fgColor theme="4" tint="0.599990010261536"/>
        <bgColor indexed="64"/>
      </patternFill>
    </fill>
    <fill>
      <patternFill patternType="solid">
        <fgColor rgb="FF9DBEC3"/>
        <bgColor indexed="64"/>
      </patternFill>
    </fill>
    <fill>
      <patternFill patternType="solid">
        <fgColor rgb="FFEDF3F3"/>
        <bgColor indexed="64"/>
      </patternFill>
    </fill>
    <fill>
      <patternFill patternType="solid">
        <fgColor indexed="9"/>
        <bgColor indexed="64"/>
      </patternFill>
    </fill>
    <fill>
      <patternFill patternType="solid">
        <fgColor theme="4" tint="0.799979984760284"/>
        <bgColor indexed="64"/>
      </patternFill>
    </fill>
    <fill>
      <patternFill patternType="solid">
        <fgColor theme="4" tint="0.599960029125214"/>
        <bgColor indexed="64"/>
      </patternFill>
    </fill>
    <fill>
      <patternFill patternType="solid">
        <fgColor theme="0"/>
        <bgColor indexed="64"/>
      </patternFill>
    </fill>
    <fill>
      <patternFill patternType="solid">
        <fgColor theme="0" tint="-0.149939998984337"/>
        <bgColor indexed="64"/>
      </patternFill>
    </fill>
    <fill>
      <patternFill patternType="solid">
        <fgColor rgb="FFFFFF00"/>
        <bgColor indexed="64"/>
      </patternFill>
    </fill>
  </fills>
  <borders count="30">
    <border>
      <left/>
      <right/>
      <top/>
      <bottom/>
      <diagonal/>
    </border>
    <border>
      <left/>
      <right/>
      <top/>
      <bottom style="thick">
        <color theme="4"/>
      </bottom>
    </border>
    <border>
      <left/>
      <right/>
      <top/>
      <bottom style="medium">
        <color theme="4" tint="0.399980008602142"/>
      </bottom>
    </border>
    <border>
      <left style="thin">
        <color rgb="FF7F7F7F"/>
      </left>
      <right style="thin">
        <color rgb="FF7F7F7F"/>
      </right>
      <top style="thin">
        <color rgb="FF7F7F7F"/>
      </top>
      <bottom style="thin">
        <color rgb="FF7F7F7F"/>
      </bottom>
    </border>
    <border>
      <left style="thin">
        <color indexed="44"/>
      </left>
      <right/>
      <top/>
      <bottom/>
    </border>
    <border>
      <left style="thin">
        <color rgb="FFD6DCE0"/>
      </left>
      <right style="thin">
        <color rgb="FFD6DCE0"/>
      </right>
      <top style="thin">
        <color rgb="FFD6DCE0"/>
      </top>
      <bottom/>
    </border>
    <border>
      <left style="thin">
        <color rgb="FFD6DCE0"/>
      </left>
      <right style="thin">
        <color rgb="FFD6DCE0"/>
      </right>
      <top style="thin">
        <color rgb="FFD6DCE0"/>
      </top>
      <bottom style="thin">
        <color rgb="FFD6DCE0"/>
      </bottom>
    </border>
    <border>
      <left/>
      <right/>
      <top style="medium">
        <color theme="4" tint="0.399980008602142"/>
      </top>
      <bottom style="medium">
        <color theme="4" tint="0.399980008602142"/>
      </bottom>
    </border>
    <border>
      <left style="thin">
        <color rgb="FFD6DCE0"/>
      </left>
      <right/>
      <top style="thin">
        <color rgb="FFD6DCE0"/>
      </top>
      <bottom style="thin">
        <color rgb="FFD6DCE0"/>
      </bottom>
    </border>
    <border>
      <left/>
      <right/>
      <top style="thin">
        <color rgb="FFD6DCE0"/>
      </top>
      <bottom/>
    </border>
    <border>
      <left/>
      <right style="thin">
        <color rgb="FFD6DCE0"/>
      </right>
      <top/>
      <bottom/>
    </border>
    <border>
      <left/>
      <right style="thin">
        <color theme="0" tint="-0.349929988384247"/>
      </right>
      <top style="thin">
        <color theme="0" tint="-0.349929988384247"/>
      </top>
      <bottom/>
    </border>
    <border>
      <left style="thin">
        <color theme="0" tint="-0.349929988384247"/>
      </left>
      <right/>
      <top style="thin">
        <color theme="0" tint="-0.349929988384247"/>
      </top>
      <bottom style="thin">
        <color theme="0" tint="-0.349929988384247"/>
      </bottom>
    </border>
    <border>
      <left/>
      <right style="thin">
        <color theme="0" tint="-0.149910002946854"/>
      </right>
      <top style="thin">
        <color theme="0" tint="-0.349929988384247"/>
      </top>
      <bottom style="thin">
        <color theme="0" tint="-0.349929988384247"/>
      </bottom>
    </border>
    <border>
      <left style="thin">
        <color rgb="FFD6DCE0"/>
      </left>
      <right style="thin">
        <color rgb="FFD6DCE0"/>
      </right>
      <top/>
      <bottom style="thin">
        <color rgb="FFD6DCE0"/>
      </bottom>
    </border>
    <border>
      <left style="thin">
        <color rgb="FF7F7F7F"/>
      </left>
      <right style="thin">
        <color rgb="FF7F7F7F"/>
      </right>
      <top style="medium">
        <color theme="4" tint="0.399980008602142"/>
      </top>
      <bottom style="medium">
        <color theme="4" tint="0.399980008602142"/>
      </bottom>
    </border>
    <border>
      <left style="thin">
        <color theme="0" tint="-0.149910002946854"/>
      </left>
      <right style="thin">
        <color theme="0" tint="-0.149910002946854"/>
      </right>
      <top style="thin">
        <color theme="0" tint="-0.349929988384247"/>
      </top>
      <bottom style="thin">
        <color theme="0" tint="-0.349929988384247"/>
      </bottom>
    </border>
    <border>
      <left style="thin">
        <color theme="0" tint="-0.149910002946854"/>
      </left>
      <right style="thin">
        <color theme="0" tint="-0.349929988384247"/>
      </right>
      <top style="thin">
        <color theme="0" tint="-0.349929988384247"/>
      </top>
      <bottom style="thin">
        <color theme="0" tint="-0.349929988384247"/>
      </bottom>
    </border>
    <border>
      <left style="thin">
        <color theme="0" tint="-0.349929988384247"/>
      </left>
      <right style="thin">
        <color theme="0" tint="-0.349929988384247"/>
      </right>
      <top style="thin">
        <color theme="0" tint="-0.349929988384247"/>
      </top>
      <bottom style="thin">
        <color theme="0" tint="-0.349929988384247"/>
      </bottom>
    </border>
    <border>
      <left/>
      <right style="thin">
        <color rgb="FFD6DCE0"/>
      </right>
      <top style="thin">
        <color rgb="FFD6DCE0"/>
      </top>
      <bottom style="thin">
        <color rgb="FFD6DCE0"/>
      </bottom>
    </border>
    <border>
      <left style="thin"/>
      <right/>
      <top/>
      <bottom/>
    </border>
    <border>
      <left/>
      <right style="thin"/>
      <top/>
      <bottom/>
    </border>
    <border>
      <left/>
      <right/>
      <top style="medium">
        <color theme="4" tint="0.399980008602142"/>
      </top>
      <bottom/>
    </border>
    <border>
      <left/>
      <right/>
      <top/>
      <bottom style="medium">
        <color theme="4" tint="0.399949997663498"/>
      </bottom>
    </border>
    <border>
      <left style="thin">
        <color rgb="FF7F7F7F"/>
      </left>
      <right/>
      <top/>
      <bottom style="thin">
        <color rgb="FF7F7F7F"/>
      </bottom>
    </border>
    <border>
      <left/>
      <right/>
      <top/>
      <bottom style="thin">
        <color rgb="FF7F7F7F"/>
      </bottom>
    </border>
    <border>
      <left/>
      <right style="thin">
        <color rgb="FF7F7F7F"/>
      </right>
      <top/>
      <bottom style="thin">
        <color rgb="FF7F7F7F"/>
      </bottom>
    </border>
    <border>
      <left/>
      <right/>
      <top style="medium">
        <color theme="4" tint="0.399949997663498"/>
      </top>
      <bottom style="medium">
        <color theme="4" tint="0.399980008602142"/>
      </bottom>
    </border>
    <border>
      <left/>
      <right/>
      <top style="thin">
        <color theme="0" tint="-0.349929988384247"/>
      </top>
      <bottom style="thin">
        <color theme="0" tint="-0.349929988384247"/>
      </bottom>
    </border>
    <border>
      <left style="thin">
        <color theme="0" tint="-0.349929988384247"/>
      </left>
      <right style="thin">
        <color rgb="FFD6DCE0"/>
      </right>
      <top/>
      <bottom style="thin">
        <color rgb="FFD6DCE0"/>
      </bottom>
    </border>
  </borders>
  <cellStyleXfs count="9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3" fillId="0" borderId="0" applyNumberFormat="0" applyFill="0" applyBorder="0" applyAlignment="0" applyProtection="0"/>
    <xf numFmtId="0" fontId="4" fillId="2" borderId="3" applyNumberFormat="0" applyAlignment="0" applyProtection="0"/>
    <xf numFmtId="0" fontId="0" fillId="3" borderId="0" applyNumberFormat="0" applyBorder="0" applyAlignment="0" applyProtection="0"/>
    <xf numFmtId="0" fontId="30" fillId="0" borderId="0" applyNumberFormat="0" applyFill="0" applyBorder="0" applyAlignment="0" applyProtection="0"/>
  </cellStyleXfs>
  <cellXfs count="272">
    <xf numFmtId="0" fontId="0" fillId="0" borderId="0" xfId="0"/>
    <xf numFmtId="0" fontId="6" fillId="0" borderId="0" xfId="0" applyFont="1" applyProtection="1">
      <protection/>
    </xf>
    <xf numFmtId="165" fontId="14" fillId="4" borderId="4" xfId="0" applyNumberFormat="1" applyFont="1" applyFill="1" applyBorder="1" applyAlignment="1" applyProtection="1">
      <alignment horizontal="left" wrapText="1"/>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0" fontId="14" fillId="4" borderId="0" xfId="0" applyFont="1" applyFill="1" applyBorder="1" applyAlignment="1" applyProtection="1">
      <alignment wrapText="1"/>
      <protection/>
    </xf>
    <xf numFmtId="1" fontId="12" fillId="0" borderId="5" xfId="0" applyNumberFormat="1" applyFont="1" applyFill="1" applyBorder="1" applyAlignment="1">
      <alignment horizontal="right" vertical="center"/>
    </xf>
    <xf numFmtId="49" fontId="15" fillId="5" borderId="6" xfId="0" applyNumberFormat="1" applyFont="1" applyFill="1" applyBorder="1" applyAlignment="1" applyProtection="1">
      <alignment horizontal="right" vertical="center"/>
      <protection/>
    </xf>
    <xf numFmtId="44" fontId="19" fillId="6" borderId="0" xfId="0" applyNumberFormat="1" applyFont="1" applyFill="1" applyBorder="1" applyAlignment="1" applyProtection="1">
      <alignment/>
      <protection/>
    </xf>
    <xf numFmtId="1" fontId="15" fillId="5" borderId="0" xfId="0" applyNumberFormat="1" applyFont="1" applyFill="1" applyBorder="1" applyAlignment="1" applyProtection="1">
      <alignment vertical="center" wrapText="1"/>
      <protection/>
    </xf>
    <xf numFmtId="0" fontId="5" fillId="0" borderId="0" xfId="0" applyFont="1" applyFill="1" applyBorder="1" applyAlignment="1" applyProtection="1">
      <alignment horizontal="left" indent="1"/>
      <protection/>
    </xf>
    <xf numFmtId="0" fontId="6" fillId="0" borderId="0" xfId="0" applyFont="1" applyFill="1" applyProtection="1">
      <protection/>
    </xf>
    <xf numFmtId="0" fontId="7" fillId="0" borderId="0" xfId="0" applyFont="1" applyFill="1" applyBorder="1" applyAlignment="1" applyProtection="1">
      <alignment/>
      <protection/>
    </xf>
    <xf numFmtId="0" fontId="0" fillId="0" borderId="0" xfId="0" applyFill="1" applyBorder="1"/>
    <xf numFmtId="0" fontId="0" fillId="0" borderId="0" xfId="0" applyFill="1"/>
    <xf numFmtId="0" fontId="10" fillId="0" borderId="2" xfId="91" applyFont="1" applyFill="1" applyAlignment="1" applyProtection="1">
      <alignment horizontal="left"/>
      <protection/>
    </xf>
    <xf numFmtId="0" fontId="11" fillId="0" borderId="0" xfId="0" applyFont="1" applyFill="1" applyProtection="1">
      <protection/>
    </xf>
    <xf numFmtId="0" fontId="12" fillId="0" borderId="0" xfId="0" applyFont="1" applyFill="1" applyAlignment="1" applyProtection="1">
      <alignment vertical="top"/>
      <protection/>
    </xf>
    <xf numFmtId="0" fontId="10" fillId="0" borderId="2" xfId="91" applyFont="1" applyFill="1" applyAlignment="1" applyProtection="1">
      <alignment vertical="top"/>
      <protection/>
    </xf>
    <xf numFmtId="0" fontId="10" fillId="0" borderId="2" xfId="91" applyFont="1" applyFill="1" applyProtection="1">
      <protection/>
    </xf>
    <xf numFmtId="0" fontId="3" fillId="0" borderId="2" xfId="91" applyFont="1" applyFill="1" applyAlignment="1" applyProtection="1">
      <alignment horizontal="left"/>
      <protection/>
    </xf>
    <xf numFmtId="0" fontId="10" fillId="0" borderId="2" xfId="91" applyFont="1" applyFill="1" applyAlignment="1" applyProtection="1">
      <alignment horizontal="right"/>
      <protection/>
    </xf>
    <xf numFmtId="164" fontId="10" fillId="0" borderId="7" xfId="91" applyNumberFormat="1" applyFont="1" applyFill="1" applyBorder="1" applyAlignment="1" applyProtection="1">
      <alignment/>
      <protection/>
    </xf>
    <xf numFmtId="0" fontId="11" fillId="0" borderId="0" xfId="0" applyFont="1" applyFill="1" applyBorder="1" applyAlignment="1" applyProtection="1">
      <alignment/>
      <protection/>
    </xf>
    <xf numFmtId="0" fontId="12" fillId="0" borderId="0" xfId="0" applyFont="1" applyFill="1" applyAlignment="1" applyProtection="1">
      <alignment/>
      <protection/>
    </xf>
    <xf numFmtId="0" fontId="12" fillId="0" borderId="0" xfId="0" applyFont="1" applyFill="1" applyAlignment="1" applyProtection="1">
      <alignment horizontal="left"/>
      <protection/>
    </xf>
    <xf numFmtId="164" fontId="13" fillId="0" borderId="0" xfId="0" applyNumberFormat="1" applyFont="1" applyFill="1" applyAlignment="1" applyProtection="1">
      <alignment/>
      <protection/>
    </xf>
    <xf numFmtId="164" fontId="13" fillId="0" borderId="0" xfId="0" applyNumberFormat="1" applyFont="1" applyFill="1" applyAlignment="1" applyProtection="1">
      <alignment horizontal="left"/>
      <protection/>
    </xf>
    <xf numFmtId="1" fontId="12" fillId="0" borderId="0" xfId="0" applyNumberFormat="1" applyFont="1" applyFill="1" applyBorder="1" applyAlignment="1">
      <alignment horizontal="right" vertical="center"/>
    </xf>
    <xf numFmtId="0" fontId="11" fillId="0" borderId="0" xfId="0" applyNumberFormat="1" applyFont="1" applyFill="1" applyBorder="1" applyAlignment="1" applyProtection="1">
      <alignment horizontal="left"/>
      <protection/>
    </xf>
    <xf numFmtId="0" fontId="11" fillId="0" borderId="0" xfId="0" applyFont="1" applyFill="1" applyBorder="1" applyAlignment="1" applyProtection="1">
      <alignment horizontal="left"/>
      <protection/>
    </xf>
    <xf numFmtId="0" fontId="12" fillId="0" borderId="0" xfId="0" applyFont="1" applyFill="1" applyBorder="1" applyAlignment="1" applyProtection="1">
      <alignment horizontal="right"/>
      <protection/>
    </xf>
    <xf numFmtId="0" fontId="18" fillId="0" borderId="0" xfId="0" applyFont="1" applyFill="1" applyBorder="1" applyProtection="1">
      <protection/>
    </xf>
    <xf numFmtId="44" fontId="19" fillId="0" borderId="0" xfId="0" applyNumberFormat="1" applyFont="1" applyFill="1" applyBorder="1" applyAlignment="1" applyProtection="1">
      <alignment/>
      <protection/>
    </xf>
    <xf numFmtId="0" fontId="11" fillId="0" borderId="0" xfId="0" applyFont="1" applyFill="1" applyAlignment="1" applyProtection="1">
      <alignment/>
      <protection/>
    </xf>
    <xf numFmtId="49" fontId="19" fillId="0" borderId="0" xfId="0" applyNumberFormat="1" applyFont="1" applyFill="1" applyBorder="1" applyAlignment="1" applyProtection="1">
      <alignment/>
      <protection/>
    </xf>
    <xf numFmtId="4" fontId="15" fillId="3" borderId="8" xfId="0" applyNumberFormat="1" applyFont="1" applyFill="1" applyBorder="1" applyAlignment="1" applyProtection="1">
      <alignment vertical="center"/>
      <protection locked="0"/>
    </xf>
    <xf numFmtId="0" fontId="12" fillId="0" borderId="9" xfId="0" applyFont="1" applyFill="1" applyBorder="1" applyAlignment="1" applyProtection="1">
      <alignment vertical="center"/>
      <protection/>
    </xf>
    <xf numFmtId="49" fontId="16" fillId="3" borderId="6" xfId="94" applyNumberFormat="1" applyFont="1" applyFill="1" applyBorder="1" applyAlignment="1" applyProtection="1">
      <alignment vertical="center"/>
      <protection locked="0"/>
    </xf>
    <xf numFmtId="11" fontId="16" fillId="7" borderId="8" xfId="94" applyNumberFormat="1" applyFont="1" applyFill="1" applyBorder="1" applyAlignment="1" applyProtection="1">
      <alignment vertical="center"/>
      <protection locked="0"/>
    </xf>
    <xf numFmtId="0" fontId="11" fillId="0" borderId="10" xfId="0" applyFont="1" applyFill="1" applyBorder="1" applyAlignment="1" applyProtection="1">
      <alignment/>
      <protection/>
    </xf>
    <xf numFmtId="0" fontId="11" fillId="0" borderId="11" xfId="0" applyFont="1" applyFill="1" applyBorder="1" applyAlignment="1" applyProtection="1">
      <alignment/>
      <protection/>
    </xf>
    <xf numFmtId="44" fontId="21" fillId="0" borderId="0" xfId="0" applyNumberFormat="1" applyFont="1" applyFill="1" applyBorder="1" applyAlignment="1" applyProtection="1">
      <alignment/>
      <protection/>
    </xf>
    <xf numFmtId="1" fontId="21" fillId="0" borderId="0" xfId="0" applyNumberFormat="1" applyFont="1" applyFill="1" applyBorder="1" applyAlignment="1" applyProtection="1">
      <alignment/>
      <protection/>
    </xf>
    <xf numFmtId="3" fontId="21" fillId="0" borderId="0" xfId="0" applyNumberFormat="1" applyFont="1" applyFill="1" applyBorder="1" applyAlignment="1" applyProtection="1">
      <alignment/>
      <protection/>
    </xf>
    <xf numFmtId="1" fontId="11" fillId="0" borderId="0" xfId="0" applyNumberFormat="1" applyFont="1" applyFill="1" applyBorder="1" applyProtection="1">
      <protection/>
    </xf>
    <xf numFmtId="0" fontId="0" fillId="0" borderId="0" xfId="0" applyFont="1"/>
    <xf numFmtId="44" fontId="21" fillId="6" borderId="0" xfId="0" applyNumberFormat="1" applyFont="1" applyFill="1" applyBorder="1" applyAlignment="1" applyProtection="1">
      <alignment/>
      <protection/>
    </xf>
    <xf numFmtId="44" fontId="21" fillId="6" borderId="0" xfId="0" applyNumberFormat="1" applyFont="1" applyFill="1" applyBorder="1" applyAlignment="1" applyProtection="1">
      <alignment wrapText="1"/>
      <protection/>
    </xf>
    <xf numFmtId="0" fontId="22" fillId="0" borderId="2" xfId="91" applyFont="1" applyFill="1" applyAlignment="1" applyProtection="1">
      <alignment/>
      <protection/>
    </xf>
    <xf numFmtId="0" fontId="22" fillId="0" borderId="2" xfId="91" applyFont="1" applyFill="1" applyProtection="1">
      <protection/>
    </xf>
    <xf numFmtId="0" fontId="17" fillId="8" borderId="12" xfId="93" applyFont="1" applyFill="1" applyBorder="1" applyAlignment="1" applyProtection="1">
      <alignment horizontal="left" vertical="top"/>
      <protection locked="0"/>
    </xf>
    <xf numFmtId="0" fontId="17" fillId="8" borderId="13" xfId="93" applyFont="1" applyFill="1" applyBorder="1" applyAlignment="1" applyProtection="1">
      <alignment horizontal="left" vertical="top"/>
      <protection locked="0"/>
    </xf>
    <xf numFmtId="166" fontId="10" fillId="0" borderId="2" xfId="91" applyNumberFormat="1" applyFont="1" applyFill="1" applyProtection="1">
      <protection/>
    </xf>
    <xf numFmtId="167" fontId="15" fillId="5" borderId="6" xfId="0" applyNumberFormat="1" applyFont="1" applyFill="1" applyBorder="1" applyAlignment="1" applyProtection="1">
      <alignment vertical="center"/>
      <protection/>
    </xf>
    <xf numFmtId="168" fontId="15" fillId="5" borderId="14" xfId="0" applyNumberFormat="1" applyFont="1" applyFill="1" applyBorder="1" applyAlignment="1" applyProtection="1">
      <alignment horizontal="left" vertical="center"/>
      <protection/>
    </xf>
    <xf numFmtId="168" fontId="15" fillId="5" borderId="6" xfId="0" applyNumberFormat="1" applyFont="1" applyFill="1" applyBorder="1" applyAlignment="1" applyProtection="1">
      <alignment horizontal="left" vertical="center"/>
      <protection/>
    </xf>
    <xf numFmtId="0" fontId="14" fillId="4" borderId="0" xfId="0" applyFont="1" applyFill="1" applyBorder="1" applyAlignment="1" applyProtection="1">
      <alignment horizontal="left" wrapText="1"/>
      <protection/>
    </xf>
    <xf numFmtId="166" fontId="8" fillId="0" borderId="0" xfId="0" applyNumberFormat="1" applyFont="1" applyFill="1" applyBorder="1" applyAlignment="1" applyProtection="1">
      <alignment horizontal="right"/>
      <protection/>
    </xf>
    <xf numFmtId="166" fontId="0" fillId="0" borderId="0" xfId="0" applyNumberFormat="1" applyFill="1" applyBorder="1"/>
    <xf numFmtId="166" fontId="10" fillId="0" borderId="0" xfId="91" applyNumberFormat="1" applyFont="1" applyFill="1" applyBorder="1" applyAlignment="1" applyProtection="1">
      <alignment horizontal="left"/>
      <protection/>
    </xf>
    <xf numFmtId="166" fontId="10" fillId="0" borderId="0" xfId="91" applyNumberFormat="1" applyFont="1" applyFill="1" applyBorder="1" applyAlignment="1" applyProtection="1">
      <alignment vertical="top"/>
      <protection/>
    </xf>
    <xf numFmtId="166" fontId="11" fillId="0" borderId="0" xfId="0" applyNumberFormat="1" applyFont="1" applyFill="1" applyProtection="1">
      <protection/>
    </xf>
    <xf numFmtId="166" fontId="14" fillId="9" borderId="0" xfId="0" applyNumberFormat="1" applyFont="1" applyFill="1" applyBorder="1" applyAlignment="1" applyProtection="1">
      <alignment horizontal="left" wrapText="1"/>
      <protection/>
    </xf>
    <xf numFmtId="166" fontId="6" fillId="9" borderId="0" xfId="0" applyNumberFormat="1" applyFont="1" applyFill="1" applyBorder="1" applyProtection="1">
      <protection/>
    </xf>
    <xf numFmtId="166" fontId="16" fillId="9" borderId="0" xfId="94" applyNumberFormat="1" applyFont="1" applyFill="1" applyBorder="1" applyAlignment="1" applyProtection="1">
      <alignment horizontal="left" vertical="center"/>
      <protection locked="0"/>
    </xf>
    <xf numFmtId="166" fontId="6" fillId="9" borderId="0" xfId="0" applyNumberFormat="1" applyFont="1" applyFill="1" applyProtection="1">
      <protection/>
    </xf>
    <xf numFmtId="166" fontId="17" fillId="9" borderId="0" xfId="93" applyNumberFormat="1" applyFont="1" applyFill="1" applyBorder="1" applyAlignment="1" applyProtection="1">
      <alignment horizontal="left" vertical="top"/>
      <protection locked="0"/>
    </xf>
    <xf numFmtId="166" fontId="20" fillId="9" borderId="0" xfId="0" applyNumberFormat="1" applyFont="1" applyFill="1" applyBorder="1" applyAlignment="1" applyProtection="1">
      <alignment horizontal="left" vertical="top"/>
      <protection/>
    </xf>
    <xf numFmtId="166" fontId="15" fillId="9" borderId="0" xfId="0" applyNumberFormat="1" applyFont="1" applyFill="1" applyBorder="1" applyAlignment="1" applyProtection="1">
      <alignment vertical="center" wrapText="1"/>
      <protection/>
    </xf>
    <xf numFmtId="166" fontId="15" fillId="9" borderId="0" xfId="0" applyNumberFormat="1" applyFont="1" applyFill="1" applyBorder="1" applyAlignment="1" applyProtection="1">
      <alignment horizontal="left" vertical="top" wrapText="1"/>
      <protection/>
    </xf>
    <xf numFmtId="166" fontId="20" fillId="9" borderId="0" xfId="0" applyNumberFormat="1" applyFont="1" applyFill="1" applyBorder="1" applyAlignment="1" applyProtection="1">
      <alignment horizontal="left" vertical="top" wrapText="1"/>
      <protection/>
    </xf>
    <xf numFmtId="166" fontId="15" fillId="9" borderId="0" xfId="0" applyNumberFormat="1" applyFont="1" applyFill="1" applyBorder="1" applyAlignment="1" applyProtection="1">
      <alignment horizontal="left" vertical="top"/>
      <protection/>
    </xf>
    <xf numFmtId="166" fontId="0" fillId="0" borderId="0" xfId="0" applyNumberFormat="1" applyFill="1"/>
    <xf numFmtId="0" fontId="14" fillId="4" borderId="0" xfId="0" applyFont="1" applyFill="1" applyBorder="1" applyAlignment="1" applyProtection="1">
      <alignment horizontal="left" wrapText="1"/>
      <protection/>
    </xf>
    <xf numFmtId="166" fontId="16" fillId="9" borderId="0" xfId="94" applyNumberFormat="1" applyFont="1" applyFill="1" applyBorder="1" applyAlignment="1" applyProtection="1">
      <alignment vertical="center"/>
      <protection/>
    </xf>
    <xf numFmtId="1" fontId="15" fillId="0" borderId="6" xfId="0" applyNumberFormat="1" applyFont="1" applyFill="1" applyBorder="1" applyAlignment="1" applyProtection="1">
      <alignment horizontal="right" vertical="center"/>
      <protection/>
    </xf>
    <xf numFmtId="49" fontId="15" fillId="0" borderId="6" xfId="0" applyNumberFormat="1" applyFont="1" applyFill="1" applyBorder="1" applyAlignment="1" applyProtection="1">
      <alignment horizontal="left" vertical="center"/>
      <protection/>
    </xf>
    <xf numFmtId="49" fontId="15" fillId="0" borderId="6" xfId="0" applyNumberFormat="1" applyFont="1" applyFill="1" applyBorder="1" applyAlignment="1" applyProtection="1">
      <alignment vertical="center" wrapText="1"/>
      <protection/>
    </xf>
    <xf numFmtId="49" fontId="15" fillId="0" borderId="6" xfId="0" applyNumberFormat="1" applyFont="1" applyFill="1" applyBorder="1" applyAlignment="1" applyProtection="1">
      <alignment vertical="center"/>
      <protection/>
    </xf>
    <xf numFmtId="49" fontId="15" fillId="0" borderId="6" xfId="0" applyNumberFormat="1" applyFont="1" applyFill="1" applyBorder="1" applyAlignment="1" applyProtection="1">
      <alignment horizontal="left" vertical="center"/>
      <protection locked="0"/>
    </xf>
    <xf numFmtId="49" fontId="16" fillId="0" borderId="6" xfId="94" applyNumberFormat="1" applyFont="1" applyFill="1" applyBorder="1" applyAlignment="1" applyProtection="1">
      <alignment vertical="center"/>
      <protection/>
    </xf>
    <xf numFmtId="0" fontId="25" fillId="10" borderId="3" xfId="93" applyFont="1" applyFill="1" applyAlignment="1" applyProtection="1">
      <alignment horizontal="left"/>
      <protection locked="0"/>
    </xf>
    <xf numFmtId="4" fontId="25" fillId="10" borderId="15" xfId="93" applyNumberFormat="1" applyFont="1" applyFill="1" applyBorder="1" applyAlignment="1" applyProtection="1">
      <alignment horizontal="right"/>
      <protection locked="0"/>
    </xf>
    <xf numFmtId="167" fontId="26" fillId="10" borderId="3" xfId="93" applyNumberFormat="1" applyFont="1" applyFill="1" applyAlignment="1" applyProtection="1">
      <alignment horizontal="right"/>
      <protection locked="0"/>
    </xf>
    <xf numFmtId="0" fontId="26" fillId="10" borderId="3" xfId="93" applyFont="1" applyFill="1" applyAlignment="1" applyProtection="1">
      <alignment horizontal="right"/>
      <protection locked="0"/>
    </xf>
    <xf numFmtId="0" fontId="26" fillId="8" borderId="16" xfId="93" applyFont="1" applyFill="1" applyBorder="1" applyAlignment="1" applyProtection="1">
      <alignment horizontal="left"/>
      <protection locked="0"/>
    </xf>
    <xf numFmtId="168" fontId="26" fillId="8" borderId="16" xfId="93" applyNumberFormat="1" applyFont="1" applyFill="1" applyBorder="1" applyAlignment="1" applyProtection="1">
      <alignment horizontal="left"/>
      <protection locked="0"/>
    </xf>
    <xf numFmtId="168" fontId="26" fillId="8" borderId="17" xfId="93" applyNumberFormat="1" applyFont="1" applyFill="1" applyBorder="1" applyAlignment="1" applyProtection="1">
      <alignment horizontal="left"/>
      <protection locked="0"/>
    </xf>
    <xf numFmtId="167" fontId="26" fillId="8" borderId="18" xfId="93" applyNumberFormat="1" applyFont="1" applyFill="1" applyBorder="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2" fontId="15" fillId="0" borderId="6" xfId="0" applyNumberFormat="1" applyFont="1" applyFill="1" applyBorder="1" applyAlignment="1" applyProtection="1">
      <alignment horizontal="right" vertical="center"/>
      <protection/>
    </xf>
    <xf numFmtId="49" fontId="15" fillId="3" borderId="19" xfId="0" applyNumberFormat="1" applyFont="1" applyFill="1" applyBorder="1" applyAlignment="1" applyProtection="1">
      <alignment horizontal="right" vertical="center"/>
      <protection locked="0"/>
    </xf>
    <xf numFmtId="49" fontId="15" fillId="3" borderId="8" xfId="0" applyNumberFormat="1" applyFont="1" applyFill="1" applyBorder="1" applyAlignment="1" applyProtection="1">
      <alignment vertical="center"/>
      <protection/>
    </xf>
    <xf numFmtId="49" fontId="15" fillId="3" borderId="6" xfId="0" applyNumberFormat="1" applyFont="1" applyFill="1" applyBorder="1" applyAlignment="1" applyProtection="1">
      <alignment vertical="center"/>
      <protection locked="0"/>
    </xf>
    <xf numFmtId="0" fontId="0" fillId="0" borderId="20" xfId="0" applyBorder="1"/>
    <xf numFmtId="0" fontId="0" fillId="0" borderId="0" xfId="0" applyBorder="1"/>
    <xf numFmtId="0" fontId="0" fillId="0" borderId="21" xfId="0" applyBorder="1"/>
    <xf numFmtId="49" fontId="0" fillId="0" borderId="0" xfId="0" applyNumberFormat="1" applyBorder="1"/>
    <xf numFmtId="0" fontId="3" fillId="0" borderId="22" xfId="92" applyFont="1" applyFill="1" applyBorder="1" applyAlignment="1" applyProtection="1">
      <alignment vertical="top" wrapText="1"/>
      <protection/>
    </xf>
    <xf numFmtId="0" fontId="3" fillId="0" borderId="0" xfId="92" applyFont="1" applyFill="1" applyBorder="1" applyAlignment="1" applyProtection="1">
      <alignment vertical="top" wrapText="1"/>
      <protection/>
    </xf>
    <xf numFmtId="0" fontId="29" fillId="0" borderId="0" xfId="0" applyFont="1" applyFill="1" applyBorder="1" applyAlignment="1" applyProtection="1">
      <alignment wrapText="1"/>
      <protection/>
    </xf>
    <xf numFmtId="0" fontId="29" fillId="0" borderId="0" xfId="0" applyFont="1" applyFill="1" applyBorder="1" applyAlignment="1" applyProtection="1">
      <alignment horizontal="left" wrapText="1"/>
      <protection/>
    </xf>
    <xf numFmtId="0" fontId="10" fillId="0" borderId="2" xfId="91" applyFont="1" applyFill="1" applyAlignment="1" applyProtection="1">
      <alignment/>
      <protection/>
    </xf>
    <xf numFmtId="0" fontId="28" fillId="0" borderId="0" xfId="0" applyFont="1" applyFill="1" applyBorder="1" applyAlignment="1" applyProtection="1">
      <alignment wrapText="1"/>
      <protection/>
    </xf>
    <xf numFmtId="0" fontId="28" fillId="0" borderId="23" xfId="0" applyFont="1" applyFill="1" applyBorder="1" applyAlignment="1" applyProtection="1">
      <alignment wrapText="1"/>
      <protection/>
    </xf>
    <xf numFmtId="0" fontId="3" fillId="0" borderId="22" xfId="92" applyFont="1" applyFill="1" applyBorder="1" applyAlignment="1" applyProtection="1">
      <alignment horizontal="left" wrapText="1"/>
      <protection/>
    </xf>
    <xf numFmtId="0" fontId="3" fillId="0" borderId="2" xfId="91" applyFont="1" applyFill="1" applyAlignment="1" applyProtection="1">
      <alignment horizontal="left" wrapText="1"/>
      <protection/>
    </xf>
    <xf numFmtId="0" fontId="28" fillId="0" borderId="0" xfId="0" applyFont="1" applyFill="1" applyBorder="1" applyAlignment="1" applyProtection="1">
      <alignment horizontal="left" wrapText="1"/>
      <protection/>
    </xf>
    <xf numFmtId="0" fontId="22" fillId="0" borderId="7" xfId="91" applyFont="1" applyFill="1" applyBorder="1" applyAlignment="1" applyProtection="1">
      <alignment horizontal="left"/>
      <protection/>
    </xf>
    <xf numFmtId="49" fontId="10" fillId="0" borderId="2" xfId="91" applyNumberFormat="1" applyFont="1" applyFill="1" applyAlignment="1" applyProtection="1">
      <alignment horizontal="left"/>
      <protection/>
    </xf>
    <xf numFmtId="169" fontId="10" fillId="0" borderId="2" xfId="91" applyNumberFormat="1" applyFont="1" applyFill="1" applyAlignment="1" applyProtection="1">
      <alignment horizontal="left"/>
      <protection/>
    </xf>
    <xf numFmtId="0" fontId="22" fillId="0" borderId="2" xfId="91" applyFont="1" applyFill="1" applyAlignment="1" applyProtection="1">
      <alignment horizontal="left"/>
      <protection/>
    </xf>
    <xf numFmtId="49" fontId="10" fillId="0" borderId="7" xfId="91" applyNumberFormat="1" applyFont="1" applyFill="1" applyBorder="1" applyAlignment="1" applyProtection="1">
      <alignment horizontal="left"/>
      <protection/>
    </xf>
    <xf numFmtId="170" fontId="10" fillId="0" borderId="2" xfId="91" applyNumberFormat="1" applyFont="1" applyFill="1" applyAlignment="1" applyProtection="1">
      <alignment horizontal="left"/>
      <protection/>
    </xf>
    <xf numFmtId="0" fontId="9" fillId="0" borderId="0" xfId="0" applyFont="1" applyFill="1" applyBorder="1" applyAlignment="1" applyProtection="1">
      <alignment horizontal="right"/>
      <protection/>
    </xf>
    <xf numFmtId="0" fontId="8" fillId="0" borderId="0" xfId="0" applyFont="1" applyFill="1" applyBorder="1" applyAlignment="1" applyProtection="1">
      <alignment horizontal="right"/>
      <protection/>
    </xf>
    <xf numFmtId="0" fontId="2" fillId="0" borderId="1" xfId="90" applyFont="1" applyFill="1" applyAlignment="1" applyProtection="1">
      <alignment horizontal="left"/>
      <protection/>
    </xf>
    <xf numFmtId="49" fontId="3" fillId="0" borderId="2" xfId="91" applyNumberFormat="1" applyFont="1" applyFill="1" applyAlignment="1" applyProtection="1">
      <alignment horizontal="left" wrapText="1"/>
      <protection/>
    </xf>
    <xf numFmtId="4" fontId="25" fillId="10" borderId="24" xfId="93" applyNumberFormat="1" applyFont="1" applyFill="1" applyBorder="1" applyAlignment="1" applyProtection="1">
      <alignment horizontal="left"/>
      <protection locked="0"/>
    </xf>
    <xf numFmtId="4" fontId="25" fillId="10" borderId="25" xfId="93" applyNumberFormat="1" applyFont="1" applyFill="1" applyBorder="1" applyAlignment="1" applyProtection="1">
      <alignment horizontal="left"/>
      <protection locked="0"/>
    </xf>
    <xf numFmtId="4" fontId="25" fillId="10" borderId="26" xfId="93" applyNumberFormat="1" applyFont="1" applyFill="1" applyBorder="1" applyAlignment="1" applyProtection="1">
      <alignment horizontal="left"/>
      <protection locked="0"/>
    </xf>
    <xf numFmtId="0" fontId="23" fillId="0" borderId="2" xfId="91" applyFont="1" applyFill="1" applyAlignment="1" applyProtection="1">
      <alignment horizontal="left"/>
      <protection/>
    </xf>
    <xf numFmtId="49" fontId="10" fillId="0" borderId="2" xfId="91" applyNumberFormat="1" applyFont="1" applyFill="1" applyAlignment="1" applyProtection="1">
      <alignment horizontal="left"/>
      <protection locked="0"/>
    </xf>
    <xf numFmtId="0" fontId="3" fillId="0" borderId="27" xfId="91" applyFont="1" applyFill="1" applyBorder="1" applyAlignment="1" applyProtection="1">
      <alignment horizontal="left"/>
      <protection/>
    </xf>
    <xf numFmtId="0" fontId="30" fillId="0" borderId="0" xfId="95" applyFill="1" applyBorder="1" applyAlignment="1" applyProtection="1">
      <alignment horizontal="left" wrapText="1"/>
      <protection/>
    </xf>
    <xf numFmtId="0" fontId="28" fillId="0" borderId="23" xfId="0" applyFont="1" applyFill="1" applyBorder="1" applyAlignment="1" applyProtection="1">
      <alignment horizontal="left" wrapText="1"/>
      <protection/>
    </xf>
    <xf numFmtId="0" fontId="13" fillId="0" borderId="0" xfId="0" applyFont="1" applyFill="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49" fontId="16" fillId="3" borderId="12" xfId="94" applyNumberFormat="1" applyFont="1" applyFill="1" applyBorder="1" applyAlignment="1" applyProtection="1">
      <alignment horizontal="left" vertical="center"/>
      <protection locked="0"/>
    </xf>
    <xf numFmtId="49" fontId="16" fillId="3" borderId="28" xfId="94" applyNumberFormat="1" applyFont="1" applyFill="1" applyBorder="1" applyAlignment="1" applyProtection="1">
      <alignment horizontal="left" vertical="center"/>
      <protection locked="0"/>
    </xf>
    <xf numFmtId="0" fontId="26" fillId="8" borderId="12" xfId="93" applyFont="1" applyFill="1" applyBorder="1" applyAlignment="1" applyProtection="1">
      <alignment horizontal="left"/>
      <protection locked="0"/>
    </xf>
    <xf numFmtId="0" fontId="26" fillId="8" borderId="28" xfId="93" applyFont="1" applyFill="1" applyBorder="1" applyAlignment="1" applyProtection="1">
      <alignment horizontal="left"/>
      <protection locked="0"/>
    </xf>
    <xf numFmtId="0" fontId="26" fillId="8" borderId="13" xfId="93" applyFont="1" applyFill="1" applyBorder="1" applyAlignment="1" applyProtection="1">
      <alignment horizontal="left"/>
      <protection locked="0"/>
    </xf>
    <xf numFmtId="1" fontId="20" fillId="5" borderId="0" xfId="0" applyNumberFormat="1" applyFont="1" applyFill="1" applyBorder="1" applyAlignment="1" applyProtection="1">
      <alignment horizontal="left" vertical="top"/>
      <protection/>
    </xf>
    <xf numFmtId="1" fontId="15" fillId="5" borderId="0" xfId="0" applyNumberFormat="1" applyFont="1" applyFill="1" applyBorder="1" applyAlignment="1" applyProtection="1">
      <alignment horizontal="left" vertical="top" wrapText="1"/>
      <protection/>
    </xf>
    <xf numFmtId="165" fontId="14" fillId="4" borderId="18" xfId="0" applyNumberFormat="1" applyFont="1" applyFill="1" applyBorder="1" applyAlignment="1" applyProtection="1">
      <alignment horizontal="left" vertical="center" wrapText="1"/>
      <protection/>
    </xf>
    <xf numFmtId="0" fontId="20" fillId="0" borderId="29" xfId="0" applyNumberFormat="1" applyFont="1" applyFill="1" applyBorder="1" applyAlignment="1" applyProtection="1">
      <alignment horizontal="left" vertical="center"/>
      <protection/>
    </xf>
    <xf numFmtId="0" fontId="20" fillId="0" borderId="14" xfId="0" applyNumberFormat="1" applyFont="1" applyFill="1" applyBorder="1" applyAlignment="1" applyProtection="1">
      <alignment horizontal="left" vertical="center"/>
      <protection/>
    </xf>
    <xf numFmtId="0" fontId="15" fillId="0" borderId="6" xfId="0" applyNumberFormat="1" applyFont="1" applyFill="1" applyBorder="1" applyAlignment="1" applyProtection="1">
      <alignment horizontal="left" vertical="center"/>
      <protection/>
    </xf>
    <xf numFmtId="0" fontId="20" fillId="0" borderId="6" xfId="0" applyNumberFormat="1" applyFont="1" applyFill="1" applyBorder="1" applyAlignment="1" applyProtection="1">
      <alignment horizontal="left" vertical="center"/>
      <protection/>
    </xf>
    <xf numFmtId="0" fontId="24" fillId="5" borderId="18" xfId="0" applyNumberFormat="1" applyFont="1" applyFill="1" applyBorder="1" applyAlignment="1" applyProtection="1">
      <alignment horizontal="left" vertical="center"/>
      <protection/>
    </xf>
    <xf numFmtId="0" fontId="26" fillId="8" borderId="28" xfId="93" applyFont="1" applyFill="1" applyBorder="1" applyAlignment="1" applyProtection="1">
      <alignment horizontal="left" vertical="top"/>
      <protection locked="0"/>
    </xf>
    <xf numFmtId="1" fontId="15" fillId="5" borderId="0" xfId="0" applyNumberFormat="1" applyFont="1" applyFill="1" applyBorder="1" applyAlignment="1" applyProtection="1">
      <alignment horizontal="left" vertical="top"/>
      <protection/>
    </xf>
    <xf numFmtId="1" fontId="20" fillId="5" borderId="0" xfId="0" applyNumberFormat="1" applyFont="1" applyFill="1" applyBorder="1" applyAlignment="1" applyProtection="1">
      <alignment horizontal="left" vertical="top" wrapText="1"/>
      <protection/>
    </xf>
    <xf numFmtId="0" fontId="0" fillId="0" borderId="0" xfId="0" applyNumberFormat="1" applyFill="1" applyAlignment="1" applyProtection="1">
      <alignment horizontal="left"/>
      <protection/>
    </xf>
    <xf numFmtId="166" fontId="0" fillId="0" borderId="0" xfId="0" applyNumberFormat="1" applyFill="1" applyAlignment="1" applyProtection="1">
      <alignment horizontal="left"/>
      <protection/>
    </xf>
    <xf numFmtId="0" fontId="2" fillId="0" borderId="1" xfId="0" applyNumberFormat="1" applyFill="1" applyBorder="1" applyAlignment="1" applyProtection="1">
      <alignment horizontal="left"/>
      <protection/>
    </xf>
    <xf numFmtId="0" fontId="32" fillId="0" borderId="0" xfId="0" applyNumberFormat="1" applyFill="1" applyAlignment="1" applyProtection="1">
      <alignment horizontal="left" indent="1"/>
      <protection/>
    </xf>
    <xf numFmtId="0" fontId="33" fillId="0" borderId="0" xfId="0" applyNumberFormat="1" applyFill="1" applyAlignment="1" applyProtection="1">
      <alignment horizontal="left"/>
      <protection/>
    </xf>
    <xf numFmtId="0" fontId="7" fillId="0" borderId="0" xfId="0" applyNumberFormat="1" applyFill="1" applyAlignment="1" applyProtection="1">
      <alignment horizontal="left"/>
      <protection/>
    </xf>
    <xf numFmtId="0" fontId="9" fillId="0" borderId="0" xfId="0" applyNumberFormat="1" applyFill="1" applyAlignment="1" applyProtection="1">
      <alignment horizontal="right"/>
      <protection/>
    </xf>
    <xf numFmtId="0" fontId="8" fillId="0" borderId="0" xfId="0" applyNumberFormat="1" applyFill="1" applyAlignment="1" applyProtection="1">
      <alignment horizontal="right"/>
      <protection/>
    </xf>
    <xf numFmtId="166" fontId="8" fillId="0" borderId="0" xfId="0" applyNumberFormat="1" applyFill="1" applyAlignment="1" applyProtection="1">
      <alignment horizontal="right"/>
      <protection/>
    </xf>
    <xf numFmtId="49" fontId="3" fillId="0" borderId="2" xfId="0" applyNumberFormat="1" applyFill="1" applyBorder="1" applyAlignment="1" applyProtection="1">
      <alignment horizontal="left" wrapText="1"/>
      <protection/>
    </xf>
    <xf numFmtId="0" fontId="10" fillId="0" borderId="2" xfId="0" applyNumberFormat="1" applyFill="1" applyBorder="1" applyAlignment="1" applyProtection="1">
      <alignment horizontal="left"/>
      <protection/>
    </xf>
    <xf numFmtId="0" fontId="22"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xf>
    <xf numFmtId="166" fontId="10" fillId="0" borderId="0" xfId="0" applyNumberFormat="1" applyFill="1" applyAlignment="1" applyProtection="1">
      <alignment horizontal="left"/>
      <protection/>
    </xf>
    <xf numFmtId="0" fontId="3" fillId="0" borderId="2" xfId="0" applyNumberFormat="1" applyFill="1" applyBorder="1" applyAlignment="1" applyProtection="1">
      <alignment horizontal="left" wrapText="1"/>
      <protection/>
    </xf>
    <xf numFmtId="0" fontId="3" fillId="0" borderId="0" xfId="0" applyNumberFormat="1" applyFill="1" applyAlignment="1" applyProtection="1">
      <alignment horizontal="left" vertical="top" wrapText="1"/>
      <protection/>
    </xf>
    <xf numFmtId="0" fontId="24" fillId="0" borderId="0" xfId="0" applyNumberFormat="1" applyFill="1" applyAlignment="1" applyProtection="1">
      <alignment horizontal="left"/>
      <protection/>
    </xf>
    <xf numFmtId="169"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12" fillId="0" borderId="0" xfId="0" applyNumberFormat="1" applyFill="1" applyAlignment="1" applyProtection="1">
      <alignment horizontal="left" vertical="top"/>
      <protection/>
    </xf>
    <xf numFmtId="170" fontId="10" fillId="0" borderId="2" xfId="0" applyNumberFormat="1" applyFill="1" applyBorder="1" applyAlignment="1" applyProtection="1">
      <alignment horizontal="left"/>
      <protection/>
    </xf>
    <xf numFmtId="0" fontId="10" fillId="0" borderId="2" xfId="0" applyNumberFormat="1" applyFill="1" applyBorder="1" applyAlignment="1" applyProtection="1">
      <alignment horizontal="left" vertical="top"/>
      <protection/>
    </xf>
    <xf numFmtId="166" fontId="10" fillId="0" borderId="0" xfId="0" applyNumberFormat="1" applyFill="1" applyAlignment="1" applyProtection="1">
      <alignment horizontal="left" vertical="top"/>
      <protection/>
    </xf>
    <xf numFmtId="0" fontId="29" fillId="0" borderId="0" xfId="0" applyNumberFormat="1" applyFill="1" applyAlignment="1" applyProtection="1">
      <alignment horizontal="left" wrapText="1"/>
      <protection/>
    </xf>
    <xf numFmtId="0" fontId="29" fillId="0" borderId="0" xfId="0" applyNumberFormat="1" applyFill="1" applyAlignment="1" applyProtection="1">
      <alignment horizontal="left" wrapText="1"/>
      <protection/>
    </xf>
    <xf numFmtId="0"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30" fillId="0" borderId="0" xfId="0" applyNumberFormat="1" applyFill="1" applyAlignment="1" applyProtection="1">
      <alignment horizontal="left" wrapText="1"/>
      <protection/>
    </xf>
    <xf numFmtId="0" fontId="22" fillId="0" borderId="2" xfId="0" applyNumberFormat="1" applyFill="1" applyBorder="1" applyAlignment="1" applyProtection="1">
      <alignment horizontal="left"/>
      <protection/>
    </xf>
    <xf numFmtId="0" fontId="25" fillId="10" borderId="3" xfId="0" applyNumberFormat="1" applyBorder="1" applyAlignment="1" applyProtection="1">
      <alignment horizontal="left"/>
      <protection locked="0"/>
    </xf>
    <xf numFmtId="0" fontId="10" fillId="0" borderId="2" xfId="0" applyNumberFormat="1" applyFill="1" applyBorder="1" applyAlignment="1" applyProtection="1">
      <alignment horizontal="right"/>
      <protection/>
    </xf>
    <xf numFmtId="4" fontId="25" fillId="10" borderId="15" xfId="0" applyNumberFormat="1" applyBorder="1" applyAlignment="1" applyProtection="1">
      <alignment horizontal="right"/>
      <protection locked="0"/>
    </xf>
    <xf numFmtId="0" fontId="3" fillId="0" borderId="2" xfId="0" applyNumberFormat="1" applyFill="1" applyBorder="1" applyAlignment="1" applyProtection="1">
      <alignment horizontal="left"/>
      <protection/>
    </xf>
    <xf numFmtId="4" fontId="25" fillId="10" borderId="24" xfId="0" applyNumberFormat="1" applyBorder="1" applyAlignment="1" applyProtection="1">
      <alignment horizontal="left"/>
      <protection locked="0"/>
    </xf>
    <xf numFmtId="4" fontId="25" fillId="10" borderId="25" xfId="0" applyNumberFormat="1" applyBorder="1" applyAlignment="1" applyProtection="1">
      <alignment horizontal="left"/>
      <protection locked="0"/>
    </xf>
    <xf numFmtId="4" fontId="25" fillId="10" borderId="26" xfId="0" applyNumberFormat="1" applyBorder="1" applyAlignment="1" applyProtection="1">
      <alignment horizontal="left"/>
      <protection locked="0"/>
    </xf>
    <xf numFmtId="0" fontId="23"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locked="0"/>
    </xf>
    <xf numFmtId="0" fontId="26" fillId="10" borderId="3" xfId="0" applyNumberFormat="1" applyBorder="1" applyAlignment="1" applyProtection="1">
      <alignment horizontal="right"/>
      <protection locked="0"/>
    </xf>
    <xf numFmtId="166" fontId="10" fillId="0" borderId="2" xfId="0" applyNumberFormat="1" applyFill="1" applyBorder="1" applyAlignment="1" applyProtection="1">
      <alignment horizontal="left"/>
      <protection/>
    </xf>
    <xf numFmtId="167" fontId="26" fillId="10" borderId="3" xfId="0" applyNumberFormat="1" applyBorder="1" applyAlignment="1" applyProtection="1">
      <alignment horizontal="right"/>
      <protection locked="0"/>
    </xf>
    <xf numFmtId="0" fontId="12" fillId="0" borderId="0" xfId="0" applyNumberFormat="1" applyFill="1" applyAlignment="1" applyProtection="1">
      <alignment horizontal="left"/>
      <protection/>
    </xf>
    <xf numFmtId="166" fontId="24" fillId="0" borderId="0" xfId="0" applyNumberFormat="1" applyFill="1" applyAlignment="1" applyProtection="1">
      <alignment horizontal="left"/>
      <protection/>
    </xf>
    <xf numFmtId="0" fontId="12" fillId="0" borderId="0" xfId="0" applyNumberFormat="1" applyFill="1" applyAlignment="1" applyProtection="1">
      <alignment horizontal="left"/>
      <protection/>
    </xf>
    <xf numFmtId="0"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5" fontId="14" fillId="4" borderId="4" xfId="0" applyNumberFormat="1" applyBorder="1" applyAlignment="1" applyProtection="1">
      <alignment horizontal="left" wrapText="1"/>
      <protection/>
    </xf>
    <xf numFmtId="165"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166" fontId="14" fillId="9" borderId="0" xfId="0" applyNumberFormat="1" applyAlignment="1" applyProtection="1">
      <alignment horizontal="left" wrapText="1"/>
      <protection/>
    </xf>
    <xf numFmtId="1" fontId="15" fillId="11" borderId="6" xfId="0" applyNumberFormat="1" applyBorder="1" applyAlignment="1" applyProtection="1">
      <alignment horizontal="right" vertical="center"/>
      <protection/>
    </xf>
    <xf numFmtId="49" fontId="15" fillId="11" borderId="6" xfId="0" applyNumberFormat="1" applyBorder="1" applyAlignment="1" applyProtection="1">
      <alignment horizontal="left" vertical="center"/>
      <protection/>
    </xf>
    <xf numFmtId="49" fontId="15" fillId="11" borderId="6" xfId="0" applyNumberFormat="1" applyBorder="1" applyAlignment="1" applyProtection="1">
      <alignment horizontal="left" vertical="center" wrapText="1"/>
      <protection/>
    </xf>
    <xf numFmtId="49" fontId="15" fillId="11" borderId="6" xfId="0" applyNumberFormat="1" applyBorder="1" applyAlignment="1" applyProtection="1">
      <alignment horizontal="left" vertical="center"/>
      <protection/>
    </xf>
    <xf numFmtId="2" fontId="15" fillId="11" borderId="6" xfId="0" applyNumberFormat="1" applyBorder="1" applyAlignment="1" applyProtection="1">
      <alignment horizontal="right" vertical="center"/>
      <protection/>
    </xf>
    <xf numFmtId="49" fontId="15" fillId="11" borderId="8" xfId="0" applyNumberFormat="1" applyBorder="1" applyAlignment="1" applyProtection="1">
      <alignment horizontal="left" vertical="center"/>
      <protection/>
    </xf>
    <xf numFmtId="4" fontId="15" fillId="11" borderId="8" xfId="0" applyNumberFormat="1" applyBorder="1" applyAlignment="1" applyProtection="1">
      <alignment horizontal="left" vertical="center"/>
      <protection/>
    </xf>
    <xf numFmtId="49" fontId="15" fillId="11" borderId="19" xfId="0" applyNumberFormat="1" applyBorder="1" applyAlignment="1" applyProtection="1">
      <alignment horizontal="right" vertical="center"/>
      <protection/>
    </xf>
    <xf numFmtId="167" fontId="15" fillId="11" borderId="6" xfId="0" applyNumberFormat="1" applyBorder="1" applyAlignment="1" applyProtection="1">
      <alignment horizontal="left" vertical="center"/>
      <protection/>
    </xf>
    <xf numFmtId="49" fontId="16" fillId="11" borderId="6" xfId="0" applyNumberFormat="1" applyBorder="1" applyAlignment="1" applyProtection="1">
      <alignment horizontal="left" vertical="center"/>
      <protection/>
    </xf>
    <xf numFmtId="11" fontId="16" fillId="7" borderId="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xf>
    <xf numFmtId="1" fontId="12" fillId="0" borderId="0" xfId="0" applyNumberFormat="1" applyFill="1" applyAlignment="1" applyProtection="1">
      <alignment horizontal="right" vertical="center"/>
      <protection/>
    </xf>
    <xf numFmtId="0" fontId="24" fillId="0" borderId="0" xfId="0" applyNumberFormat="1" applyFill="1" applyAlignment="1" applyProtection="1">
      <alignment horizontal="left"/>
      <protection/>
    </xf>
    <xf numFmtId="0" fontId="12" fillId="0" borderId="0" xfId="0" applyNumberFormat="1" applyFill="1" applyAlignment="1" applyProtection="1">
      <alignment horizontal="right"/>
      <protection/>
    </xf>
    <xf numFmtId="166" fontId="33" fillId="9" borderId="0" xfId="0" applyNumberFormat="1" applyAlignment="1" applyProtection="1">
      <alignment horizontal="left"/>
      <protection/>
    </xf>
    <xf numFmtId="49" fontId="15" fillId="5" borderId="6" xfId="0" applyNumberFormat="1" applyBorder="1" applyAlignment="1" applyProtection="1">
      <alignment horizontal="right" vertical="center"/>
      <protection/>
    </xf>
    <xf numFmtId="0" fontId="26" fillId="8" borderId="12" xfId="0" applyNumberFormat="1" applyBorder="1" applyAlignment="1" applyProtection="1">
      <alignment horizontal="left"/>
      <protection locked="0"/>
    </xf>
    <xf numFmtId="0" fontId="26" fillId="8" borderId="28" xfId="0" applyNumberFormat="1" applyBorder="1" applyAlignment="1" applyProtection="1">
      <alignment horizontal="left"/>
      <protection locked="0"/>
    </xf>
    <xf numFmtId="0" fontId="26" fillId="8" borderId="13" xfId="0" applyNumberFormat="1" applyBorder="1" applyAlignment="1" applyProtection="1">
      <alignment horizontal="left"/>
      <protection locked="0"/>
    </xf>
    <xf numFmtId="0" fontId="26" fillId="8" borderId="16" xfId="0" applyNumberFormat="1" applyBorder="1" applyAlignment="1" applyProtection="1">
      <alignment horizontal="left"/>
      <protection locked="0"/>
    </xf>
    <xf numFmtId="172" fontId="26" fillId="8" borderId="16" xfId="0" applyNumberFormat="1" applyBorder="1" applyAlignment="1" applyProtection="1">
      <alignment horizontal="left"/>
      <protection locked="0"/>
    </xf>
    <xf numFmtId="172" fontId="26" fillId="8" borderId="17" xfId="0" applyNumberFormat="1" applyBorder="1" applyAlignment="1" applyProtection="1">
      <alignment horizontal="left"/>
      <protection locked="0"/>
    </xf>
    <xf numFmtId="167" fontId="26" fillId="8" borderId="18" xfId="0" applyNumberFormat="1" applyBorder="1" applyAlignment="1" applyProtection="1">
      <alignment horizontal="left"/>
      <protection/>
    </xf>
    <xf numFmtId="49" fontId="16" fillId="3" borderId="12" xfId="0" applyNumberFormat="1" applyBorder="1" applyAlignment="1" applyProtection="1">
      <alignment horizontal="left" vertical="center"/>
      <protection locked="0"/>
    </xf>
    <xf numFmtId="49" fontId="16" fillId="3" borderId="2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locked="0"/>
    </xf>
    <xf numFmtId="0" fontId="34" fillId="0" borderId="0" xfId="0" applyNumberFormat="1" applyFill="1" applyAlignment="1" applyProtection="1">
      <alignment horizontal="left"/>
      <protection/>
    </xf>
    <xf numFmtId="44" fontId="35" fillId="0" borderId="0" xfId="0" applyNumberFormat="1" applyFill="1" applyAlignment="1" applyProtection="1">
      <alignment horizontal="left"/>
      <protection/>
    </xf>
    <xf numFmtId="0" fontId="24" fillId="0" borderId="11" xfId="0" applyNumberFormat="1" applyFill="1" applyBorder="1" applyAlignment="1" applyProtection="1">
      <alignment horizontal="left"/>
      <protection/>
    </xf>
    <xf numFmtId="168" fontId="15" fillId="5" borderId="14" xfId="0" applyNumberFormat="1" applyBorder="1" applyAlignment="1" applyProtection="1">
      <alignment horizontal="left" vertical="center"/>
      <protection/>
    </xf>
    <xf numFmtId="0" fontId="24" fillId="0" borderId="10" xfId="0" applyNumberFormat="1" applyFill="1" applyBorder="1" applyAlignment="1" applyProtection="1">
      <alignment horizontal="left"/>
      <protection/>
    </xf>
    <xf numFmtId="168" fontId="15" fillId="5" borderId="6" xfId="0" applyNumberFormat="1" applyBorder="1" applyAlignment="1" applyProtection="1">
      <alignment horizontal="left" vertical="center"/>
      <protection/>
    </xf>
    <xf numFmtId="1" fontId="24" fillId="0" borderId="0" xfId="0" applyNumberFormat="1" applyFill="1" applyAlignment="1" applyProtection="1">
      <alignment horizontal="left"/>
      <protection/>
    </xf>
    <xf numFmtId="1" fontId="36" fillId="0" borderId="0" xfId="0" applyNumberFormat="1" applyFill="1" applyAlignment="1" applyProtection="1">
      <alignment horizontal="left"/>
      <protection/>
    </xf>
    <xf numFmtId="3" fontId="36" fillId="0" borderId="0" xfId="0" applyNumberFormat="1" applyFill="1" applyAlignment="1" applyProtection="1">
      <alignment horizontal="left"/>
      <protection/>
    </xf>
    <xf numFmtId="44" fontId="36" fillId="0" borderId="0" xfId="0" applyNumberFormat="1" applyFill="1" applyAlignment="1" applyProtection="1">
      <alignment horizontal="left"/>
      <protection/>
    </xf>
    <xf numFmtId="49" fontId="35" fillId="0" borderId="0" xfId="0" applyNumberFormat="1" applyFill="1" applyAlignment="1" applyProtection="1">
      <alignment horizontal="left"/>
      <protection/>
    </xf>
    <xf numFmtId="44" fontId="35" fillId="6" borderId="0" xfId="0" applyNumberFormat="1" applyAlignment="1" applyProtection="1">
      <alignment horizontal="left"/>
      <protection/>
    </xf>
    <xf numFmtId="44" fontId="36" fillId="6" borderId="0" xfId="0" applyNumberFormat="1" applyAlignment="1" applyProtection="1">
      <alignment horizontal="left" wrapText="1"/>
      <protection/>
    </xf>
    <xf numFmtId="44" fontId="36" fillId="6" borderId="0" xfId="0" applyNumberFormat="1" applyAlignment="1" applyProtection="1">
      <alignment horizontal="left"/>
      <protection/>
    </xf>
    <xf numFmtId="165" fontId="14" fillId="4" borderId="18" xfId="0" applyNumberFormat="1" applyBorder="1" applyAlignment="1" applyProtection="1">
      <alignment horizontal="left" vertical="center" wrapText="1"/>
      <protection/>
    </xf>
    <xf numFmtId="0" fontId="24" fillId="5" borderId="18" xfId="0" applyNumberFormat="1" applyBorder="1" applyAlignment="1" applyProtection="1">
      <alignment horizontal="left" vertical="center"/>
      <protection/>
    </xf>
    <xf numFmtId="0" fontId="17" fillId="8" borderId="12" xfId="0" applyNumberFormat="1" applyBorder="1" applyAlignment="1" applyProtection="1">
      <alignment horizontal="left" vertical="top"/>
      <protection locked="0"/>
    </xf>
    <xf numFmtId="0" fontId="26" fillId="8" borderId="28" xfId="0" applyNumberFormat="1" applyBorder="1" applyAlignment="1" applyProtection="1">
      <alignment horizontal="left" vertical="top"/>
      <protection locked="0"/>
    </xf>
    <xf numFmtId="0" fontId="17" fillId="8" borderId="13" xfId="0" applyNumberFormat="1" applyBorder="1" applyAlignment="1" applyProtection="1">
      <alignment horizontal="left" vertical="top"/>
      <protection locked="0"/>
    </xf>
    <xf numFmtId="166" fontId="17" fillId="9" borderId="0" xfId="0" applyNumberFormat="1" applyAlignment="1" applyProtection="1">
      <alignment horizontal="left" vertical="top"/>
      <protection locked="0"/>
    </xf>
    <xf numFmtId="1" fontId="20" fillId="5" borderId="0" xfId="0" applyNumberFormat="1" applyAlignment="1" applyProtection="1">
      <alignment horizontal="left" vertical="top"/>
      <protection/>
    </xf>
    <xf numFmtId="166" fontId="20" fillId="9" borderId="0" xfId="0" applyNumberFormat="1" applyAlignment="1" applyProtection="1">
      <alignment horizontal="left" vertical="top"/>
      <protection/>
    </xf>
    <xf numFmtId="1" fontId="15" fillId="5" borderId="0" xfId="0" applyNumberFormat="1" applyAlignment="1" applyProtection="1">
      <alignment horizontal="left" vertical="center" wrapText="1"/>
      <protection/>
    </xf>
    <xf numFmtId="166" fontId="15" fillId="9" borderId="0" xfId="0" applyNumberFormat="1" applyAlignment="1" applyProtection="1">
      <alignment horizontal="left" vertical="center" wrapText="1"/>
      <protection/>
    </xf>
    <xf numFmtId="1" fontId="15" fillId="5" borderId="0" xfId="0" applyNumberFormat="1" applyAlignment="1" applyProtection="1">
      <alignment horizontal="left" vertical="top" wrapText="1"/>
      <protection/>
    </xf>
    <xf numFmtId="166" fontId="15" fillId="9" borderId="0" xfId="0" applyNumberFormat="1" applyAlignment="1" applyProtection="1">
      <alignment horizontal="left" vertical="top" wrapText="1"/>
      <protection/>
    </xf>
    <xf numFmtId="1" fontId="20" fillId="5" borderId="0" xfId="0" applyNumberFormat="1" applyAlignment="1" applyProtection="1">
      <alignment horizontal="left" vertical="top" wrapText="1"/>
      <protection/>
    </xf>
    <xf numFmtId="166" fontId="20" fillId="9" borderId="0" xfId="0" applyNumberFormat="1" applyAlignment="1" applyProtection="1">
      <alignment horizontal="left" vertical="top" wrapText="1"/>
      <protection/>
    </xf>
    <xf numFmtId="1" fontId="15" fillId="5" borderId="0" xfId="0" applyNumberFormat="1" applyAlignment="1" applyProtection="1">
      <alignment horizontal="left" vertical="top"/>
      <protection/>
    </xf>
    <xf numFmtId="166" fontId="15" fillId="9" borderId="0" xfId="0" applyNumberFormat="1" applyAlignment="1" applyProtection="1">
      <alignment horizontal="left" vertical="top"/>
      <protection/>
    </xf>
    <xf numFmtId="172" fontId="15" fillId="3" borderId="8" xfId="0" applyNumberFormat="1" applyBorder="1" applyAlignment="1" applyProtection="1">
      <alignment horizontal="left" vertical="center"/>
      <protection locked="0"/>
    </xf>
    <xf numFmtId="4" fontId="15" fillId="3" borderId="8" xfId="0" applyNumberFormat="1" applyBorder="1" applyAlignment="1" applyProtection="1">
      <alignment horizontal="left" vertical="center"/>
      <protection locked="0"/>
    </xf>
    <xf numFmtId="172" fontId="15" fillId="3" borderId="19" xfId="0" applyNumberFormat="1" applyBorder="1" applyAlignment="1" applyProtection="1">
      <alignment horizontal="right" vertical="center"/>
      <protection locked="0"/>
    </xf>
    <xf numFmtId="172" fontId="15" fillId="3" borderId="6" xfId="0" applyNumberFormat="1" applyBorder="1" applyAlignment="1" applyProtection="1">
      <alignment horizontal="left" vertical="center"/>
      <protection locked="0"/>
    </xf>
    <xf numFmtId="167" fontId="15" fillId="5"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locked="0"/>
    </xf>
    <xf numFmtId="49" fontId="15" fillId="3" borderId="8" xfId="0" applyNumberFormat="1" applyBorder="1" applyAlignment="1" applyProtection="1">
      <alignment horizontal="left" vertical="center"/>
      <protection/>
    </xf>
    <xf numFmtId="4" fontId="15" fillId="3" borderId="8"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xf>
    <xf numFmtId="49" fontId="15" fillId="3"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locked="0"/>
    </xf>
    <xf numFmtId="49" fontId="15" fillId="3" borderId="6" xfId="0" applyNumberFormat="1" applyBorder="1" applyAlignment="1" applyProtection="1">
      <alignment horizontal="left" vertical="center"/>
      <protection locked="0"/>
    </xf>
    <xf numFmtId="0" fontId="0" fillId="0" borderId="20" xfId="0" applyNumberFormat="1" applyFill="1" applyBorder="1" applyAlignment="1" applyProtection="1">
      <alignment horizontal="left"/>
      <protection/>
    </xf>
    <xf numFmtId="49" fontId="0" fillId="0" borderId="0" xfId="0" applyNumberFormat="1" applyFill="1" applyAlignment="1" applyProtection="1">
      <alignment horizontal="left"/>
      <protection/>
    </xf>
    <xf numFmtId="0" fontId="0" fillId="0" borderId="21" xfId="0" applyNumberFormat="1" applyFill="1" applyBorder="1" applyAlignment="1" applyProtection="1">
      <alignment horizontal="left"/>
      <protection/>
    </xf>
  </cellXfs>
  <cellStyles count="12">
    <cellStyle name="Normal" xfId="0"/>
    <cellStyle name="Percent" xfId="15"/>
    <cellStyle name="Currency" xfId="16"/>
    <cellStyle name="Currency [0]" xfId="17"/>
    <cellStyle name="Comma" xfId="18"/>
    <cellStyle name="Comma [0]" xfId="19"/>
    <cellStyle name="Heading 1" xfId="90"/>
    <cellStyle name="Heading 3" xfId="91"/>
    <cellStyle name="Heading 4" xfId="92"/>
    <cellStyle name="Calculation" xfId="93"/>
    <cellStyle name="40% - Accent1" xfId="94"/>
    <cellStyle name="Hyperlink" xfId="95"/>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x:ext xmlns:x15="http://schemas.microsoft.com/office/spreadsheetml/2010/11/main" uri="{9260A510-F301-46a8-8635-F512D64BE5F5}">
      <x15:timelineStyles defaultTimelineStyle="TimeSlicerStyleLight1"/>
    </x: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microsoft.com/office/2006/relationships/vbaProject" Target="vbaProject.bin"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38100</xdr:colOff>
      <xdr:row>0</xdr:row>
      <xdr:rowOff>57150</xdr:rowOff>
    </xdr:from>
    <xdr:to>
      <xdr:col>3</xdr:col>
      <xdr:colOff>334053</xdr:colOff>
      <xdr:row>0</xdr:row>
      <xdr:rowOff>544041</xdr:rowOff>
    </xdr:to>
    <xdr:pic>
      <xdr:nvPicPr>
        <xdr:cNvPr id="3" name="Picture 2" descr="Seachef_Logo.jpg"/>
        <xdr:cNvPicPr>
          <a:picLocks noChangeAspect="1"/>
        </xdr:cNvPicPr>
      </xdr:nvPicPr>
      <xdr:blipFill>
        <a:blip r:embed="rId1"/>
        <a:stretch>
          <a:fillRect/>
        </a:stretch>
      </xdr:blipFill>
      <xdr:spPr>
        <a:xfrm>
          <a:off x="38100" y="57150"/>
          <a:ext cx="1704975" cy="4857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hyperlink" Target="mailto:seachef@seachef.com" TargetMode="External" /><Relationship Id="rId2" Type="http://schemas.openxmlformats.org/officeDocument/2006/relationships/drawing" Target="../drawings/drawing1.xml" /><Relationship Id="rId3"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14="http://schemas.microsoft.com/office/spreadsheetml/2009/9/main" xmlns:xm="http://schemas.microsoft.com/office/excel/2006/main" xmlns:mc="http://schemas.openxmlformats.org/markup-compatibility/2006" xmlns:x14ac="http://schemas.microsoft.com/office/spreadsheetml/2009/9/ac" xmlns:x="http://schemas.openxmlformats.org/spreadsheetml/2006/main" mc:Ignorable="x14ac">
  <sheetPr codeName="Sheet1"/>
  <dimension ref="A1:U137"/>
  <sheetViews>
    <sheetView showGridLines="0" tabSelected="1" zoomScale="90" zoomScaleNormal="90" workbookViewId="0" topLeftCell="A1">
      <selection pane="topLeft" activeCell="U3" sqref="U3 U3"/>
    </sheetView>
  </sheetViews>
  <sheetFormatPr defaultColWidth="9.140625" defaultRowHeight="15"/>
  <cols>
    <col min="1" max="1" width="7" style="147" customWidth="1"/>
    <col min="2" max="2" width="4.85714285714286" style="147" hidden="1" customWidth="1"/>
    <col min="3" max="3" width="14.1428571428571" style="147" customWidth="1"/>
    <col min="4" max="4" width="27.4285714285714" style="147" customWidth="1"/>
    <col min="5" max="5" width="16.7142857142857" style="147" hidden="1" customWidth="1"/>
    <col min="6" max="6" width="12.7142857142857" style="147" customWidth="1"/>
    <col min="7" max="7" width="9.42857142857143" style="147" customWidth="1"/>
    <col min="8" max="9" width="7.42857142857143" style="147" customWidth="1"/>
    <col min="10" max="10" width="12.2857142857143" style="147" customWidth="1"/>
    <col min="11" max="11" width="9.28571428571429" style="147" customWidth="1"/>
    <col min="12" max="12" width="2.42857142857143" style="147" hidden="1" customWidth="1"/>
    <col min="13" max="13" width="13.8571428571429" style="147" customWidth="1"/>
    <col min="14" max="14" width="9.85714285714286" style="147" customWidth="1"/>
    <col min="15" max="15" width="8.42857142857143" style="147" customWidth="1"/>
    <col min="16" max="16" width="15.2857142857143" style="147" customWidth="1"/>
    <col min="17" max="17" width="24.1428571428571" style="147" customWidth="1"/>
    <col min="18" max="18" width="8.85714285714286" style="147" hidden="1" customWidth="1"/>
    <col min="19" max="19" width="18.5714285714286" style="147" customWidth="1"/>
    <col min="20" max="20" width="9.14285714285714" style="147" hidden="1" customWidth="1"/>
    <col min="21" max="21" width="9.14285714285714" style="148" customWidth="1"/>
    <col min="22" max="22" width="9.14285714285714" style="147" customWidth="1"/>
    <col min="23" max="23" width="9.14285714285714" style="147" hidden="1" customWidth="1"/>
    <col min="24" max="16384" width="9.14285714285714" style="147" customWidth="1"/>
  </cols>
  <sheetData>
    <row r="1" spans="1:21" ht="51" customHeight="1">
      <c r="A1" s="150"/>
      <c r="B1" s="150"/>
      <c r="C1" s="150"/>
      <c r="D1" s="151"/>
      <c r="E1" s="152"/>
      <c r="F1" s="152"/>
      <c r="G1" s="152"/>
      <c r="H1" s="151"/>
      <c r="I1" s="151"/>
      <c r="J1" s="151"/>
      <c r="K1" s="152"/>
      <c r="L1" s="152"/>
      <c r="M1" s="153" t="s">
        <v>0</v>
      </c>
      <c r="N1" s="154"/>
      <c r="O1" s="154"/>
      <c r="P1" s="154"/>
      <c r="Q1" s="154"/>
      <c r="R1" s="154"/>
      <c r="S1" s="154"/>
      <c r="T1" s="154"/>
      <c r="U1" s="155"/>
    </row>
    <row r="2" ht="5.25" customHeight="1">
      <c r="U2" s="148"/>
    </row>
    <row r="3" spans="1:21" ht="15.75" customHeight="1">
      <c r="A3" s="149" t="s">
        <v>1</v>
      </c>
      <c r="B3" s="149"/>
      <c r="C3" s="149"/>
      <c r="D3" s="149"/>
      <c r="E3" s="149"/>
      <c r="U3" s="148"/>
    </row>
    <row r="4" spans="1:21" ht="22.5" customHeight="1">
      <c r="A4" s="156" t="s">
        <v>2</v>
      </c>
      <c r="B4" s="156"/>
      <c r="C4" s="156"/>
      <c r="D4" s="156"/>
      <c r="E4" s="156"/>
      <c r="F4" s="156"/>
      <c r="G4" s="156"/>
      <c r="H4" s="157"/>
      <c r="I4" s="157"/>
      <c r="J4" s="157"/>
      <c r="K4" s="147"/>
      <c r="M4" s="158" t="s">
        <v>3</v>
      </c>
      <c r="N4" s="158"/>
      <c r="O4" s="159" t="s">
        <v>4</v>
      </c>
      <c r="P4" s="159"/>
      <c r="Q4" s="159"/>
      <c r="R4" s="157"/>
      <c r="S4" s="157"/>
      <c r="T4" s="157"/>
      <c r="U4" s="160"/>
    </row>
    <row r="5" spans="1:21" ht="13.5" customHeight="1">
      <c r="A5" s="107" t="s">
        <v>5</v>
      </c>
      <c r="B5" s="107"/>
      <c r="C5" s="107"/>
      <c r="D5" s="107"/>
      <c r="E5" s="107"/>
      <c r="F5" s="107"/>
      <c r="G5" s="107"/>
      <c r="H5" s="100"/>
      <c r="I5" s="100"/>
      <c r="J5" s="100"/>
      <c r="L5" s="151"/>
      <c r="M5" s="110" t="s">
        <v>6</v>
      </c>
      <c r="N5" s="110"/>
      <c r="O5" s="159" t="s">
        <v>7</v>
      </c>
      <c r="P5" s="159"/>
      <c r="Q5" s="159"/>
      <c r="R5" s="157"/>
      <c r="S5" s="157"/>
      <c r="T5" s="157"/>
      <c r="U5" s="160"/>
    </row>
    <row r="6" spans="1:21" ht="13.5" customHeight="1">
      <c r="A6" s="161" t="s">
        <v>8</v>
      </c>
      <c r="B6" s="161"/>
      <c r="C6" s="161"/>
      <c r="D6" s="161"/>
      <c r="E6" s="161"/>
      <c r="F6" s="161"/>
      <c r="G6" s="161"/>
      <c r="H6" s="162"/>
      <c r="I6" s="162"/>
      <c r="J6" s="162"/>
      <c r="K6" s="163"/>
      <c r="L6" s="163"/>
      <c r="M6" s="158" t="s">
        <v>9</v>
      </c>
      <c r="N6" s="158"/>
      <c r="O6" s="164">
        <v>43733</v>
      </c>
      <c r="P6" s="164"/>
      <c r="Q6" s="164"/>
      <c r="R6" s="157"/>
      <c r="S6" s="157"/>
      <c r="T6" s="157"/>
      <c r="U6" s="160"/>
    </row>
    <row r="7" spans="1:21" ht="13.5" customHeight="1">
      <c r="A7" s="165" t="s">
        <v>10</v>
      </c>
      <c r="B7" s="165"/>
      <c r="C7" s="165"/>
      <c r="D7" s="165"/>
      <c r="E7" s="165"/>
      <c r="F7" s="165"/>
      <c r="G7" s="165"/>
      <c r="H7" s="162"/>
      <c r="I7" s="162"/>
      <c r="J7" s="162"/>
      <c r="K7" s="163"/>
      <c r="L7" s="163"/>
      <c r="M7" s="158"/>
      <c r="N7" s="158"/>
      <c r="O7" s="114"/>
      <c r="P7" s="114"/>
      <c r="Q7" s="114"/>
      <c r="R7" s="114"/>
      <c r="S7" s="157"/>
      <c r="T7" s="157"/>
      <c r="U7" s="160"/>
    </row>
    <row r="8" spans="1:21" ht="13.5" customHeight="1">
      <c r="A8" s="165" t="s">
        <v>11</v>
      </c>
      <c r="B8" s="165"/>
      <c r="C8" s="165"/>
      <c r="D8" s="165"/>
      <c r="E8" s="165"/>
      <c r="F8" s="165"/>
      <c r="G8" s="165"/>
      <c r="H8" s="162"/>
      <c r="I8" s="162"/>
      <c r="J8" s="162"/>
      <c r="K8" s="166"/>
      <c r="L8" s="166"/>
      <c r="M8" s="158" t="s">
        <v>12</v>
      </c>
      <c r="N8" s="158"/>
      <c r="O8" s="167">
        <v>43733</v>
      </c>
      <c r="P8" s="167"/>
      <c r="Q8" s="157"/>
      <c r="R8" s="168"/>
      <c r="S8" s="168"/>
      <c r="T8" s="168"/>
      <c r="U8" s="169"/>
    </row>
    <row r="9" spans="1:19" ht="15" customHeight="1">
      <c r="A9" s="165" t="s">
        <v>13</v>
      </c>
      <c r="B9" s="165"/>
      <c r="C9" s="165"/>
      <c r="D9" s="165"/>
      <c r="E9" s="165"/>
      <c r="F9" s="165"/>
      <c r="G9" s="165"/>
      <c r="H9" s="170"/>
      <c r="I9" s="171"/>
      <c r="J9" s="166"/>
      <c r="K9" s="166"/>
      <c r="L9" s="172" t="s">
        <v>14</v>
      </c>
      <c r="M9" s="172"/>
      <c r="N9" s="114"/>
      <c r="O9" s="114" t="s">
        <v>15</v>
      </c>
      <c r="P9" s="114"/>
      <c r="Q9" s="114"/>
      <c r="R9" s="168"/>
      <c r="S9" s="168"/>
    </row>
    <row r="10" spans="1:21" ht="15" customHeight="1">
      <c r="A10" s="173" t="s">
        <v>16</v>
      </c>
      <c r="B10" s="173" t="s">
        <v>16</v>
      </c>
      <c r="C10" s="174" t="s">
        <v>17</v>
      </c>
      <c r="D10" s="165"/>
      <c r="E10" s="165"/>
      <c r="F10" s="162"/>
      <c r="G10" s="162"/>
      <c r="H10" s="162"/>
      <c r="I10" s="162"/>
      <c r="J10" s="162"/>
      <c r="K10" s="166"/>
      <c r="L10" s="166"/>
      <c r="M10" s="175" t="s">
        <v>18</v>
      </c>
      <c r="N10" s="175"/>
      <c r="O10" s="164">
        <v>43771.5</v>
      </c>
      <c r="P10" s="164"/>
      <c r="Q10" s="172"/>
      <c r="R10" s="168"/>
      <c r="S10" s="168"/>
      <c r="T10" s="168"/>
      <c r="U10" s="169"/>
    </row>
    <row r="11" spans="1:21" ht="15" customHeight="1">
      <c r="A11" s="106" t="s">
        <v>19</v>
      </c>
      <c r="B11" s="162"/>
      <c r="C11" s="127" t="s">
        <v>20</v>
      </c>
      <c r="D11" s="127"/>
      <c r="E11" s="127"/>
      <c r="F11" s="127"/>
      <c r="G11" s="127"/>
      <c r="H11" s="162"/>
      <c r="I11" s="162"/>
      <c r="J11" s="162"/>
      <c r="K11" s="166"/>
      <c r="L11" s="166"/>
      <c r="M11" s="175" t="s">
        <v>21</v>
      </c>
      <c r="N11" s="175"/>
      <c r="O11" s="176" t="s">
        <v>22</v>
      </c>
      <c r="P11" s="177" t="s">
        <v>23</v>
      </c>
      <c r="Q11" s="178">
        <v>2</v>
      </c>
      <c r="R11" s="168"/>
      <c r="S11" s="168"/>
      <c r="T11" s="168"/>
      <c r="U11" s="169"/>
    </row>
    <row r="12" spans="1:21" ht="15.75" customHeight="1">
      <c r="A12" s="125" t="s">
        <v>24</v>
      </c>
      <c r="B12" s="125"/>
      <c r="C12" s="125"/>
      <c r="D12" s="125"/>
      <c r="E12" s="179"/>
      <c r="F12" s="179"/>
      <c r="G12" s="179"/>
      <c r="H12" s="179"/>
      <c r="I12" s="179"/>
      <c r="J12" s="179"/>
      <c r="K12" s="163"/>
      <c r="L12" s="163"/>
      <c r="M12" s="158" t="s">
        <v>25</v>
      </c>
      <c r="N12" s="158"/>
      <c r="O12" s="180" t="s">
        <v>286</v>
      </c>
      <c r="P12" s="181"/>
      <c r="Q12" s="182"/>
      <c r="R12" s="168"/>
      <c r="S12" s="168"/>
      <c r="T12" s="168"/>
      <c r="U12" s="169"/>
    </row>
    <row r="13" spans="1:21" ht="15.75" customHeight="1">
      <c r="A13" s="110" t="s">
        <v>26</v>
      </c>
      <c r="B13" s="110"/>
      <c r="C13" s="110"/>
      <c r="D13" s="159" t="s">
        <v>27</v>
      </c>
      <c r="E13" s="159"/>
      <c r="F13" s="159"/>
      <c r="G13" s="159"/>
      <c r="H13" s="159"/>
      <c r="I13" s="159"/>
      <c r="J13" s="159"/>
      <c r="K13" s="163"/>
      <c r="L13" s="163"/>
      <c r="M13" s="183"/>
      <c r="N13" s="183"/>
      <c r="O13" s="184"/>
      <c r="P13" s="184"/>
      <c r="Q13" s="184"/>
      <c r="R13" s="184"/>
      <c r="S13" s="168"/>
      <c r="T13" s="168"/>
      <c r="U13" s="169"/>
    </row>
    <row r="14" spans="1:21" ht="16.5" customHeight="1">
      <c r="A14" s="110" t="s">
        <v>28</v>
      </c>
      <c r="B14" s="110"/>
      <c r="C14" s="110"/>
      <c r="D14" s="159" t="s">
        <v>29</v>
      </c>
      <c r="E14" s="159"/>
      <c r="F14" s="159"/>
      <c r="G14" s="159"/>
      <c r="H14" s="159"/>
      <c r="I14" s="159"/>
      <c r="J14" s="159"/>
      <c r="K14" s="163"/>
      <c r="L14" s="163"/>
      <c r="M14" s="110" t="s">
        <v>30</v>
      </c>
      <c r="N14" s="110"/>
      <c r="O14" s="185" t="s">
        <v>31</v>
      </c>
      <c r="P14" s="172"/>
      <c r="Q14" s="186"/>
      <c r="R14" s="157"/>
      <c r="S14" s="168"/>
      <c r="T14" s="168"/>
      <c r="U14" s="169"/>
    </row>
    <row r="15" spans="1:21" ht="15.75" customHeight="1">
      <c r="A15" s="110" t="s">
        <v>32</v>
      </c>
      <c r="B15" s="110"/>
      <c r="C15" s="110"/>
      <c r="D15" s="159"/>
      <c r="E15" s="159"/>
      <c r="F15" s="159"/>
      <c r="G15" s="159"/>
      <c r="H15" s="159"/>
      <c r="I15" s="159"/>
      <c r="J15" s="159"/>
      <c r="K15" s="163"/>
      <c r="L15" s="163"/>
      <c r="M15" s="110" t="s">
        <v>33</v>
      </c>
      <c r="N15" s="110"/>
      <c r="O15" s="187">
        <v>0</v>
      </c>
      <c r="P15" s="22"/>
      <c r="Q15" s="186" t="s">
        <v>34</v>
      </c>
      <c r="R15" s="157"/>
      <c r="S15" s="168"/>
      <c r="T15" s="168"/>
      <c r="U15" s="169"/>
    </row>
    <row r="16" spans="1:21" ht="15.75" customHeight="1">
      <c r="A16" s="110" t="s">
        <v>35</v>
      </c>
      <c r="B16" s="110"/>
      <c r="C16" s="110"/>
      <c r="D16" s="159" t="s">
        <v>36</v>
      </c>
      <c r="E16" s="159"/>
      <c r="F16" s="159"/>
      <c r="G16" s="159"/>
      <c r="H16" s="159"/>
      <c r="I16" s="159"/>
      <c r="J16" s="159"/>
      <c r="K16" s="163"/>
      <c r="L16" s="163"/>
      <c r="M16" s="110" t="s">
        <v>37</v>
      </c>
      <c r="N16" s="110"/>
      <c r="O16" s="187">
        <v>0</v>
      </c>
      <c r="P16" s="22"/>
      <c r="Q16" s="172"/>
      <c r="R16" s="157"/>
      <c r="S16" s="168"/>
      <c r="T16" s="168"/>
      <c r="U16" s="169"/>
    </row>
    <row r="17" spans="1:21" ht="13.5" customHeight="1">
      <c r="A17" s="110" t="s">
        <v>38</v>
      </c>
      <c r="B17" s="110"/>
      <c r="C17" s="110"/>
      <c r="D17" s="159" t="s">
        <v>39</v>
      </c>
      <c r="E17" s="159"/>
      <c r="F17" s="159"/>
      <c r="G17" s="159"/>
      <c r="H17" s="159"/>
      <c r="I17" s="159"/>
      <c r="J17" s="159"/>
      <c r="K17" s="163"/>
      <c r="L17" s="163"/>
      <c r="M17" s="188"/>
      <c r="N17" s="188"/>
      <c r="O17" s="188"/>
      <c r="P17" s="188"/>
      <c r="Q17" s="188"/>
      <c r="R17" s="188"/>
      <c r="S17" s="188"/>
      <c r="T17" s="163"/>
      <c r="U17" s="189"/>
    </row>
    <row r="18" spans="1:21" ht="13.5" customHeight="1">
      <c r="A18" s="163"/>
      <c r="B18" s="163"/>
      <c r="C18" s="163"/>
      <c r="D18" s="190"/>
      <c r="E18" s="191"/>
      <c r="F18" s="191"/>
      <c r="G18" s="190"/>
      <c r="H18" s="191"/>
      <c r="I18" s="191"/>
      <c r="J18" s="191"/>
      <c r="K18" s="191"/>
      <c r="L18" s="191"/>
      <c r="M18" s="190"/>
      <c r="N18" s="192"/>
      <c r="O18" s="163"/>
      <c r="P18" s="190"/>
      <c r="Q18" s="193"/>
      <c r="R18" s="190"/>
      <c r="S18" s="193"/>
      <c r="T18" s="163"/>
      <c r="U18" s="189"/>
    </row>
    <row r="19" spans="1:21" ht="27" customHeight="1">
      <c r="A19" s="194" t="s">
        <v>40</v>
      </c>
      <c r="B19" s="195"/>
      <c r="C19" s="195" t="s">
        <v>41</v>
      </c>
      <c r="D19" s="195" t="s">
        <v>42</v>
      </c>
      <c r="E19" s="195"/>
      <c r="F19" s="196" t="s">
        <v>43</v>
      </c>
      <c r="G19" s="197" t="s">
        <v>44</v>
      </c>
      <c r="H19" s="197" t="s">
        <v>45</v>
      </c>
      <c r="I19" s="197" t="s">
        <v>46</v>
      </c>
      <c r="J19" s="197" t="s">
        <v>47</v>
      </c>
      <c r="K19" s="197" t="s">
        <v>48</v>
      </c>
      <c r="L19" s="197">
        <f>CONCATENATE("Unit Price ","( ",Currency," )")</f>
      </c>
      <c r="M19" s="197"/>
      <c r="N19" s="197" t="s">
        <v>49</v>
      </c>
      <c r="O19" s="197" t="s">
        <v>50</v>
      </c>
      <c r="P19" s="197" t="s">
        <v>51</v>
      </c>
      <c r="Q19" s="197" t="s">
        <v>52</v>
      </c>
      <c r="R19" s="197"/>
      <c r="S19" s="197" t="s">
        <v>53</v>
      </c>
      <c r="T19" s="197"/>
      <c r="U19" s="198"/>
    </row>
    <row r="20" spans="1:21" ht="15">
      <c r="A20" s="199"/>
      <c r="B20" s="199">
        <v>0</v>
      </c>
      <c r="C20" s="200" t="s">
        <v>54</v>
      </c>
      <c r="D20" s="201"/>
      <c r="E20" s="202"/>
      <c r="F20" s="200"/>
      <c r="G20" s="203"/>
      <c r="H20" s="200"/>
      <c r="I20" s="200"/>
      <c r="J20" s="202"/>
      <c r="K20" s="204"/>
      <c r="L20" s="205"/>
      <c r="M20" s="206"/>
      <c r="N20" s="202"/>
      <c r="O20" s="202"/>
      <c r="P20" s="207"/>
      <c r="Q20" s="208"/>
      <c r="R20" s="208"/>
      <c r="S20" s="208"/>
      <c r="T20" s="209"/>
      <c r="U20" s="210"/>
    </row>
    <row r="21" spans="1:21" ht="15">
      <c r="A21" s="76">
        <v>1</v>
      </c>
      <c r="B21" s="76">
        <v>99990008655297</v>
      </c>
      <c r="C21" s="77">
        <v>550291</v>
      </c>
      <c r="D21" s="78" t="s">
        <v>55</v>
      </c>
      <c r="E21" s="79"/>
      <c r="F21" s="77"/>
      <c r="G21" s="92">
        <v>0</v>
      </c>
      <c r="H21" s="80" t="s">
        <v>56</v>
      </c>
      <c r="I21" s="80"/>
      <c r="J21" s="79">
        <v>0</v>
      </c>
      <c r="K21" s="256">
        <v>12</v>
      </c>
      <c r="L21" s="257"/>
      <c r="M21" s="258">
        <v>735</v>
      </c>
      <c r="N21" s="259">
        <v>0</v>
      </c>
      <c r="O21" s="259">
        <v>0</v>
      </c>
      <c r="P21" s="260">
        <f>ROUND(((K21*M21)-(K21*M21*N21/100))+(((K21*M21)-(K21*M21*N21/100))*O21/100),2)</f>
      </c>
      <c r="Q21" s="261" t="s">
        <v>287</v>
      </c>
      <c r="R21" s="261"/>
      <c r="S21" s="81"/>
      <c r="T21" s="209"/>
      <c r="U21" s="210"/>
    </row>
    <row r="22" spans="1:21" ht="15">
      <c r="A22" s="76">
        <v>2</v>
      </c>
      <c r="B22" s="76">
        <v>99990008656633</v>
      </c>
      <c r="C22" s="77">
        <v>871804</v>
      </c>
      <c r="D22" s="78" t="s">
        <v>57</v>
      </c>
      <c r="E22" s="79"/>
      <c r="F22" s="77"/>
      <c r="G22" s="92">
        <v>0</v>
      </c>
      <c r="H22" s="80" t="s">
        <v>58</v>
      </c>
      <c r="I22" s="80"/>
      <c r="J22" s="79">
        <v>0</v>
      </c>
      <c r="K22" s="256">
        <v>3</v>
      </c>
      <c r="L22" s="257"/>
      <c r="M22" s="258">
        <v>12850</v>
      </c>
      <c r="N22" s="259">
        <v>0</v>
      </c>
      <c r="O22" s="259">
        <v>0</v>
      </c>
      <c r="P22" s="260">
        <f>ROUND(((K22*M22)-(K22*M22*N22/100))+(((K22*M22)-(K22*M22*N22/100))*O22/100),2)</f>
      </c>
      <c r="Q22" s="261"/>
      <c r="R22" s="261"/>
      <c r="S22" s="81"/>
      <c r="T22" s="209"/>
      <c r="U22" s="210"/>
    </row>
    <row r="23" spans="1:21" ht="15">
      <c r="A23" s="76">
        <v>3</v>
      </c>
      <c r="B23" s="76">
        <v>99990008656632</v>
      </c>
      <c r="C23" s="77">
        <v>871802</v>
      </c>
      <c r="D23" s="78" t="s">
        <v>59</v>
      </c>
      <c r="E23" s="79"/>
      <c r="F23" s="77"/>
      <c r="G23" s="92">
        <v>0</v>
      </c>
      <c r="H23" s="80" t="s">
        <v>58</v>
      </c>
      <c r="I23" s="80"/>
      <c r="J23" s="79">
        <v>0</v>
      </c>
      <c r="K23" s="256">
        <v>3</v>
      </c>
      <c r="L23" s="257"/>
      <c r="M23" s="258">
        <v>6450</v>
      </c>
      <c r="N23" s="259">
        <v>0</v>
      </c>
      <c r="O23" s="259">
        <v>0</v>
      </c>
      <c r="P23" s="260">
        <f>ROUND(((K23*M23)-(K23*M23*N23/100))+(((K23*M23)-(K23*M23*N23/100))*O23/100),2)</f>
      </c>
      <c r="Q23" s="261"/>
      <c r="R23" s="261"/>
      <c r="S23" s="81"/>
      <c r="T23" s="209"/>
      <c r="U23" s="210"/>
    </row>
    <row r="24" spans="1:21" ht="15">
      <c r="A24" s="76">
        <v>4</v>
      </c>
      <c r="B24" s="76">
        <v>99990009574315</v>
      </c>
      <c r="C24" s="77">
        <v>2137186</v>
      </c>
      <c r="D24" s="78" t="s">
        <v>60</v>
      </c>
      <c r="E24" s="79"/>
      <c r="F24" s="77"/>
      <c r="G24" s="92">
        <v>0</v>
      </c>
      <c r="H24" s="80" t="s">
        <v>56</v>
      </c>
      <c r="I24" s="80"/>
      <c r="J24" s="79">
        <v>0</v>
      </c>
      <c r="K24" s="256">
        <v>10</v>
      </c>
      <c r="L24" s="257"/>
      <c r="M24" s="258">
        <v>68</v>
      </c>
      <c r="N24" s="259">
        <v>0</v>
      </c>
      <c r="O24" s="259">
        <v>0</v>
      </c>
      <c r="P24" s="260">
        <f>ROUND(((K24*M24)-(K24*M24*N24/100))+(((K24*M24)-(K24*M24*N24/100))*O24/100),2)</f>
      </c>
      <c r="Q24" s="261"/>
      <c r="R24" s="261"/>
      <c r="S24" s="81"/>
      <c r="T24" s="209"/>
      <c r="U24" s="210"/>
    </row>
    <row r="25" spans="1:21" ht="15">
      <c r="A25" s="76">
        <v>5</v>
      </c>
      <c r="B25" s="76">
        <v>99990010149683</v>
      </c>
      <c r="C25" s="77">
        <v>490113</v>
      </c>
      <c r="D25" s="78" t="s">
        <v>61</v>
      </c>
      <c r="E25" s="79"/>
      <c r="F25" s="77"/>
      <c r="G25" s="92">
        <v>0</v>
      </c>
      <c r="H25" s="80" t="s">
        <v>62</v>
      </c>
      <c r="I25" s="80"/>
      <c r="J25" s="79">
        <v>0</v>
      </c>
      <c r="K25" s="256">
        <v>3</v>
      </c>
      <c r="L25" s="257"/>
      <c r="M25" s="258">
        <v>7700</v>
      </c>
      <c r="N25" s="259">
        <v>0</v>
      </c>
      <c r="O25" s="259">
        <v>0</v>
      </c>
      <c r="P25" s="260">
        <f>ROUND(((K25*M25)-(K25*M25*N25/100))+(((K25*M25)-(K25*M25*N25/100))*O25/100),2)</f>
      </c>
      <c r="Q25" s="261" t="s">
        <v>288</v>
      </c>
      <c r="R25" s="261"/>
      <c r="S25" s="81" t="s">
        <v>63</v>
      </c>
      <c r="T25" s="209"/>
      <c r="U25" s="210"/>
    </row>
    <row r="26" spans="1:21" ht="15">
      <c r="A26" s="76">
        <v>6</v>
      </c>
      <c r="B26" s="76">
        <v>99990008656624</v>
      </c>
      <c r="C26" s="77">
        <v>591602</v>
      </c>
      <c r="D26" s="78" t="s">
        <v>64</v>
      </c>
      <c r="E26" s="79"/>
      <c r="F26" s="77"/>
      <c r="G26" s="92">
        <v>0</v>
      </c>
      <c r="H26" s="80" t="s">
        <v>62</v>
      </c>
      <c r="I26" s="80"/>
      <c r="J26" s="79">
        <v>0</v>
      </c>
      <c r="K26" s="256">
        <v>1</v>
      </c>
      <c r="L26" s="257"/>
      <c r="M26" s="258">
        <v>66100</v>
      </c>
      <c r="N26" s="259">
        <v>0</v>
      </c>
      <c r="O26" s="259">
        <v>0</v>
      </c>
      <c r="P26" s="260">
        <f>ROUND(((K26*M26)-(K26*M26*N26/100))+(((K26*M26)-(K26*M26*N26/100))*O26/100),2)</f>
      </c>
      <c r="Q26" s="261" t="s">
        <v>289</v>
      </c>
      <c r="R26" s="261"/>
      <c r="S26" s="81"/>
      <c r="T26" s="209"/>
      <c r="U26" s="210"/>
    </row>
    <row r="27" spans="1:21" ht="15">
      <c r="A27" s="76">
        <v>7</v>
      </c>
      <c r="B27" s="76">
        <v>99990008655458</v>
      </c>
      <c r="C27" s="77">
        <v>174277</v>
      </c>
      <c r="D27" s="78" t="s">
        <v>65</v>
      </c>
      <c r="E27" s="79"/>
      <c r="F27" s="77"/>
      <c r="G27" s="92">
        <v>0</v>
      </c>
      <c r="H27" s="80" t="s">
        <v>56</v>
      </c>
      <c r="I27" s="80"/>
      <c r="J27" s="79">
        <v>0</v>
      </c>
      <c r="K27" s="256">
        <v>10</v>
      </c>
      <c r="L27" s="257"/>
      <c r="M27" s="258">
        <v>1700</v>
      </c>
      <c r="N27" s="259">
        <v>0</v>
      </c>
      <c r="O27" s="259">
        <v>0</v>
      </c>
      <c r="P27" s="260">
        <f>ROUND(((K27*M27)-(K27*M27*N27/100))+(((K27*M27)-(K27*M27*N27/100))*O27/100),2)</f>
      </c>
      <c r="Q27" s="261"/>
      <c r="R27" s="261"/>
      <c r="S27" s="81"/>
      <c r="T27" s="209"/>
      <c r="U27" s="210"/>
    </row>
    <row r="28" spans="1:21" ht="15">
      <c r="A28" s="76">
        <v>8</v>
      </c>
      <c r="B28" s="76">
        <v>99990008655495</v>
      </c>
      <c r="C28" s="77">
        <v>232518</v>
      </c>
      <c r="D28" s="78" t="s">
        <v>66</v>
      </c>
      <c r="E28" s="79"/>
      <c r="F28" s="77"/>
      <c r="G28" s="92">
        <v>0</v>
      </c>
      <c r="H28" s="80" t="s">
        <v>67</v>
      </c>
      <c r="I28" s="80"/>
      <c r="J28" s="79">
        <v>0</v>
      </c>
      <c r="K28" s="256">
        <v>3</v>
      </c>
      <c r="L28" s="257"/>
      <c r="M28" s="258">
        <v>8600</v>
      </c>
      <c r="N28" s="259">
        <v>0</v>
      </c>
      <c r="O28" s="259">
        <v>0</v>
      </c>
      <c r="P28" s="260">
        <f>ROUND(((K28*M28)-(K28*M28*N28/100))+(((K28*M28)-(K28*M28*N28/100))*O28/100),2)</f>
      </c>
      <c r="Q28" s="261" t="s">
        <v>290</v>
      </c>
      <c r="R28" s="261"/>
      <c r="S28" s="81"/>
      <c r="T28" s="209"/>
      <c r="U28" s="210"/>
    </row>
    <row r="29" spans="1:21" ht="15">
      <c r="A29" s="76">
        <v>9</v>
      </c>
      <c r="B29" s="76">
        <v>99990008655444</v>
      </c>
      <c r="C29" s="77">
        <v>174176</v>
      </c>
      <c r="D29" s="78" t="s">
        <v>68</v>
      </c>
      <c r="E29" s="79"/>
      <c r="F29" s="77"/>
      <c r="G29" s="92">
        <v>0</v>
      </c>
      <c r="H29" s="80" t="s">
        <v>69</v>
      </c>
      <c r="I29" s="80"/>
      <c r="J29" s="79">
        <v>0</v>
      </c>
      <c r="K29" s="256">
        <v>200</v>
      </c>
      <c r="L29" s="257"/>
      <c r="M29" s="258">
        <v>565</v>
      </c>
      <c r="N29" s="259">
        <v>0</v>
      </c>
      <c r="O29" s="259">
        <v>0</v>
      </c>
      <c r="P29" s="260">
        <f>ROUND(((K29*M29)-(K29*M29*N29/100))+(((K29*M29)-(K29*M29*N29/100))*O29/100),2)</f>
      </c>
      <c r="Q29" s="261" t="s">
        <v>291</v>
      </c>
      <c r="R29" s="261"/>
      <c r="S29" s="81"/>
      <c r="T29" s="209"/>
      <c r="U29" s="210"/>
    </row>
    <row r="30" spans="1:21" ht="15">
      <c r="A30" s="76">
        <v>10</v>
      </c>
      <c r="B30" s="76">
        <v>99990011132247</v>
      </c>
      <c r="C30" s="77">
        <v>510354</v>
      </c>
      <c r="D30" s="78" t="s">
        <v>70</v>
      </c>
      <c r="E30" s="79"/>
      <c r="F30" s="77"/>
      <c r="G30" s="92">
        <v>0</v>
      </c>
      <c r="H30" s="80" t="s">
        <v>56</v>
      </c>
      <c r="I30" s="80"/>
      <c r="J30" s="79">
        <v>0</v>
      </c>
      <c r="K30" s="256">
        <v>50</v>
      </c>
      <c r="L30" s="257"/>
      <c r="M30" s="258">
        <v>170</v>
      </c>
      <c r="N30" s="259">
        <v>0</v>
      </c>
      <c r="O30" s="259">
        <v>0</v>
      </c>
      <c r="P30" s="260">
        <f>ROUND(((K30*M30)-(K30*M30*N30/100))+(((K30*M30)-(K30*M30*N30/100))*O30/100),2)</f>
      </c>
      <c r="Q30" s="261"/>
      <c r="R30" s="261"/>
      <c r="S30" s="81"/>
      <c r="T30" s="209"/>
      <c r="U30" s="210"/>
    </row>
    <row r="31" spans="1:21" ht="15">
      <c r="A31" s="76">
        <v>11</v>
      </c>
      <c r="B31" s="76">
        <v>99990009546125</v>
      </c>
      <c r="C31" s="77">
        <v>2120895</v>
      </c>
      <c r="D31" s="78" t="s">
        <v>71</v>
      </c>
      <c r="E31" s="79"/>
      <c r="F31" s="77"/>
      <c r="G31" s="92">
        <v>0</v>
      </c>
      <c r="H31" s="80" t="s">
        <v>56</v>
      </c>
      <c r="I31" s="80"/>
      <c r="J31" s="79">
        <v>0</v>
      </c>
      <c r="K31" s="256">
        <v>2</v>
      </c>
      <c r="L31" s="257"/>
      <c r="M31" s="258">
        <v>360</v>
      </c>
      <c r="N31" s="259">
        <v>0</v>
      </c>
      <c r="O31" s="259">
        <v>0</v>
      </c>
      <c r="P31" s="260">
        <f>ROUND(((K31*M31)-(K31*M31*N31/100))+(((K31*M31)-(K31*M31*N31/100))*O31/100),2)</f>
      </c>
      <c r="Q31" s="261" t="s">
        <v>292</v>
      </c>
      <c r="R31" s="261"/>
      <c r="S31" s="81"/>
      <c r="T31" s="209"/>
      <c r="U31" s="210"/>
    </row>
    <row r="32" spans="1:21" ht="15">
      <c r="A32" s="76">
        <v>12</v>
      </c>
      <c r="B32" s="76">
        <v>99990011921596</v>
      </c>
      <c r="C32" s="77" t="s">
        <v>72</v>
      </c>
      <c r="D32" s="78" t="s">
        <v>73</v>
      </c>
      <c r="E32" s="79"/>
      <c r="F32" s="77"/>
      <c r="G32" s="92">
        <v>0</v>
      </c>
      <c r="H32" s="80" t="s">
        <v>56</v>
      </c>
      <c r="I32" s="80"/>
      <c r="J32" s="79">
        <v>0</v>
      </c>
      <c r="K32" s="256">
        <v>20</v>
      </c>
      <c r="L32" s="257"/>
      <c r="M32" s="258">
        <v>40</v>
      </c>
      <c r="N32" s="259">
        <v>0</v>
      </c>
      <c r="O32" s="259">
        <v>0</v>
      </c>
      <c r="P32" s="260">
        <f>ROUND(((K32*M32)-(K32*M32*N32/100))+(((K32*M32)-(K32*M32*N32/100))*O32/100),2)</f>
      </c>
      <c r="Q32" s="261"/>
      <c r="R32" s="261"/>
      <c r="S32" s="81"/>
      <c r="T32" s="209"/>
      <c r="U32" s="210"/>
    </row>
    <row r="33" spans="1:21" ht="15">
      <c r="A33" s="76">
        <v>13</v>
      </c>
      <c r="B33" s="76">
        <v>99990008656774</v>
      </c>
      <c r="C33" s="77">
        <v>792426</v>
      </c>
      <c r="D33" s="78" t="s">
        <v>74</v>
      </c>
      <c r="E33" s="79"/>
      <c r="F33" s="77"/>
      <c r="G33" s="92">
        <v>0</v>
      </c>
      <c r="H33" s="80" t="s">
        <v>56</v>
      </c>
      <c r="I33" s="80"/>
      <c r="J33" s="79">
        <v>0</v>
      </c>
      <c r="K33" s="256">
        <v>20</v>
      </c>
      <c r="L33" s="257"/>
      <c r="M33" s="258">
        <v>190</v>
      </c>
      <c r="N33" s="259">
        <v>0</v>
      </c>
      <c r="O33" s="259">
        <v>0</v>
      </c>
      <c r="P33" s="260">
        <f>ROUND(((K33*M33)-(K33*M33*N33/100))+(((K33*M33)-(K33*M33*N33/100))*O33/100),2)</f>
      </c>
      <c r="Q33" s="261"/>
      <c r="R33" s="261"/>
      <c r="S33" s="81"/>
      <c r="T33" s="209"/>
      <c r="U33" s="210"/>
    </row>
    <row r="34" spans="1:21" ht="15">
      <c r="A34" s="76">
        <v>14</v>
      </c>
      <c r="B34" s="76">
        <v>99990008656769</v>
      </c>
      <c r="C34" s="77">
        <v>792421</v>
      </c>
      <c r="D34" s="78" t="s">
        <v>75</v>
      </c>
      <c r="E34" s="79"/>
      <c r="F34" s="77"/>
      <c r="G34" s="92">
        <v>0</v>
      </c>
      <c r="H34" s="80" t="s">
        <v>56</v>
      </c>
      <c r="I34" s="80"/>
      <c r="J34" s="79">
        <v>0</v>
      </c>
      <c r="K34" s="256">
        <v>30</v>
      </c>
      <c r="L34" s="257"/>
      <c r="M34" s="258">
        <v>175</v>
      </c>
      <c r="N34" s="259">
        <v>0</v>
      </c>
      <c r="O34" s="259">
        <v>0</v>
      </c>
      <c r="P34" s="260">
        <f>ROUND(((K34*M34)-(K34*M34*N34/100))+(((K34*M34)-(K34*M34*N34/100))*O34/100),2)</f>
      </c>
      <c r="Q34" s="261"/>
      <c r="R34" s="261"/>
      <c r="S34" s="81"/>
      <c r="T34" s="209"/>
      <c r="U34" s="210"/>
    </row>
    <row r="35" spans="1:21" ht="15">
      <c r="A35" s="76">
        <v>15</v>
      </c>
      <c r="B35" s="76">
        <v>99990009843184</v>
      </c>
      <c r="C35" s="77">
        <v>792423</v>
      </c>
      <c r="D35" s="78" t="s">
        <v>76</v>
      </c>
      <c r="E35" s="79"/>
      <c r="F35" s="77"/>
      <c r="G35" s="92">
        <v>0</v>
      </c>
      <c r="H35" s="80" t="s">
        <v>56</v>
      </c>
      <c r="I35" s="80"/>
      <c r="J35" s="79">
        <v>0</v>
      </c>
      <c r="K35" s="256">
        <v>30</v>
      </c>
      <c r="L35" s="257"/>
      <c r="M35" s="258">
        <v>40</v>
      </c>
      <c r="N35" s="259">
        <v>0</v>
      </c>
      <c r="O35" s="259">
        <v>0</v>
      </c>
      <c r="P35" s="260">
        <f>ROUND(((K35*M35)-(K35*M35*N35/100))+(((K35*M35)-(K35*M35*N35/100))*O35/100),2)</f>
      </c>
      <c r="Q35" s="261"/>
      <c r="R35" s="261"/>
      <c r="S35" s="81"/>
      <c r="T35" s="209"/>
      <c r="U35" s="210"/>
    </row>
    <row r="36" spans="1:21" ht="15">
      <c r="A36" s="76">
        <v>16</v>
      </c>
      <c r="B36" s="76">
        <v>99990008656764</v>
      </c>
      <c r="C36" s="77">
        <v>792404</v>
      </c>
      <c r="D36" s="78" t="s">
        <v>77</v>
      </c>
      <c r="E36" s="79"/>
      <c r="F36" s="77"/>
      <c r="G36" s="92">
        <v>0</v>
      </c>
      <c r="H36" s="80" t="s">
        <v>56</v>
      </c>
      <c r="I36" s="80"/>
      <c r="J36" s="79">
        <v>0</v>
      </c>
      <c r="K36" s="256">
        <v>20</v>
      </c>
      <c r="L36" s="257"/>
      <c r="M36" s="258">
        <v>26</v>
      </c>
      <c r="N36" s="259">
        <v>0</v>
      </c>
      <c r="O36" s="259">
        <v>0</v>
      </c>
      <c r="P36" s="260">
        <f>ROUND(((K36*M36)-(K36*M36*N36/100))+(((K36*M36)-(K36*M36*N36/100))*O36/100),2)</f>
      </c>
      <c r="Q36" s="261"/>
      <c r="R36" s="261"/>
      <c r="S36" s="81"/>
      <c r="T36" s="209"/>
      <c r="U36" s="210"/>
    </row>
    <row r="37" spans="1:21" ht="15">
      <c r="A37" s="76">
        <v>17</v>
      </c>
      <c r="B37" s="76">
        <v>99990010142124</v>
      </c>
      <c r="C37" s="77">
        <v>791532</v>
      </c>
      <c r="D37" s="78" t="s">
        <v>78</v>
      </c>
      <c r="E37" s="79"/>
      <c r="F37" s="77"/>
      <c r="G37" s="92">
        <v>0</v>
      </c>
      <c r="H37" s="80" t="s">
        <v>56</v>
      </c>
      <c r="I37" s="80"/>
      <c r="J37" s="79">
        <v>0</v>
      </c>
      <c r="K37" s="256">
        <v>6</v>
      </c>
      <c r="L37" s="257"/>
      <c r="M37" s="258">
        <v>76</v>
      </c>
      <c r="N37" s="259">
        <v>0</v>
      </c>
      <c r="O37" s="259">
        <v>0</v>
      </c>
      <c r="P37" s="260">
        <f>ROUND(((K37*M37)-(K37*M37*N37/100))+(((K37*M37)-(K37*M37*N37/100))*O37/100),2)</f>
      </c>
      <c r="Q37" s="261"/>
      <c r="R37" s="261"/>
      <c r="S37" s="81"/>
      <c r="T37" s="209"/>
      <c r="U37" s="210"/>
    </row>
    <row r="38" spans="1:21" ht="15">
      <c r="A38" s="76">
        <v>18</v>
      </c>
      <c r="B38" s="76">
        <v>99990008209771</v>
      </c>
      <c r="C38" s="77">
        <v>791533</v>
      </c>
      <c r="D38" s="78" t="s">
        <v>79</v>
      </c>
      <c r="E38" s="79"/>
      <c r="F38" s="77"/>
      <c r="G38" s="92">
        <v>0</v>
      </c>
      <c r="H38" s="80" t="s">
        <v>56</v>
      </c>
      <c r="I38" s="80"/>
      <c r="J38" s="79">
        <v>0</v>
      </c>
      <c r="K38" s="256">
        <v>6</v>
      </c>
      <c r="L38" s="257"/>
      <c r="M38" s="258">
        <v>60</v>
      </c>
      <c r="N38" s="259">
        <v>0</v>
      </c>
      <c r="O38" s="259">
        <v>0</v>
      </c>
      <c r="P38" s="260">
        <f>ROUND(((K38*M38)-(K38*M38*N38/100))+(((K38*M38)-(K38*M38*N38/100))*O38/100),2)</f>
      </c>
      <c r="Q38" s="261"/>
      <c r="R38" s="261"/>
      <c r="S38" s="81"/>
      <c r="T38" s="209"/>
      <c r="U38" s="210"/>
    </row>
    <row r="39" spans="1:21" ht="15">
      <c r="A39" s="76">
        <v>19</v>
      </c>
      <c r="B39" s="76">
        <v>99990009546064</v>
      </c>
      <c r="C39" s="77">
        <v>2120835</v>
      </c>
      <c r="D39" s="78" t="s">
        <v>80</v>
      </c>
      <c r="E39" s="79"/>
      <c r="F39" s="77"/>
      <c r="G39" s="92">
        <v>0</v>
      </c>
      <c r="H39" s="80" t="s">
        <v>56</v>
      </c>
      <c r="I39" s="80"/>
      <c r="J39" s="79">
        <v>0</v>
      </c>
      <c r="K39" s="256">
        <v>4</v>
      </c>
      <c r="L39" s="257"/>
      <c r="M39" s="258">
        <v>280</v>
      </c>
      <c r="N39" s="259">
        <v>0</v>
      </c>
      <c r="O39" s="259">
        <v>0</v>
      </c>
      <c r="P39" s="260">
        <f>ROUND(((K39*M39)-(K39*M39*N39/100))+(((K39*M39)-(K39*M39*N39/100))*O39/100),2)</f>
      </c>
      <c r="Q39" s="261"/>
      <c r="R39" s="261"/>
      <c r="S39" s="81"/>
      <c r="T39" s="209"/>
      <c r="U39" s="210"/>
    </row>
    <row r="40" spans="1:21" ht="15">
      <c r="A40" s="76">
        <v>20</v>
      </c>
      <c r="B40" s="76">
        <v>99990008656683</v>
      </c>
      <c r="C40" s="77">
        <v>790676</v>
      </c>
      <c r="D40" s="78" t="s">
        <v>81</v>
      </c>
      <c r="E40" s="79"/>
      <c r="F40" s="77"/>
      <c r="G40" s="92">
        <v>0</v>
      </c>
      <c r="H40" s="80" t="s">
        <v>56</v>
      </c>
      <c r="I40" s="80"/>
      <c r="J40" s="79">
        <v>0</v>
      </c>
      <c r="K40" s="256">
        <v>30</v>
      </c>
      <c r="L40" s="257"/>
      <c r="M40" s="258">
        <v>18</v>
      </c>
      <c r="N40" s="259">
        <v>0</v>
      </c>
      <c r="O40" s="259">
        <v>0</v>
      </c>
      <c r="P40" s="260">
        <f>ROUND(((K40*M40)-(K40*M40*N40/100))+(((K40*M40)-(K40*M40*N40/100))*O40/100),2)</f>
      </c>
      <c r="Q40" s="261"/>
      <c r="R40" s="261"/>
      <c r="S40" s="81"/>
      <c r="T40" s="209"/>
      <c r="U40" s="210"/>
    </row>
    <row r="41" spans="1:21" ht="15">
      <c r="A41" s="76">
        <v>21</v>
      </c>
      <c r="B41" s="76">
        <v>99990008656680</v>
      </c>
      <c r="C41" s="77">
        <v>790606</v>
      </c>
      <c r="D41" s="78" t="s">
        <v>82</v>
      </c>
      <c r="E41" s="79"/>
      <c r="F41" s="77"/>
      <c r="G41" s="92">
        <v>0</v>
      </c>
      <c r="H41" s="80" t="s">
        <v>56</v>
      </c>
      <c r="I41" s="80"/>
      <c r="J41" s="79">
        <v>0</v>
      </c>
      <c r="K41" s="256">
        <v>30</v>
      </c>
      <c r="L41" s="257"/>
      <c r="M41" s="258">
        <v>18</v>
      </c>
      <c r="N41" s="259">
        <v>0</v>
      </c>
      <c r="O41" s="259">
        <v>0</v>
      </c>
      <c r="P41" s="260">
        <f>ROUND(((K41*M41)-(K41*M41*N41/100))+(((K41*M41)-(K41*M41*N41/100))*O41/100),2)</f>
      </c>
      <c r="Q41" s="261"/>
      <c r="R41" s="261"/>
      <c r="S41" s="81"/>
      <c r="T41" s="209"/>
      <c r="U41" s="210"/>
    </row>
    <row r="42" spans="1:21" ht="15">
      <c r="A42" s="76">
        <v>22</v>
      </c>
      <c r="B42" s="76">
        <v>99990008209340</v>
      </c>
      <c r="C42" s="77">
        <v>790691</v>
      </c>
      <c r="D42" s="78" t="s">
        <v>83</v>
      </c>
      <c r="E42" s="79"/>
      <c r="F42" s="77"/>
      <c r="G42" s="92">
        <v>0</v>
      </c>
      <c r="H42" s="80" t="s">
        <v>56</v>
      </c>
      <c r="I42" s="80"/>
      <c r="J42" s="79">
        <v>0</v>
      </c>
      <c r="K42" s="256">
        <v>30</v>
      </c>
      <c r="L42" s="257"/>
      <c r="M42" s="258">
        <v>20</v>
      </c>
      <c r="N42" s="259">
        <v>0</v>
      </c>
      <c r="O42" s="259">
        <v>0</v>
      </c>
      <c r="P42" s="260">
        <f>ROUND(((K42*M42)-(K42*M42*N42/100))+(((K42*M42)-(K42*M42*N42/100))*O42/100),2)</f>
      </c>
      <c r="Q42" s="261" t="s">
        <v>293</v>
      </c>
      <c r="R42" s="261"/>
      <c r="S42" s="81"/>
      <c r="T42" s="209"/>
      <c r="U42" s="210"/>
    </row>
    <row r="43" spans="1:21" ht="15">
      <c r="A43" s="76">
        <v>23</v>
      </c>
      <c r="B43" s="76">
        <v>99990008209328</v>
      </c>
      <c r="C43" s="77">
        <v>790612</v>
      </c>
      <c r="D43" s="78" t="s">
        <v>84</v>
      </c>
      <c r="E43" s="79"/>
      <c r="F43" s="77"/>
      <c r="G43" s="92">
        <v>0</v>
      </c>
      <c r="H43" s="80" t="s">
        <v>56</v>
      </c>
      <c r="I43" s="80"/>
      <c r="J43" s="79">
        <v>0</v>
      </c>
      <c r="K43" s="256">
        <v>30</v>
      </c>
      <c r="L43" s="257"/>
      <c r="M43" s="258">
        <v>50</v>
      </c>
      <c r="N43" s="259">
        <v>0</v>
      </c>
      <c r="O43" s="259">
        <v>0</v>
      </c>
      <c r="P43" s="260">
        <f>ROUND(((K43*M43)-(K43*M43*N43/100))+(((K43*M43)-(K43*M43*N43/100))*O43/100),2)</f>
      </c>
      <c r="Q43" s="261" t="s">
        <v>294</v>
      </c>
      <c r="R43" s="261"/>
      <c r="S43" s="81"/>
      <c r="T43" s="209"/>
      <c r="U43" s="210"/>
    </row>
    <row r="44" spans="1:21" ht="15">
      <c r="A44" s="76">
        <v>24</v>
      </c>
      <c r="B44" s="76">
        <v>99990011074650</v>
      </c>
      <c r="C44" s="77">
        <v>790565</v>
      </c>
      <c r="D44" s="78" t="s">
        <v>85</v>
      </c>
      <c r="E44" s="79"/>
      <c r="F44" s="77"/>
      <c r="G44" s="92">
        <v>0</v>
      </c>
      <c r="H44" s="80" t="s">
        <v>56</v>
      </c>
      <c r="I44" s="80"/>
      <c r="J44" s="79">
        <v>0</v>
      </c>
      <c r="K44" s="256">
        <v>30</v>
      </c>
      <c r="L44" s="257"/>
      <c r="M44" s="258">
        <v>20</v>
      </c>
      <c r="N44" s="259">
        <v>0</v>
      </c>
      <c r="O44" s="259">
        <v>0</v>
      </c>
      <c r="P44" s="260">
        <f>ROUND(((K44*M44)-(K44*M44*N44/100))+(((K44*M44)-(K44*M44*N44/100))*O44/100),2)</f>
      </c>
      <c r="Q44" s="261" t="s">
        <v>294</v>
      </c>
      <c r="R44" s="261"/>
      <c r="S44" s="81"/>
      <c r="T44" s="209"/>
      <c r="U44" s="210"/>
    </row>
    <row r="45" spans="1:21" ht="15">
      <c r="A45" s="76">
        <v>25</v>
      </c>
      <c r="B45" s="76">
        <v>99990008209271</v>
      </c>
      <c r="C45" s="77">
        <v>790544</v>
      </c>
      <c r="D45" s="78" t="s">
        <v>86</v>
      </c>
      <c r="E45" s="79"/>
      <c r="F45" s="77"/>
      <c r="G45" s="92">
        <v>0</v>
      </c>
      <c r="H45" s="80" t="s">
        <v>56</v>
      </c>
      <c r="I45" s="80"/>
      <c r="J45" s="79">
        <v>0</v>
      </c>
      <c r="K45" s="256">
        <v>10</v>
      </c>
      <c r="L45" s="257"/>
      <c r="M45" s="258">
        <v>30</v>
      </c>
      <c r="N45" s="259">
        <v>0</v>
      </c>
      <c r="O45" s="259">
        <v>0</v>
      </c>
      <c r="P45" s="260">
        <f>ROUND(((K45*M45)-(K45*M45*N45/100))+(((K45*M45)-(K45*M45*N45/100))*O45/100),2)</f>
      </c>
      <c r="Q45" s="261" t="s">
        <v>295</v>
      </c>
      <c r="R45" s="261"/>
      <c r="S45" s="81"/>
      <c r="T45" s="209"/>
      <c r="U45" s="210"/>
    </row>
    <row r="46" spans="1:21" ht="15">
      <c r="A46" s="76">
        <v>26</v>
      </c>
      <c r="B46" s="76">
        <v>99990010092094</v>
      </c>
      <c r="C46" s="77">
        <v>790549</v>
      </c>
      <c r="D46" s="78" t="s">
        <v>87</v>
      </c>
      <c r="E46" s="79"/>
      <c r="F46" s="77"/>
      <c r="G46" s="92">
        <v>0</v>
      </c>
      <c r="H46" s="80" t="s">
        <v>56</v>
      </c>
      <c r="I46" s="80"/>
      <c r="J46" s="79">
        <v>0</v>
      </c>
      <c r="K46" s="256">
        <v>10</v>
      </c>
      <c r="L46" s="257"/>
      <c r="M46" s="258">
        <v>50</v>
      </c>
      <c r="N46" s="259">
        <v>0</v>
      </c>
      <c r="O46" s="259">
        <v>0</v>
      </c>
      <c r="P46" s="260">
        <f>ROUND(((K46*M46)-(K46*M46*N46/100))+(((K46*M46)-(K46*M46*N46/100))*O46/100),2)</f>
      </c>
      <c r="Q46" s="261"/>
      <c r="R46" s="261"/>
      <c r="S46" s="81"/>
      <c r="T46" s="209"/>
      <c r="U46" s="210"/>
    </row>
    <row r="47" spans="1:21" ht="15">
      <c r="A47" s="76">
        <v>27</v>
      </c>
      <c r="B47" s="76">
        <v>99990008656673</v>
      </c>
      <c r="C47" s="77">
        <v>790501</v>
      </c>
      <c r="D47" s="78" t="s">
        <v>88</v>
      </c>
      <c r="E47" s="79"/>
      <c r="F47" s="77"/>
      <c r="G47" s="92">
        <v>0</v>
      </c>
      <c r="H47" s="80" t="s">
        <v>56</v>
      </c>
      <c r="I47" s="80"/>
      <c r="J47" s="79">
        <v>0</v>
      </c>
      <c r="K47" s="256">
        <v>30</v>
      </c>
      <c r="L47" s="257"/>
      <c r="M47" s="258">
        <v>18</v>
      </c>
      <c r="N47" s="259">
        <v>0</v>
      </c>
      <c r="O47" s="259">
        <v>0</v>
      </c>
      <c r="P47" s="260">
        <f>ROUND(((K47*M47)-(K47*M47*N47/100))+(((K47*M47)-(K47*M47*N47/100))*O47/100),2)</f>
      </c>
      <c r="Q47" s="261"/>
      <c r="R47" s="261"/>
      <c r="S47" s="81"/>
      <c r="T47" s="209"/>
      <c r="U47" s="210"/>
    </row>
    <row r="48" spans="1:21" ht="15">
      <c r="A48" s="76">
        <v>28</v>
      </c>
      <c r="B48" s="76">
        <v>99990010270445</v>
      </c>
      <c r="C48" s="77">
        <v>790924</v>
      </c>
      <c r="D48" s="78" t="s">
        <v>89</v>
      </c>
      <c r="E48" s="79"/>
      <c r="F48" s="77"/>
      <c r="G48" s="92">
        <v>0</v>
      </c>
      <c r="H48" s="80" t="s">
        <v>56</v>
      </c>
      <c r="I48" s="80"/>
      <c r="J48" s="79">
        <v>0</v>
      </c>
      <c r="K48" s="256">
        <v>10</v>
      </c>
      <c r="L48" s="257"/>
      <c r="M48" s="258">
        <v>390</v>
      </c>
      <c r="N48" s="259">
        <v>0</v>
      </c>
      <c r="O48" s="259">
        <v>0</v>
      </c>
      <c r="P48" s="260">
        <f>ROUND(((K48*M48)-(K48*M48*N48/100))+(((K48*M48)-(K48*M48*N48/100))*O48/100),2)</f>
      </c>
      <c r="Q48" s="261"/>
      <c r="R48" s="261"/>
      <c r="S48" s="81"/>
      <c r="T48" s="209"/>
      <c r="U48" s="210"/>
    </row>
    <row r="49" spans="1:21" ht="15">
      <c r="A49" s="76">
        <v>29</v>
      </c>
      <c r="B49" s="76">
        <v>99990008656793</v>
      </c>
      <c r="C49" s="77">
        <v>792951</v>
      </c>
      <c r="D49" s="78" t="s">
        <v>90</v>
      </c>
      <c r="E49" s="79"/>
      <c r="F49" s="77"/>
      <c r="G49" s="92">
        <v>0</v>
      </c>
      <c r="H49" s="80" t="s">
        <v>56</v>
      </c>
      <c r="I49" s="80"/>
      <c r="J49" s="79">
        <v>0</v>
      </c>
      <c r="K49" s="256">
        <v>10</v>
      </c>
      <c r="L49" s="257"/>
      <c r="M49" s="258">
        <v>40</v>
      </c>
      <c r="N49" s="259">
        <v>0</v>
      </c>
      <c r="O49" s="259">
        <v>0</v>
      </c>
      <c r="P49" s="260">
        <f>ROUND(((K49*M49)-(K49*M49*N49/100))+(((K49*M49)-(K49*M49*N49/100))*O49/100),2)</f>
      </c>
      <c r="Q49" s="261"/>
      <c r="R49" s="261"/>
      <c r="S49" s="81"/>
      <c r="T49" s="209"/>
      <c r="U49" s="210"/>
    </row>
    <row r="50" spans="1:21" ht="15">
      <c r="A50" s="76">
        <v>30</v>
      </c>
      <c r="B50" s="76">
        <v>99990008656734</v>
      </c>
      <c r="C50" s="77">
        <v>791502</v>
      </c>
      <c r="D50" s="78" t="s">
        <v>91</v>
      </c>
      <c r="E50" s="79"/>
      <c r="F50" s="77"/>
      <c r="G50" s="92">
        <v>0</v>
      </c>
      <c r="H50" s="80" t="s">
        <v>56</v>
      </c>
      <c r="I50" s="80"/>
      <c r="J50" s="79">
        <v>0</v>
      </c>
      <c r="K50" s="256">
        <v>40</v>
      </c>
      <c r="L50" s="257"/>
      <c r="M50" s="258">
        <v>50</v>
      </c>
      <c r="N50" s="259">
        <v>0</v>
      </c>
      <c r="O50" s="259">
        <v>0</v>
      </c>
      <c r="P50" s="260">
        <f>ROUND(((K50*M50)-(K50*M50*N50/100))+(((K50*M50)-(K50*M50*N50/100))*O50/100),2)</f>
      </c>
      <c r="Q50" s="261"/>
      <c r="R50" s="261"/>
      <c r="S50" s="81"/>
      <c r="T50" s="209"/>
      <c r="U50" s="210"/>
    </row>
    <row r="51" spans="1:21" ht="15">
      <c r="A51" s="76">
        <v>31</v>
      </c>
      <c r="B51" s="76">
        <v>99990008656736</v>
      </c>
      <c r="C51" s="77">
        <v>791504</v>
      </c>
      <c r="D51" s="78" t="s">
        <v>92</v>
      </c>
      <c r="E51" s="79"/>
      <c r="F51" s="77"/>
      <c r="G51" s="92">
        <v>0</v>
      </c>
      <c r="H51" s="80" t="s">
        <v>56</v>
      </c>
      <c r="I51" s="80"/>
      <c r="J51" s="79">
        <v>0</v>
      </c>
      <c r="K51" s="256">
        <v>40</v>
      </c>
      <c r="L51" s="257"/>
      <c r="M51" s="258">
        <v>22</v>
      </c>
      <c r="N51" s="259">
        <v>0</v>
      </c>
      <c r="O51" s="259">
        <v>0</v>
      </c>
      <c r="P51" s="260">
        <f>ROUND(((K51*M51)-(K51*M51*N51/100))+(((K51*M51)-(K51*M51*N51/100))*O51/100),2)</f>
      </c>
      <c r="Q51" s="261"/>
      <c r="R51" s="261"/>
      <c r="S51" s="81"/>
      <c r="T51" s="209"/>
      <c r="U51" s="210"/>
    </row>
    <row r="52" spans="1:21" ht="15">
      <c r="A52" s="76">
        <v>32</v>
      </c>
      <c r="B52" s="76">
        <v>99990009635241</v>
      </c>
      <c r="C52" s="77">
        <v>792068</v>
      </c>
      <c r="D52" s="78" t="s">
        <v>93</v>
      </c>
      <c r="E52" s="79"/>
      <c r="F52" s="77"/>
      <c r="G52" s="92">
        <v>0</v>
      </c>
      <c r="H52" s="80" t="s">
        <v>56</v>
      </c>
      <c r="I52" s="80"/>
      <c r="J52" s="79">
        <v>0</v>
      </c>
      <c r="K52" s="256">
        <v>2</v>
      </c>
      <c r="L52" s="257"/>
      <c r="M52" s="258">
        <v>2500</v>
      </c>
      <c r="N52" s="259">
        <v>0</v>
      </c>
      <c r="O52" s="259">
        <v>0</v>
      </c>
      <c r="P52" s="260">
        <f>ROUND(((K52*M52)-(K52*M52*N52/100))+(((K52*M52)-(K52*M52*N52/100))*O52/100),2)</f>
      </c>
      <c r="Q52" s="261"/>
      <c r="R52" s="261"/>
      <c r="S52" s="81"/>
      <c r="T52" s="209"/>
      <c r="U52" s="210"/>
    </row>
    <row r="53" spans="1:21" ht="15">
      <c r="A53" s="76">
        <v>33</v>
      </c>
      <c r="B53" s="76">
        <v>99990008655577</v>
      </c>
      <c r="C53" s="77">
        <v>510787</v>
      </c>
      <c r="D53" s="78" t="s">
        <v>94</v>
      </c>
      <c r="E53" s="79"/>
      <c r="F53" s="77"/>
      <c r="G53" s="92">
        <v>0</v>
      </c>
      <c r="H53" s="80" t="s">
        <v>56</v>
      </c>
      <c r="I53" s="80"/>
      <c r="J53" s="79">
        <v>0</v>
      </c>
      <c r="K53" s="256">
        <v>10</v>
      </c>
      <c r="L53" s="257"/>
      <c r="M53" s="258">
        <v>295</v>
      </c>
      <c r="N53" s="259">
        <v>0</v>
      </c>
      <c r="O53" s="259">
        <v>0</v>
      </c>
      <c r="P53" s="260">
        <f>ROUND(((K53*M53)-(K53*M53*N53/100))+(((K53*M53)-(K53*M53*N53/100))*O53/100),2)</f>
      </c>
      <c r="Q53" s="261"/>
      <c r="R53" s="261"/>
      <c r="S53" s="81"/>
      <c r="T53" s="209"/>
      <c r="U53" s="210"/>
    </row>
    <row r="54" spans="1:21" ht="15">
      <c r="A54" s="76">
        <v>34</v>
      </c>
      <c r="B54" s="76">
        <v>99990008655632</v>
      </c>
      <c r="C54" s="77">
        <v>614692</v>
      </c>
      <c r="D54" s="78" t="s">
        <v>95</v>
      </c>
      <c r="E54" s="79"/>
      <c r="F54" s="77"/>
      <c r="G54" s="92">
        <v>0</v>
      </c>
      <c r="H54" s="80" t="s">
        <v>96</v>
      </c>
      <c r="I54" s="80"/>
      <c r="J54" s="79">
        <v>0</v>
      </c>
      <c r="K54" s="256">
        <v>15</v>
      </c>
      <c r="L54" s="257"/>
      <c r="M54" s="258">
        <v>74</v>
      </c>
      <c r="N54" s="259">
        <v>0</v>
      </c>
      <c r="O54" s="259">
        <v>0</v>
      </c>
      <c r="P54" s="260">
        <f>ROUND(((K54*M54)-(K54*M54*N54/100))+(((K54*M54)-(K54*M54*N54/100))*O54/100),2)</f>
      </c>
      <c r="Q54" s="261"/>
      <c r="R54" s="261"/>
      <c r="S54" s="81"/>
      <c r="T54" s="209"/>
      <c r="U54" s="210"/>
    </row>
    <row r="55" spans="1:21" ht="15">
      <c r="A55" s="76">
        <v>35</v>
      </c>
      <c r="B55" s="76">
        <v>99990008655627</v>
      </c>
      <c r="C55" s="77">
        <v>614686</v>
      </c>
      <c r="D55" s="78" t="s">
        <v>97</v>
      </c>
      <c r="E55" s="79"/>
      <c r="F55" s="77"/>
      <c r="G55" s="92">
        <v>0</v>
      </c>
      <c r="H55" s="80" t="s">
        <v>96</v>
      </c>
      <c r="I55" s="80"/>
      <c r="J55" s="79">
        <v>0</v>
      </c>
      <c r="K55" s="256">
        <v>15</v>
      </c>
      <c r="L55" s="257"/>
      <c r="M55" s="258">
        <v>74</v>
      </c>
      <c r="N55" s="259">
        <v>0</v>
      </c>
      <c r="O55" s="259">
        <v>0</v>
      </c>
      <c r="P55" s="260">
        <f>ROUND(((K55*M55)-(K55*M55*N55/100))+(((K55*M55)-(K55*M55*N55/100))*O55/100),2)</f>
      </c>
      <c r="Q55" s="261"/>
      <c r="R55" s="261"/>
      <c r="S55" s="81"/>
      <c r="T55" s="209"/>
      <c r="U55" s="210"/>
    </row>
    <row r="56" spans="1:21" ht="15">
      <c r="A56" s="76">
        <v>36</v>
      </c>
      <c r="B56" s="76">
        <v>99990008656927</v>
      </c>
      <c r="C56" s="77">
        <v>450107</v>
      </c>
      <c r="D56" s="78" t="s">
        <v>98</v>
      </c>
      <c r="E56" s="79"/>
      <c r="F56" s="77"/>
      <c r="G56" s="92">
        <v>0</v>
      </c>
      <c r="H56" s="80" t="s">
        <v>99</v>
      </c>
      <c r="I56" s="80"/>
      <c r="J56" s="79">
        <v>0</v>
      </c>
      <c r="K56" s="256">
        <v>2</v>
      </c>
      <c r="L56" s="257"/>
      <c r="M56" s="258">
        <v>4050</v>
      </c>
      <c r="N56" s="259">
        <v>0</v>
      </c>
      <c r="O56" s="259">
        <v>0</v>
      </c>
      <c r="P56" s="260">
        <f>ROUND(((K56*M56)-(K56*M56*N56/100))+(((K56*M56)-(K56*M56*N56/100))*O56/100),2)</f>
      </c>
      <c r="Q56" s="261"/>
      <c r="R56" s="261"/>
      <c r="S56" s="81"/>
      <c r="T56" s="209"/>
      <c r="U56" s="210"/>
    </row>
    <row r="57" spans="1:21" ht="15">
      <c r="A57" s="76">
        <v>37</v>
      </c>
      <c r="B57" s="76">
        <v>99990008655552</v>
      </c>
      <c r="C57" s="77">
        <v>450520</v>
      </c>
      <c r="D57" s="78" t="s">
        <v>100</v>
      </c>
      <c r="E57" s="79"/>
      <c r="F57" s="77"/>
      <c r="G57" s="92">
        <v>0</v>
      </c>
      <c r="H57" s="80" t="s">
        <v>99</v>
      </c>
      <c r="I57" s="80"/>
      <c r="J57" s="79">
        <v>0</v>
      </c>
      <c r="K57" s="256">
        <v>5</v>
      </c>
      <c r="L57" s="257"/>
      <c r="M57" s="258">
        <v>625</v>
      </c>
      <c r="N57" s="259">
        <v>0</v>
      </c>
      <c r="O57" s="259">
        <v>0</v>
      </c>
      <c r="P57" s="260">
        <f>ROUND(((K57*M57)-(K57*M57*N57/100))+(((K57*M57)-(K57*M57*N57/100))*O57/100),2)</f>
      </c>
      <c r="Q57" s="261" t="s">
        <v>296</v>
      </c>
      <c r="R57" s="261"/>
      <c r="S57" s="81"/>
      <c r="T57" s="209"/>
      <c r="U57" s="210"/>
    </row>
    <row r="58" spans="1:21" ht="15">
      <c r="A58" s="76">
        <v>38</v>
      </c>
      <c r="B58" s="76">
        <v>99990008655515</v>
      </c>
      <c r="C58" s="77">
        <v>232907</v>
      </c>
      <c r="D58" s="78" t="s">
        <v>101</v>
      </c>
      <c r="E58" s="79"/>
      <c r="F58" s="77"/>
      <c r="G58" s="92">
        <v>0</v>
      </c>
      <c r="H58" s="80" t="s">
        <v>102</v>
      </c>
      <c r="I58" s="80"/>
      <c r="J58" s="79">
        <v>0</v>
      </c>
      <c r="K58" s="256">
        <v>100</v>
      </c>
      <c r="L58" s="257"/>
      <c r="M58" s="258">
        <v>215</v>
      </c>
      <c r="N58" s="259">
        <v>0</v>
      </c>
      <c r="O58" s="259">
        <v>0</v>
      </c>
      <c r="P58" s="260">
        <f>ROUND(((K58*M58)-(K58*M58*N58/100))+(((K58*M58)-(K58*M58*N58/100))*O58/100),2)</f>
      </c>
      <c r="Q58" s="261"/>
      <c r="R58" s="261"/>
      <c r="S58" s="81"/>
      <c r="T58" s="209"/>
      <c r="U58" s="210"/>
    </row>
    <row r="59" spans="1:21" ht="15">
      <c r="A59" s="76">
        <v>39</v>
      </c>
      <c r="B59" s="76">
        <v>99990008655864</v>
      </c>
      <c r="C59" s="77">
        <v>812361</v>
      </c>
      <c r="D59" s="78" t="s">
        <v>103</v>
      </c>
      <c r="E59" s="79"/>
      <c r="F59" s="77"/>
      <c r="G59" s="92">
        <v>0</v>
      </c>
      <c r="H59" s="80" t="s">
        <v>58</v>
      </c>
      <c r="I59" s="80"/>
      <c r="J59" s="79">
        <v>0</v>
      </c>
      <c r="K59" s="256">
        <v>5</v>
      </c>
      <c r="L59" s="257"/>
      <c r="M59" s="258">
        <v>2150</v>
      </c>
      <c r="N59" s="259">
        <v>0</v>
      </c>
      <c r="O59" s="259">
        <v>0</v>
      </c>
      <c r="P59" s="260">
        <f>ROUND(((K59*M59)-(K59*M59*N59/100))+(((K59*M59)-(K59*M59*N59/100))*O59/100),2)</f>
      </c>
      <c r="Q59" s="261" t="s">
        <v>297</v>
      </c>
      <c r="R59" s="261"/>
      <c r="S59" s="81"/>
      <c r="T59" s="209"/>
      <c r="U59" s="210"/>
    </row>
    <row r="60" spans="1:21" ht="15">
      <c r="A60" s="76">
        <v>40</v>
      </c>
      <c r="B60" s="76">
        <v>99990008655573</v>
      </c>
      <c r="C60" s="77">
        <v>510766</v>
      </c>
      <c r="D60" s="78" t="s">
        <v>104</v>
      </c>
      <c r="E60" s="79"/>
      <c r="F60" s="77"/>
      <c r="G60" s="92">
        <v>0</v>
      </c>
      <c r="H60" s="80" t="s">
        <v>56</v>
      </c>
      <c r="I60" s="80"/>
      <c r="J60" s="79">
        <v>0</v>
      </c>
      <c r="K60" s="256">
        <v>20</v>
      </c>
      <c r="L60" s="257"/>
      <c r="M60" s="258">
        <v>210</v>
      </c>
      <c r="N60" s="259">
        <v>0</v>
      </c>
      <c r="O60" s="259">
        <v>0</v>
      </c>
      <c r="P60" s="260">
        <f>ROUND(((K60*M60)-(K60*M60*N60/100))+(((K60*M60)-(K60*M60*N60/100))*O60/100),2)</f>
      </c>
      <c r="Q60" s="261"/>
      <c r="R60" s="261"/>
      <c r="S60" s="81"/>
      <c r="T60" s="209"/>
      <c r="U60" s="210"/>
    </row>
    <row r="61" spans="1:21" ht="15">
      <c r="A61" s="76">
        <v>41</v>
      </c>
      <c r="B61" s="76">
        <v>99990008657220</v>
      </c>
      <c r="C61" s="77">
        <v>172317</v>
      </c>
      <c r="D61" s="78" t="s">
        <v>105</v>
      </c>
      <c r="E61" s="79"/>
      <c r="F61" s="77"/>
      <c r="G61" s="92">
        <v>0</v>
      </c>
      <c r="H61" s="80" t="s">
        <v>56</v>
      </c>
      <c r="I61" s="80"/>
      <c r="J61" s="79">
        <v>0</v>
      </c>
      <c r="K61" s="256">
        <v>1</v>
      </c>
      <c r="L61" s="257"/>
      <c r="M61" s="258">
        <v>1700</v>
      </c>
      <c r="N61" s="259">
        <v>0</v>
      </c>
      <c r="O61" s="259">
        <v>0</v>
      </c>
      <c r="P61" s="260">
        <f>ROUND(((K61*M61)-(K61*M61*N61/100))+(((K61*M61)-(K61*M61*N61/100))*O61/100),2)</f>
      </c>
      <c r="Q61" s="261"/>
      <c r="R61" s="261"/>
      <c r="S61" s="81" t="s">
        <v>106</v>
      </c>
      <c r="T61" s="209"/>
      <c r="U61" s="210"/>
    </row>
    <row r="62" spans="1:21" ht="15">
      <c r="A62" s="76">
        <v>42</v>
      </c>
      <c r="B62" s="76">
        <v>99990008657216</v>
      </c>
      <c r="C62" s="77">
        <v>172293</v>
      </c>
      <c r="D62" s="78" t="s">
        <v>107</v>
      </c>
      <c r="E62" s="79"/>
      <c r="F62" s="77"/>
      <c r="G62" s="92">
        <v>0</v>
      </c>
      <c r="H62" s="80" t="s">
        <v>56</v>
      </c>
      <c r="I62" s="80"/>
      <c r="J62" s="79">
        <v>0</v>
      </c>
      <c r="K62" s="256">
        <v>5</v>
      </c>
      <c r="L62" s="257"/>
      <c r="M62" s="258">
        <v>1400</v>
      </c>
      <c r="N62" s="259">
        <v>0</v>
      </c>
      <c r="O62" s="259">
        <v>0</v>
      </c>
      <c r="P62" s="260">
        <f>ROUND(((K62*M62)-(K62*M62*N62/100))+(((K62*M62)-(K62*M62*N62/100))*O62/100),2)</f>
      </c>
      <c r="Q62" s="261" t="s">
        <v>298</v>
      </c>
      <c r="R62" s="261"/>
      <c r="S62" s="81" t="s">
        <v>108</v>
      </c>
      <c r="T62" s="209"/>
      <c r="U62" s="210"/>
    </row>
    <row r="63" spans="1:21" ht="15">
      <c r="A63" s="76">
        <v>43</v>
      </c>
      <c r="B63" s="76">
        <v>99990008657366</v>
      </c>
      <c r="C63" s="77">
        <v>174233</v>
      </c>
      <c r="D63" s="78" t="s">
        <v>109</v>
      </c>
      <c r="E63" s="79"/>
      <c r="F63" s="77"/>
      <c r="G63" s="92">
        <v>0</v>
      </c>
      <c r="H63" s="80" t="s">
        <v>69</v>
      </c>
      <c r="I63" s="80"/>
      <c r="J63" s="79">
        <v>0</v>
      </c>
      <c r="K63" s="256">
        <v>1</v>
      </c>
      <c r="L63" s="257"/>
      <c r="M63" s="258">
        <v>315</v>
      </c>
      <c r="N63" s="259">
        <v>0</v>
      </c>
      <c r="O63" s="259">
        <v>0</v>
      </c>
      <c r="P63" s="260">
        <f>ROUND(((K63*M63)-(K63*M63*N63/100))+(((K63*M63)-(K63*M63*N63/100))*O63/100),2)</f>
      </c>
      <c r="Q63" s="261" t="s">
        <v>299</v>
      </c>
      <c r="R63" s="261"/>
      <c r="S63" s="81"/>
      <c r="T63" s="209"/>
      <c r="U63" s="210"/>
    </row>
    <row r="64" spans="1:21" ht="15">
      <c r="A64" s="76">
        <v>44</v>
      </c>
      <c r="B64" s="76">
        <v>99990009566578</v>
      </c>
      <c r="C64" s="77">
        <v>2131492</v>
      </c>
      <c r="D64" s="78" t="s">
        <v>110</v>
      </c>
      <c r="E64" s="79"/>
      <c r="F64" s="77"/>
      <c r="G64" s="92">
        <v>0</v>
      </c>
      <c r="H64" s="80" t="s">
        <v>69</v>
      </c>
      <c r="I64" s="80"/>
      <c r="J64" s="79">
        <v>0</v>
      </c>
      <c r="K64" s="256">
        <v>100</v>
      </c>
      <c r="L64" s="257"/>
      <c r="M64" s="258">
        <v>635</v>
      </c>
      <c r="N64" s="259">
        <v>0</v>
      </c>
      <c r="O64" s="259">
        <v>0</v>
      </c>
      <c r="P64" s="260">
        <f>ROUND(((K64*M64)-(K64*M64*N64/100))+(((K64*M64)-(K64*M64*N64/100))*O64/100),2)</f>
      </c>
      <c r="Q64" s="261" t="s">
        <v>300</v>
      </c>
      <c r="R64" s="261"/>
      <c r="S64" s="81"/>
      <c r="T64" s="209"/>
      <c r="U64" s="210"/>
    </row>
    <row r="65" spans="1:21" ht="15">
      <c r="A65" s="76">
        <v>45</v>
      </c>
      <c r="B65" s="76">
        <v>99990008655455</v>
      </c>
      <c r="C65" s="77">
        <v>174272</v>
      </c>
      <c r="D65" s="78" t="s">
        <v>111</v>
      </c>
      <c r="E65" s="79"/>
      <c r="F65" s="77"/>
      <c r="G65" s="92">
        <v>0</v>
      </c>
      <c r="H65" s="80" t="s">
        <v>56</v>
      </c>
      <c r="I65" s="80"/>
      <c r="J65" s="79">
        <v>0</v>
      </c>
      <c r="K65" s="256">
        <v>10</v>
      </c>
      <c r="L65" s="257"/>
      <c r="M65" s="258">
        <v>190</v>
      </c>
      <c r="N65" s="259">
        <v>0</v>
      </c>
      <c r="O65" s="259">
        <v>0</v>
      </c>
      <c r="P65" s="260">
        <f>ROUND(((K65*M65)-(K65*M65*N65/100))+(((K65*M65)-(K65*M65*N65/100))*O65/100),2)</f>
      </c>
      <c r="Q65" s="261"/>
      <c r="R65" s="261"/>
      <c r="S65" s="81"/>
      <c r="T65" s="209"/>
      <c r="U65" s="210"/>
    </row>
    <row r="66" spans="1:21" ht="15">
      <c r="A66" s="76">
        <v>46</v>
      </c>
      <c r="B66" s="76">
        <v>99990008657341</v>
      </c>
      <c r="C66" s="77">
        <v>174090</v>
      </c>
      <c r="D66" s="78" t="s">
        <v>112</v>
      </c>
      <c r="E66" s="79"/>
      <c r="F66" s="77"/>
      <c r="G66" s="92">
        <v>0</v>
      </c>
      <c r="H66" s="80" t="s">
        <v>56</v>
      </c>
      <c r="I66" s="80"/>
      <c r="J66" s="79">
        <v>0</v>
      </c>
      <c r="K66" s="256">
        <v>20</v>
      </c>
      <c r="L66" s="257"/>
      <c r="M66" s="258">
        <v>110</v>
      </c>
      <c r="N66" s="259">
        <v>0</v>
      </c>
      <c r="O66" s="259">
        <v>0</v>
      </c>
      <c r="P66" s="260">
        <f>ROUND(((K66*M66)-(K66*M66*N66/100))+(((K66*M66)-(K66*M66*N66/100))*O66/100),2)</f>
      </c>
      <c r="Q66" s="261" t="s">
        <v>301</v>
      </c>
      <c r="R66" s="261"/>
      <c r="S66" s="81"/>
      <c r="T66" s="209"/>
      <c r="U66" s="210"/>
    </row>
    <row r="67" spans="1:21" ht="15">
      <c r="A67" s="76">
        <v>47</v>
      </c>
      <c r="B67" s="76">
        <v>99990009658881</v>
      </c>
      <c r="C67" s="77">
        <v>2167412</v>
      </c>
      <c r="D67" s="78" t="s">
        <v>113</v>
      </c>
      <c r="E67" s="79"/>
      <c r="F67" s="77"/>
      <c r="G67" s="92">
        <v>0</v>
      </c>
      <c r="H67" s="80" t="s">
        <v>62</v>
      </c>
      <c r="I67" s="80"/>
      <c r="J67" s="79">
        <v>0</v>
      </c>
      <c r="K67" s="256">
        <v>1</v>
      </c>
      <c r="L67" s="257"/>
      <c r="M67" s="258">
        <v>37150</v>
      </c>
      <c r="N67" s="259">
        <v>0</v>
      </c>
      <c r="O67" s="259">
        <v>0</v>
      </c>
      <c r="P67" s="260">
        <f>ROUND(((K67*M67)-(K67*M67*N67/100))+(((K67*M67)-(K67*M67*N67/100))*O67/100),2)</f>
      </c>
      <c r="Q67" s="261" t="s">
        <v>302</v>
      </c>
      <c r="R67" s="261"/>
      <c r="S67" s="81"/>
      <c r="T67" s="209"/>
      <c r="U67" s="210"/>
    </row>
    <row r="68" spans="1:21" ht="15">
      <c r="A68" s="76">
        <v>48</v>
      </c>
      <c r="B68" s="76">
        <v>99990008180516</v>
      </c>
      <c r="C68" s="77">
        <v>351736</v>
      </c>
      <c r="D68" s="78" t="s">
        <v>114</v>
      </c>
      <c r="E68" s="79"/>
      <c r="F68" s="77"/>
      <c r="G68" s="92">
        <v>0</v>
      </c>
      <c r="H68" s="80" t="s">
        <v>56</v>
      </c>
      <c r="I68" s="80"/>
      <c r="J68" s="79">
        <v>0</v>
      </c>
      <c r="K68" s="256">
        <v>2</v>
      </c>
      <c r="L68" s="257"/>
      <c r="M68" s="258">
        <v>2200</v>
      </c>
      <c r="N68" s="259">
        <v>0</v>
      </c>
      <c r="O68" s="259">
        <v>0</v>
      </c>
      <c r="P68" s="260">
        <f>ROUND(((K68*M68)-(K68*M68*N68/100))+(((K68*M68)-(K68*M68*N68/100))*O68/100),2)</f>
      </c>
      <c r="Q68" s="261"/>
      <c r="R68" s="261"/>
      <c r="S68" s="81"/>
      <c r="T68" s="209"/>
      <c r="U68" s="210"/>
    </row>
    <row r="69" spans="1:21" ht="15">
      <c r="A69" s="76">
        <v>49</v>
      </c>
      <c r="B69" s="76">
        <v>99990008657484</v>
      </c>
      <c r="C69" s="77">
        <v>352035</v>
      </c>
      <c r="D69" s="78" t="s">
        <v>115</v>
      </c>
      <c r="E69" s="79"/>
      <c r="F69" s="77"/>
      <c r="G69" s="92">
        <v>0</v>
      </c>
      <c r="H69" s="80" t="s">
        <v>56</v>
      </c>
      <c r="I69" s="80"/>
      <c r="J69" s="79">
        <v>0</v>
      </c>
      <c r="K69" s="256">
        <v>2</v>
      </c>
      <c r="L69" s="257"/>
      <c r="M69" s="258">
        <v>2650</v>
      </c>
      <c r="N69" s="259">
        <v>0</v>
      </c>
      <c r="O69" s="259">
        <v>0</v>
      </c>
      <c r="P69" s="260">
        <f>ROUND(((K69*M69)-(K69*M69*N69/100))+(((K69*M69)-(K69*M69*N69/100))*O69/100),2)</f>
      </c>
      <c r="Q69" s="261"/>
      <c r="R69" s="261"/>
      <c r="S69" s="81"/>
      <c r="T69" s="209"/>
      <c r="U69" s="210"/>
    </row>
    <row r="70" spans="1:21" ht="15">
      <c r="A70" s="76">
        <v>50</v>
      </c>
      <c r="B70" s="76">
        <v>99990008657454</v>
      </c>
      <c r="C70" s="77">
        <v>350362</v>
      </c>
      <c r="D70" s="78" t="s">
        <v>116</v>
      </c>
      <c r="E70" s="79"/>
      <c r="F70" s="77"/>
      <c r="G70" s="92">
        <v>0</v>
      </c>
      <c r="H70" s="80" t="s">
        <v>117</v>
      </c>
      <c r="I70" s="80"/>
      <c r="J70" s="79">
        <v>0</v>
      </c>
      <c r="K70" s="256">
        <v>30</v>
      </c>
      <c r="L70" s="257"/>
      <c r="M70" s="258">
        <v>1750</v>
      </c>
      <c r="N70" s="259">
        <v>0</v>
      </c>
      <c r="O70" s="259">
        <v>0</v>
      </c>
      <c r="P70" s="260">
        <f>ROUND(((K70*M70)-(K70*M70*N70/100))+(((K70*M70)-(K70*M70*N70/100))*O70/100),2)</f>
      </c>
      <c r="Q70" s="261"/>
      <c r="R70" s="261"/>
      <c r="S70" s="81"/>
      <c r="T70" s="209"/>
      <c r="U70" s="210"/>
    </row>
    <row r="71" spans="1:21" ht="15">
      <c r="A71" s="76">
        <v>51</v>
      </c>
      <c r="B71" s="76">
        <v>99990009684125</v>
      </c>
      <c r="C71" s="77">
        <v>652655</v>
      </c>
      <c r="D71" s="78" t="s">
        <v>118</v>
      </c>
      <c r="E71" s="79"/>
      <c r="F71" s="77"/>
      <c r="G71" s="92">
        <v>0</v>
      </c>
      <c r="H71" s="80" t="s">
        <v>119</v>
      </c>
      <c r="I71" s="80"/>
      <c r="J71" s="79">
        <v>0</v>
      </c>
      <c r="K71" s="256">
        <v>4</v>
      </c>
      <c r="L71" s="257"/>
      <c r="M71" s="258">
        <v>2350</v>
      </c>
      <c r="N71" s="259">
        <v>0</v>
      </c>
      <c r="O71" s="259">
        <v>0</v>
      </c>
      <c r="P71" s="260">
        <f>ROUND(((K71*M71)-(K71*M71*N71/100))+(((K71*M71)-(K71*M71*N71/100))*O71/100),2)</f>
      </c>
      <c r="Q71" s="261"/>
      <c r="R71" s="261"/>
      <c r="S71" s="81"/>
      <c r="T71" s="209"/>
      <c r="U71" s="210"/>
    </row>
    <row r="72" spans="1:21" ht="15">
      <c r="A72" s="76">
        <v>52</v>
      </c>
      <c r="B72" s="76">
        <v>99990009813402</v>
      </c>
      <c r="C72" s="77">
        <v>672131</v>
      </c>
      <c r="D72" s="78" t="s">
        <v>120</v>
      </c>
      <c r="E72" s="79"/>
      <c r="F72" s="77"/>
      <c r="G72" s="92">
        <v>0</v>
      </c>
      <c r="H72" s="80" t="s">
        <v>121</v>
      </c>
      <c r="I72" s="80"/>
      <c r="J72" s="79">
        <v>0</v>
      </c>
      <c r="K72" s="256">
        <v>1</v>
      </c>
      <c r="L72" s="257"/>
      <c r="M72" s="258">
        <v>50550</v>
      </c>
      <c r="N72" s="259">
        <v>0</v>
      </c>
      <c r="O72" s="259">
        <v>0</v>
      </c>
      <c r="P72" s="260">
        <f>ROUND(((K72*M72)-(K72*M72*N72/100))+(((K72*M72)-(K72*M72*N72/100))*O72/100),2)</f>
      </c>
      <c r="Q72" s="261"/>
      <c r="R72" s="261"/>
      <c r="S72" s="81"/>
      <c r="T72" s="209"/>
      <c r="U72" s="210"/>
    </row>
    <row r="73" spans="1:21" ht="15">
      <c r="A73" s="76">
        <v>53</v>
      </c>
      <c r="B73" s="76">
        <v>99990008657513</v>
      </c>
      <c r="C73" s="77">
        <v>671863</v>
      </c>
      <c r="D73" s="78" t="s">
        <v>122</v>
      </c>
      <c r="E73" s="79"/>
      <c r="F73" s="77"/>
      <c r="G73" s="92">
        <v>0</v>
      </c>
      <c r="H73" s="80" t="s">
        <v>102</v>
      </c>
      <c r="I73" s="80"/>
      <c r="J73" s="79">
        <v>0</v>
      </c>
      <c r="K73" s="256">
        <v>10</v>
      </c>
      <c r="L73" s="257"/>
      <c r="M73" s="258">
        <v>3150</v>
      </c>
      <c r="N73" s="259">
        <v>0</v>
      </c>
      <c r="O73" s="259">
        <v>0</v>
      </c>
      <c r="P73" s="260">
        <f>ROUND(((K73*M73)-(K73*M73*N73/100))+(((K73*M73)-(K73*M73*N73/100))*O73/100),2)</f>
      </c>
      <c r="Q73" s="261"/>
      <c r="R73" s="261"/>
      <c r="S73" s="81"/>
      <c r="T73" s="209"/>
      <c r="U73" s="210"/>
    </row>
    <row r="74" spans="1:21" ht="15">
      <c r="A74" s="76">
        <v>54</v>
      </c>
      <c r="B74" s="76">
        <v>99990010171735</v>
      </c>
      <c r="C74" s="77">
        <v>813120</v>
      </c>
      <c r="D74" s="78" t="s">
        <v>123</v>
      </c>
      <c r="E74" s="79"/>
      <c r="F74" s="77"/>
      <c r="G74" s="92">
        <v>0</v>
      </c>
      <c r="H74" s="80" t="s">
        <v>96</v>
      </c>
      <c r="I74" s="80"/>
      <c r="J74" s="79">
        <v>0</v>
      </c>
      <c r="K74" s="256">
        <v>2</v>
      </c>
      <c r="L74" s="257"/>
      <c r="M74" s="258">
        <v>3700</v>
      </c>
      <c r="N74" s="259">
        <v>0</v>
      </c>
      <c r="O74" s="259">
        <v>0</v>
      </c>
      <c r="P74" s="260">
        <f>ROUND(((K74*M74)-(K74*M74*N74/100))+(((K74*M74)-(K74*M74*N74/100))*O74/100),2)</f>
      </c>
      <c r="Q74" s="261"/>
      <c r="R74" s="261"/>
      <c r="S74" s="81"/>
      <c r="T74" s="209"/>
      <c r="U74" s="210"/>
    </row>
    <row r="75" spans="1:21" ht="15">
      <c r="A75" s="76">
        <v>55</v>
      </c>
      <c r="B75" s="76">
        <v>99990010101240</v>
      </c>
      <c r="C75" s="77">
        <v>811701</v>
      </c>
      <c r="D75" s="78" t="s">
        <v>124</v>
      </c>
      <c r="E75" s="79"/>
      <c r="F75" s="77"/>
      <c r="G75" s="92">
        <v>0</v>
      </c>
      <c r="H75" s="80" t="s">
        <v>117</v>
      </c>
      <c r="I75" s="80"/>
      <c r="J75" s="79">
        <v>0</v>
      </c>
      <c r="K75" s="256">
        <v>10</v>
      </c>
      <c r="L75" s="257"/>
      <c r="M75" s="258">
        <v>685</v>
      </c>
      <c r="N75" s="259">
        <v>0</v>
      </c>
      <c r="O75" s="259">
        <v>0</v>
      </c>
      <c r="P75" s="260">
        <f>ROUND(((K75*M75)-(K75*M75*N75/100))+(((K75*M75)-(K75*M75*N75/100))*O75/100),2)</f>
      </c>
      <c r="Q75" s="261"/>
      <c r="R75" s="261"/>
      <c r="S75" s="81"/>
      <c r="T75" s="209"/>
      <c r="U75" s="210"/>
    </row>
    <row r="76" spans="1:21" ht="15">
      <c r="A76" s="76">
        <v>56</v>
      </c>
      <c r="B76" s="76">
        <v>99990009553287</v>
      </c>
      <c r="C76" s="77">
        <v>2123908</v>
      </c>
      <c r="D76" s="78" t="s">
        <v>125</v>
      </c>
      <c r="E76" s="79"/>
      <c r="F76" s="77"/>
      <c r="G76" s="92">
        <v>0</v>
      </c>
      <c r="H76" s="80" t="s">
        <v>126</v>
      </c>
      <c r="I76" s="80"/>
      <c r="J76" s="79">
        <v>0</v>
      </c>
      <c r="K76" s="256">
        <v>2</v>
      </c>
      <c r="L76" s="257"/>
      <c r="M76" s="258">
        <v>3900</v>
      </c>
      <c r="N76" s="259">
        <v>0</v>
      </c>
      <c r="O76" s="259">
        <v>0</v>
      </c>
      <c r="P76" s="260">
        <f>ROUND(((K76*M76)-(K76*M76*N76/100))+(((K76*M76)-(K76*M76*N76/100))*O76/100),2)</f>
      </c>
      <c r="Q76" s="261"/>
      <c r="R76" s="261"/>
      <c r="S76" s="81"/>
      <c r="T76" s="209"/>
      <c r="U76" s="210"/>
    </row>
    <row r="77" spans="1:21" ht="15">
      <c r="A77" s="76">
        <v>57</v>
      </c>
      <c r="B77" s="76">
        <v>99990008655872</v>
      </c>
      <c r="C77" s="77">
        <v>510166</v>
      </c>
      <c r="D77" s="78" t="s">
        <v>127</v>
      </c>
      <c r="E77" s="79"/>
      <c r="F77" s="77"/>
      <c r="G77" s="92">
        <v>0</v>
      </c>
      <c r="H77" s="80" t="s">
        <v>56</v>
      </c>
      <c r="I77" s="80"/>
      <c r="J77" s="79">
        <v>0</v>
      </c>
      <c r="K77" s="256">
        <v>50</v>
      </c>
      <c r="L77" s="257"/>
      <c r="M77" s="258">
        <v>58</v>
      </c>
      <c r="N77" s="259">
        <v>0</v>
      </c>
      <c r="O77" s="259">
        <v>0</v>
      </c>
      <c r="P77" s="260">
        <f>ROUND(((K77*M77)-(K77*M77*N77/100))+(((K77*M77)-(K77*M77*N77/100))*O77/100),2)</f>
      </c>
      <c r="Q77" s="261"/>
      <c r="R77" s="261"/>
      <c r="S77" s="81"/>
      <c r="T77" s="209"/>
      <c r="U77" s="210"/>
    </row>
    <row r="78" spans="1:21" ht="15">
      <c r="A78" s="76">
        <v>58</v>
      </c>
      <c r="B78" s="76">
        <v>99990008655906</v>
      </c>
      <c r="C78" s="77">
        <v>510462</v>
      </c>
      <c r="D78" s="78" t="s">
        <v>128</v>
      </c>
      <c r="E78" s="79"/>
      <c r="F78" s="77"/>
      <c r="G78" s="92">
        <v>0</v>
      </c>
      <c r="H78" s="80" t="s">
        <v>56</v>
      </c>
      <c r="I78" s="80"/>
      <c r="J78" s="79">
        <v>0</v>
      </c>
      <c r="K78" s="256">
        <v>100</v>
      </c>
      <c r="L78" s="257"/>
      <c r="M78" s="258">
        <v>34</v>
      </c>
      <c r="N78" s="259">
        <v>0</v>
      </c>
      <c r="O78" s="259">
        <v>0</v>
      </c>
      <c r="P78" s="260">
        <f>ROUND(((K78*M78)-(K78*M78*N78/100))+(((K78*M78)-(K78*M78*N78/100))*O78/100),2)</f>
      </c>
      <c r="Q78" s="261"/>
      <c r="R78" s="261"/>
      <c r="S78" s="81"/>
      <c r="T78" s="209"/>
      <c r="U78" s="210"/>
    </row>
    <row r="79" spans="1:21" ht="15">
      <c r="A79" s="76">
        <v>59</v>
      </c>
      <c r="B79" s="76">
        <v>99990008655924</v>
      </c>
      <c r="C79" s="77">
        <v>510662</v>
      </c>
      <c r="D79" s="78" t="s">
        <v>129</v>
      </c>
      <c r="E79" s="79"/>
      <c r="F79" s="77"/>
      <c r="G79" s="92">
        <v>0</v>
      </c>
      <c r="H79" s="80" t="s">
        <v>56</v>
      </c>
      <c r="I79" s="80"/>
      <c r="J79" s="79">
        <v>0</v>
      </c>
      <c r="K79" s="256">
        <v>5</v>
      </c>
      <c r="L79" s="257"/>
      <c r="M79" s="258">
        <v>52</v>
      </c>
      <c r="N79" s="259">
        <v>0</v>
      </c>
      <c r="O79" s="259">
        <v>0</v>
      </c>
      <c r="P79" s="260">
        <f>ROUND(((K79*M79)-(K79*M79*N79/100))+(((K79*M79)-(K79*M79*N79/100))*O79/100),2)</f>
      </c>
      <c r="Q79" s="261"/>
      <c r="R79" s="261"/>
      <c r="S79" s="81"/>
      <c r="T79" s="209"/>
      <c r="U79" s="210"/>
    </row>
    <row r="80" spans="1:21" ht="15">
      <c r="A80" s="76">
        <v>60</v>
      </c>
      <c r="B80" s="76">
        <v>99990008656059</v>
      </c>
      <c r="C80" s="77">
        <v>231182</v>
      </c>
      <c r="D80" s="78" t="s">
        <v>130</v>
      </c>
      <c r="E80" s="79"/>
      <c r="F80" s="77"/>
      <c r="G80" s="92">
        <v>0</v>
      </c>
      <c r="H80" s="80" t="s">
        <v>56</v>
      </c>
      <c r="I80" s="80"/>
      <c r="J80" s="79">
        <v>0</v>
      </c>
      <c r="K80" s="256">
        <v>6</v>
      </c>
      <c r="L80" s="257"/>
      <c r="M80" s="258">
        <v>4850</v>
      </c>
      <c r="N80" s="259">
        <v>0</v>
      </c>
      <c r="O80" s="259">
        <v>0</v>
      </c>
      <c r="P80" s="260">
        <f>ROUND(((K80*M80)-(K80*M80*N80/100))+(((K80*M80)-(K80*M80*N80/100))*O80/100),2)</f>
      </c>
      <c r="Q80" s="261"/>
      <c r="R80" s="261"/>
      <c r="S80" s="81"/>
      <c r="T80" s="209"/>
      <c r="U80" s="210"/>
    </row>
    <row r="81" spans="1:21" ht="15">
      <c r="A81" s="76">
        <v>61</v>
      </c>
      <c r="B81" s="76">
        <v>99990010272015</v>
      </c>
      <c r="C81" s="77" t="s">
        <v>131</v>
      </c>
      <c r="D81" s="78" t="s">
        <v>132</v>
      </c>
      <c r="E81" s="79"/>
      <c r="F81" s="77"/>
      <c r="G81" s="92">
        <v>0</v>
      </c>
      <c r="H81" s="80" t="s">
        <v>56</v>
      </c>
      <c r="I81" s="80"/>
      <c r="J81" s="79">
        <v>0</v>
      </c>
      <c r="K81" s="256">
        <v>4</v>
      </c>
      <c r="L81" s="257"/>
      <c r="M81" s="258">
        <v>3900</v>
      </c>
      <c r="N81" s="259">
        <v>0</v>
      </c>
      <c r="O81" s="259">
        <v>0</v>
      </c>
      <c r="P81" s="260">
        <f>ROUND(((K81*M81)-(K81*M81*N81/100))+(((K81*M81)-(K81*M81*N81/100))*O81/100),2)</f>
      </c>
      <c r="Q81" s="261" t="s">
        <v>303</v>
      </c>
      <c r="R81" s="261"/>
      <c r="S81" s="81"/>
      <c r="T81" s="209"/>
      <c r="U81" s="210"/>
    </row>
    <row r="82" spans="1:21" ht="15">
      <c r="A82" s="76">
        <v>62</v>
      </c>
      <c r="B82" s="76">
        <v>99990010305804</v>
      </c>
      <c r="C82" s="77">
        <v>2356573</v>
      </c>
      <c r="D82" s="78" t="s">
        <v>133</v>
      </c>
      <c r="E82" s="79"/>
      <c r="F82" s="77"/>
      <c r="G82" s="92">
        <v>0</v>
      </c>
      <c r="H82" s="80" t="s">
        <v>56</v>
      </c>
      <c r="I82" s="80"/>
      <c r="J82" s="79">
        <v>0</v>
      </c>
      <c r="K82" s="256">
        <v>1</v>
      </c>
      <c r="L82" s="257"/>
      <c r="M82" s="258">
        <v>0</v>
      </c>
      <c r="N82" s="259">
        <v>0</v>
      </c>
      <c r="O82" s="259">
        <v>0</v>
      </c>
      <c r="P82" s="260">
        <f>ROUND(((K82*M82)-(K82*M82*N82/100))+(((K82*M82)-(K82*M82*N82/100))*O82/100),2)</f>
      </c>
      <c r="Q82" s="261" t="s">
        <v>304</v>
      </c>
      <c r="R82" s="261"/>
      <c r="S82" s="81" t="s">
        <v>134</v>
      </c>
      <c r="T82" s="209"/>
      <c r="U82" s="210"/>
    </row>
    <row r="83" spans="1:21" ht="15">
      <c r="A83" s="76">
        <v>63</v>
      </c>
      <c r="B83" s="76">
        <v>99990008175996</v>
      </c>
      <c r="C83" s="77">
        <v>232135</v>
      </c>
      <c r="D83" s="78" t="s">
        <v>135</v>
      </c>
      <c r="E83" s="79"/>
      <c r="F83" s="77"/>
      <c r="G83" s="92">
        <v>0</v>
      </c>
      <c r="H83" s="80" t="s">
        <v>56</v>
      </c>
      <c r="I83" s="80"/>
      <c r="J83" s="79">
        <v>0</v>
      </c>
      <c r="K83" s="256">
        <v>2</v>
      </c>
      <c r="L83" s="257"/>
      <c r="M83" s="258">
        <v>910</v>
      </c>
      <c r="N83" s="259">
        <v>0</v>
      </c>
      <c r="O83" s="259">
        <v>0</v>
      </c>
      <c r="P83" s="260">
        <f>ROUND(((K83*M83)-(K83*M83*N83/100))+(((K83*M83)-(K83*M83*N83/100))*O83/100),2)</f>
      </c>
      <c r="Q83" s="261"/>
      <c r="R83" s="261"/>
      <c r="S83" s="81"/>
      <c r="T83" s="209"/>
      <c r="U83" s="210"/>
    </row>
    <row r="84" spans="1:21" ht="15">
      <c r="A84" s="76">
        <v>64</v>
      </c>
      <c r="B84" s="76">
        <v>99990010100348</v>
      </c>
      <c r="C84" s="77">
        <v>230548</v>
      </c>
      <c r="D84" s="78" t="s">
        <v>136</v>
      </c>
      <c r="E84" s="79"/>
      <c r="F84" s="77"/>
      <c r="G84" s="92">
        <v>0</v>
      </c>
      <c r="H84" s="80" t="s">
        <v>56</v>
      </c>
      <c r="I84" s="80"/>
      <c r="J84" s="79">
        <v>0</v>
      </c>
      <c r="K84" s="256">
        <v>2</v>
      </c>
      <c r="L84" s="257"/>
      <c r="M84" s="258">
        <v>265</v>
      </c>
      <c r="N84" s="259">
        <v>0</v>
      </c>
      <c r="O84" s="259">
        <v>0</v>
      </c>
      <c r="P84" s="260">
        <f>ROUND(((K84*M84)-(K84*M84*N84/100))+(((K84*M84)-(K84*M84*N84/100))*O84/100),2)</f>
      </c>
      <c r="Q84" s="261"/>
      <c r="R84" s="261"/>
      <c r="S84" s="81"/>
      <c r="T84" s="209"/>
      <c r="U84" s="210"/>
    </row>
    <row r="85" spans="1:21" ht="15">
      <c r="A85" s="76">
        <v>65</v>
      </c>
      <c r="B85" s="76">
        <v>99990008657838</v>
      </c>
      <c r="C85" s="77" t="s">
        <v>137</v>
      </c>
      <c r="D85" s="78" t="s">
        <v>138</v>
      </c>
      <c r="E85" s="79"/>
      <c r="F85" s="77"/>
      <c r="G85" s="92">
        <v>0</v>
      </c>
      <c r="H85" s="80" t="s">
        <v>69</v>
      </c>
      <c r="I85" s="80"/>
      <c r="J85" s="79">
        <v>0</v>
      </c>
      <c r="K85" s="256">
        <v>2</v>
      </c>
      <c r="L85" s="257"/>
      <c r="M85" s="258">
        <v>685</v>
      </c>
      <c r="N85" s="259">
        <v>0</v>
      </c>
      <c r="O85" s="259">
        <v>0</v>
      </c>
      <c r="P85" s="260">
        <f>ROUND(((K85*M85)-(K85*M85*N85/100))+(((K85*M85)-(K85*M85*N85/100))*O85/100),2)</f>
      </c>
      <c r="Q85" s="261"/>
      <c r="R85" s="261"/>
      <c r="S85" s="81"/>
      <c r="T85" s="209"/>
      <c r="U85" s="210"/>
    </row>
    <row r="86" spans="1:21" ht="15">
      <c r="A86" s="76">
        <v>66</v>
      </c>
      <c r="B86" s="76">
        <v>99990008657851</v>
      </c>
      <c r="C86" s="77" t="s">
        <v>137</v>
      </c>
      <c r="D86" s="78" t="s">
        <v>139</v>
      </c>
      <c r="E86" s="79"/>
      <c r="F86" s="77"/>
      <c r="G86" s="92">
        <v>0</v>
      </c>
      <c r="H86" s="80" t="s">
        <v>58</v>
      </c>
      <c r="I86" s="80"/>
      <c r="J86" s="79">
        <v>0</v>
      </c>
      <c r="K86" s="256">
        <v>10</v>
      </c>
      <c r="L86" s="257"/>
      <c r="M86" s="258">
        <v>98</v>
      </c>
      <c r="N86" s="259">
        <v>0</v>
      </c>
      <c r="O86" s="259">
        <v>0</v>
      </c>
      <c r="P86" s="260">
        <f>ROUND(((K86*M86)-(K86*M86*N86/100))+(((K86*M86)-(K86*M86*N86/100))*O86/100),2)</f>
      </c>
      <c r="Q86" s="261"/>
      <c r="R86" s="261"/>
      <c r="S86" s="81"/>
      <c r="T86" s="209"/>
      <c r="U86" s="210"/>
    </row>
    <row r="87" spans="1:21" ht="15">
      <c r="A87" s="76">
        <v>67</v>
      </c>
      <c r="B87" s="76">
        <v>99990009566695</v>
      </c>
      <c r="C87" s="77" t="s">
        <v>137</v>
      </c>
      <c r="D87" s="78" t="s">
        <v>140</v>
      </c>
      <c r="E87" s="79"/>
      <c r="F87" s="77"/>
      <c r="G87" s="92">
        <v>0</v>
      </c>
      <c r="H87" s="80" t="s">
        <v>58</v>
      </c>
      <c r="I87" s="80"/>
      <c r="J87" s="79">
        <v>0</v>
      </c>
      <c r="K87" s="256">
        <v>10</v>
      </c>
      <c r="L87" s="257"/>
      <c r="M87" s="258">
        <v>78</v>
      </c>
      <c r="N87" s="259">
        <v>0</v>
      </c>
      <c r="O87" s="259">
        <v>0</v>
      </c>
      <c r="P87" s="260">
        <f>ROUND(((K87*M87)-(K87*M87*N87/100))+(((K87*M87)-(K87*M87*N87/100))*O87/100),2)</f>
      </c>
      <c r="Q87" s="261"/>
      <c r="R87" s="261"/>
      <c r="S87" s="81"/>
      <c r="T87" s="209"/>
      <c r="U87" s="210"/>
    </row>
    <row r="88" spans="1:21" ht="15">
      <c r="A88" s="76">
        <v>68</v>
      </c>
      <c r="B88" s="76">
        <v>99990008657865</v>
      </c>
      <c r="C88" s="77" t="s">
        <v>137</v>
      </c>
      <c r="D88" s="78" t="s">
        <v>141</v>
      </c>
      <c r="E88" s="79"/>
      <c r="F88" s="77"/>
      <c r="G88" s="92">
        <v>0</v>
      </c>
      <c r="H88" s="80" t="s">
        <v>58</v>
      </c>
      <c r="I88" s="80"/>
      <c r="J88" s="79">
        <v>0</v>
      </c>
      <c r="K88" s="256">
        <v>10</v>
      </c>
      <c r="L88" s="257"/>
      <c r="M88" s="258">
        <v>180</v>
      </c>
      <c r="N88" s="259">
        <v>0</v>
      </c>
      <c r="O88" s="259">
        <v>0</v>
      </c>
      <c r="P88" s="260">
        <f>ROUND(((K88*M88)-(K88*M88*N88/100))+(((K88*M88)-(K88*M88*N88/100))*O88/100),2)</f>
      </c>
      <c r="Q88" s="261" t="s">
        <v>305</v>
      </c>
      <c r="R88" s="261"/>
      <c r="S88" s="81"/>
      <c r="T88" s="209"/>
      <c r="U88" s="210"/>
    </row>
    <row r="89" spans="1:21" ht="15">
      <c r="A89" s="76">
        <v>69</v>
      </c>
      <c r="B89" s="76">
        <v>99990008657864</v>
      </c>
      <c r="C89" s="77" t="s">
        <v>137</v>
      </c>
      <c r="D89" s="78" t="s">
        <v>142</v>
      </c>
      <c r="E89" s="79"/>
      <c r="F89" s="77"/>
      <c r="G89" s="92">
        <v>0</v>
      </c>
      <c r="H89" s="80" t="s">
        <v>58</v>
      </c>
      <c r="I89" s="80"/>
      <c r="J89" s="79">
        <v>0</v>
      </c>
      <c r="K89" s="256">
        <v>10</v>
      </c>
      <c r="L89" s="257"/>
      <c r="M89" s="258">
        <v>88</v>
      </c>
      <c r="N89" s="259">
        <v>0</v>
      </c>
      <c r="O89" s="259">
        <v>0</v>
      </c>
      <c r="P89" s="260">
        <f>ROUND(((K89*M89)-(K89*M89*N89/100))+(((K89*M89)-(K89*M89*N89/100))*O89/100),2)</f>
      </c>
      <c r="Q89" s="261" t="s">
        <v>305</v>
      </c>
      <c r="R89" s="261"/>
      <c r="S89" s="81"/>
      <c r="T89" s="209"/>
      <c r="U89" s="210"/>
    </row>
    <row r="90" spans="1:21" ht="15">
      <c r="A90" s="76">
        <v>70</v>
      </c>
      <c r="B90" s="76">
        <v>99990008657871</v>
      </c>
      <c r="C90" s="77" t="s">
        <v>137</v>
      </c>
      <c r="D90" s="78" t="s">
        <v>143</v>
      </c>
      <c r="E90" s="79"/>
      <c r="F90" s="77"/>
      <c r="G90" s="92">
        <v>0</v>
      </c>
      <c r="H90" s="80" t="s">
        <v>58</v>
      </c>
      <c r="I90" s="80"/>
      <c r="J90" s="79">
        <v>0</v>
      </c>
      <c r="K90" s="256">
        <v>1</v>
      </c>
      <c r="L90" s="257"/>
      <c r="M90" s="258">
        <v>1850</v>
      </c>
      <c r="N90" s="259">
        <v>0</v>
      </c>
      <c r="O90" s="259">
        <v>0</v>
      </c>
      <c r="P90" s="260">
        <f>ROUND(((K90*M90)-(K90*M90*N90/100))+(((K90*M90)-(K90*M90*N90/100))*O90/100),2)</f>
      </c>
      <c r="Q90" s="261" t="s">
        <v>306</v>
      </c>
      <c r="R90" s="261"/>
      <c r="S90" s="81"/>
      <c r="T90" s="209"/>
      <c r="U90" s="210"/>
    </row>
    <row r="91" spans="1:21" ht="15">
      <c r="A91" s="76">
        <v>71</v>
      </c>
      <c r="B91" s="76">
        <v>99990008171819</v>
      </c>
      <c r="C91" s="77">
        <v>175092</v>
      </c>
      <c r="D91" s="78" t="s">
        <v>144</v>
      </c>
      <c r="E91" s="79"/>
      <c r="F91" s="77"/>
      <c r="G91" s="92">
        <v>0</v>
      </c>
      <c r="H91" s="80" t="s">
        <v>56</v>
      </c>
      <c r="I91" s="80"/>
      <c r="J91" s="79">
        <v>0</v>
      </c>
      <c r="K91" s="256">
        <v>1</v>
      </c>
      <c r="L91" s="257"/>
      <c r="M91" s="258">
        <v>16900</v>
      </c>
      <c r="N91" s="259">
        <v>0</v>
      </c>
      <c r="O91" s="259">
        <v>0</v>
      </c>
      <c r="P91" s="260">
        <f>ROUND(((K91*M91)-(K91*M91*N91/100))+(((K91*M91)-(K91*M91*N91/100))*O91/100),2)</f>
      </c>
      <c r="Q91" s="261" t="s">
        <v>307</v>
      </c>
      <c r="R91" s="261"/>
      <c r="S91" s="81"/>
      <c r="T91" s="209"/>
      <c r="U91" s="210"/>
    </row>
    <row r="92" spans="1:21" ht="15">
      <c r="A92" s="76">
        <v>72</v>
      </c>
      <c r="B92" s="76">
        <v>99990010101204</v>
      </c>
      <c r="C92" s="77">
        <v>592081</v>
      </c>
      <c r="D92" s="78" t="s">
        <v>145</v>
      </c>
      <c r="E92" s="79"/>
      <c r="F92" s="77"/>
      <c r="G92" s="92">
        <v>0</v>
      </c>
      <c r="H92" s="80" t="s">
        <v>62</v>
      </c>
      <c r="I92" s="80"/>
      <c r="J92" s="79">
        <v>0</v>
      </c>
      <c r="K92" s="256">
        <v>1</v>
      </c>
      <c r="L92" s="257"/>
      <c r="M92" s="258">
        <v>12450</v>
      </c>
      <c r="N92" s="259">
        <v>0</v>
      </c>
      <c r="O92" s="259">
        <v>0</v>
      </c>
      <c r="P92" s="260">
        <f>ROUND(((K92*M92)-(K92*M92*N92/100))+(((K92*M92)-(K92*M92*N92/100))*O92/100),2)</f>
      </c>
      <c r="Q92" s="261" t="s">
        <v>308</v>
      </c>
      <c r="R92" s="261"/>
      <c r="S92" s="81"/>
      <c r="T92" s="209"/>
      <c r="U92" s="210"/>
    </row>
    <row r="93" spans="1:21" ht="15">
      <c r="A93" s="76">
        <v>73</v>
      </c>
      <c r="B93" s="76">
        <v>99990008658137</v>
      </c>
      <c r="C93" s="77">
        <v>614695</v>
      </c>
      <c r="D93" s="78" t="s">
        <v>146</v>
      </c>
      <c r="E93" s="79"/>
      <c r="F93" s="77"/>
      <c r="G93" s="92">
        <v>0</v>
      </c>
      <c r="H93" s="80" t="s">
        <v>96</v>
      </c>
      <c r="I93" s="80"/>
      <c r="J93" s="79">
        <v>0</v>
      </c>
      <c r="K93" s="256">
        <v>15</v>
      </c>
      <c r="L93" s="257"/>
      <c r="M93" s="258">
        <v>74</v>
      </c>
      <c r="N93" s="259">
        <v>0</v>
      </c>
      <c r="O93" s="259">
        <v>0</v>
      </c>
      <c r="P93" s="260">
        <f>ROUND(((K93*M93)-(K93*M93*N93/100))+(((K93*M93)-(K93*M93*N93/100))*O93/100),2)</f>
      </c>
      <c r="Q93" s="261"/>
      <c r="R93" s="261"/>
      <c r="S93" s="81"/>
      <c r="T93" s="209"/>
      <c r="U93" s="210"/>
    </row>
    <row r="94" spans="1:21" ht="15">
      <c r="A94" s="76">
        <v>74</v>
      </c>
      <c r="B94" s="76">
        <v>99990009798401</v>
      </c>
      <c r="C94" s="77">
        <v>614688</v>
      </c>
      <c r="D94" s="78" t="s">
        <v>147</v>
      </c>
      <c r="E94" s="79"/>
      <c r="F94" s="77"/>
      <c r="G94" s="92">
        <v>0</v>
      </c>
      <c r="H94" s="80" t="s">
        <v>96</v>
      </c>
      <c r="I94" s="80"/>
      <c r="J94" s="79">
        <v>0</v>
      </c>
      <c r="K94" s="256">
        <v>15</v>
      </c>
      <c r="L94" s="257"/>
      <c r="M94" s="258">
        <v>78</v>
      </c>
      <c r="N94" s="259">
        <v>0</v>
      </c>
      <c r="O94" s="259">
        <v>0</v>
      </c>
      <c r="P94" s="260">
        <f>ROUND(((K94*M94)-(K94*M94*N94/100))+(((K94*M94)-(K94*M94*N94/100))*O94/100),2)</f>
      </c>
      <c r="Q94" s="261"/>
      <c r="R94" s="261"/>
      <c r="S94" s="81"/>
      <c r="T94" s="209"/>
      <c r="U94" s="210"/>
    </row>
    <row r="95" spans="1:21" ht="15">
      <c r="A95" s="76">
        <v>75</v>
      </c>
      <c r="B95" s="76">
        <v>99990009881165</v>
      </c>
      <c r="C95" s="77">
        <v>614531</v>
      </c>
      <c r="D95" s="78" t="s">
        <v>148</v>
      </c>
      <c r="E95" s="79"/>
      <c r="F95" s="77"/>
      <c r="G95" s="92">
        <v>0</v>
      </c>
      <c r="H95" s="80" t="s">
        <v>62</v>
      </c>
      <c r="I95" s="80"/>
      <c r="J95" s="79">
        <v>0</v>
      </c>
      <c r="K95" s="256">
        <v>1</v>
      </c>
      <c r="L95" s="257"/>
      <c r="M95" s="258">
        <v>1200</v>
      </c>
      <c r="N95" s="259">
        <v>0</v>
      </c>
      <c r="O95" s="259">
        <v>0</v>
      </c>
      <c r="P95" s="260">
        <f>ROUND(((K95*M95)-(K95*M95*N95/100))+(((K95*M95)-(K95*M95*N95/100))*O95/100),2)</f>
      </c>
      <c r="Q95" s="261"/>
      <c r="R95" s="261"/>
      <c r="S95" s="81"/>
      <c r="T95" s="209"/>
      <c r="U95" s="210"/>
    </row>
    <row r="96" spans="1:21" ht="15">
      <c r="A96" s="76">
        <v>76</v>
      </c>
      <c r="B96" s="76">
        <v>99990009838729</v>
      </c>
      <c r="C96" s="77">
        <v>617503</v>
      </c>
      <c r="D96" s="78" t="s">
        <v>149</v>
      </c>
      <c r="E96" s="79"/>
      <c r="F96" s="77"/>
      <c r="G96" s="92">
        <v>0</v>
      </c>
      <c r="H96" s="80" t="s">
        <v>62</v>
      </c>
      <c r="I96" s="80"/>
      <c r="J96" s="79">
        <v>0</v>
      </c>
      <c r="K96" s="256">
        <v>1</v>
      </c>
      <c r="L96" s="257"/>
      <c r="M96" s="258">
        <v>33300</v>
      </c>
      <c r="N96" s="259">
        <v>0</v>
      </c>
      <c r="O96" s="259">
        <v>0</v>
      </c>
      <c r="P96" s="260">
        <f>ROUND(((K96*M96)-(K96*M96*N96/100))+(((K96*M96)-(K96*M96*N96/100))*O96/100),2)</f>
      </c>
      <c r="Q96" s="261"/>
      <c r="R96" s="261"/>
      <c r="S96" s="81"/>
      <c r="T96" s="209"/>
      <c r="U96" s="210"/>
    </row>
    <row r="97" spans="1:21" ht="15">
      <c r="A97" s="76">
        <v>77</v>
      </c>
      <c r="B97" s="76">
        <v>99990008658021</v>
      </c>
      <c r="C97" s="77">
        <v>613056</v>
      </c>
      <c r="D97" s="78" t="s">
        <v>150</v>
      </c>
      <c r="E97" s="79"/>
      <c r="F97" s="77"/>
      <c r="G97" s="92">
        <v>0</v>
      </c>
      <c r="H97" s="80" t="s">
        <v>62</v>
      </c>
      <c r="I97" s="80"/>
      <c r="J97" s="79">
        <v>0</v>
      </c>
      <c r="K97" s="256">
        <v>1</v>
      </c>
      <c r="L97" s="257"/>
      <c r="M97" s="258">
        <v>12050</v>
      </c>
      <c r="N97" s="259">
        <v>0</v>
      </c>
      <c r="O97" s="259">
        <v>0</v>
      </c>
      <c r="P97" s="260">
        <f>ROUND(((K97*M97)-(K97*M97*N97/100))+(((K97*M97)-(K97*M97*N97/100))*O97/100),2)</f>
      </c>
      <c r="Q97" s="261"/>
      <c r="R97" s="261"/>
      <c r="S97" s="81"/>
      <c r="T97" s="209"/>
      <c r="U97" s="210"/>
    </row>
    <row r="98" spans="1:21" ht="15">
      <c r="A98" s="76"/>
      <c r="B98" s="76"/>
      <c r="C98" s="77"/>
      <c r="D98" s="78"/>
      <c r="E98" s="79"/>
      <c r="F98" s="77"/>
      <c r="G98" s="92"/>
      <c r="H98" s="77"/>
      <c r="I98" s="77"/>
      <c r="J98" s="79"/>
      <c r="K98" s="262"/>
      <c r="L98" s="263"/>
      <c r="M98" s="264" t="s">
        <v>151</v>
      </c>
      <c r="N98" s="265"/>
      <c r="O98" s="265"/>
      <c r="P98" s="260">
        <f>SUM(P21:P97)</f>
      </c>
      <c r="Q98" s="266"/>
      <c r="R98" s="266"/>
      <c r="S98" s="81"/>
      <c r="T98" s="209"/>
      <c r="U98" s="210"/>
    </row>
    <row r="99" spans="1:21" ht="15" hidden="1">
      <c r="A99" s="76"/>
      <c r="B99" s="76"/>
      <c r="C99" s="77"/>
      <c r="D99" s="78"/>
      <c r="E99" s="79"/>
      <c r="F99" s="77"/>
      <c r="G99" s="92"/>
      <c r="H99" s="80"/>
      <c r="I99" s="80"/>
      <c r="J99" s="79"/>
      <c r="K99" s="262"/>
      <c r="L99" s="257"/>
      <c r="M99" s="267"/>
      <c r="N99" s="268"/>
      <c r="O99" s="268"/>
      <c r="P99" s="260"/>
      <c r="Q99" s="261"/>
      <c r="R99" s="261"/>
      <c r="S99" s="81"/>
      <c r="T99" s="209"/>
      <c r="U99" s="210"/>
    </row>
    <row r="100" spans="1:21" ht="15">
      <c r="A100" s="6"/>
      <c r="B100" s="211"/>
      <c r="C100" s="212"/>
      <c r="D100" s="212"/>
      <c r="E100" s="212"/>
      <c r="F100" s="212"/>
      <c r="G100" s="212"/>
      <c r="H100" s="213"/>
      <c r="I100" s="213"/>
      <c r="J100" s="213"/>
      <c r="K100" s="213"/>
      <c r="L100" s="37"/>
      <c r="M100" s="37"/>
      <c r="N100" s="213"/>
      <c r="O100" s="213"/>
      <c r="P100" s="213"/>
      <c r="Q100" s="213"/>
      <c r="R100" s="213"/>
      <c r="S100" s="213"/>
      <c r="T100" s="151"/>
      <c r="U100" s="214"/>
    </row>
    <row r="101" spans="1:21" ht="12.75" customHeight="1">
      <c r="A101" s="195" t="s">
        <v>40</v>
      </c>
      <c r="B101" s="195"/>
      <c r="C101" s="195" t="s">
        <v>152</v>
      </c>
      <c r="D101" s="195"/>
      <c r="E101" s="195"/>
      <c r="F101" s="195"/>
      <c r="G101" s="195"/>
      <c r="H101" s="195"/>
      <c r="I101" s="195"/>
      <c r="J101" s="195"/>
      <c r="K101" s="197"/>
      <c r="L101" s="197" t="s">
        <v>153</v>
      </c>
      <c r="M101" s="197"/>
      <c r="N101" s="197" t="s">
        <v>49</v>
      </c>
      <c r="O101" s="197" t="s">
        <v>50</v>
      </c>
      <c r="P101" s="197" t="s">
        <v>154</v>
      </c>
      <c r="Q101" s="197" t="s">
        <v>52</v>
      </c>
      <c r="R101" s="197"/>
      <c r="S101" s="197"/>
      <c r="T101" s="197"/>
      <c r="U101" s="198"/>
    </row>
    <row r="102" spans="1:21" ht="15">
      <c r="A102" s="215">
        <v>1</v>
      </c>
      <c r="B102" s="215"/>
      <c r="C102" s="216" t="s">
        <v>155</v>
      </c>
      <c r="D102" s="217" t="s">
        <v>155</v>
      </c>
      <c r="E102" s="217" t="s">
        <v>155</v>
      </c>
      <c r="F102" s="217" t="s">
        <v>155</v>
      </c>
      <c r="G102" s="217" t="s">
        <v>155</v>
      </c>
      <c r="H102" s="217" t="s">
        <v>155</v>
      </c>
      <c r="I102" s="217" t="s">
        <v>155</v>
      </c>
      <c r="J102" s="217" t="s">
        <v>155</v>
      </c>
      <c r="K102" s="218" t="s">
        <v>155</v>
      </c>
      <c r="L102" s="219"/>
      <c r="M102" s="220">
        <v>0</v>
      </c>
      <c r="N102" s="220">
        <v>0</v>
      </c>
      <c r="O102" s="221">
        <v>0</v>
      </c>
      <c r="P102" s="222">
        <f>ROUND((M102-(M102*N102/100)+((M102-(M102*N102/100))*O102/100)),2)</f>
      </c>
      <c r="Q102" s="223"/>
      <c r="R102" s="224"/>
      <c r="S102" s="224"/>
      <c r="T102" s="224"/>
      <c r="U102" s="225"/>
    </row>
    <row r="103" spans="1:21" ht="15">
      <c r="A103" s="215">
        <v>2</v>
      </c>
      <c r="B103" s="215"/>
      <c r="C103" s="216" t="s">
        <v>156</v>
      </c>
      <c r="D103" s="217" t="s">
        <v>156</v>
      </c>
      <c r="E103" s="217" t="s">
        <v>156</v>
      </c>
      <c r="F103" s="217" t="s">
        <v>156</v>
      </c>
      <c r="G103" s="217" t="s">
        <v>156</v>
      </c>
      <c r="H103" s="217" t="s">
        <v>156</v>
      </c>
      <c r="I103" s="217" t="s">
        <v>156</v>
      </c>
      <c r="J103" s="217" t="s">
        <v>156</v>
      </c>
      <c r="K103" s="218" t="s">
        <v>156</v>
      </c>
      <c r="L103" s="219"/>
      <c r="M103" s="220" t="s">
        <v>311</v>
      </c>
      <c r="N103" s="220">
        <v>60000</v>
      </c>
      <c r="O103" s="221">
        <v>0</v>
      </c>
      <c r="P103" s="222">
        <f>ROUND((M103-(M103*N103/100)+((M103-(M103*N103/100))*O103/100)),2)</f>
      </c>
      <c r="Q103" s="223"/>
      <c r="R103" s="224"/>
      <c r="S103" s="224"/>
      <c r="T103" s="224"/>
      <c r="U103" s="225" t="s">
        <v>157</v>
      </c>
    </row>
    <row r="104" spans="1:21" ht="15">
      <c r="A104" s="215">
        <v>3</v>
      </c>
      <c r="B104" s="215"/>
      <c r="C104" s="216"/>
      <c r="D104" s="217"/>
      <c r="E104" s="217"/>
      <c r="F104" s="217"/>
      <c r="G104" s="217"/>
      <c r="H104" s="217"/>
      <c r="I104" s="217"/>
      <c r="J104" s="217"/>
      <c r="K104" s="218"/>
      <c r="L104" s="219"/>
      <c r="M104" s="220">
        <v>0</v>
      </c>
      <c r="N104" s="220">
        <v>0</v>
      </c>
      <c r="O104" s="221">
        <v>0</v>
      </c>
      <c r="P104" s="222">
        <f>ROUND((M104-(M104*N104/100)+((M104-(M104*N104/100))*O104/100)),2)</f>
      </c>
      <c r="Q104" s="223"/>
      <c r="R104" s="224"/>
      <c r="S104" s="224"/>
      <c r="T104" s="224"/>
      <c r="U104" s="225"/>
    </row>
    <row r="105" spans="1:21" ht="15">
      <c r="A105" s="215">
        <v>4</v>
      </c>
      <c r="B105" s="215"/>
      <c r="C105" s="216"/>
      <c r="D105" s="217"/>
      <c r="E105" s="217"/>
      <c r="F105" s="217"/>
      <c r="G105" s="217"/>
      <c r="H105" s="217"/>
      <c r="I105" s="217"/>
      <c r="J105" s="217"/>
      <c r="K105" s="218"/>
      <c r="L105" s="219"/>
      <c r="M105" s="220">
        <v>0</v>
      </c>
      <c r="N105" s="220">
        <v>0</v>
      </c>
      <c r="O105" s="221">
        <v>0</v>
      </c>
      <c r="P105" s="222">
        <f>ROUND((M105-(M105*N105/100)+((M105-(M105*N105/100))*O105/100)),2)</f>
      </c>
      <c r="Q105" s="223"/>
      <c r="R105" s="224"/>
      <c r="S105" s="224"/>
      <c r="T105" s="224"/>
      <c r="U105" s="225"/>
    </row>
    <row r="106" spans="1:21" ht="15.75" customHeight="1">
      <c r="A106" s="226"/>
      <c r="B106" s="226"/>
      <c r="C106" s="227"/>
      <c r="D106" s="227"/>
      <c r="E106" s="227"/>
      <c r="F106" s="227"/>
      <c r="G106" s="227"/>
      <c r="H106" s="163"/>
      <c r="I106" s="163"/>
      <c r="J106" s="163"/>
      <c r="K106" s="228"/>
      <c r="L106" s="139" t="s">
        <v>151</v>
      </c>
      <c r="M106" s="140" t="s">
        <v>151</v>
      </c>
      <c r="N106" s="141"/>
      <c r="O106" s="141"/>
      <c r="P106" s="229">
        <f>SUM(SubItemTotal)</f>
      </c>
      <c r="Q106" s="163"/>
      <c r="R106" s="163"/>
      <c r="S106" s="163"/>
      <c r="T106" s="151"/>
      <c r="U106" s="214"/>
    </row>
    <row r="107" spans="1:21" ht="30" customHeight="1">
      <c r="A107" s="226"/>
      <c r="B107" s="226"/>
      <c r="C107" s="227"/>
      <c r="D107" s="227"/>
      <c r="E107" s="227"/>
      <c r="F107" s="227"/>
      <c r="G107" s="227"/>
      <c r="H107" s="163"/>
      <c r="I107" s="163"/>
      <c r="J107" s="163"/>
      <c r="K107" s="230"/>
      <c r="L107" s="142" t="s">
        <v>158</v>
      </c>
      <c r="M107" s="142" t="s">
        <v>158</v>
      </c>
      <c r="N107" s="141"/>
      <c r="O107" s="141"/>
      <c r="P107" s="231">
        <f>SUM(P102:P106)</f>
      </c>
      <c r="Q107" s="163"/>
      <c r="R107" s="163"/>
      <c r="S107" s="163"/>
      <c r="T107" s="151"/>
      <c r="U107" s="214"/>
    </row>
    <row r="108" spans="1:21" ht="30" customHeight="1" hidden="1">
      <c r="A108" s="232">
        <v>0</v>
      </c>
      <c r="B108" s="232">
        <v>0</v>
      </c>
      <c r="C108" s="233">
        <v>0</v>
      </c>
      <c r="D108" s="227"/>
      <c r="E108" s="227"/>
      <c r="F108" s="234">
        <v>0</v>
      </c>
      <c r="G108" s="227"/>
      <c r="H108" s="227"/>
      <c r="I108" s="227"/>
      <c r="K108" s="235"/>
      <c r="L108" s="227"/>
      <c r="M108" s="236"/>
      <c r="O108" s="227"/>
      <c r="P108" s="237"/>
      <c r="Q108" s="238"/>
      <c r="R108" s="237"/>
      <c r="S108" s="239"/>
      <c r="T108" s="151"/>
      <c r="U108" s="214"/>
    </row>
    <row r="109" spans="1:21" ht="30" customHeight="1">
      <c r="A109" s="232"/>
      <c r="B109" s="232"/>
      <c r="C109" s="233"/>
      <c r="D109" s="227"/>
      <c r="E109" s="227"/>
      <c r="F109" s="234"/>
      <c r="G109" s="227"/>
      <c r="H109" s="227"/>
      <c r="I109" s="227"/>
      <c r="K109" s="235"/>
      <c r="L109" s="227"/>
      <c r="M109" s="236"/>
      <c r="O109" s="227"/>
      <c r="P109" s="237"/>
      <c r="Q109" s="238"/>
      <c r="R109" s="237"/>
      <c r="S109" s="239"/>
      <c r="T109" s="151"/>
      <c r="U109" s="214"/>
    </row>
    <row r="110" spans="1:21" ht="30" customHeight="1">
      <c r="A110" s="240" t="s">
        <v>159</v>
      </c>
      <c r="B110" s="240"/>
      <c r="C110" s="240"/>
      <c r="D110" s="240"/>
      <c r="E110" s="227"/>
      <c r="F110" s="241" t="s">
        <v>160</v>
      </c>
      <c r="G110" s="241"/>
      <c r="H110" s="241"/>
      <c r="I110" s="241"/>
      <c r="J110" s="241"/>
      <c r="K110" s="241"/>
      <c r="L110" s="241"/>
      <c r="M110" s="241"/>
      <c r="N110" s="241"/>
      <c r="O110" s="241"/>
      <c r="P110" s="241"/>
      <c r="Q110" s="241"/>
      <c r="R110" s="241"/>
      <c r="S110" s="241"/>
      <c r="T110" s="151"/>
      <c r="U110" s="214"/>
    </row>
    <row r="111" spans="1:21" ht="18.75" customHeight="1">
      <c r="A111" s="240" t="s">
        <v>161</v>
      </c>
      <c r="B111" s="240"/>
      <c r="C111" s="240"/>
      <c r="D111" s="240"/>
      <c r="E111" s="227" t="s">
        <v>310</v>
      </c>
      <c r="F111" s="241"/>
      <c r="G111" s="241"/>
      <c r="H111" s="241"/>
      <c r="I111" s="241"/>
      <c r="J111" s="241"/>
      <c r="K111" s="241"/>
      <c r="L111" s="241"/>
      <c r="M111" s="241"/>
      <c r="N111" s="241"/>
      <c r="O111" s="241"/>
      <c r="P111" s="241"/>
      <c r="Q111" s="241"/>
      <c r="R111" s="241"/>
      <c r="S111" s="241"/>
      <c r="T111" s="151"/>
      <c r="U111" s="214"/>
    </row>
    <row r="112" spans="1:21" ht="15.75" customHeight="1">
      <c r="A112" s="240" t="s">
        <v>52</v>
      </c>
      <c r="B112" s="240"/>
      <c r="C112" s="240"/>
      <c r="D112" s="240"/>
      <c r="E112" s="242"/>
      <c r="F112" s="243" t="s">
        <v>309</v>
      </c>
      <c r="G112" s="243"/>
      <c r="H112" s="243"/>
      <c r="I112" s="243"/>
      <c r="J112" s="243"/>
      <c r="K112" s="243"/>
      <c r="L112" s="243"/>
      <c r="M112" s="243"/>
      <c r="N112" s="243"/>
      <c r="O112" s="243"/>
      <c r="P112" s="243"/>
      <c r="Q112" s="243"/>
      <c r="R112" s="243"/>
      <c r="S112" s="243"/>
      <c r="T112" s="244"/>
      <c r="U112" s="245"/>
    </row>
    <row r="113" spans="1:21" ht="15.75" customHeight="1">
      <c r="A113" s="226"/>
      <c r="B113" s="226"/>
      <c r="C113" s="226"/>
      <c r="D113" s="151"/>
      <c r="E113" s="151"/>
      <c r="F113" s="151"/>
      <c r="G113" s="151"/>
      <c r="H113" s="227"/>
      <c r="I113" s="227"/>
      <c r="J113" s="227"/>
      <c r="K113" s="227"/>
      <c r="L113" s="227"/>
      <c r="M113" s="227"/>
      <c r="N113" s="227"/>
      <c r="O113" s="227"/>
      <c r="P113" s="227"/>
      <c r="Q113" s="227"/>
      <c r="R113" s="227"/>
      <c r="S113" s="227"/>
      <c r="T113" s="151"/>
      <c r="U113" s="214"/>
    </row>
    <row r="114" spans="1:21" ht="15" customHeight="1">
      <c r="A114" s="195" t="s">
        <v>162</v>
      </c>
      <c r="B114" s="195"/>
      <c r="C114" s="195"/>
      <c r="D114" s="195"/>
      <c r="E114" s="195"/>
      <c r="F114" s="195"/>
      <c r="G114" s="195"/>
      <c r="H114" s="195"/>
      <c r="I114" s="195"/>
      <c r="J114" s="195"/>
      <c r="K114" s="195"/>
      <c r="L114" s="195"/>
      <c r="M114" s="195"/>
      <c r="N114" s="195"/>
      <c r="O114" s="195"/>
      <c r="P114" s="195"/>
      <c r="Q114" s="195"/>
      <c r="R114" s="195"/>
      <c r="S114" s="195"/>
      <c r="T114" s="195"/>
      <c r="U114" s="198"/>
    </row>
    <row r="115" spans="1:21" ht="12.75" customHeight="1">
      <c r="A115" s="246" t="s">
        <v>163</v>
      </c>
      <c r="B115" s="246"/>
      <c r="C115" s="246"/>
      <c r="D115" s="246"/>
      <c r="E115" s="246"/>
      <c r="F115" s="246"/>
      <c r="G115" s="246"/>
      <c r="H115" s="246"/>
      <c r="I115" s="246"/>
      <c r="J115" s="246"/>
      <c r="K115" s="246"/>
      <c r="L115" s="246"/>
      <c r="M115" s="246"/>
      <c r="N115" s="246"/>
      <c r="O115" s="246"/>
      <c r="P115" s="246"/>
      <c r="Q115" s="246"/>
      <c r="R115" s="246"/>
      <c r="S115" s="246"/>
      <c r="T115" s="246"/>
      <c r="U115" s="247"/>
    </row>
    <row r="116" spans="1:21" ht="12.75" customHeight="1">
      <c r="A116" s="246" t="s">
        <v>164</v>
      </c>
      <c r="B116" s="246"/>
      <c r="C116" s="246"/>
      <c r="D116" s="246"/>
      <c r="E116" s="246"/>
      <c r="F116" s="246"/>
      <c r="G116" s="246"/>
      <c r="H116" s="246"/>
      <c r="I116" s="246"/>
      <c r="J116" s="246"/>
      <c r="K116" s="246"/>
      <c r="L116" s="246"/>
      <c r="M116" s="246"/>
      <c r="N116" s="246"/>
      <c r="O116" s="246"/>
      <c r="P116" s="246"/>
      <c r="Q116" s="246"/>
      <c r="R116" s="246"/>
      <c r="S116" s="246"/>
      <c r="T116" s="246"/>
      <c r="U116" s="247"/>
    </row>
    <row r="117" spans="1:21" ht="7.5" customHeight="1">
      <c r="A117" s="248"/>
      <c r="B117" s="248"/>
      <c r="C117" s="248"/>
      <c r="D117" s="248"/>
      <c r="E117" s="248"/>
      <c r="F117" s="248"/>
      <c r="G117" s="248"/>
      <c r="H117" s="248"/>
      <c r="I117" s="248"/>
      <c r="J117" s="248"/>
      <c r="K117" s="248"/>
      <c r="L117" s="248"/>
      <c r="M117" s="248"/>
      <c r="N117" s="248"/>
      <c r="O117" s="248"/>
      <c r="P117" s="248"/>
      <c r="Q117" s="248"/>
      <c r="R117" s="248"/>
      <c r="S117" s="248"/>
      <c r="T117" s="248"/>
      <c r="U117" s="249"/>
    </row>
    <row r="118" spans="1:21" ht="12.75" customHeight="1">
      <c r="A118" s="250" t="s">
        <v>165</v>
      </c>
      <c r="B118" s="250"/>
      <c r="C118" s="250"/>
      <c r="D118" s="250"/>
      <c r="E118" s="250"/>
      <c r="F118" s="250"/>
      <c r="G118" s="250"/>
      <c r="H118" s="250"/>
      <c r="I118" s="250"/>
      <c r="J118" s="250"/>
      <c r="K118" s="250"/>
      <c r="L118" s="250"/>
      <c r="M118" s="250"/>
      <c r="N118" s="250"/>
      <c r="O118" s="250"/>
      <c r="P118" s="250"/>
      <c r="Q118" s="250"/>
      <c r="R118" s="250"/>
      <c r="S118" s="250"/>
      <c r="T118" s="250"/>
      <c r="U118" s="251"/>
    </row>
    <row r="119" spans="1:21" ht="12.75" customHeight="1">
      <c r="A119" s="250" t="s">
        <v>166</v>
      </c>
      <c r="B119" s="250"/>
      <c r="C119" s="250"/>
      <c r="D119" s="250"/>
      <c r="E119" s="250"/>
      <c r="F119" s="250"/>
      <c r="G119" s="250"/>
      <c r="H119" s="250"/>
      <c r="I119" s="250"/>
      <c r="J119" s="250"/>
      <c r="K119" s="250"/>
      <c r="L119" s="250"/>
      <c r="M119" s="250"/>
      <c r="N119" s="250"/>
      <c r="O119" s="250"/>
      <c r="P119" s="250"/>
      <c r="Q119" s="250"/>
      <c r="R119" s="250"/>
      <c r="S119" s="250"/>
      <c r="T119" s="250"/>
      <c r="U119" s="251"/>
    </row>
    <row r="120" spans="1:21" ht="12.75" customHeight="1">
      <c r="A120" s="250" t="s">
        <v>167</v>
      </c>
      <c r="B120" s="250"/>
      <c r="C120" s="250"/>
      <c r="D120" s="250"/>
      <c r="E120" s="250"/>
      <c r="F120" s="250"/>
      <c r="G120" s="250"/>
      <c r="H120" s="250"/>
      <c r="I120" s="250"/>
      <c r="J120" s="250"/>
      <c r="K120" s="250"/>
      <c r="L120" s="250"/>
      <c r="M120" s="250"/>
      <c r="N120" s="250"/>
      <c r="O120" s="250"/>
      <c r="P120" s="250"/>
      <c r="Q120" s="250"/>
      <c r="R120" s="250"/>
      <c r="S120" s="250"/>
      <c r="T120" s="250"/>
      <c r="U120" s="251"/>
    </row>
    <row r="121" spans="1:21" ht="7.5" customHeight="1">
      <c r="A121" s="250"/>
      <c r="B121" s="250"/>
      <c r="C121" s="250"/>
      <c r="D121" s="250"/>
      <c r="E121" s="250"/>
      <c r="F121" s="250"/>
      <c r="G121" s="250"/>
      <c r="H121" s="250"/>
      <c r="I121" s="250"/>
      <c r="J121" s="250"/>
      <c r="K121" s="250"/>
      <c r="L121" s="250"/>
      <c r="M121" s="250"/>
      <c r="N121" s="250"/>
      <c r="O121" s="250"/>
      <c r="P121" s="250"/>
      <c r="Q121" s="250"/>
      <c r="R121" s="250"/>
      <c r="S121" s="250"/>
      <c r="T121" s="250"/>
      <c r="U121" s="251"/>
    </row>
    <row r="122" spans="1:21" ht="12.75" customHeight="1">
      <c r="A122" s="252" t="s">
        <v>168</v>
      </c>
      <c r="B122" s="252"/>
      <c r="C122" s="252"/>
      <c r="D122" s="252"/>
      <c r="E122" s="252"/>
      <c r="F122" s="252"/>
      <c r="G122" s="252"/>
      <c r="H122" s="252"/>
      <c r="I122" s="252"/>
      <c r="J122" s="252"/>
      <c r="K122" s="252"/>
      <c r="L122" s="252"/>
      <c r="M122" s="252"/>
      <c r="N122" s="252"/>
      <c r="O122" s="252"/>
      <c r="P122" s="252"/>
      <c r="Q122" s="252"/>
      <c r="R122" s="252"/>
      <c r="S122" s="252"/>
      <c r="T122" s="252"/>
      <c r="U122" s="253"/>
    </row>
    <row r="123" spans="1:21" ht="12.75" customHeight="1">
      <c r="A123" s="254" t="s">
        <v>169</v>
      </c>
      <c r="B123" s="254"/>
      <c r="C123" s="254"/>
      <c r="D123" s="254"/>
      <c r="E123" s="254"/>
      <c r="F123" s="254"/>
      <c r="G123" s="254"/>
      <c r="H123" s="254"/>
      <c r="I123" s="254"/>
      <c r="J123" s="254"/>
      <c r="K123" s="254"/>
      <c r="L123" s="254"/>
      <c r="M123" s="254"/>
      <c r="N123" s="254"/>
      <c r="O123" s="254"/>
      <c r="P123" s="254"/>
      <c r="Q123" s="254"/>
      <c r="R123" s="254"/>
      <c r="S123" s="254"/>
      <c r="T123" s="254"/>
      <c r="U123" s="255"/>
    </row>
    <row r="124" spans="1:21" ht="12.75" customHeight="1">
      <c r="A124" s="254" t="s">
        <v>170</v>
      </c>
      <c r="B124" s="254"/>
      <c r="C124" s="254"/>
      <c r="D124" s="254"/>
      <c r="E124" s="254"/>
      <c r="F124" s="254"/>
      <c r="G124" s="254"/>
      <c r="H124" s="254"/>
      <c r="I124" s="254"/>
      <c r="J124" s="254"/>
      <c r="K124" s="254"/>
      <c r="L124" s="254"/>
      <c r="M124" s="254"/>
      <c r="N124" s="254"/>
      <c r="O124" s="254"/>
      <c r="P124" s="254"/>
      <c r="Q124" s="254"/>
      <c r="R124" s="254"/>
      <c r="S124" s="254"/>
      <c r="T124" s="254"/>
      <c r="U124" s="255"/>
    </row>
    <row r="125" spans="1:21" ht="12.75" customHeight="1">
      <c r="A125" s="250" t="s">
        <v>171</v>
      </c>
      <c r="B125" s="250"/>
      <c r="C125" s="250"/>
      <c r="D125" s="250"/>
      <c r="E125" s="250"/>
      <c r="F125" s="250"/>
      <c r="G125" s="250"/>
      <c r="H125" s="250"/>
      <c r="I125" s="250"/>
      <c r="J125" s="250"/>
      <c r="K125" s="250"/>
      <c r="L125" s="250"/>
      <c r="M125" s="250"/>
      <c r="N125" s="250"/>
      <c r="O125" s="250"/>
      <c r="P125" s="250"/>
      <c r="Q125" s="250"/>
      <c r="R125" s="250"/>
      <c r="S125" s="250"/>
      <c r="T125" s="250"/>
      <c r="U125" s="251"/>
    </row>
    <row r="126" spans="1:21" ht="12.75" customHeight="1">
      <c r="A126" s="254" t="s">
        <v>172</v>
      </c>
      <c r="B126" s="254"/>
      <c r="C126" s="254"/>
      <c r="D126" s="254"/>
      <c r="E126" s="254"/>
      <c r="F126" s="254"/>
      <c r="G126" s="254"/>
      <c r="H126" s="254"/>
      <c r="I126" s="254"/>
      <c r="J126" s="254"/>
      <c r="K126" s="254"/>
      <c r="L126" s="254"/>
      <c r="M126" s="254"/>
      <c r="N126" s="254"/>
      <c r="O126" s="254"/>
      <c r="P126" s="254"/>
      <c r="Q126" s="254"/>
      <c r="R126" s="254"/>
      <c r="S126" s="254"/>
      <c r="T126" s="254"/>
      <c r="U126" s="255"/>
    </row>
    <row r="127" spans="1:21" ht="12.75" customHeight="1">
      <c r="A127" s="254" t="s">
        <v>173</v>
      </c>
      <c r="B127" s="254"/>
      <c r="C127" s="254"/>
      <c r="D127" s="254"/>
      <c r="E127" s="254"/>
      <c r="F127" s="254"/>
      <c r="G127" s="254"/>
      <c r="H127" s="254"/>
      <c r="I127" s="254"/>
      <c r="J127" s="254"/>
      <c r="K127" s="254"/>
      <c r="L127" s="254"/>
      <c r="M127" s="254"/>
      <c r="N127" s="254"/>
      <c r="O127" s="254"/>
      <c r="P127" s="254"/>
      <c r="Q127" s="254"/>
      <c r="R127" s="254"/>
      <c r="S127" s="254"/>
      <c r="T127" s="254"/>
      <c r="U127" s="255"/>
    </row>
    <row r="128" spans="1:21" ht="12" customHeight="1">
      <c r="A128" s="254" t="s">
        <v>174</v>
      </c>
      <c r="B128" s="254"/>
      <c r="C128" s="254"/>
      <c r="D128" s="254"/>
      <c r="E128" s="254"/>
      <c r="F128" s="254"/>
      <c r="G128" s="254"/>
      <c r="H128" s="254"/>
      <c r="I128" s="254"/>
      <c r="J128" s="254"/>
      <c r="K128" s="254"/>
      <c r="L128" s="254"/>
      <c r="M128" s="254"/>
      <c r="N128" s="254"/>
      <c r="O128" s="254"/>
      <c r="P128" s="254"/>
      <c r="Q128" s="254"/>
      <c r="R128" s="254"/>
      <c r="S128" s="254"/>
      <c r="T128" s="254"/>
      <c r="U128" s="251"/>
    </row>
    <row r="129" spans="1:21" ht="12.75" customHeight="1">
      <c r="A129" s="252" t="s">
        <v>175</v>
      </c>
      <c r="B129" s="252"/>
      <c r="C129" s="252"/>
      <c r="D129" s="252"/>
      <c r="E129" s="252"/>
      <c r="F129" s="252"/>
      <c r="G129" s="252"/>
      <c r="H129" s="252"/>
      <c r="I129" s="252"/>
      <c r="J129" s="252"/>
      <c r="K129" s="252"/>
      <c r="L129" s="252"/>
      <c r="M129" s="252"/>
      <c r="N129" s="252"/>
      <c r="O129" s="252"/>
      <c r="P129" s="252"/>
      <c r="Q129" s="252"/>
      <c r="R129" s="252"/>
      <c r="S129" s="252"/>
      <c r="T129" s="252"/>
      <c r="U129" s="253"/>
    </row>
    <row r="130" spans="1:21" ht="12.75" customHeight="1">
      <c r="A130" s="250" t="s">
        <v>176</v>
      </c>
      <c r="B130" s="250"/>
      <c r="C130" s="250"/>
      <c r="D130" s="250"/>
      <c r="E130" s="250"/>
      <c r="F130" s="250"/>
      <c r="G130" s="250"/>
      <c r="H130" s="250"/>
      <c r="I130" s="250"/>
      <c r="J130" s="250"/>
      <c r="K130" s="250"/>
      <c r="L130" s="250"/>
      <c r="M130" s="250"/>
      <c r="N130" s="250"/>
      <c r="O130" s="250"/>
      <c r="P130" s="250"/>
      <c r="Q130" s="250"/>
      <c r="R130" s="250"/>
      <c r="S130" s="250"/>
      <c r="T130" s="250"/>
      <c r="U130" s="251"/>
    </row>
    <row r="131" spans="1:21" ht="12.75" customHeight="1">
      <c r="A131" s="250" t="s">
        <v>177</v>
      </c>
      <c r="B131" s="250"/>
      <c r="C131" s="250"/>
      <c r="D131" s="250"/>
      <c r="E131" s="250"/>
      <c r="F131" s="250"/>
      <c r="G131" s="250"/>
      <c r="H131" s="250"/>
      <c r="I131" s="250"/>
      <c r="J131" s="250"/>
      <c r="K131" s="250"/>
      <c r="L131" s="250"/>
      <c r="M131" s="250"/>
      <c r="N131" s="250"/>
      <c r="O131" s="250"/>
      <c r="P131" s="250"/>
      <c r="Q131" s="250"/>
      <c r="R131" s="250"/>
      <c r="S131" s="250"/>
      <c r="T131" s="250"/>
      <c r="U131" s="251"/>
    </row>
    <row r="132" spans="1:21" ht="12.75" customHeight="1">
      <c r="A132" s="250" t="s">
        <v>178</v>
      </c>
      <c r="B132" s="250"/>
      <c r="C132" s="250"/>
      <c r="D132" s="250"/>
      <c r="E132" s="250"/>
      <c r="F132" s="250"/>
      <c r="G132" s="250"/>
      <c r="H132" s="250"/>
      <c r="I132" s="250"/>
      <c r="J132" s="250"/>
      <c r="K132" s="250"/>
      <c r="L132" s="250"/>
      <c r="M132" s="250"/>
      <c r="N132" s="250"/>
      <c r="O132" s="250"/>
      <c r="P132" s="250"/>
      <c r="Q132" s="250"/>
      <c r="R132" s="250"/>
      <c r="S132" s="250"/>
      <c r="T132" s="250"/>
      <c r="U132" s="251"/>
    </row>
    <row r="133" spans="1:21" ht="12" customHeight="1">
      <c r="A133" s="250" t="s">
        <v>179</v>
      </c>
      <c r="B133" s="250"/>
      <c r="C133" s="250"/>
      <c r="D133" s="250"/>
      <c r="E133" s="250"/>
      <c r="F133" s="250"/>
      <c r="G133" s="250"/>
      <c r="H133" s="250"/>
      <c r="I133" s="250"/>
      <c r="J133" s="250"/>
      <c r="K133" s="250"/>
      <c r="L133" s="250"/>
      <c r="M133" s="250"/>
      <c r="N133" s="250"/>
      <c r="O133" s="250"/>
      <c r="P133" s="250"/>
      <c r="Q133" s="250"/>
      <c r="R133" s="250"/>
      <c r="S133" s="250"/>
      <c r="T133" s="250"/>
      <c r="U133" s="251"/>
    </row>
    <row r="134" spans="1:21" ht="7.5" customHeight="1">
      <c r="A134" s="250"/>
      <c r="B134" s="250"/>
      <c r="C134" s="250"/>
      <c r="D134" s="250"/>
      <c r="E134" s="250"/>
      <c r="F134" s="250"/>
      <c r="G134" s="250"/>
      <c r="H134" s="250"/>
      <c r="I134" s="250"/>
      <c r="J134" s="250"/>
      <c r="K134" s="250"/>
      <c r="L134" s="250"/>
      <c r="M134" s="250"/>
      <c r="N134" s="250"/>
      <c r="O134" s="250"/>
      <c r="P134" s="250"/>
      <c r="Q134" s="250"/>
      <c r="R134" s="250"/>
      <c r="S134" s="250"/>
      <c r="T134" s="250"/>
      <c r="U134" s="251"/>
    </row>
    <row r="135" spans="1:21" ht="12.75" customHeight="1">
      <c r="A135" s="252" t="s">
        <v>180</v>
      </c>
      <c r="B135" s="252"/>
      <c r="C135" s="252"/>
      <c r="D135" s="252"/>
      <c r="E135" s="252"/>
      <c r="F135" s="252"/>
      <c r="G135" s="252"/>
      <c r="H135" s="252"/>
      <c r="I135" s="252"/>
      <c r="J135" s="252"/>
      <c r="K135" s="252"/>
      <c r="L135" s="252"/>
      <c r="M135" s="252"/>
      <c r="N135" s="252"/>
      <c r="O135" s="252"/>
      <c r="P135" s="252"/>
      <c r="Q135" s="252"/>
      <c r="R135" s="252"/>
      <c r="S135" s="252"/>
      <c r="T135" s="252"/>
      <c r="U135" s="253"/>
    </row>
    <row r="136" spans="1:21" ht="12" customHeight="1">
      <c r="A136" s="252" t="s">
        <v>181</v>
      </c>
      <c r="B136" s="252"/>
      <c r="C136" s="252"/>
      <c r="D136" s="252"/>
      <c r="E136" s="252"/>
      <c r="F136" s="252"/>
      <c r="G136" s="252"/>
      <c r="H136" s="252"/>
      <c r="I136" s="252"/>
      <c r="J136" s="252"/>
      <c r="K136" s="252"/>
      <c r="L136" s="252"/>
      <c r="M136" s="252"/>
      <c r="N136" s="252"/>
      <c r="O136" s="252"/>
      <c r="P136" s="252"/>
      <c r="Q136" s="252"/>
      <c r="R136" s="252"/>
      <c r="S136" s="252"/>
      <c r="T136" s="252"/>
      <c r="U136" s="253"/>
    </row>
    <row r="137" spans="1:21" ht="12.75" customHeight="1">
      <c r="A137" s="254"/>
      <c r="B137" s="254"/>
      <c r="C137" s="254"/>
      <c r="D137" s="254"/>
      <c r="E137" s="254"/>
      <c r="F137" s="254"/>
      <c r="G137" s="254"/>
      <c r="H137" s="254"/>
      <c r="I137" s="254"/>
      <c r="J137" s="254"/>
      <c r="K137" s="254"/>
      <c r="L137" s="254"/>
      <c r="M137" s="254"/>
      <c r="N137" s="254"/>
      <c r="O137" s="254"/>
      <c r="P137" s="254"/>
      <c r="Q137" s="254"/>
      <c r="R137" s="254"/>
      <c r="S137" s="254"/>
      <c r="T137" s="254"/>
      <c r="U137" s="255"/>
    </row>
  </sheetData>
  <sheetProtection algorithmName="SHA-512" hashValue="ODqT77mCG23VcwiQyppH0w+qR1OA7/71DW3oJ47wj0lmvo0Edc4Vh03cv3sJUdViK6n7Maq+y5QMRO6jFYp5uQ==" saltValue="7NzSwiPgZgXo3fGKVuNMfw==" spinCount="100000" sheet="1" objects="1" scenarios="1"/>
  <mergeCells count="90">
    <mergeCell ref="A125:T125"/>
    <mergeCell ref="A114:T114"/>
    <mergeCell ref="A115:T115"/>
    <mergeCell ref="A137:T137"/>
    <mergeCell ref="A126:T126"/>
    <mergeCell ref="A127:T127"/>
    <mergeCell ref="A128:T128"/>
    <mergeCell ref="A129:T129"/>
    <mergeCell ref="A130:T130"/>
    <mergeCell ref="A131:T131"/>
    <mergeCell ref="A132:T132"/>
    <mergeCell ref="A133:T133"/>
    <mergeCell ref="A134:T134"/>
    <mergeCell ref="A135:T135"/>
    <mergeCell ref="A136:T136"/>
    <mergeCell ref="A122:T122"/>
    <mergeCell ref="A123:T123"/>
    <mergeCell ref="A124:T124"/>
    <mergeCell ref="A119:T119"/>
    <mergeCell ref="A120:T120"/>
    <mergeCell ref="A121:T121"/>
    <mergeCell ref="A116:T116"/>
    <mergeCell ref="A118:T118"/>
    <mergeCell ref="A112:D112"/>
    <mergeCell ref="Q105:T105"/>
    <mergeCell ref="L106:M106"/>
    <mergeCell ref="N106:O106"/>
    <mergeCell ref="L107:M107"/>
    <mergeCell ref="N107:O107"/>
    <mergeCell ref="F111:S111"/>
    <mergeCell ref="F110:S110"/>
    <mergeCell ref="A111:D111"/>
    <mergeCell ref="A110:D110"/>
    <mergeCell ref="F112:S112"/>
    <mergeCell ref="Q102:T102"/>
    <mergeCell ref="Q103:T103"/>
    <mergeCell ref="Q104:T104"/>
    <mergeCell ref="D19:E19"/>
    <mergeCell ref="L19:M19"/>
    <mergeCell ref="Q19:R19"/>
    <mergeCell ref="S19:T19"/>
    <mergeCell ref="C101:H101"/>
    <mergeCell ref="L101:M101"/>
    <mergeCell ref="Q101:T101"/>
    <mergeCell ref="M14:N14"/>
    <mergeCell ref="A15:C15"/>
    <mergeCell ref="D15:J15"/>
    <mergeCell ref="M15:N15"/>
    <mergeCell ref="A16:C16"/>
    <mergeCell ref="D16:J16"/>
    <mergeCell ref="M16:N16"/>
    <mergeCell ref="C10:E10"/>
    <mergeCell ref="C11:G11"/>
    <mergeCell ref="E18:F18"/>
    <mergeCell ref="H18:L18"/>
    <mergeCell ref="A14:C14"/>
    <mergeCell ref="D14:J14"/>
    <mergeCell ref="A17:C17"/>
    <mergeCell ref="D17:J17"/>
    <mergeCell ref="M12:N12"/>
    <mergeCell ref="O12:Q12"/>
    <mergeCell ref="A13:C13"/>
    <mergeCell ref="D13:J13"/>
    <mergeCell ref="M13:N13"/>
    <mergeCell ref="O13:R13"/>
    <mergeCell ref="A12:D12"/>
    <mergeCell ref="M1:T1"/>
    <mergeCell ref="A3:E3"/>
    <mergeCell ref="A4:G4"/>
    <mergeCell ref="M4:N4"/>
    <mergeCell ref="O4:Q4"/>
    <mergeCell ref="M5:N5"/>
    <mergeCell ref="O5:Q5"/>
    <mergeCell ref="O10:P10"/>
    <mergeCell ref="M6:N6"/>
    <mergeCell ref="O6:Q6"/>
    <mergeCell ref="M7:N7"/>
    <mergeCell ref="O7:R7"/>
    <mergeCell ref="M8:N8"/>
    <mergeCell ref="O8:P8"/>
    <mergeCell ref="N9:Q9"/>
    <mergeCell ref="A5:G5"/>
    <mergeCell ref="A6:G6"/>
    <mergeCell ref="A7:G7"/>
    <mergeCell ref="A8:G8"/>
    <mergeCell ref="A9:G9"/>
    <mergeCell ref="C102:K102"/>
    <mergeCell ref="C103:K103"/>
    <mergeCell ref="C104:K104"/>
    <mergeCell ref="C105:K105"/>
  </mergeCells>
  <dataValidations count="405">
    <dataValidation type="whole" allowBlank="1" showInputMessage="1" showErrorMessage="1" sqref="Q11">
      <formula1>1</formula1>
      <formula2>100</formula2>
    </dataValidation>
    <dataValidation type="list" allowBlank="1" showInputMessage="1" showErrorMessage="1" sqref="O11">
      <formula1>"Credit, Cash"</formula1>
    </dataValidation>
    <dataValidation type="decimal" allowBlank="1" showInputMessage="1" showErrorMessage="1" sqref="N20:O20">
      <formula1>0</formula1>
      <formula2>100</formula2>
    </dataValidation>
    <dataValidation type="decimal" operator="greaterThanOrEqual" allowBlank="1" showInputMessage="1" showErrorMessage="1" sqref="K20:L20">
      <formula1>0</formula1>
    </dataValidation>
    <dataValidation type="decimal" allowBlank="1" showInputMessage="1" showErrorMessage="1" sqref="O16">
      <formula1>0</formula1>
      <formula2>100</formula2>
    </dataValidation>
    <dataValidation type="decimal" allowBlank="1" showInputMessage="1" showErrorMessage="1" sqref="O15">
      <formula1>0</formula1>
      <formula2>100</formula2>
    </dataValidation>
    <dataValidation allowBlank="1" showInputMessage="1" showErrorMessage="1" sqref="P23"/>
    <dataValidation allowBlank="1" showInputMessage="1" showErrorMessage="1" sqref="P24"/>
    <dataValidation allowBlank="1" showInputMessage="1" showErrorMessage="1" sqref="P25"/>
    <dataValidation allowBlank="1" showInputMessage="1" showErrorMessage="1" sqref="P26"/>
    <dataValidation type="list" allowBlank="1" showInputMessage="1" showErrorMessage="1" sqref="H21">
      <formula1>'MasterData'!$B$1:$B$14</formula1>
    </dataValidation>
    <dataValidation type="list" allowBlank="1" showInputMessage="1" showErrorMessage="1" sqref="I21">
      <formula1>'MasterData'!$E$1:$E$10</formula1>
    </dataValidation>
    <dataValidation type="decimal" operator="greaterThanOrEqual" allowBlank="1" showInputMessage="1" showErrorMessage="1" sqref="K21">
      <formula1>0</formula1>
    </dataValidation>
    <dataValidation type="decimal" allowBlank="1" showInputMessage="1" showErrorMessage="1" sqref="N21">
      <formula1>0</formula1>
      <formula2>100</formula2>
    </dataValidation>
    <dataValidation type="decimal" allowBlank="1" showInputMessage="1" showErrorMessage="1" sqref="O21">
      <formula1>0</formula1>
      <formula2>100</formula2>
    </dataValidation>
    <dataValidation type="list" allowBlank="1" showInputMessage="1" showErrorMessage="1" sqref="H22">
      <formula1>'MasterData'!$B$1:$B$14</formula1>
    </dataValidation>
    <dataValidation type="list" allowBlank="1" showInputMessage="1" showErrorMessage="1" sqref="I22">
      <formula1>'MasterData'!$E$11:$E$20</formula1>
    </dataValidation>
    <dataValidation type="decimal" operator="greaterThanOrEqual" allowBlank="1" showInputMessage="1" showErrorMessage="1" sqref="K22">
      <formula1>0</formula1>
    </dataValidation>
    <dataValidation type="decimal" allowBlank="1" showInputMessage="1" showErrorMessage="1" sqref="N22">
      <formula1>0</formula1>
      <formula2>100</formula2>
    </dataValidation>
    <dataValidation type="decimal" allowBlank="1" showInputMessage="1" showErrorMessage="1" sqref="O22">
      <formula1>0</formula1>
      <formula2>100</formula2>
    </dataValidation>
    <dataValidation type="list" allowBlank="1" showInputMessage="1" showErrorMessage="1" sqref="H23">
      <formula1>'MasterData'!$B$1:$B$14</formula1>
    </dataValidation>
    <dataValidation type="list" allowBlank="1" showInputMessage="1" showErrorMessage="1" sqref="I23">
      <formula1>'MasterData'!$E$21:$E$30</formula1>
    </dataValidation>
    <dataValidation type="decimal" operator="greaterThanOrEqual" allowBlank="1" showInputMessage="1" showErrorMessage="1" sqref="K23">
      <formula1>0</formula1>
    </dataValidation>
    <dataValidation type="decimal" allowBlank="1" showInputMessage="1" showErrorMessage="1" sqref="N23">
      <formula1>0</formula1>
      <formula2>100</formula2>
    </dataValidation>
    <dataValidation type="decimal" allowBlank="1" showInputMessage="1" showErrorMessage="1" sqref="O23">
      <formula1>0</formula1>
      <formula2>100</formula2>
    </dataValidation>
    <dataValidation type="list" allowBlank="1" showInputMessage="1" showErrorMessage="1" sqref="H24">
      <formula1>'MasterData'!$B$1:$B$14</formula1>
    </dataValidation>
    <dataValidation type="list" allowBlank="1" showInputMessage="1" showErrorMessage="1" sqref="I24">
      <formula1>'MasterData'!$E$31:$E$40</formula1>
    </dataValidation>
    <dataValidation type="decimal" operator="greaterThanOrEqual" allowBlank="1" showInputMessage="1" showErrorMessage="1" sqref="K24">
      <formula1>0</formula1>
    </dataValidation>
    <dataValidation type="decimal" allowBlank="1" showInputMessage="1" showErrorMessage="1" sqref="N24">
      <formula1>0</formula1>
      <formula2>100</formula2>
    </dataValidation>
    <dataValidation type="decimal" allowBlank="1" showInputMessage="1" showErrorMessage="1" sqref="O24">
      <formula1>0</formula1>
      <formula2>100</formula2>
    </dataValidation>
    <dataValidation type="list" allowBlank="1" showInputMessage="1" showErrorMessage="1" sqref="H25">
      <formula1>'MasterData'!$B$1:$B$14</formula1>
    </dataValidation>
    <dataValidation type="list" allowBlank="1" showInputMessage="1" showErrorMessage="1" sqref="I25">
      <formula1>'MasterData'!$E$41:$E$50</formula1>
    </dataValidation>
    <dataValidation type="decimal" operator="greaterThanOrEqual" allowBlank="1" showInputMessage="1" showErrorMessage="1" sqref="K25">
      <formula1>0</formula1>
    </dataValidation>
    <dataValidation type="decimal" allowBlank="1" showInputMessage="1" showErrorMessage="1" sqref="N25">
      <formula1>0</formula1>
      <formula2>100</formula2>
    </dataValidation>
    <dataValidation type="decimal" allowBlank="1" showInputMessage="1" showErrorMessage="1" sqref="O25">
      <formula1>0</formula1>
      <formula2>100</formula2>
    </dataValidation>
    <dataValidation type="list" allowBlank="1" showInputMessage="1" showErrorMessage="1" sqref="H26">
      <formula1>'MasterData'!$B$1:$B$14</formula1>
    </dataValidation>
    <dataValidation type="list" allowBlank="1" showInputMessage="1" showErrorMessage="1" sqref="I26">
      <formula1>'MasterData'!$E$51:$E$60</formula1>
    </dataValidation>
    <dataValidation type="decimal" operator="greaterThanOrEqual" allowBlank="1" showInputMessage="1" showErrorMessage="1" sqref="K26">
      <formula1>0</formula1>
    </dataValidation>
    <dataValidation type="decimal" allowBlank="1" showInputMessage="1" showErrorMessage="1" sqref="N26">
      <formula1>0</formula1>
      <formula2>100</formula2>
    </dataValidation>
    <dataValidation type="decimal" allowBlank="1" showInputMessage="1" showErrorMessage="1" sqref="O26">
      <formula1>0</formula1>
      <formula2>100</formula2>
    </dataValidation>
    <dataValidation type="list" allowBlank="1" showInputMessage="1" showErrorMessage="1" sqref="H27">
      <formula1>'MasterData'!$B$1:$B$14</formula1>
    </dataValidation>
    <dataValidation type="list" allowBlank="1" showInputMessage="1" showErrorMessage="1" sqref="I27">
      <formula1>'MasterData'!$E$61:$E$70</formula1>
    </dataValidation>
    <dataValidation type="decimal" operator="greaterThanOrEqual" allowBlank="1" showInputMessage="1" showErrorMessage="1" sqref="K27">
      <formula1>0</formula1>
    </dataValidation>
    <dataValidation type="decimal" allowBlank="1" showInputMessage="1" showErrorMessage="1" sqref="N27">
      <formula1>0</formula1>
      <formula2>100</formula2>
    </dataValidation>
    <dataValidation type="decimal" allowBlank="1" showInputMessage="1" showErrorMessage="1" sqref="O27">
      <formula1>0</formula1>
      <formula2>100</formula2>
    </dataValidation>
    <dataValidation type="list" allowBlank="1" showInputMessage="1" showErrorMessage="1" sqref="H28">
      <formula1>'MasterData'!$B$1:$B$14</formula1>
    </dataValidation>
    <dataValidation type="list" allowBlank="1" showInputMessage="1" showErrorMessage="1" sqref="I28">
      <formula1>'MasterData'!$E$71:$E$80</formula1>
    </dataValidation>
    <dataValidation type="decimal" operator="greaterThanOrEqual" allowBlank="1" showInputMessage="1" showErrorMessage="1" sqref="K28">
      <formula1>0</formula1>
    </dataValidation>
    <dataValidation type="decimal" allowBlank="1" showInputMessage="1" showErrorMessage="1" sqref="N28">
      <formula1>0</formula1>
      <formula2>100</formula2>
    </dataValidation>
    <dataValidation type="decimal" allowBlank="1" showInputMessage="1" showErrorMessage="1" sqref="O28">
      <formula1>0</formula1>
      <formula2>100</formula2>
    </dataValidation>
    <dataValidation type="list" allowBlank="1" showInputMessage="1" showErrorMessage="1" sqref="H29">
      <formula1>'MasterData'!$B$1:$B$14</formula1>
    </dataValidation>
    <dataValidation type="list" allowBlank="1" showInputMessage="1" showErrorMessage="1" sqref="I29">
      <formula1>'MasterData'!$E$81:$E$90</formula1>
    </dataValidation>
    <dataValidation type="decimal" operator="greaterThanOrEqual" allowBlank="1" showInputMessage="1" showErrorMessage="1" sqref="K29">
      <formula1>0</formula1>
    </dataValidation>
    <dataValidation type="decimal" allowBlank="1" showInputMessage="1" showErrorMessage="1" sqref="N29">
      <formula1>0</formula1>
      <formula2>100</formula2>
    </dataValidation>
    <dataValidation type="decimal" allowBlank="1" showInputMessage="1" showErrorMessage="1" sqref="O29">
      <formula1>0</formula1>
      <formula2>100</formula2>
    </dataValidation>
    <dataValidation type="list" allowBlank="1" showInputMessage="1" showErrorMessage="1" sqref="H30">
      <formula1>'MasterData'!$B$1:$B$14</formula1>
    </dataValidation>
    <dataValidation type="list" allowBlank="1" showInputMessage="1" showErrorMessage="1" sqref="I30">
      <formula1>'MasterData'!$E$91:$E$100</formula1>
    </dataValidation>
    <dataValidation type="decimal" operator="greaterThanOrEqual" allowBlank="1" showInputMessage="1" showErrorMessage="1" sqref="K30">
      <formula1>0</formula1>
    </dataValidation>
    <dataValidation type="decimal" allowBlank="1" showInputMessage="1" showErrorMessage="1" sqref="N30">
      <formula1>0</formula1>
      <formula2>100</formula2>
    </dataValidation>
    <dataValidation type="decimal" allowBlank="1" showInputMessage="1" showErrorMessage="1" sqref="O30">
      <formula1>0</formula1>
      <formula2>100</formula2>
    </dataValidation>
    <dataValidation type="list" allowBlank="1" showInputMessage="1" showErrorMessage="1" sqref="H31">
      <formula1>'MasterData'!$B$1:$B$14</formula1>
    </dataValidation>
    <dataValidation type="list" allowBlank="1" showInputMessage="1" showErrorMessage="1" sqref="I31">
      <formula1>'MasterData'!$E$101:$E$110</formula1>
    </dataValidation>
    <dataValidation type="decimal" operator="greaterThanOrEqual" allowBlank="1" showInputMessage="1" showErrorMessage="1" sqref="K31">
      <formula1>0</formula1>
    </dataValidation>
    <dataValidation type="decimal" allowBlank="1" showInputMessage="1" showErrorMessage="1" sqref="N31">
      <formula1>0</formula1>
      <formula2>100</formula2>
    </dataValidation>
    <dataValidation type="decimal" allowBlank="1" showInputMessage="1" showErrorMessage="1" sqref="O31">
      <formula1>0</formula1>
      <formula2>100</formula2>
    </dataValidation>
    <dataValidation type="list" allowBlank="1" showInputMessage="1" showErrorMessage="1" sqref="H32">
      <formula1>'MasterData'!$B$1:$B$14</formula1>
    </dataValidation>
    <dataValidation type="list" allowBlank="1" showInputMessage="1" showErrorMessage="1" sqref="I32">
      <formula1>'MasterData'!$E$111:$E$120</formula1>
    </dataValidation>
    <dataValidation type="decimal" operator="greaterThanOrEqual" allowBlank="1" showInputMessage="1" showErrorMessage="1" sqref="K32">
      <formula1>0</formula1>
    </dataValidation>
    <dataValidation type="decimal" allowBlank="1" showInputMessage="1" showErrorMessage="1" sqref="N32">
      <formula1>0</formula1>
      <formula2>100</formula2>
    </dataValidation>
    <dataValidation type="decimal" allowBlank="1" showInputMessage="1" showErrorMessage="1" sqref="O32">
      <formula1>0</formula1>
      <formula2>100</formula2>
    </dataValidation>
    <dataValidation type="list" allowBlank="1" showInputMessage="1" showErrorMessage="1" sqref="H33">
      <formula1>'MasterData'!$B$1:$B$14</formula1>
    </dataValidation>
    <dataValidation type="list" allowBlank="1" showInputMessage="1" showErrorMessage="1" sqref="I33">
      <formula1>'MasterData'!$E$121:$E$130</formula1>
    </dataValidation>
    <dataValidation type="decimal" operator="greaterThanOrEqual" allowBlank="1" showInputMessage="1" showErrorMessage="1" sqref="K33">
      <formula1>0</formula1>
    </dataValidation>
    <dataValidation type="decimal" allowBlank="1" showInputMessage="1" showErrorMessage="1" sqref="N33">
      <formula1>0</formula1>
      <formula2>100</formula2>
    </dataValidation>
    <dataValidation type="decimal" allowBlank="1" showInputMessage="1" showErrorMessage="1" sqref="O33">
      <formula1>0</formula1>
      <formula2>100</formula2>
    </dataValidation>
    <dataValidation type="list" allowBlank="1" showInputMessage="1" showErrorMessage="1" sqref="H34">
      <formula1>'MasterData'!$B$1:$B$14</formula1>
    </dataValidation>
    <dataValidation type="list" allowBlank="1" showInputMessage="1" showErrorMessage="1" sqref="I34">
      <formula1>'MasterData'!$E$131:$E$140</formula1>
    </dataValidation>
    <dataValidation type="decimal" operator="greaterThanOrEqual" allowBlank="1" showInputMessage="1" showErrorMessage="1" sqref="K34">
      <formula1>0</formula1>
    </dataValidation>
    <dataValidation type="decimal" allowBlank="1" showInputMessage="1" showErrorMessage="1" sqref="N34">
      <formula1>0</formula1>
      <formula2>100</formula2>
    </dataValidation>
    <dataValidation type="decimal" allowBlank="1" showInputMessage="1" showErrorMessage="1" sqref="O34">
      <formula1>0</formula1>
      <formula2>100</formula2>
    </dataValidation>
    <dataValidation type="list" allowBlank="1" showInputMessage="1" showErrorMessage="1" sqref="H35">
      <formula1>'MasterData'!$B$1:$B$14</formula1>
    </dataValidation>
    <dataValidation type="list" allowBlank="1" showInputMessage="1" showErrorMessage="1" sqref="I35">
      <formula1>'MasterData'!$E$141:$E$150</formula1>
    </dataValidation>
    <dataValidation type="decimal" operator="greaterThanOrEqual" allowBlank="1" showInputMessage="1" showErrorMessage="1" sqref="K35">
      <formula1>0</formula1>
    </dataValidation>
    <dataValidation type="decimal" allowBlank="1" showInputMessage="1" showErrorMessage="1" sqref="N35">
      <formula1>0</formula1>
      <formula2>100</formula2>
    </dataValidation>
    <dataValidation type="decimal" allowBlank="1" showInputMessage="1" showErrorMessage="1" sqref="O35">
      <formula1>0</formula1>
      <formula2>100</formula2>
    </dataValidation>
    <dataValidation type="list" allowBlank="1" showInputMessage="1" showErrorMessage="1" sqref="H36">
      <formula1>'MasterData'!$B$1:$B$14</formula1>
    </dataValidation>
    <dataValidation type="list" allowBlank="1" showInputMessage="1" showErrorMessage="1" sqref="I36">
      <formula1>'MasterData'!$E$151:$E$160</formula1>
    </dataValidation>
    <dataValidation type="decimal" operator="greaterThanOrEqual" allowBlank="1" showInputMessage="1" showErrorMessage="1" sqref="K36">
      <formula1>0</formula1>
    </dataValidation>
    <dataValidation type="decimal" allowBlank="1" showInputMessage="1" showErrorMessage="1" sqref="N36">
      <formula1>0</formula1>
      <formula2>100</formula2>
    </dataValidation>
    <dataValidation type="decimal" allowBlank="1" showInputMessage="1" showErrorMessage="1" sqref="O36">
      <formula1>0</formula1>
      <formula2>100</formula2>
    </dataValidation>
    <dataValidation type="list" allowBlank="1" showInputMessage="1" showErrorMessage="1" sqref="H37">
      <formula1>'MasterData'!$B$1:$B$14</formula1>
    </dataValidation>
    <dataValidation type="list" allowBlank="1" showInputMessage="1" showErrorMessage="1" sqref="I37">
      <formula1>'MasterData'!$E$161:$E$170</formula1>
    </dataValidation>
    <dataValidation type="decimal" operator="greaterThanOrEqual" allowBlank="1" showInputMessage="1" showErrorMessage="1" sqref="K37">
      <formula1>0</formula1>
    </dataValidation>
    <dataValidation type="decimal" allowBlank="1" showInputMessage="1" showErrorMessage="1" sqref="N37">
      <formula1>0</formula1>
      <formula2>100</formula2>
    </dataValidation>
    <dataValidation type="decimal" allowBlank="1" showInputMessage="1" showErrorMessage="1" sqref="O37">
      <formula1>0</formula1>
      <formula2>100</formula2>
    </dataValidation>
    <dataValidation type="list" allowBlank="1" showInputMessage="1" showErrorMessage="1" sqref="H38">
      <formula1>'MasterData'!$B$1:$B$14</formula1>
    </dataValidation>
    <dataValidation type="list" allowBlank="1" showInputMessage="1" showErrorMessage="1" sqref="I38">
      <formula1>'MasterData'!$E$171:$E$180</formula1>
    </dataValidation>
    <dataValidation type="decimal" operator="greaterThanOrEqual" allowBlank="1" showInputMessage="1" showErrorMessage="1" sqref="K38">
      <formula1>0</formula1>
    </dataValidation>
    <dataValidation type="decimal" allowBlank="1" showInputMessage="1" showErrorMessage="1" sqref="N38">
      <formula1>0</formula1>
      <formula2>100</formula2>
    </dataValidation>
    <dataValidation type="decimal" allowBlank="1" showInputMessage="1" showErrorMessage="1" sqref="O38">
      <formula1>0</formula1>
      <formula2>100</formula2>
    </dataValidation>
    <dataValidation type="list" allowBlank="1" showInputMessage="1" showErrorMessage="1" sqref="H39">
      <formula1>'MasterData'!$B$1:$B$14</formula1>
    </dataValidation>
    <dataValidation type="list" allowBlank="1" showInputMessage="1" showErrorMessage="1" sqref="I39">
      <formula1>'MasterData'!$E$181:$E$190</formula1>
    </dataValidation>
    <dataValidation type="decimal" operator="greaterThanOrEqual" allowBlank="1" showInputMessage="1" showErrorMessage="1" sqref="K39">
      <formula1>0</formula1>
    </dataValidation>
    <dataValidation type="decimal" allowBlank="1" showInputMessage="1" showErrorMessage="1" sqref="N39">
      <formula1>0</formula1>
      <formula2>100</formula2>
    </dataValidation>
    <dataValidation type="decimal" allowBlank="1" showInputMessage="1" showErrorMessage="1" sqref="O39">
      <formula1>0</formula1>
      <formula2>100</formula2>
    </dataValidation>
    <dataValidation type="list" allowBlank="1" showInputMessage="1" showErrorMessage="1" sqref="H40">
      <formula1>'MasterData'!$B$1:$B$14</formula1>
    </dataValidation>
    <dataValidation type="list" allowBlank="1" showInputMessage="1" showErrorMessage="1" sqref="I40">
      <formula1>'MasterData'!$E$191:$E$200</formula1>
    </dataValidation>
    <dataValidation type="decimal" operator="greaterThanOrEqual" allowBlank="1" showInputMessage="1" showErrorMessage="1" sqref="K40">
      <formula1>0</formula1>
    </dataValidation>
    <dataValidation type="decimal" allowBlank="1" showInputMessage="1" showErrorMessage="1" sqref="N40">
      <formula1>0</formula1>
      <formula2>100</formula2>
    </dataValidation>
    <dataValidation type="decimal" allowBlank="1" showInputMessage="1" showErrorMessage="1" sqref="O40">
      <formula1>0</formula1>
      <formula2>100</formula2>
    </dataValidation>
    <dataValidation type="list" allowBlank="1" showInputMessage="1" showErrorMessage="1" sqref="H41">
      <formula1>'MasterData'!$B$1:$B$14</formula1>
    </dataValidation>
    <dataValidation type="list" allowBlank="1" showInputMessage="1" showErrorMessage="1" sqref="I41">
      <formula1>'MasterData'!$E$201:$E$210</formula1>
    </dataValidation>
    <dataValidation type="decimal" operator="greaterThanOrEqual" allowBlank="1" showInputMessage="1" showErrorMessage="1" sqref="K41">
      <formula1>0</formula1>
    </dataValidation>
    <dataValidation type="decimal" allowBlank="1" showInputMessage="1" showErrorMessage="1" sqref="N41">
      <formula1>0</formula1>
      <formula2>100</formula2>
    </dataValidation>
    <dataValidation type="decimal" allowBlank="1" showInputMessage="1" showErrorMessage="1" sqref="O41">
      <formula1>0</formula1>
      <formula2>100</formula2>
    </dataValidation>
    <dataValidation type="list" allowBlank="1" showInputMessage="1" showErrorMessage="1" sqref="H42">
      <formula1>'MasterData'!$B$1:$B$14</formula1>
    </dataValidation>
    <dataValidation type="list" allowBlank="1" showInputMessage="1" showErrorMessage="1" sqref="I42">
      <formula1>'MasterData'!$E$211:$E$220</formula1>
    </dataValidation>
    <dataValidation type="decimal" operator="greaterThanOrEqual" allowBlank="1" showInputMessage="1" showErrorMessage="1" sqref="K42">
      <formula1>0</formula1>
    </dataValidation>
    <dataValidation type="decimal" allowBlank="1" showInputMessage="1" showErrorMessage="1" sqref="N42">
      <formula1>0</formula1>
      <formula2>100</formula2>
    </dataValidation>
    <dataValidation type="decimal" allowBlank="1" showInputMessage="1" showErrorMessage="1" sqref="O42">
      <formula1>0</formula1>
      <formula2>100</formula2>
    </dataValidation>
    <dataValidation type="list" allowBlank="1" showInputMessage="1" showErrorMessage="1" sqref="H43">
      <formula1>'MasterData'!$B$1:$B$14</formula1>
    </dataValidation>
    <dataValidation type="list" allowBlank="1" showInputMessage="1" showErrorMessage="1" sqref="I43">
      <formula1>'MasterData'!$E$221:$E$230</formula1>
    </dataValidation>
    <dataValidation type="decimal" operator="greaterThanOrEqual" allowBlank="1" showInputMessage="1" showErrorMessage="1" sqref="K43">
      <formula1>0</formula1>
    </dataValidation>
    <dataValidation type="decimal" allowBlank="1" showInputMessage="1" showErrorMessage="1" sqref="N43">
      <formula1>0</formula1>
      <formula2>100</formula2>
    </dataValidation>
    <dataValidation type="decimal" allowBlank="1" showInputMessage="1" showErrorMessage="1" sqref="O43">
      <formula1>0</formula1>
      <formula2>100</formula2>
    </dataValidation>
    <dataValidation type="list" allowBlank="1" showInputMessage="1" showErrorMessage="1" sqref="H44">
      <formula1>'MasterData'!$B$1:$B$14</formula1>
    </dataValidation>
    <dataValidation type="list" allowBlank="1" showInputMessage="1" showErrorMessage="1" sqref="I44">
      <formula1>'MasterData'!$E$231:$E$240</formula1>
    </dataValidation>
    <dataValidation type="decimal" operator="greaterThanOrEqual" allowBlank="1" showInputMessage="1" showErrorMessage="1" sqref="K44">
      <formula1>0</formula1>
    </dataValidation>
    <dataValidation type="decimal" allowBlank="1" showInputMessage="1" showErrorMessage="1" sqref="N44">
      <formula1>0</formula1>
      <formula2>100</formula2>
    </dataValidation>
    <dataValidation type="decimal" allowBlank="1" showInputMessage="1" showErrorMessage="1" sqref="O44">
      <formula1>0</formula1>
      <formula2>100</formula2>
    </dataValidation>
    <dataValidation type="list" allowBlank="1" showInputMessage="1" showErrorMessage="1" sqref="H45">
      <formula1>'MasterData'!$B$1:$B$14</formula1>
    </dataValidation>
    <dataValidation type="list" allowBlank="1" showInputMessage="1" showErrorMessage="1" sqref="I45">
      <formula1>'MasterData'!$E$241:$E$250</formula1>
    </dataValidation>
    <dataValidation type="decimal" operator="greaterThanOrEqual" allowBlank="1" showInputMessage="1" showErrorMessage="1" sqref="K45">
      <formula1>0</formula1>
    </dataValidation>
    <dataValidation type="decimal" allowBlank="1" showInputMessage="1" showErrorMessage="1" sqref="N45">
      <formula1>0</formula1>
      <formula2>100</formula2>
    </dataValidation>
    <dataValidation type="decimal" allowBlank="1" showInputMessage="1" showErrorMessage="1" sqref="O45">
      <formula1>0</formula1>
      <formula2>100</formula2>
    </dataValidation>
    <dataValidation type="list" allowBlank="1" showInputMessage="1" showErrorMessage="1" sqref="H46">
      <formula1>'MasterData'!$B$1:$B$14</formula1>
    </dataValidation>
    <dataValidation type="list" allowBlank="1" showInputMessage="1" showErrorMessage="1" sqref="I46">
      <formula1>'MasterData'!$E$251:$E$260</formula1>
    </dataValidation>
    <dataValidation type="decimal" operator="greaterThanOrEqual" allowBlank="1" showInputMessage="1" showErrorMessage="1" sqref="K46">
      <formula1>0</formula1>
    </dataValidation>
    <dataValidation type="decimal" allowBlank="1" showInputMessage="1" showErrorMessage="1" sqref="N46">
      <formula1>0</formula1>
      <formula2>100</formula2>
    </dataValidation>
    <dataValidation type="decimal" allowBlank="1" showInputMessage="1" showErrorMessage="1" sqref="O46">
      <formula1>0</formula1>
      <formula2>100</formula2>
    </dataValidation>
    <dataValidation type="list" allowBlank="1" showInputMessage="1" showErrorMessage="1" sqref="H47">
      <formula1>'MasterData'!$B$1:$B$14</formula1>
    </dataValidation>
    <dataValidation type="list" allowBlank="1" showInputMessage="1" showErrorMessage="1" sqref="I47">
      <formula1>'MasterData'!$E$261:$E$270</formula1>
    </dataValidation>
    <dataValidation type="decimal" operator="greaterThanOrEqual" allowBlank="1" showInputMessage="1" showErrorMessage="1" sqref="K47">
      <formula1>0</formula1>
    </dataValidation>
    <dataValidation type="decimal" allowBlank="1" showInputMessage="1" showErrorMessage="1" sqref="N47">
      <formula1>0</formula1>
      <formula2>100</formula2>
    </dataValidation>
    <dataValidation type="decimal" allowBlank="1" showInputMessage="1" showErrorMessage="1" sqref="O47">
      <formula1>0</formula1>
      <formula2>100</formula2>
    </dataValidation>
    <dataValidation type="list" allowBlank="1" showInputMessage="1" showErrorMessage="1" sqref="H48">
      <formula1>'MasterData'!$B$1:$B$14</formula1>
    </dataValidation>
    <dataValidation type="list" allowBlank="1" showInputMessage="1" showErrorMessage="1" sqref="I48">
      <formula1>'MasterData'!$E$271:$E$280</formula1>
    </dataValidation>
    <dataValidation type="decimal" operator="greaterThanOrEqual" allowBlank="1" showInputMessage="1" showErrorMessage="1" sqref="K48">
      <formula1>0</formula1>
    </dataValidation>
    <dataValidation type="decimal" allowBlank="1" showInputMessage="1" showErrorMessage="1" sqref="N48">
      <formula1>0</formula1>
      <formula2>100</formula2>
    </dataValidation>
    <dataValidation type="decimal" allowBlank="1" showInputMessage="1" showErrorMessage="1" sqref="O48">
      <formula1>0</formula1>
      <formula2>100</formula2>
    </dataValidation>
    <dataValidation type="list" allowBlank="1" showInputMessage="1" showErrorMessage="1" sqref="H49">
      <formula1>'MasterData'!$B$1:$B$14</formula1>
    </dataValidation>
    <dataValidation type="list" allowBlank="1" showInputMessage="1" showErrorMessage="1" sqref="I49">
      <formula1>'MasterData'!$E$281:$E$290</formula1>
    </dataValidation>
    <dataValidation type="decimal" operator="greaterThanOrEqual" allowBlank="1" showInputMessage="1" showErrorMessage="1" sqref="K49">
      <formula1>0</formula1>
    </dataValidation>
    <dataValidation type="decimal" allowBlank="1" showInputMessage="1" showErrorMessage="1" sqref="N49">
      <formula1>0</formula1>
      <formula2>100</formula2>
    </dataValidation>
    <dataValidation type="decimal" allowBlank="1" showInputMessage="1" showErrorMessage="1" sqref="O49">
      <formula1>0</formula1>
      <formula2>100</formula2>
    </dataValidation>
    <dataValidation type="list" allowBlank="1" showInputMessage="1" showErrorMessage="1" sqref="H50">
      <formula1>'MasterData'!$B$1:$B$14</formula1>
    </dataValidation>
    <dataValidation type="list" allowBlank="1" showInputMessage="1" showErrorMessage="1" sqref="I50">
      <formula1>'MasterData'!$E$291:$E$300</formula1>
    </dataValidation>
    <dataValidation type="decimal" operator="greaterThanOrEqual" allowBlank="1" showInputMessage="1" showErrorMessage="1" sqref="K50">
      <formula1>0</formula1>
    </dataValidation>
    <dataValidation type="decimal" allowBlank="1" showInputMessage="1" showErrorMessage="1" sqref="N50">
      <formula1>0</formula1>
      <formula2>100</formula2>
    </dataValidation>
    <dataValidation type="decimal" allowBlank="1" showInputMessage="1" showErrorMessage="1" sqref="O50">
      <formula1>0</formula1>
      <formula2>100</formula2>
    </dataValidation>
    <dataValidation type="list" allowBlank="1" showInputMessage="1" showErrorMessage="1" sqref="H51">
      <formula1>'MasterData'!$B$1:$B$14</formula1>
    </dataValidation>
    <dataValidation type="list" allowBlank="1" showInputMessage="1" showErrorMessage="1" sqref="I51">
      <formula1>'MasterData'!$E$301:$E$310</formula1>
    </dataValidation>
    <dataValidation type="decimal" operator="greaterThanOrEqual" allowBlank="1" showInputMessage="1" showErrorMessage="1" sqref="K51">
      <formula1>0</formula1>
    </dataValidation>
    <dataValidation type="decimal" allowBlank="1" showInputMessage="1" showErrorMessage="1" sqref="N51">
      <formula1>0</formula1>
      <formula2>100</formula2>
    </dataValidation>
    <dataValidation type="decimal" allowBlank="1" showInputMessage="1" showErrorMessage="1" sqref="O51">
      <formula1>0</formula1>
      <formula2>100</formula2>
    </dataValidation>
    <dataValidation type="list" allowBlank="1" showInputMessage="1" showErrorMessage="1" sqref="H52">
      <formula1>'MasterData'!$B$1:$B$14</formula1>
    </dataValidation>
    <dataValidation type="list" allowBlank="1" showInputMessage="1" showErrorMessage="1" sqref="I52">
      <formula1>'MasterData'!$E$311:$E$320</formula1>
    </dataValidation>
    <dataValidation type="decimal" operator="greaterThanOrEqual" allowBlank="1" showInputMessage="1" showErrorMessage="1" sqref="K52">
      <formula1>0</formula1>
    </dataValidation>
    <dataValidation type="decimal" allowBlank="1" showInputMessage="1" showErrorMessage="1" sqref="N52">
      <formula1>0</formula1>
      <formula2>100</formula2>
    </dataValidation>
    <dataValidation type="decimal" allowBlank="1" showInputMessage="1" showErrorMessage="1" sqref="O52">
      <formula1>0</formula1>
      <formula2>100</formula2>
    </dataValidation>
    <dataValidation type="list" allowBlank="1" showInputMessage="1" showErrorMessage="1" sqref="H53">
      <formula1>'MasterData'!$B$1:$B$14</formula1>
    </dataValidation>
    <dataValidation type="list" allowBlank="1" showInputMessage="1" showErrorMessage="1" sqref="I53">
      <formula1>'MasterData'!$E$321:$E$330</formula1>
    </dataValidation>
    <dataValidation type="decimal" operator="greaterThanOrEqual" allowBlank="1" showInputMessage="1" showErrorMessage="1" sqref="K53">
      <formula1>0</formula1>
    </dataValidation>
    <dataValidation type="decimal" allowBlank="1" showInputMessage="1" showErrorMessage="1" sqref="N53">
      <formula1>0</formula1>
      <formula2>100</formula2>
    </dataValidation>
    <dataValidation type="decimal" allowBlank="1" showInputMessage="1" showErrorMessage="1" sqref="O53">
      <formula1>0</formula1>
      <formula2>100</formula2>
    </dataValidation>
    <dataValidation type="list" allowBlank="1" showInputMessage="1" showErrorMessage="1" sqref="H54">
      <formula1>'MasterData'!$B$1:$B$14</formula1>
    </dataValidation>
    <dataValidation type="list" allowBlank="1" showInputMessage="1" showErrorMessage="1" sqref="I54">
      <formula1>'MasterData'!$E$331:$E$340</formula1>
    </dataValidation>
    <dataValidation type="decimal" operator="greaterThanOrEqual" allowBlank="1" showInputMessage="1" showErrorMessage="1" sqref="K54">
      <formula1>0</formula1>
    </dataValidation>
    <dataValidation type="decimal" allowBlank="1" showInputMessage="1" showErrorMessage="1" sqref="N54">
      <formula1>0</formula1>
      <formula2>100</formula2>
    </dataValidation>
    <dataValidation type="decimal" allowBlank="1" showInputMessage="1" showErrorMessage="1" sqref="O54">
      <formula1>0</formula1>
      <formula2>100</formula2>
    </dataValidation>
    <dataValidation type="list" allowBlank="1" showInputMessage="1" showErrorMessage="1" sqref="H55">
      <formula1>'MasterData'!$B$1:$B$14</formula1>
    </dataValidation>
    <dataValidation type="list" allowBlank="1" showInputMessage="1" showErrorMessage="1" sqref="I55">
      <formula1>'MasterData'!$E$341:$E$350</formula1>
    </dataValidation>
    <dataValidation type="decimal" operator="greaterThanOrEqual" allowBlank="1" showInputMessage="1" showErrorMessage="1" sqref="K55">
      <formula1>0</formula1>
    </dataValidation>
    <dataValidation type="decimal" allowBlank="1" showInputMessage="1" showErrorMessage="1" sqref="N55">
      <formula1>0</formula1>
      <formula2>100</formula2>
    </dataValidation>
    <dataValidation type="decimal" allowBlank="1" showInputMessage="1" showErrorMessage="1" sqref="O55">
      <formula1>0</formula1>
      <formula2>100</formula2>
    </dataValidation>
    <dataValidation type="list" allowBlank="1" showInputMessage="1" showErrorMessage="1" sqref="H56">
      <formula1>'MasterData'!$B$1:$B$14</formula1>
    </dataValidation>
    <dataValidation type="list" allowBlank="1" showInputMessage="1" showErrorMessage="1" sqref="I56">
      <formula1>'MasterData'!$E$351:$E$360</formula1>
    </dataValidation>
    <dataValidation type="decimal" operator="greaterThanOrEqual" allowBlank="1" showInputMessage="1" showErrorMessage="1" sqref="K56">
      <formula1>0</formula1>
    </dataValidation>
    <dataValidation type="decimal" allowBlank="1" showInputMessage="1" showErrorMessage="1" sqref="N56">
      <formula1>0</formula1>
      <formula2>100</formula2>
    </dataValidation>
    <dataValidation type="decimal" allowBlank="1" showInputMessage="1" showErrorMessage="1" sqref="O56">
      <formula1>0</formula1>
      <formula2>100</formula2>
    </dataValidation>
    <dataValidation type="list" allowBlank="1" showInputMessage="1" showErrorMessage="1" sqref="H57">
      <formula1>'MasterData'!$B$1:$B$14</formula1>
    </dataValidation>
    <dataValidation type="list" allowBlank="1" showInputMessage="1" showErrorMessage="1" sqref="I57">
      <formula1>'MasterData'!$E$361:$E$370</formula1>
    </dataValidation>
    <dataValidation type="decimal" operator="greaterThanOrEqual" allowBlank="1" showInputMessage="1" showErrorMessage="1" sqref="K57">
      <formula1>0</formula1>
    </dataValidation>
    <dataValidation type="decimal" allowBlank="1" showInputMessage="1" showErrorMessage="1" sqref="N57">
      <formula1>0</formula1>
      <formula2>100</formula2>
    </dataValidation>
    <dataValidation type="decimal" allowBlank="1" showInputMessage="1" showErrorMessage="1" sqref="O57">
      <formula1>0</formula1>
      <formula2>100</formula2>
    </dataValidation>
    <dataValidation type="list" allowBlank="1" showInputMessage="1" showErrorMessage="1" sqref="H58">
      <formula1>'MasterData'!$B$1:$B$14</formula1>
    </dataValidation>
    <dataValidation type="list" allowBlank="1" showInputMessage="1" showErrorMessage="1" sqref="I58">
      <formula1>'MasterData'!$E$371:$E$380</formula1>
    </dataValidation>
    <dataValidation type="decimal" operator="greaterThanOrEqual" allowBlank="1" showInputMessage="1" showErrorMessage="1" sqref="K58">
      <formula1>0</formula1>
    </dataValidation>
    <dataValidation type="decimal" allowBlank="1" showInputMessage="1" showErrorMessage="1" sqref="N58">
      <formula1>0</formula1>
      <formula2>100</formula2>
    </dataValidation>
    <dataValidation type="decimal" allowBlank="1" showInputMessage="1" showErrorMessage="1" sqref="O58">
      <formula1>0</formula1>
      <formula2>100</formula2>
    </dataValidation>
    <dataValidation type="list" allowBlank="1" showInputMessage="1" showErrorMessage="1" sqref="H59">
      <formula1>'MasterData'!$B$1:$B$14</formula1>
    </dataValidation>
    <dataValidation type="list" allowBlank="1" showInputMessage="1" showErrorMessage="1" sqref="I59">
      <formula1>'MasterData'!$E$381:$E$390</formula1>
    </dataValidation>
    <dataValidation type="decimal" operator="greaterThanOrEqual" allowBlank="1" showInputMessage="1" showErrorMessage="1" sqref="K59">
      <formula1>0</formula1>
    </dataValidation>
    <dataValidation type="decimal" allowBlank="1" showInputMessage="1" showErrorMessage="1" sqref="N59">
      <formula1>0</formula1>
      <formula2>100</formula2>
    </dataValidation>
    <dataValidation type="decimal" allowBlank="1" showInputMessage="1" showErrorMessage="1" sqref="O59">
      <formula1>0</formula1>
      <formula2>100</formula2>
    </dataValidation>
    <dataValidation type="list" allowBlank="1" showInputMessage="1" showErrorMessage="1" sqref="H60">
      <formula1>'MasterData'!$B$1:$B$14</formula1>
    </dataValidation>
    <dataValidation type="list" allowBlank="1" showInputMessage="1" showErrorMessage="1" sqref="I60">
      <formula1>'MasterData'!$E$391:$E$400</formula1>
    </dataValidation>
    <dataValidation type="decimal" operator="greaterThanOrEqual" allowBlank="1" showInputMessage="1" showErrorMessage="1" sqref="K60">
      <formula1>0</formula1>
    </dataValidation>
    <dataValidation type="decimal" allowBlank="1" showInputMessage="1" showErrorMessage="1" sqref="N60">
      <formula1>0</formula1>
      <formula2>100</formula2>
    </dataValidation>
    <dataValidation type="decimal" allowBlank="1" showInputMessage="1" showErrorMessage="1" sqref="O60">
      <formula1>0</formula1>
      <formula2>100</formula2>
    </dataValidation>
    <dataValidation type="list" allowBlank="1" showInputMessage="1" showErrorMessage="1" sqref="H61">
      <formula1>'MasterData'!$B$1:$B$14</formula1>
    </dataValidation>
    <dataValidation type="list" allowBlank="1" showInputMessage="1" showErrorMessage="1" sqref="I61">
      <formula1>'MasterData'!$E$401:$E$410</formula1>
    </dataValidation>
    <dataValidation type="decimal" operator="greaterThanOrEqual" allowBlank="1" showInputMessage="1" showErrorMessage="1" sqref="K61">
      <formula1>0</formula1>
    </dataValidation>
    <dataValidation type="decimal" allowBlank="1" showInputMessage="1" showErrorMessage="1" sqref="N61">
      <formula1>0</formula1>
      <formula2>100</formula2>
    </dataValidation>
    <dataValidation type="decimal" allowBlank="1" showInputMessage="1" showErrorMessage="1" sqref="O61">
      <formula1>0</formula1>
      <formula2>100</formula2>
    </dataValidation>
    <dataValidation type="list" allowBlank="1" showInputMessage="1" showErrorMessage="1" sqref="H62">
      <formula1>'MasterData'!$B$1:$B$14</formula1>
    </dataValidation>
    <dataValidation type="list" allowBlank="1" showInputMessage="1" showErrorMessage="1" sqref="I62">
      <formula1>'MasterData'!$E$411:$E$420</formula1>
    </dataValidation>
    <dataValidation type="decimal" operator="greaterThanOrEqual" allowBlank="1" showInputMessage="1" showErrorMessage="1" sqref="K62">
      <formula1>0</formula1>
    </dataValidation>
    <dataValidation type="decimal" allowBlank="1" showInputMessage="1" showErrorMessage="1" sqref="N62">
      <formula1>0</formula1>
      <formula2>100</formula2>
    </dataValidation>
    <dataValidation type="decimal" allowBlank="1" showInputMessage="1" showErrorMessage="1" sqref="O62">
      <formula1>0</formula1>
      <formula2>100</formula2>
    </dataValidation>
    <dataValidation type="list" allowBlank="1" showInputMessage="1" showErrorMessage="1" sqref="H63">
      <formula1>'MasterData'!$B$1:$B$14</formula1>
    </dataValidation>
    <dataValidation type="list" allowBlank="1" showInputMessage="1" showErrorMessage="1" sqref="I63">
      <formula1>'MasterData'!$E$421:$E$430</formula1>
    </dataValidation>
    <dataValidation type="decimal" operator="greaterThanOrEqual" allowBlank="1" showInputMessage="1" showErrorMessage="1" sqref="K63">
      <formula1>0</formula1>
    </dataValidation>
    <dataValidation type="decimal" allowBlank="1" showInputMessage="1" showErrorMessage="1" sqref="N63">
      <formula1>0</formula1>
      <formula2>100</formula2>
    </dataValidation>
    <dataValidation type="decimal" allowBlank="1" showInputMessage="1" showErrorMessage="1" sqref="O63">
      <formula1>0</formula1>
      <formula2>100</formula2>
    </dataValidation>
    <dataValidation type="list" allowBlank="1" showInputMessage="1" showErrorMessage="1" sqref="H64">
      <formula1>'MasterData'!$B$1:$B$14</formula1>
    </dataValidation>
    <dataValidation type="list" allowBlank="1" showInputMessage="1" showErrorMessage="1" sqref="I64">
      <formula1>'MasterData'!$E$431:$E$440</formula1>
    </dataValidation>
    <dataValidation type="decimal" operator="greaterThanOrEqual" allowBlank="1" showInputMessage="1" showErrorMessage="1" sqref="K64">
      <formula1>0</formula1>
    </dataValidation>
    <dataValidation type="decimal" allowBlank="1" showInputMessage="1" showErrorMessage="1" sqref="N64">
      <formula1>0</formula1>
      <formula2>100</formula2>
    </dataValidation>
    <dataValidation type="decimal" allowBlank="1" showInputMessage="1" showErrorMessage="1" sqref="O64">
      <formula1>0</formula1>
      <formula2>100</formula2>
    </dataValidation>
    <dataValidation type="list" allowBlank="1" showInputMessage="1" showErrorMessage="1" sqref="H65">
      <formula1>'MasterData'!$B$1:$B$14</formula1>
    </dataValidation>
    <dataValidation type="list" allowBlank="1" showInputMessage="1" showErrorMessage="1" sqref="I65">
      <formula1>'MasterData'!$E$441:$E$450</formula1>
    </dataValidation>
    <dataValidation type="decimal" operator="greaterThanOrEqual" allowBlank="1" showInputMessage="1" showErrorMessage="1" sqref="K65">
      <formula1>0</formula1>
    </dataValidation>
    <dataValidation type="decimal" allowBlank="1" showInputMessage="1" showErrorMessage="1" sqref="N65">
      <formula1>0</formula1>
      <formula2>100</formula2>
    </dataValidation>
    <dataValidation type="decimal" allowBlank="1" showInputMessage="1" showErrorMessage="1" sqref="O65">
      <formula1>0</formula1>
      <formula2>100</formula2>
    </dataValidation>
    <dataValidation type="list" allowBlank="1" showInputMessage="1" showErrorMessage="1" sqref="H66">
      <formula1>'MasterData'!$B$1:$B$14</formula1>
    </dataValidation>
    <dataValidation type="list" allowBlank="1" showInputMessage="1" showErrorMessage="1" sqref="I66">
      <formula1>'MasterData'!$E$451:$E$460</formula1>
    </dataValidation>
    <dataValidation type="decimal" operator="greaterThanOrEqual" allowBlank="1" showInputMessage="1" showErrorMessage="1" sqref="K66">
      <formula1>0</formula1>
    </dataValidation>
    <dataValidation type="decimal" allowBlank="1" showInputMessage="1" showErrorMessage="1" sqref="N66">
      <formula1>0</formula1>
      <formula2>100</formula2>
    </dataValidation>
    <dataValidation type="decimal" allowBlank="1" showInputMessage="1" showErrorMessage="1" sqref="O66">
      <formula1>0</formula1>
      <formula2>100</formula2>
    </dataValidation>
    <dataValidation type="list" allowBlank="1" showInputMessage="1" showErrorMessage="1" sqref="H67">
      <formula1>'MasterData'!$B$1:$B$14</formula1>
    </dataValidation>
    <dataValidation type="list" allowBlank="1" showInputMessage="1" showErrorMessage="1" sqref="I67">
      <formula1>'MasterData'!$E$461:$E$470</formula1>
    </dataValidation>
    <dataValidation type="decimal" operator="greaterThanOrEqual" allowBlank="1" showInputMessage="1" showErrorMessage="1" sqref="K67">
      <formula1>0</formula1>
    </dataValidation>
    <dataValidation type="decimal" allowBlank="1" showInputMessage="1" showErrorMessage="1" sqref="N67">
      <formula1>0</formula1>
      <formula2>100</formula2>
    </dataValidation>
    <dataValidation type="decimal" allowBlank="1" showInputMessage="1" showErrorMessage="1" sqref="O67">
      <formula1>0</formula1>
      <formula2>100</formula2>
    </dataValidation>
    <dataValidation type="list" allowBlank="1" showInputMessage="1" showErrorMessage="1" sqref="H68">
      <formula1>'MasterData'!$B$1:$B$14</formula1>
    </dataValidation>
    <dataValidation type="list" allowBlank="1" showInputMessage="1" showErrorMessage="1" sqref="I68">
      <formula1>'MasterData'!$E$471:$E$480</formula1>
    </dataValidation>
    <dataValidation type="decimal" operator="greaterThanOrEqual" allowBlank="1" showInputMessage="1" showErrorMessage="1" sqref="K68">
      <formula1>0</formula1>
    </dataValidation>
    <dataValidation type="decimal" allowBlank="1" showInputMessage="1" showErrorMessage="1" sqref="N68">
      <formula1>0</formula1>
      <formula2>100</formula2>
    </dataValidation>
    <dataValidation type="decimal" allowBlank="1" showInputMessage="1" showErrorMessage="1" sqref="O68">
      <formula1>0</formula1>
      <formula2>100</formula2>
    </dataValidation>
    <dataValidation type="list" allowBlank="1" showInputMessage="1" showErrorMessage="1" sqref="H69">
      <formula1>'MasterData'!$B$1:$B$14</formula1>
    </dataValidation>
    <dataValidation type="list" allowBlank="1" showInputMessage="1" showErrorMessage="1" sqref="I69">
      <formula1>'MasterData'!$E$481:$E$490</formula1>
    </dataValidation>
    <dataValidation type="decimal" operator="greaterThanOrEqual" allowBlank="1" showInputMessage="1" showErrorMessage="1" sqref="K69">
      <formula1>0</formula1>
    </dataValidation>
    <dataValidation type="decimal" allowBlank="1" showInputMessage="1" showErrorMessage="1" sqref="N69">
      <formula1>0</formula1>
      <formula2>100</formula2>
    </dataValidation>
    <dataValidation type="decimal" allowBlank="1" showInputMessage="1" showErrorMessage="1" sqref="O69">
      <formula1>0</formula1>
      <formula2>100</formula2>
    </dataValidation>
    <dataValidation type="list" allowBlank="1" showInputMessage="1" showErrorMessage="1" sqref="H70">
      <formula1>'MasterData'!$B$1:$B$14</formula1>
    </dataValidation>
    <dataValidation type="list" allowBlank="1" showInputMessage="1" showErrorMessage="1" sqref="I70">
      <formula1>'MasterData'!$E$491:$E$500</formula1>
    </dataValidation>
    <dataValidation type="decimal" operator="greaterThanOrEqual" allowBlank="1" showInputMessage="1" showErrorMessage="1" sqref="K70">
      <formula1>0</formula1>
    </dataValidation>
    <dataValidation type="decimal" allowBlank="1" showInputMessage="1" showErrorMessage="1" sqref="N70">
      <formula1>0</formula1>
      <formula2>100</formula2>
    </dataValidation>
    <dataValidation type="decimal" allowBlank="1" showInputMessage="1" showErrorMessage="1" sqref="O70">
      <formula1>0</formula1>
      <formula2>100</formula2>
    </dataValidation>
    <dataValidation type="list" allowBlank="1" showInputMessage="1" showErrorMessage="1" sqref="H71">
      <formula1>'MasterData'!$B$1:$B$14</formula1>
    </dataValidation>
    <dataValidation type="list" allowBlank="1" showInputMessage="1" showErrorMessage="1" sqref="I71">
      <formula1>'MasterData'!$E$501:$E$510</formula1>
    </dataValidation>
    <dataValidation type="decimal" operator="greaterThanOrEqual" allowBlank="1" showInputMessage="1" showErrorMessage="1" sqref="K71">
      <formula1>0</formula1>
    </dataValidation>
    <dataValidation type="decimal" allowBlank="1" showInputMessage="1" showErrorMessage="1" sqref="N71">
      <formula1>0</formula1>
      <formula2>100</formula2>
    </dataValidation>
    <dataValidation type="decimal" allowBlank="1" showInputMessage="1" showErrorMessage="1" sqref="O71">
      <formula1>0</formula1>
      <formula2>100</formula2>
    </dataValidation>
    <dataValidation type="list" allowBlank="1" showInputMessage="1" showErrorMessage="1" sqref="H72">
      <formula1>'MasterData'!$B$1:$B$14</formula1>
    </dataValidation>
    <dataValidation type="list" allowBlank="1" showInputMessage="1" showErrorMessage="1" sqref="I72">
      <formula1>'MasterData'!$E$511:$E$520</formula1>
    </dataValidation>
    <dataValidation type="decimal" operator="greaterThanOrEqual" allowBlank="1" showInputMessage="1" showErrorMessage="1" sqref="K72">
      <formula1>0</formula1>
    </dataValidation>
    <dataValidation type="decimal" allowBlank="1" showInputMessage="1" showErrorMessage="1" sqref="N72">
      <formula1>0</formula1>
      <formula2>100</formula2>
    </dataValidation>
    <dataValidation type="decimal" allowBlank="1" showInputMessage="1" showErrorMessage="1" sqref="O72">
      <formula1>0</formula1>
      <formula2>100</formula2>
    </dataValidation>
    <dataValidation type="list" allowBlank="1" showInputMessage="1" showErrorMessage="1" sqref="H73">
      <formula1>'MasterData'!$B$1:$B$14</formula1>
    </dataValidation>
    <dataValidation type="list" allowBlank="1" showInputMessage="1" showErrorMessage="1" sqref="I73">
      <formula1>'MasterData'!$E$521:$E$530</formula1>
    </dataValidation>
    <dataValidation type="decimal" operator="greaterThanOrEqual" allowBlank="1" showInputMessage="1" showErrorMessage="1" sqref="K73">
      <formula1>0</formula1>
    </dataValidation>
    <dataValidation type="decimal" allowBlank="1" showInputMessage="1" showErrorMessage="1" sqref="N73">
      <formula1>0</formula1>
      <formula2>100</formula2>
    </dataValidation>
    <dataValidation type="decimal" allowBlank="1" showInputMessage="1" showErrorMessage="1" sqref="O73">
      <formula1>0</formula1>
      <formula2>100</formula2>
    </dataValidation>
    <dataValidation type="list" allowBlank="1" showInputMessage="1" showErrorMessage="1" sqref="H74">
      <formula1>'MasterData'!$B$1:$B$14</formula1>
    </dataValidation>
    <dataValidation type="list" allowBlank="1" showInputMessage="1" showErrorMessage="1" sqref="I74">
      <formula1>'MasterData'!$E$531:$E$540</formula1>
    </dataValidation>
    <dataValidation type="decimal" operator="greaterThanOrEqual" allowBlank="1" showInputMessage="1" showErrorMessage="1" sqref="K74">
      <formula1>0</formula1>
    </dataValidation>
    <dataValidation type="decimal" allowBlank="1" showInputMessage="1" showErrorMessage="1" sqref="N74">
      <formula1>0</formula1>
      <formula2>100</formula2>
    </dataValidation>
    <dataValidation type="decimal" allowBlank="1" showInputMessage="1" showErrorMessage="1" sqref="O74">
      <formula1>0</formula1>
      <formula2>100</formula2>
    </dataValidation>
    <dataValidation type="list" allowBlank="1" showInputMessage="1" showErrorMessage="1" sqref="H75">
      <formula1>'MasterData'!$B$1:$B$14</formula1>
    </dataValidation>
    <dataValidation type="list" allowBlank="1" showInputMessage="1" showErrorMessage="1" sqref="I75">
      <formula1>'MasterData'!$E$541:$E$550</formula1>
    </dataValidation>
    <dataValidation type="decimal" operator="greaterThanOrEqual" allowBlank="1" showInputMessage="1" showErrorMessage="1" sqref="K75">
      <formula1>0</formula1>
    </dataValidation>
    <dataValidation type="decimal" allowBlank="1" showInputMessage="1" showErrorMessage="1" sqref="N75">
      <formula1>0</formula1>
      <formula2>100</formula2>
    </dataValidation>
    <dataValidation type="decimal" allowBlank="1" showInputMessage="1" showErrorMessage="1" sqref="O75">
      <formula1>0</formula1>
      <formula2>100</formula2>
    </dataValidation>
    <dataValidation type="list" allowBlank="1" showInputMessage="1" showErrorMessage="1" sqref="H76">
      <formula1>'MasterData'!$B$1:$B$14</formula1>
    </dataValidation>
    <dataValidation type="list" allowBlank="1" showInputMessage="1" showErrorMessage="1" sqref="I76">
      <formula1>'MasterData'!$E$551:$E$560</formula1>
    </dataValidation>
    <dataValidation type="decimal" operator="greaterThanOrEqual" allowBlank="1" showInputMessage="1" showErrorMessage="1" sqref="K76">
      <formula1>0</formula1>
    </dataValidation>
    <dataValidation type="decimal" allowBlank="1" showInputMessage="1" showErrorMessage="1" sqref="N76">
      <formula1>0</formula1>
      <formula2>100</formula2>
    </dataValidation>
    <dataValidation type="decimal" allowBlank="1" showInputMessage="1" showErrorMessage="1" sqref="O76">
      <formula1>0</formula1>
      <formula2>100</formula2>
    </dataValidation>
    <dataValidation type="list" allowBlank="1" showInputMessage="1" showErrorMessage="1" sqref="H77">
      <formula1>'MasterData'!$B$1:$B$14</formula1>
    </dataValidation>
    <dataValidation type="list" allowBlank="1" showInputMessage="1" showErrorMessage="1" sqref="I77">
      <formula1>'MasterData'!$E$561:$E$570</formula1>
    </dataValidation>
    <dataValidation type="decimal" operator="greaterThanOrEqual" allowBlank="1" showInputMessage="1" showErrorMessage="1" sqref="K77">
      <formula1>0</formula1>
    </dataValidation>
    <dataValidation type="decimal" allowBlank="1" showInputMessage="1" showErrorMessage="1" sqref="N77">
      <formula1>0</formula1>
      <formula2>100</formula2>
    </dataValidation>
    <dataValidation type="decimal" allowBlank="1" showInputMessage="1" showErrorMessage="1" sqref="O77">
      <formula1>0</formula1>
      <formula2>100</formula2>
    </dataValidation>
    <dataValidation type="list" allowBlank="1" showInputMessage="1" showErrorMessage="1" sqref="H78">
      <formula1>'MasterData'!$B$1:$B$14</formula1>
    </dataValidation>
    <dataValidation type="list" allowBlank="1" showInputMessage="1" showErrorMessage="1" sqref="I78">
      <formula1>'MasterData'!$E$571:$E$580</formula1>
    </dataValidation>
    <dataValidation type="decimal" operator="greaterThanOrEqual" allowBlank="1" showInputMessage="1" showErrorMessage="1" sqref="K78">
      <formula1>0</formula1>
    </dataValidation>
    <dataValidation type="decimal" allowBlank="1" showInputMessage="1" showErrorMessage="1" sqref="N78">
      <formula1>0</formula1>
      <formula2>100</formula2>
    </dataValidation>
    <dataValidation type="decimal" allowBlank="1" showInputMessage="1" showErrorMessage="1" sqref="O78">
      <formula1>0</formula1>
      <formula2>100</formula2>
    </dataValidation>
    <dataValidation type="list" allowBlank="1" showInputMessage="1" showErrorMessage="1" sqref="H79">
      <formula1>'MasterData'!$B$1:$B$14</formula1>
    </dataValidation>
    <dataValidation type="list" allowBlank="1" showInputMessage="1" showErrorMessage="1" sqref="I79">
      <formula1>'MasterData'!$E$581:$E$590</formula1>
    </dataValidation>
    <dataValidation type="decimal" operator="greaterThanOrEqual" allowBlank="1" showInputMessage="1" showErrorMessage="1" sqref="K79">
      <formula1>0</formula1>
    </dataValidation>
    <dataValidation type="decimal" allowBlank="1" showInputMessage="1" showErrorMessage="1" sqref="N79">
      <formula1>0</formula1>
      <formula2>100</formula2>
    </dataValidation>
    <dataValidation type="decimal" allowBlank="1" showInputMessage="1" showErrorMessage="1" sqref="O79">
      <formula1>0</formula1>
      <formula2>100</formula2>
    </dataValidation>
    <dataValidation type="list" allowBlank="1" showInputMessage="1" showErrorMessage="1" sqref="H80">
      <formula1>'MasterData'!$B$1:$B$14</formula1>
    </dataValidation>
    <dataValidation type="list" allowBlank="1" showInputMessage="1" showErrorMessage="1" sqref="I80">
      <formula1>'MasterData'!$E$591:$E$600</formula1>
    </dataValidation>
    <dataValidation type="decimal" operator="greaterThanOrEqual" allowBlank="1" showInputMessage="1" showErrorMessage="1" sqref="K80">
      <formula1>0</formula1>
    </dataValidation>
    <dataValidation type="decimal" allowBlank="1" showInputMessage="1" showErrorMessage="1" sqref="N80">
      <formula1>0</formula1>
      <formula2>100</formula2>
    </dataValidation>
    <dataValidation type="decimal" allowBlank="1" showInputMessage="1" showErrorMessage="1" sqref="O80">
      <formula1>0</formula1>
      <formula2>100</formula2>
    </dataValidation>
    <dataValidation type="list" allowBlank="1" showInputMessage="1" showErrorMessage="1" sqref="H81">
      <formula1>'MasterData'!$B$1:$B$14</formula1>
    </dataValidation>
    <dataValidation type="list" allowBlank="1" showInputMessage="1" showErrorMessage="1" sqref="I81">
      <formula1>'MasterData'!$E$601:$E$610</formula1>
    </dataValidation>
    <dataValidation type="decimal" operator="greaterThanOrEqual" allowBlank="1" showInputMessage="1" showErrorMessage="1" sqref="K81">
      <formula1>0</formula1>
    </dataValidation>
    <dataValidation type="decimal" allowBlank="1" showInputMessage="1" showErrorMessage="1" sqref="N81">
      <formula1>0</formula1>
      <formula2>100</formula2>
    </dataValidation>
    <dataValidation type="decimal" allowBlank="1" showInputMessage="1" showErrorMessage="1" sqref="O81">
      <formula1>0</formula1>
      <formula2>100</formula2>
    </dataValidation>
    <dataValidation type="list" allowBlank="1" showInputMessage="1" showErrorMessage="1" sqref="H82">
      <formula1>'MasterData'!$B$1:$B$14</formula1>
    </dataValidation>
    <dataValidation type="list" allowBlank="1" showInputMessage="1" showErrorMessage="1" sqref="I82">
      <formula1>'MasterData'!$E$611:$E$620</formula1>
    </dataValidation>
    <dataValidation type="decimal" operator="greaterThanOrEqual" allowBlank="1" showInputMessage="1" showErrorMessage="1" sqref="K82">
      <formula1>0</formula1>
    </dataValidation>
    <dataValidation type="decimal" allowBlank="1" showInputMessage="1" showErrorMessage="1" sqref="N82">
      <formula1>0</formula1>
      <formula2>100</formula2>
    </dataValidation>
    <dataValidation type="decimal" allowBlank="1" showInputMessage="1" showErrorMessage="1" sqref="O82">
      <formula1>0</formula1>
      <formula2>100</formula2>
    </dataValidation>
    <dataValidation type="list" allowBlank="1" showInputMessage="1" showErrorMessage="1" sqref="H83">
      <formula1>'MasterData'!$B$1:$B$14</formula1>
    </dataValidation>
    <dataValidation type="list" allowBlank="1" showInputMessage="1" showErrorMessage="1" sqref="I83">
      <formula1>'MasterData'!$E$621:$E$630</formula1>
    </dataValidation>
    <dataValidation type="decimal" operator="greaterThanOrEqual" allowBlank="1" showInputMessage="1" showErrorMessage="1" sqref="K83">
      <formula1>0</formula1>
    </dataValidation>
    <dataValidation type="decimal" allowBlank="1" showInputMessage="1" showErrorMessage="1" sqref="N83">
      <formula1>0</formula1>
      <formula2>100</formula2>
    </dataValidation>
    <dataValidation type="decimal" allowBlank="1" showInputMessage="1" showErrorMessage="1" sqref="O83">
      <formula1>0</formula1>
      <formula2>100</formula2>
    </dataValidation>
    <dataValidation type="list" allowBlank="1" showInputMessage="1" showErrorMessage="1" sqref="H84">
      <formula1>'MasterData'!$B$1:$B$14</formula1>
    </dataValidation>
    <dataValidation type="list" allowBlank="1" showInputMessage="1" showErrorMessage="1" sqref="I84">
      <formula1>'MasterData'!$E$631:$E$640</formula1>
    </dataValidation>
    <dataValidation type="decimal" operator="greaterThanOrEqual" allowBlank="1" showInputMessage="1" showErrorMessage="1" sqref="K84">
      <formula1>0</formula1>
    </dataValidation>
    <dataValidation type="decimal" allowBlank="1" showInputMessage="1" showErrorMessage="1" sqref="N84">
      <formula1>0</formula1>
      <formula2>100</formula2>
    </dataValidation>
    <dataValidation type="decimal" allowBlank="1" showInputMessage="1" showErrorMessage="1" sqref="O84">
      <formula1>0</formula1>
      <formula2>100</formula2>
    </dataValidation>
    <dataValidation type="list" allowBlank="1" showInputMessage="1" showErrorMessage="1" sqref="H85">
      <formula1>'MasterData'!$B$1:$B$14</formula1>
    </dataValidation>
    <dataValidation type="list" allowBlank="1" showInputMessage="1" showErrorMessage="1" sqref="I85">
      <formula1>'MasterData'!$E$641:$E$650</formula1>
    </dataValidation>
    <dataValidation type="decimal" operator="greaterThanOrEqual" allowBlank="1" showInputMessage="1" showErrorMessage="1" sqref="K85">
      <formula1>0</formula1>
    </dataValidation>
    <dataValidation type="decimal" allowBlank="1" showInputMessage="1" showErrorMessage="1" sqref="N85">
      <formula1>0</formula1>
      <formula2>100</formula2>
    </dataValidation>
    <dataValidation type="decimal" allowBlank="1" showInputMessage="1" showErrorMessage="1" sqref="O85">
      <formula1>0</formula1>
      <formula2>100</formula2>
    </dataValidation>
    <dataValidation type="list" allowBlank="1" showInputMessage="1" showErrorMessage="1" sqref="H86">
      <formula1>'MasterData'!$B$1:$B$14</formula1>
    </dataValidation>
    <dataValidation type="list" allowBlank="1" showInputMessage="1" showErrorMessage="1" sqref="I86">
      <formula1>'MasterData'!$E$651:$E$660</formula1>
    </dataValidation>
    <dataValidation type="decimal" operator="greaterThanOrEqual" allowBlank="1" showInputMessage="1" showErrorMessage="1" sqref="K86">
      <formula1>0</formula1>
    </dataValidation>
    <dataValidation type="decimal" allowBlank="1" showInputMessage="1" showErrorMessage="1" sqref="N86">
      <formula1>0</formula1>
      <formula2>100</formula2>
    </dataValidation>
    <dataValidation type="decimal" allowBlank="1" showInputMessage="1" showErrorMessage="1" sqref="O86">
      <formula1>0</formula1>
      <formula2>100</formula2>
    </dataValidation>
    <dataValidation type="list" allowBlank="1" showInputMessage="1" showErrorMessage="1" sqref="H87">
      <formula1>'MasterData'!$B$1:$B$14</formula1>
    </dataValidation>
    <dataValidation type="list" allowBlank="1" showInputMessage="1" showErrorMessage="1" sqref="I87">
      <formula1>'MasterData'!$E$661:$E$670</formula1>
    </dataValidation>
    <dataValidation type="decimal" operator="greaterThanOrEqual" allowBlank="1" showInputMessage="1" showErrorMessage="1" sqref="K87">
      <formula1>0</formula1>
    </dataValidation>
    <dataValidation type="decimal" allowBlank="1" showInputMessage="1" showErrorMessage="1" sqref="N87">
      <formula1>0</formula1>
      <formula2>100</formula2>
    </dataValidation>
    <dataValidation type="decimal" allowBlank="1" showInputMessage="1" showErrorMessage="1" sqref="O87">
      <formula1>0</formula1>
      <formula2>100</formula2>
    </dataValidation>
    <dataValidation type="list" allowBlank="1" showInputMessage="1" showErrorMessage="1" sqref="H88">
      <formula1>'MasterData'!$B$1:$B$14</formula1>
    </dataValidation>
    <dataValidation type="list" allowBlank="1" showInputMessage="1" showErrorMessage="1" sqref="I88">
      <formula1>'MasterData'!$E$671:$E$680</formula1>
    </dataValidation>
    <dataValidation type="decimal" operator="greaterThanOrEqual" allowBlank="1" showInputMessage="1" showErrorMessage="1" sqref="K88">
      <formula1>0</formula1>
    </dataValidation>
    <dataValidation type="decimal" allowBlank="1" showInputMessage="1" showErrorMessage="1" sqref="N88">
      <formula1>0</formula1>
      <formula2>100</formula2>
    </dataValidation>
    <dataValidation type="decimal" allowBlank="1" showInputMessage="1" showErrorMessage="1" sqref="O88">
      <formula1>0</formula1>
      <formula2>100</formula2>
    </dataValidation>
    <dataValidation type="list" allowBlank="1" showInputMessage="1" showErrorMessage="1" sqref="H89">
      <formula1>'MasterData'!$B$1:$B$14</formula1>
    </dataValidation>
    <dataValidation type="list" allowBlank="1" showInputMessage="1" showErrorMessage="1" sqref="I89">
      <formula1>'MasterData'!$E$681:$E$690</formula1>
    </dataValidation>
    <dataValidation type="decimal" operator="greaterThanOrEqual" allowBlank="1" showInputMessage="1" showErrorMessage="1" sqref="K89">
      <formula1>0</formula1>
    </dataValidation>
    <dataValidation type="decimal" allowBlank="1" showInputMessage="1" showErrorMessage="1" sqref="N89">
      <formula1>0</formula1>
      <formula2>100</formula2>
    </dataValidation>
    <dataValidation type="decimal" allowBlank="1" showInputMessage="1" showErrorMessage="1" sqref="O89">
      <formula1>0</formula1>
      <formula2>100</formula2>
    </dataValidation>
    <dataValidation type="list" allowBlank="1" showInputMessage="1" showErrorMessage="1" sqref="H90">
      <formula1>'MasterData'!$B$1:$B$14</formula1>
    </dataValidation>
    <dataValidation type="list" allowBlank="1" showInputMessage="1" showErrorMessage="1" sqref="I90">
      <formula1>'MasterData'!$E$691:$E$700</formula1>
    </dataValidation>
    <dataValidation type="decimal" operator="greaterThanOrEqual" allowBlank="1" showInputMessage="1" showErrorMessage="1" sqref="K90">
      <formula1>0</formula1>
    </dataValidation>
    <dataValidation type="decimal" allowBlank="1" showInputMessage="1" showErrorMessage="1" sqref="N90">
      <formula1>0</formula1>
      <formula2>100</formula2>
    </dataValidation>
    <dataValidation type="decimal" allowBlank="1" showInputMessage="1" showErrorMessage="1" sqref="O90">
      <formula1>0</formula1>
      <formula2>100</formula2>
    </dataValidation>
    <dataValidation type="list" allowBlank="1" showInputMessage="1" showErrorMessage="1" sqref="H91">
      <formula1>'MasterData'!$B$1:$B$14</formula1>
    </dataValidation>
    <dataValidation type="list" allowBlank="1" showInputMessage="1" showErrorMessage="1" sqref="I91">
      <formula1>'MasterData'!$E$701:$E$710</formula1>
    </dataValidation>
    <dataValidation type="decimal" operator="greaterThanOrEqual" allowBlank="1" showInputMessage="1" showErrorMessage="1" sqref="K91">
      <formula1>0</formula1>
    </dataValidation>
    <dataValidation type="decimal" allowBlank="1" showInputMessage="1" showErrorMessage="1" sqref="N91">
      <formula1>0</formula1>
      <formula2>100</formula2>
    </dataValidation>
    <dataValidation type="decimal" allowBlank="1" showInputMessage="1" showErrorMessage="1" sqref="O91">
      <formula1>0</formula1>
      <formula2>100</formula2>
    </dataValidation>
    <dataValidation type="list" allowBlank="1" showInputMessage="1" showErrorMessage="1" sqref="H92">
      <formula1>'MasterData'!$B$1:$B$14</formula1>
    </dataValidation>
    <dataValidation type="list" allowBlank="1" showInputMessage="1" showErrorMessage="1" sqref="I92">
      <formula1>'MasterData'!$E$711:$E$720</formula1>
    </dataValidation>
    <dataValidation type="decimal" operator="greaterThanOrEqual" allowBlank="1" showInputMessage="1" showErrorMessage="1" sqref="K92">
      <formula1>0</formula1>
    </dataValidation>
    <dataValidation type="decimal" allowBlank="1" showInputMessage="1" showErrorMessage="1" sqref="N92">
      <formula1>0</formula1>
      <formula2>100</formula2>
    </dataValidation>
    <dataValidation type="decimal" allowBlank="1" showInputMessage="1" showErrorMessage="1" sqref="O92">
      <formula1>0</formula1>
      <formula2>100</formula2>
    </dataValidation>
    <dataValidation type="list" allowBlank="1" showInputMessage="1" showErrorMessage="1" sqref="H93">
      <formula1>'MasterData'!$B$1:$B$14</formula1>
    </dataValidation>
    <dataValidation type="list" allowBlank="1" showInputMessage="1" showErrorMessage="1" sqref="I93">
      <formula1>'MasterData'!$E$721:$E$730</formula1>
    </dataValidation>
    <dataValidation type="decimal" operator="greaterThanOrEqual" allowBlank="1" showInputMessage="1" showErrorMessage="1" sqref="K93">
      <formula1>0</formula1>
    </dataValidation>
    <dataValidation type="decimal" allowBlank="1" showInputMessage="1" showErrorMessage="1" sqref="N93">
      <formula1>0</formula1>
      <formula2>100</formula2>
    </dataValidation>
    <dataValidation type="decimal" allowBlank="1" showInputMessage="1" showErrorMessage="1" sqref="O93">
      <formula1>0</formula1>
      <formula2>100</formula2>
    </dataValidation>
    <dataValidation type="list" allowBlank="1" showInputMessage="1" showErrorMessage="1" sqref="H94">
      <formula1>'MasterData'!$B$1:$B$14</formula1>
    </dataValidation>
    <dataValidation type="list" allowBlank="1" showInputMessage="1" showErrorMessage="1" sqref="I94">
      <formula1>'MasterData'!$E$731:$E$740</formula1>
    </dataValidation>
    <dataValidation type="decimal" operator="greaterThanOrEqual" allowBlank="1" showInputMessage="1" showErrorMessage="1" sqref="K94">
      <formula1>0</formula1>
    </dataValidation>
    <dataValidation type="decimal" allowBlank="1" showInputMessage="1" showErrorMessage="1" sqref="N94">
      <formula1>0</formula1>
      <formula2>100</formula2>
    </dataValidation>
    <dataValidation type="decimal" allowBlank="1" showInputMessage="1" showErrorMessage="1" sqref="O94">
      <formula1>0</formula1>
      <formula2>100</formula2>
    </dataValidation>
    <dataValidation type="list" allowBlank="1" showInputMessage="1" showErrorMessage="1" sqref="H95">
      <formula1>'MasterData'!$B$1:$B$14</formula1>
    </dataValidation>
    <dataValidation type="list" allowBlank="1" showInputMessage="1" showErrorMessage="1" sqref="I95">
      <formula1>'MasterData'!$E$741:$E$750</formula1>
    </dataValidation>
    <dataValidation type="decimal" operator="greaterThanOrEqual" allowBlank="1" showInputMessage="1" showErrorMessage="1" sqref="K95">
      <formula1>0</formula1>
    </dataValidation>
    <dataValidation type="decimal" allowBlank="1" showInputMessage="1" showErrorMessage="1" sqref="N95">
      <formula1>0</formula1>
      <formula2>100</formula2>
    </dataValidation>
    <dataValidation type="decimal" allowBlank="1" showInputMessage="1" showErrorMessage="1" sqref="O95">
      <formula1>0</formula1>
      <formula2>100</formula2>
    </dataValidation>
    <dataValidation type="list" allowBlank="1" showInputMessage="1" showErrorMessage="1" sqref="H96">
      <formula1>'MasterData'!$B$1:$B$14</formula1>
    </dataValidation>
    <dataValidation type="list" allowBlank="1" showInputMessage="1" showErrorMessage="1" sqref="I96">
      <formula1>'MasterData'!$E$751:$E$760</formula1>
    </dataValidation>
    <dataValidation type="decimal" operator="greaterThanOrEqual" allowBlank="1" showInputMessage="1" showErrorMessage="1" sqref="K96">
      <formula1>0</formula1>
    </dataValidation>
    <dataValidation type="decimal" allowBlank="1" showInputMessage="1" showErrorMessage="1" sqref="N96">
      <formula1>0</formula1>
      <formula2>100</formula2>
    </dataValidation>
    <dataValidation type="decimal" allowBlank="1" showInputMessage="1" showErrorMessage="1" sqref="O96">
      <formula1>0</formula1>
      <formula2>100</formula2>
    </dataValidation>
    <dataValidation type="list" allowBlank="1" showInputMessage="1" showErrorMessage="1" sqref="H97">
      <formula1>'MasterData'!$B$1:$B$14</formula1>
    </dataValidation>
    <dataValidation type="list" allowBlank="1" showInputMessage="1" showErrorMessage="1" sqref="I97">
      <formula1>'MasterData'!$E$761:$E$770</formula1>
    </dataValidation>
    <dataValidation type="decimal" operator="greaterThanOrEqual" allowBlank="1" showInputMessage="1" showErrorMessage="1" sqref="K97">
      <formula1>0</formula1>
    </dataValidation>
    <dataValidation type="decimal" allowBlank="1" showInputMessage="1" showErrorMessage="1" sqref="N97">
      <formula1>0</formula1>
      <formula2>100</formula2>
    </dataValidation>
    <dataValidation type="decimal" allowBlank="1" showInputMessage="1" showErrorMessage="1" sqref="O97">
      <formula1>0</formula1>
      <formula2>100</formula2>
    </dataValidation>
    <dataValidation allowBlank="1" showInputMessage="1" showErrorMessage="1" sqref="P101"/>
    <dataValidation type="decimal" operator="greaterThanOrEqual" allowBlank="1" showInputMessage="1" showErrorMessage="1" sqref="P102">
      <formula1>0</formula1>
    </dataValidation>
    <dataValidation type="decimal" operator="greaterThanOrEqual" allowBlank="1" showInputMessage="1" showErrorMessage="1" sqref="P103">
      <formula1>0</formula1>
    </dataValidation>
    <dataValidation type="decimal" operator="greaterThanOrEqual" allowBlank="1" showInputMessage="1" showErrorMessage="1" sqref="P104">
      <formula1>0</formula1>
    </dataValidation>
    <dataValidation type="decimal" operator="greaterThanOrEqual" allowBlank="1" showInputMessage="1" showErrorMessage="1" sqref="P105">
      <formula1>0</formula1>
    </dataValidation>
    <dataValidation type="list" allowBlank="1" showInputMessage="1" showErrorMessage="1" sqref="C102:K102">
      <formula1>'MasterData'!$H$1:$H$14</formula1>
    </dataValidation>
    <dataValidation type="list" allowBlank="1" showInputMessage="1" showErrorMessage="1" sqref="C103:K103">
      <formula1>'MasterData'!$H$1:$H$14</formula1>
    </dataValidation>
    <dataValidation type="list" allowBlank="1" showInputMessage="1" showErrorMessage="1" sqref="C104:K104">
      <formula1>'MasterData'!$H$1:$H$14</formula1>
    </dataValidation>
    <dataValidation type="list" allowBlank="1" showInputMessage="1" showErrorMessage="1" sqref="C105:K105">
      <formula1>'MasterData'!$H$1:$H$14</formula1>
    </dataValidation>
    <dataValidation type="list" allowBlank="1" showInputMessage="1" showErrorMessage="1" sqref="O14">
      <formula1>MasterData!$O$1:$O$70</formula1>
    </dataValidation>
  </dataValidations>
  <hyperlinks>
    <hyperlink ref="C10" r:id="rId1" display="seachef@seachef.com"/>
  </hyperlinks>
  <pageMargins left="0.7" right="0.7" top="0.75" bottom="0.75" header="0.3" footer="0.3"/>
  <pageSetup horizontalDpi="600" verticalDpi="600" orientation="portrait" scale="49" r:id="rId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http://schemas.openxmlformats.org/spreadsheetml/2006/main" mc:Ignorable="x14ac">
  <dimension ref="A1:O770"/>
  <sheetViews>
    <sheetView workbookViewId="0" topLeftCell="A46">
      <selection pane="topLeft" activeCell="F68" sqref="F68 F68"/>
    </sheetView>
  </sheetViews>
  <sheetFormatPr defaultColWidth="9.14285714285714" defaultRowHeight="15"/>
  <cols>
    <col min="1" max="12" width="9.14285714285714" style="147" customWidth="1"/>
    <col min="13" max="13" width="18.8571428571429" style="269" bestFit="1" customWidth="1"/>
    <col min="14" max="14" width="35.2857142857143" style="147" customWidth="1"/>
    <col min="15" max="16" width="9.14285714285714" style="147" customWidth="1"/>
    <col min="17" max="17" width="9.14285714285714" style="271" customWidth="1"/>
  </cols>
  <sheetData>
    <row r="1" spans="1:15" ht="15">
      <c r="A1" s="147">
        <v>400000</v>
      </c>
      <c r="B1" s="147" t="s">
        <v>182</v>
      </c>
      <c r="D1" s="147">
        <v>10128579</v>
      </c>
      <c r="E1" s="147" t="s">
        <v>183</v>
      </c>
      <c r="G1" s="147">
        <v>1001307</v>
      </c>
      <c r="H1" s="147" t="s">
        <v>155</v>
      </c>
      <c r="M1" s="269" t="s">
        <v>184</v>
      </c>
      <c r="N1" s="270" t="s">
        <v>185</v>
      </c>
      <c r="O1" s="147" t="s">
        <v>186</v>
      </c>
    </row>
    <row r="2" spans="1:15" ht="15">
      <c r="A2" s="147">
        <v>400001</v>
      </c>
      <c r="B2" s="147" t="s">
        <v>183</v>
      </c>
      <c r="D2" s="147">
        <v>10128580</v>
      </c>
      <c r="E2" s="147" t="s">
        <v>187</v>
      </c>
      <c r="G2" s="147">
        <v>1001310</v>
      </c>
      <c r="H2" s="147" t="s">
        <v>156</v>
      </c>
      <c r="M2" s="269" t="s">
        <v>188</v>
      </c>
      <c r="N2" s="270">
        <v>1020722945</v>
      </c>
      <c r="O2" s="147" t="s">
        <v>189</v>
      </c>
    </row>
    <row r="3" spans="1:15" ht="15">
      <c r="A3" s="147">
        <v>400002</v>
      </c>
      <c r="B3" s="147" t="s">
        <v>190</v>
      </c>
      <c r="D3" s="147">
        <v>10128581</v>
      </c>
      <c r="E3" s="147" t="s">
        <v>187</v>
      </c>
      <c r="G3" s="147">
        <v>1012729</v>
      </c>
      <c r="H3" s="147" t="s">
        <v>191</v>
      </c>
      <c r="M3" s="269" t="s">
        <v>192</v>
      </c>
      <c r="N3" s="270">
        <v>99990000427146</v>
      </c>
      <c r="O3" s="147" t="s">
        <v>193</v>
      </c>
    </row>
    <row r="4" spans="1:15" ht="15">
      <c r="A4" s="147">
        <v>400003</v>
      </c>
      <c r="B4" s="147" t="s">
        <v>187</v>
      </c>
      <c r="D4" s="147">
        <v>10128582</v>
      </c>
      <c r="E4" s="147" t="s">
        <v>190</v>
      </c>
      <c r="G4" s="147">
        <v>1012730</v>
      </c>
      <c r="H4" s="147" t="s">
        <v>194</v>
      </c>
      <c r="M4" s="269" t="s">
        <v>195</v>
      </c>
      <c r="N4" s="270">
        <v>1021799225</v>
      </c>
      <c r="O4" s="147" t="s">
        <v>196</v>
      </c>
    </row>
    <row r="5" spans="1:15" ht="15">
      <c r="A5" s="147">
        <v>400004</v>
      </c>
      <c r="B5" s="147" t="s">
        <v>197</v>
      </c>
      <c r="D5" s="147">
        <v>10128595</v>
      </c>
      <c r="E5" s="147" t="s">
        <v>190</v>
      </c>
      <c r="G5" s="147">
        <v>1012731</v>
      </c>
      <c r="H5" s="147" t="s">
        <v>198</v>
      </c>
      <c r="M5" s="269" t="s">
        <v>199</v>
      </c>
      <c r="N5" s="270"/>
      <c r="O5" s="147" t="s">
        <v>200</v>
      </c>
    </row>
    <row r="6" spans="1:15" ht="15">
      <c r="A6" s="147">
        <v>400005</v>
      </c>
      <c r="B6" s="147" t="s">
        <v>201</v>
      </c>
      <c r="D6" s="147">
        <v>10128596</v>
      </c>
      <c r="E6" s="147" t="s">
        <v>182</v>
      </c>
      <c r="G6" s="147">
        <v>1012732</v>
      </c>
      <c r="H6" s="147" t="s">
        <v>202</v>
      </c>
      <c r="M6" s="269" t="s">
        <v>203</v>
      </c>
      <c r="N6" s="270" t="s">
        <v>204</v>
      </c>
      <c r="O6" s="147" t="s">
        <v>205</v>
      </c>
    </row>
    <row r="7" spans="1:15" ht="15">
      <c r="A7" s="147">
        <v>400017</v>
      </c>
      <c r="B7" s="147" t="s">
        <v>206</v>
      </c>
      <c r="D7" s="147">
        <v>10128597</v>
      </c>
      <c r="E7" s="147" t="s">
        <v>187</v>
      </c>
      <c r="G7" s="147">
        <v>1012733</v>
      </c>
      <c r="H7" s="147" t="s">
        <v>207</v>
      </c>
      <c r="M7" s="269" t="s">
        <v>208</v>
      </c>
      <c r="N7" s="270">
        <v>0</v>
      </c>
      <c r="O7" s="147" t="s">
        <v>209</v>
      </c>
    </row>
    <row r="8" spans="1:15" ht="15">
      <c r="A8" s="147">
        <v>900009</v>
      </c>
      <c r="B8" s="147" t="s">
        <v>210</v>
      </c>
      <c r="D8" s="147">
        <v>10128598</v>
      </c>
      <c r="E8" s="147" t="s">
        <v>190</v>
      </c>
      <c r="G8" s="147">
        <v>1012735</v>
      </c>
      <c r="H8" s="147" t="s">
        <v>211</v>
      </c>
      <c r="O8" s="147" t="s">
        <v>212</v>
      </c>
    </row>
    <row r="9" spans="1:15" ht="15">
      <c r="A9" s="147">
        <v>900010</v>
      </c>
      <c r="B9" s="147" t="s">
        <v>213</v>
      </c>
      <c r="D9" s="147">
        <v>10128599</v>
      </c>
      <c r="E9" s="147" t="s">
        <v>183</v>
      </c>
      <c r="G9" s="147">
        <v>1012736</v>
      </c>
      <c r="H9" s="147" t="s">
        <v>214</v>
      </c>
      <c r="O9" s="147" t="s">
        <v>215</v>
      </c>
    </row>
    <row r="10" spans="1:15" ht="15">
      <c r="A10" s="147">
        <v>900011</v>
      </c>
      <c r="B10" s="147" t="s">
        <v>216</v>
      </c>
      <c r="D10" s="147">
        <v>10128600</v>
      </c>
      <c r="E10" s="147" t="s">
        <v>187</v>
      </c>
      <c r="G10" s="147">
        <v>1012737</v>
      </c>
      <c r="H10" s="147" t="s">
        <v>217</v>
      </c>
      <c r="O10" s="147" t="s">
        <v>218</v>
      </c>
    </row>
    <row r="11" spans="1:15" ht="15">
      <c r="A11" s="147">
        <v>900012</v>
      </c>
      <c r="B11" s="147" t="s">
        <v>219</v>
      </c>
      <c r="D11" s="147">
        <v>10128579</v>
      </c>
      <c r="E11" s="147" t="s">
        <v>183</v>
      </c>
      <c r="G11" s="147">
        <v>1012741</v>
      </c>
      <c r="H11" s="147" t="s">
        <v>220</v>
      </c>
      <c r="O11" s="147" t="s">
        <v>221</v>
      </c>
    </row>
    <row r="12" spans="1:15" ht="15">
      <c r="A12" s="147">
        <v>900013</v>
      </c>
      <c r="B12" s="147" t="s">
        <v>222</v>
      </c>
      <c r="D12" s="147">
        <v>10128580</v>
      </c>
      <c r="E12" s="147" t="s">
        <v>187</v>
      </c>
      <c r="G12" s="147">
        <v>1012742</v>
      </c>
      <c r="H12" s="147" t="s">
        <v>223</v>
      </c>
      <c r="O12" s="147" t="s">
        <v>224</v>
      </c>
    </row>
    <row r="13" spans="1:15" ht="15">
      <c r="A13" s="147">
        <v>900014</v>
      </c>
      <c r="B13" s="147" t="s">
        <v>225</v>
      </c>
      <c r="D13" s="147">
        <v>10128581</v>
      </c>
      <c r="E13" s="147" t="s">
        <v>187</v>
      </c>
      <c r="G13" s="147">
        <v>1012743</v>
      </c>
      <c r="H13" s="147" t="s">
        <v>226</v>
      </c>
      <c r="O13" s="147" t="s">
        <v>227</v>
      </c>
    </row>
    <row r="14" spans="1:15" ht="15">
      <c r="A14" s="147">
        <v>900073</v>
      </c>
      <c r="B14" s="147" t="s">
        <v>228</v>
      </c>
      <c r="D14" s="147">
        <v>10128582</v>
      </c>
      <c r="E14" s="147" t="s">
        <v>190</v>
      </c>
      <c r="G14" s="147">
        <v>1012744</v>
      </c>
      <c r="H14" s="147" t="s">
        <v>229</v>
      </c>
      <c r="O14" s="147" t="s">
        <v>230</v>
      </c>
    </row>
    <row r="15" spans="4:15" ht="15">
      <c r="D15" s="147">
        <v>10128595</v>
      </c>
      <c r="E15" s="147" t="s">
        <v>190</v>
      </c>
      <c r="O15" s="147" t="s">
        <v>231</v>
      </c>
    </row>
    <row r="16" spans="4:15" ht="15">
      <c r="D16" s="147">
        <v>10128596</v>
      </c>
      <c r="E16" s="147" t="s">
        <v>182</v>
      </c>
      <c r="O16" s="147" t="s">
        <v>232</v>
      </c>
    </row>
    <row r="17" spans="4:15" ht="15">
      <c r="D17" s="147">
        <v>10128597</v>
      </c>
      <c r="E17" s="147" t="s">
        <v>187</v>
      </c>
      <c r="O17" s="147" t="s">
        <v>233</v>
      </c>
    </row>
    <row r="18" spans="4:15" ht="15">
      <c r="D18" s="147">
        <v>10128598</v>
      </c>
      <c r="E18" s="147" t="s">
        <v>190</v>
      </c>
      <c r="O18" s="147" t="s">
        <v>234</v>
      </c>
    </row>
    <row r="19" spans="4:15" ht="15">
      <c r="D19" s="147">
        <v>10128599</v>
      </c>
      <c r="E19" s="147" t="s">
        <v>183</v>
      </c>
      <c r="O19" s="147" t="s">
        <v>235</v>
      </c>
    </row>
    <row r="20" spans="4:15" ht="15">
      <c r="D20" s="147">
        <v>10128600</v>
      </c>
      <c r="E20" s="147" t="s">
        <v>187</v>
      </c>
      <c r="O20" s="147" t="s">
        <v>236</v>
      </c>
    </row>
    <row r="21" spans="4:15" ht="15">
      <c r="D21" s="147">
        <v>10128579</v>
      </c>
      <c r="E21" s="147" t="s">
        <v>183</v>
      </c>
      <c r="O21" s="147" t="s">
        <v>237</v>
      </c>
    </row>
    <row r="22" spans="4:15" ht="15">
      <c r="D22" s="147">
        <v>10128580</v>
      </c>
      <c r="E22" s="147" t="s">
        <v>187</v>
      </c>
      <c r="O22" s="147" t="s">
        <v>238</v>
      </c>
    </row>
    <row r="23" spans="4:15" ht="15">
      <c r="D23" s="147">
        <v>10128581</v>
      </c>
      <c r="E23" s="147" t="s">
        <v>187</v>
      </c>
      <c r="O23" s="147" t="s">
        <v>239</v>
      </c>
    </row>
    <row r="24" spans="4:15" ht="15">
      <c r="D24" s="147">
        <v>10128582</v>
      </c>
      <c r="E24" s="147" t="s">
        <v>190</v>
      </c>
      <c r="O24" s="147" t="s">
        <v>240</v>
      </c>
    </row>
    <row r="25" spans="4:15" ht="15">
      <c r="D25" s="147">
        <v>10128595</v>
      </c>
      <c r="E25" s="147" t="s">
        <v>190</v>
      </c>
      <c r="O25" s="147" t="s">
        <v>241</v>
      </c>
    </row>
    <row r="26" spans="4:15" ht="15">
      <c r="D26" s="147">
        <v>10128596</v>
      </c>
      <c r="E26" s="147" t="s">
        <v>182</v>
      </c>
      <c r="O26" s="147" t="s">
        <v>242</v>
      </c>
    </row>
    <row r="27" spans="4:15" ht="15">
      <c r="D27" s="147">
        <v>10128597</v>
      </c>
      <c r="E27" s="147" t="s">
        <v>187</v>
      </c>
      <c r="O27" s="147" t="s">
        <v>243</v>
      </c>
    </row>
    <row r="28" spans="4:15" ht="15">
      <c r="D28" s="147">
        <v>10128598</v>
      </c>
      <c r="E28" s="147" t="s">
        <v>190</v>
      </c>
      <c r="O28" s="147" t="s">
        <v>244</v>
      </c>
    </row>
    <row r="29" spans="4:15" ht="15">
      <c r="D29" s="147">
        <v>10128599</v>
      </c>
      <c r="E29" s="147" t="s">
        <v>183</v>
      </c>
      <c r="O29" s="147" t="s">
        <v>245</v>
      </c>
    </row>
    <row r="30" spans="4:15" ht="15">
      <c r="D30" s="147">
        <v>10128600</v>
      </c>
      <c r="E30" s="147" t="s">
        <v>187</v>
      </c>
      <c r="O30" s="147" t="s">
        <v>246</v>
      </c>
    </row>
    <row r="31" spans="4:15" ht="15">
      <c r="D31" s="147">
        <v>10128579</v>
      </c>
      <c r="E31" s="147" t="s">
        <v>183</v>
      </c>
      <c r="O31" s="147" t="s">
        <v>247</v>
      </c>
    </row>
    <row r="32" spans="4:15" ht="15">
      <c r="D32" s="147">
        <v>10128580</v>
      </c>
      <c r="E32" s="147" t="s">
        <v>187</v>
      </c>
      <c r="O32" s="147" t="s">
        <v>248</v>
      </c>
    </row>
    <row r="33" spans="4:15" ht="15">
      <c r="D33" s="147">
        <v>10128581</v>
      </c>
      <c r="E33" s="147" t="s">
        <v>187</v>
      </c>
      <c r="O33" s="147" t="s">
        <v>249</v>
      </c>
    </row>
    <row r="34" spans="4:15" ht="15">
      <c r="D34" s="147">
        <v>10128582</v>
      </c>
      <c r="E34" s="147" t="s">
        <v>190</v>
      </c>
      <c r="O34" s="147" t="s">
        <v>250</v>
      </c>
    </row>
    <row r="35" spans="4:15" ht="15">
      <c r="D35" s="147">
        <v>10128595</v>
      </c>
      <c r="E35" s="147" t="s">
        <v>190</v>
      </c>
      <c r="O35" s="147" t="s">
        <v>31</v>
      </c>
    </row>
    <row r="36" spans="4:15" ht="15">
      <c r="D36" s="147">
        <v>10128596</v>
      </c>
      <c r="E36" s="147" t="s">
        <v>182</v>
      </c>
      <c r="O36" s="147" t="s">
        <v>251</v>
      </c>
    </row>
    <row r="37" spans="4:15" ht="15">
      <c r="D37" s="147">
        <v>10128597</v>
      </c>
      <c r="E37" s="147" t="s">
        <v>187</v>
      </c>
      <c r="O37" s="147" t="s">
        <v>252</v>
      </c>
    </row>
    <row r="38" spans="4:15" ht="15">
      <c r="D38" s="147">
        <v>10128598</v>
      </c>
      <c r="E38" s="147" t="s">
        <v>190</v>
      </c>
      <c r="O38" s="147" t="s">
        <v>253</v>
      </c>
    </row>
    <row r="39" spans="4:15" ht="15">
      <c r="D39" s="147">
        <v>10128599</v>
      </c>
      <c r="E39" s="147" t="s">
        <v>183</v>
      </c>
      <c r="O39" s="147" t="s">
        <v>254</v>
      </c>
    </row>
    <row r="40" spans="4:15" ht="15">
      <c r="D40" s="147">
        <v>10128600</v>
      </c>
      <c r="E40" s="147" t="s">
        <v>187</v>
      </c>
      <c r="O40" s="147" t="s">
        <v>255</v>
      </c>
    </row>
    <row r="41" spans="4:15" ht="15">
      <c r="D41" s="147">
        <v>10128579</v>
      </c>
      <c r="E41" s="147" t="s">
        <v>183</v>
      </c>
      <c r="O41" s="147" t="s">
        <v>256</v>
      </c>
    </row>
    <row r="42" spans="4:15" ht="15">
      <c r="D42" s="147">
        <v>10128580</v>
      </c>
      <c r="E42" s="147" t="s">
        <v>187</v>
      </c>
      <c r="O42" s="147" t="s">
        <v>257</v>
      </c>
    </row>
    <row r="43" spans="4:15" ht="15">
      <c r="D43" s="147">
        <v>10128581</v>
      </c>
      <c r="E43" s="147" t="s">
        <v>187</v>
      </c>
      <c r="O43" s="147" t="s">
        <v>258</v>
      </c>
    </row>
    <row r="44" spans="4:15" ht="15">
      <c r="D44" s="147">
        <v>10128582</v>
      </c>
      <c r="E44" s="147" t="s">
        <v>190</v>
      </c>
      <c r="O44" s="147" t="s">
        <v>259</v>
      </c>
    </row>
    <row r="45" spans="4:15" ht="15">
      <c r="D45" s="147">
        <v>10128595</v>
      </c>
      <c r="E45" s="147" t="s">
        <v>190</v>
      </c>
      <c r="O45" s="147" t="s">
        <v>260</v>
      </c>
    </row>
    <row r="46" spans="4:15" ht="15">
      <c r="D46" s="147">
        <v>10128596</v>
      </c>
      <c r="E46" s="147" t="s">
        <v>182</v>
      </c>
      <c r="O46" s="147" t="s">
        <v>261</v>
      </c>
    </row>
    <row r="47" spans="4:15" ht="15">
      <c r="D47" s="147">
        <v>10128597</v>
      </c>
      <c r="E47" s="147" t="s">
        <v>187</v>
      </c>
      <c r="O47" s="147" t="s">
        <v>262</v>
      </c>
    </row>
    <row r="48" spans="4:15" ht="15">
      <c r="D48" s="147">
        <v>10128598</v>
      </c>
      <c r="E48" s="147" t="s">
        <v>190</v>
      </c>
      <c r="O48" s="147" t="s">
        <v>263</v>
      </c>
    </row>
    <row r="49" spans="4:15" ht="15">
      <c r="D49" s="147">
        <v>10128599</v>
      </c>
      <c r="E49" s="147" t="s">
        <v>183</v>
      </c>
      <c r="O49" s="147" t="s">
        <v>264</v>
      </c>
    </row>
    <row r="50" spans="4:15" ht="15">
      <c r="D50" s="147">
        <v>10128600</v>
      </c>
      <c r="E50" s="147" t="s">
        <v>187</v>
      </c>
      <c r="O50" s="147" t="s">
        <v>265</v>
      </c>
    </row>
    <row r="51" spans="4:15" ht="15">
      <c r="D51" s="147">
        <v>10128579</v>
      </c>
      <c r="E51" s="147" t="s">
        <v>183</v>
      </c>
      <c r="O51" s="147" t="s">
        <v>266</v>
      </c>
    </row>
    <row r="52" spans="4:15" ht="15">
      <c r="D52" s="147">
        <v>10128580</v>
      </c>
      <c r="E52" s="147" t="s">
        <v>187</v>
      </c>
      <c r="O52" s="147" t="s">
        <v>267</v>
      </c>
    </row>
    <row r="53" spans="4:15" ht="15">
      <c r="D53" s="147">
        <v>10128581</v>
      </c>
      <c r="E53" s="147" t="s">
        <v>187</v>
      </c>
      <c r="O53" s="147" t="s">
        <v>268</v>
      </c>
    </row>
    <row r="54" spans="4:15" ht="15">
      <c r="D54" s="147">
        <v>10128582</v>
      </c>
      <c r="E54" s="147" t="s">
        <v>190</v>
      </c>
      <c r="O54" s="147" t="s">
        <v>269</v>
      </c>
    </row>
    <row r="55" spans="4:15" ht="15">
      <c r="D55" s="147">
        <v>10128595</v>
      </c>
      <c r="E55" s="147" t="s">
        <v>190</v>
      </c>
      <c r="O55" s="147" t="s">
        <v>270</v>
      </c>
    </row>
    <row r="56" spans="4:15" ht="15">
      <c r="D56" s="147">
        <v>10128596</v>
      </c>
      <c r="E56" s="147" t="s">
        <v>182</v>
      </c>
      <c r="O56" s="147" t="s">
        <v>271</v>
      </c>
    </row>
    <row r="57" spans="4:15" ht="15">
      <c r="D57" s="147">
        <v>10128597</v>
      </c>
      <c r="E57" s="147" t="s">
        <v>187</v>
      </c>
      <c r="O57" s="147" t="s">
        <v>272</v>
      </c>
    </row>
    <row r="58" spans="4:15" ht="15">
      <c r="D58" s="147">
        <v>10128598</v>
      </c>
      <c r="E58" s="147" t="s">
        <v>190</v>
      </c>
      <c r="O58" s="147" t="s">
        <v>273</v>
      </c>
    </row>
    <row r="59" spans="4:15" ht="15">
      <c r="D59" s="147">
        <v>10128599</v>
      </c>
      <c r="E59" s="147" t="s">
        <v>183</v>
      </c>
      <c r="O59" s="147" t="s">
        <v>274</v>
      </c>
    </row>
    <row r="60" spans="4:15" ht="15">
      <c r="D60" s="147">
        <v>10128600</v>
      </c>
      <c r="E60" s="147" t="s">
        <v>187</v>
      </c>
      <c r="O60" s="147" t="s">
        <v>275</v>
      </c>
    </row>
    <row r="61" spans="4:15" ht="15">
      <c r="D61" s="147">
        <v>10128579</v>
      </c>
      <c r="E61" s="147" t="s">
        <v>183</v>
      </c>
      <c r="O61" s="147" t="s">
        <v>276</v>
      </c>
    </row>
    <row r="62" spans="4:15" ht="15">
      <c r="D62" s="147">
        <v>10128580</v>
      </c>
      <c r="E62" s="147" t="s">
        <v>187</v>
      </c>
      <c r="O62" s="147" t="s">
        <v>277</v>
      </c>
    </row>
    <row r="63" spans="4:15" ht="15">
      <c r="D63" s="147">
        <v>10128581</v>
      </c>
      <c r="E63" s="147" t="s">
        <v>187</v>
      </c>
      <c r="O63" s="147" t="s">
        <v>278</v>
      </c>
    </row>
    <row r="64" spans="4:15" ht="15">
      <c r="D64" s="147">
        <v>10128582</v>
      </c>
      <c r="E64" s="147" t="s">
        <v>190</v>
      </c>
      <c r="O64" s="147" t="s">
        <v>279</v>
      </c>
    </row>
    <row r="65" spans="4:15" ht="15">
      <c r="D65" s="147">
        <v>10128595</v>
      </c>
      <c r="E65" s="147" t="s">
        <v>190</v>
      </c>
      <c r="O65" s="147" t="s">
        <v>280</v>
      </c>
    </row>
    <row r="66" spans="4:15" ht="15">
      <c r="D66" s="147">
        <v>10128596</v>
      </c>
      <c r="E66" s="147" t="s">
        <v>182</v>
      </c>
      <c r="O66" s="147" t="s">
        <v>281</v>
      </c>
    </row>
    <row r="67" spans="4:15" ht="15">
      <c r="D67" s="147">
        <v>10128597</v>
      </c>
      <c r="E67" s="147" t="s">
        <v>187</v>
      </c>
      <c r="O67" s="147" t="s">
        <v>282</v>
      </c>
    </row>
    <row r="68" spans="4:15" ht="15">
      <c r="D68" s="147">
        <v>10128598</v>
      </c>
      <c r="E68" s="147" t="s">
        <v>190</v>
      </c>
      <c r="O68" s="147" t="s">
        <v>283</v>
      </c>
    </row>
    <row r="69" spans="4:15" ht="15">
      <c r="D69" s="147">
        <v>10128599</v>
      </c>
      <c r="E69" s="147" t="s">
        <v>183</v>
      </c>
      <c r="O69" s="147" t="s">
        <v>284</v>
      </c>
    </row>
    <row r="70" spans="4:15" ht="15">
      <c r="D70" s="147">
        <v>10128600</v>
      </c>
      <c r="E70" s="147" t="s">
        <v>187</v>
      </c>
      <c r="O70" s="147" t="s">
        <v>285</v>
      </c>
    </row>
    <row r="71" spans="4:5" ht="15">
      <c r="D71" s="147">
        <v>10128579</v>
      </c>
      <c r="E71" s="147" t="s">
        <v>183</v>
      </c>
    </row>
    <row r="72" spans="4:5" ht="15">
      <c r="D72" s="147">
        <v>10128580</v>
      </c>
      <c r="E72" s="147" t="s">
        <v>187</v>
      </c>
    </row>
    <row r="73" spans="4:5" ht="15">
      <c r="D73" s="147">
        <v>10128581</v>
      </c>
      <c r="E73" s="147" t="s">
        <v>187</v>
      </c>
    </row>
    <row r="74" spans="4:5" ht="15">
      <c r="D74" s="147">
        <v>10128582</v>
      </c>
      <c r="E74" s="147" t="s">
        <v>190</v>
      </c>
    </row>
    <row r="75" spans="4:5" ht="15">
      <c r="D75" s="147">
        <v>10128595</v>
      </c>
      <c r="E75" s="147" t="s">
        <v>190</v>
      </c>
    </row>
    <row r="76" spans="4:5" ht="15">
      <c r="D76" s="147">
        <v>10128596</v>
      </c>
      <c r="E76" s="147" t="s">
        <v>182</v>
      </c>
    </row>
    <row r="77" spans="4:5" ht="15">
      <c r="D77" s="147">
        <v>10128597</v>
      </c>
      <c r="E77" s="147" t="s">
        <v>187</v>
      </c>
    </row>
    <row r="78" spans="4:5" ht="15">
      <c r="D78" s="147">
        <v>10128598</v>
      </c>
      <c r="E78" s="147" t="s">
        <v>190</v>
      </c>
    </row>
    <row r="79" spans="4:5" ht="15">
      <c r="D79" s="147">
        <v>10128599</v>
      </c>
      <c r="E79" s="147" t="s">
        <v>183</v>
      </c>
    </row>
    <row r="80" spans="4:5" ht="15">
      <c r="D80" s="147">
        <v>10128600</v>
      </c>
      <c r="E80" s="147" t="s">
        <v>187</v>
      </c>
    </row>
    <row r="81" spans="4:5" ht="15">
      <c r="D81" s="147">
        <v>10128579</v>
      </c>
      <c r="E81" s="147" t="s">
        <v>183</v>
      </c>
    </row>
    <row r="82" spans="4:5" ht="15">
      <c r="D82" s="147">
        <v>10128580</v>
      </c>
      <c r="E82" s="147" t="s">
        <v>187</v>
      </c>
    </row>
    <row r="83" spans="4:5" ht="15">
      <c r="D83" s="147">
        <v>10128581</v>
      </c>
      <c r="E83" s="147" t="s">
        <v>187</v>
      </c>
    </row>
    <row r="84" spans="4:5" ht="15">
      <c r="D84" s="147">
        <v>10128582</v>
      </c>
      <c r="E84" s="147" t="s">
        <v>190</v>
      </c>
    </row>
    <row r="85" spans="4:5" ht="15">
      <c r="D85" s="147">
        <v>10128595</v>
      </c>
      <c r="E85" s="147" t="s">
        <v>190</v>
      </c>
    </row>
    <row r="86" spans="4:5" ht="15">
      <c r="D86" s="147">
        <v>10128596</v>
      </c>
      <c r="E86" s="147" t="s">
        <v>182</v>
      </c>
    </row>
    <row r="87" spans="4:5" ht="15">
      <c r="D87" s="147">
        <v>10128597</v>
      </c>
      <c r="E87" s="147" t="s">
        <v>187</v>
      </c>
    </row>
    <row r="88" spans="4:5" ht="15">
      <c r="D88" s="147">
        <v>10128598</v>
      </c>
      <c r="E88" s="147" t="s">
        <v>190</v>
      </c>
    </row>
    <row r="89" spans="4:5" ht="15">
      <c r="D89" s="147">
        <v>10128599</v>
      </c>
      <c r="E89" s="147" t="s">
        <v>183</v>
      </c>
    </row>
    <row r="90" spans="4:5" ht="15">
      <c r="D90" s="147">
        <v>10128600</v>
      </c>
      <c r="E90" s="147" t="s">
        <v>187</v>
      </c>
    </row>
    <row r="91" spans="4:5" ht="15">
      <c r="D91" s="147">
        <v>10128579</v>
      </c>
      <c r="E91" s="147" t="s">
        <v>183</v>
      </c>
    </row>
    <row r="92" spans="4:5" ht="15">
      <c r="D92" s="147">
        <v>10128580</v>
      </c>
      <c r="E92" s="147" t="s">
        <v>187</v>
      </c>
    </row>
    <row r="93" spans="4:5" ht="15">
      <c r="D93" s="147">
        <v>10128581</v>
      </c>
      <c r="E93" s="147" t="s">
        <v>187</v>
      </c>
    </row>
    <row r="94" spans="4:5" ht="15">
      <c r="D94" s="147">
        <v>10128582</v>
      </c>
      <c r="E94" s="147" t="s">
        <v>190</v>
      </c>
    </row>
    <row r="95" spans="4:5" ht="15">
      <c r="D95" s="147">
        <v>10128595</v>
      </c>
      <c r="E95" s="147" t="s">
        <v>190</v>
      </c>
    </row>
    <row r="96" spans="4:5" ht="15">
      <c r="D96" s="147">
        <v>10128596</v>
      </c>
      <c r="E96" s="147" t="s">
        <v>182</v>
      </c>
    </row>
    <row r="97" spans="4:5" ht="15">
      <c r="D97" s="147">
        <v>10128597</v>
      </c>
      <c r="E97" s="147" t="s">
        <v>187</v>
      </c>
    </row>
    <row r="98" spans="4:5" ht="15">
      <c r="D98" s="147">
        <v>10128598</v>
      </c>
      <c r="E98" s="147" t="s">
        <v>190</v>
      </c>
    </row>
    <row r="99" spans="4:5" ht="15">
      <c r="D99" s="147">
        <v>10128599</v>
      </c>
      <c r="E99" s="147" t="s">
        <v>183</v>
      </c>
    </row>
    <row r="100" spans="4:5" ht="15">
      <c r="D100" s="147">
        <v>10128600</v>
      </c>
      <c r="E100" s="147" t="s">
        <v>187</v>
      </c>
    </row>
    <row r="101" spans="4:5" ht="15">
      <c r="D101" s="147">
        <v>10128579</v>
      </c>
      <c r="E101" s="147" t="s">
        <v>183</v>
      </c>
    </row>
    <row r="102" spans="4:5" ht="15">
      <c r="D102" s="147">
        <v>10128580</v>
      </c>
      <c r="E102" s="147" t="s">
        <v>187</v>
      </c>
    </row>
    <row r="103" spans="4:5" ht="15">
      <c r="D103" s="147">
        <v>10128581</v>
      </c>
      <c r="E103" s="147" t="s">
        <v>187</v>
      </c>
    </row>
    <row r="104" spans="4:5" ht="15">
      <c r="D104" s="147">
        <v>10128582</v>
      </c>
      <c r="E104" s="147" t="s">
        <v>190</v>
      </c>
    </row>
    <row r="105" spans="4:5" ht="15">
      <c r="D105" s="147">
        <v>10128595</v>
      </c>
      <c r="E105" s="147" t="s">
        <v>190</v>
      </c>
    </row>
    <row r="106" spans="4:5" ht="15">
      <c r="D106" s="147">
        <v>10128596</v>
      </c>
      <c r="E106" s="147" t="s">
        <v>182</v>
      </c>
    </row>
    <row r="107" spans="4:5" ht="15">
      <c r="D107" s="147">
        <v>10128597</v>
      </c>
      <c r="E107" s="147" t="s">
        <v>187</v>
      </c>
    </row>
    <row r="108" spans="4:5" ht="15">
      <c r="D108" s="147">
        <v>10128598</v>
      </c>
      <c r="E108" s="147" t="s">
        <v>190</v>
      </c>
    </row>
    <row r="109" spans="4:5" ht="15">
      <c r="D109" s="147">
        <v>10128599</v>
      </c>
      <c r="E109" s="147" t="s">
        <v>183</v>
      </c>
    </row>
    <row r="110" spans="4:5" ht="15">
      <c r="D110" s="147">
        <v>10128600</v>
      </c>
      <c r="E110" s="147" t="s">
        <v>187</v>
      </c>
    </row>
    <row r="111" spans="4:5" ht="15">
      <c r="D111" s="147">
        <v>10128579</v>
      </c>
      <c r="E111" s="147" t="s">
        <v>183</v>
      </c>
    </row>
    <row r="112" spans="4:5" ht="15">
      <c r="D112" s="147">
        <v>10128580</v>
      </c>
      <c r="E112" s="147" t="s">
        <v>187</v>
      </c>
    </row>
    <row r="113" spans="4:5" ht="15">
      <c r="D113" s="147">
        <v>10128581</v>
      </c>
      <c r="E113" s="147" t="s">
        <v>187</v>
      </c>
    </row>
    <row r="114" spans="4:5" ht="15">
      <c r="D114" s="147">
        <v>10128582</v>
      </c>
      <c r="E114" s="147" t="s">
        <v>190</v>
      </c>
    </row>
    <row r="115" spans="4:5" ht="15">
      <c r="D115" s="147">
        <v>10128595</v>
      </c>
      <c r="E115" s="147" t="s">
        <v>190</v>
      </c>
    </row>
    <row r="116" spans="4:5" ht="15">
      <c r="D116" s="147">
        <v>10128596</v>
      </c>
      <c r="E116" s="147" t="s">
        <v>182</v>
      </c>
    </row>
    <row r="117" spans="4:5" ht="15">
      <c r="D117" s="147">
        <v>10128597</v>
      </c>
      <c r="E117" s="147" t="s">
        <v>187</v>
      </c>
    </row>
    <row r="118" spans="4:5" ht="15">
      <c r="D118" s="147">
        <v>10128598</v>
      </c>
      <c r="E118" s="147" t="s">
        <v>190</v>
      </c>
    </row>
    <row r="119" spans="4:5" ht="15">
      <c r="D119" s="147">
        <v>10128599</v>
      </c>
      <c r="E119" s="147" t="s">
        <v>183</v>
      </c>
    </row>
    <row r="120" spans="4:5" ht="15">
      <c r="D120" s="147">
        <v>10128600</v>
      </c>
      <c r="E120" s="147" t="s">
        <v>187</v>
      </c>
    </row>
    <row r="121" spans="4:5" ht="15">
      <c r="D121" s="147">
        <v>10128579</v>
      </c>
      <c r="E121" s="147" t="s">
        <v>183</v>
      </c>
    </row>
    <row r="122" spans="4:5" ht="15">
      <c r="D122" s="147">
        <v>10128580</v>
      </c>
      <c r="E122" s="147" t="s">
        <v>187</v>
      </c>
    </row>
    <row r="123" spans="4:5" ht="15">
      <c r="D123" s="147">
        <v>10128581</v>
      </c>
      <c r="E123" s="147" t="s">
        <v>187</v>
      </c>
    </row>
    <row r="124" spans="4:5" ht="15">
      <c r="D124" s="147">
        <v>10128582</v>
      </c>
      <c r="E124" s="147" t="s">
        <v>190</v>
      </c>
    </row>
    <row r="125" spans="4:5" ht="15">
      <c r="D125" s="147">
        <v>10128595</v>
      </c>
      <c r="E125" s="147" t="s">
        <v>190</v>
      </c>
    </row>
    <row r="126" spans="4:5" ht="15">
      <c r="D126" s="147">
        <v>10128596</v>
      </c>
      <c r="E126" s="147" t="s">
        <v>182</v>
      </c>
    </row>
    <row r="127" spans="4:5" ht="15">
      <c r="D127" s="147">
        <v>10128597</v>
      </c>
      <c r="E127" s="147" t="s">
        <v>187</v>
      </c>
    </row>
    <row r="128" spans="4:5" ht="15">
      <c r="D128" s="147">
        <v>10128598</v>
      </c>
      <c r="E128" s="147" t="s">
        <v>190</v>
      </c>
    </row>
    <row r="129" spans="4:5" ht="15">
      <c r="D129" s="147">
        <v>10128599</v>
      </c>
      <c r="E129" s="147" t="s">
        <v>183</v>
      </c>
    </row>
    <row r="130" spans="4:5" ht="15">
      <c r="D130" s="147">
        <v>10128600</v>
      </c>
      <c r="E130" s="147" t="s">
        <v>187</v>
      </c>
    </row>
    <row r="131" spans="4:5" ht="15">
      <c r="D131" s="147">
        <v>10128579</v>
      </c>
      <c r="E131" s="147" t="s">
        <v>183</v>
      </c>
    </row>
    <row r="132" spans="4:5" ht="15">
      <c r="D132" s="147">
        <v>10128580</v>
      </c>
      <c r="E132" s="147" t="s">
        <v>187</v>
      </c>
    </row>
    <row r="133" spans="4:5" ht="15">
      <c r="D133" s="147">
        <v>10128581</v>
      </c>
      <c r="E133" s="147" t="s">
        <v>187</v>
      </c>
    </row>
    <row r="134" spans="4:5" ht="15">
      <c r="D134" s="147">
        <v>10128582</v>
      </c>
      <c r="E134" s="147" t="s">
        <v>190</v>
      </c>
    </row>
    <row r="135" spans="4:5" ht="15">
      <c r="D135" s="147">
        <v>10128595</v>
      </c>
      <c r="E135" s="147" t="s">
        <v>190</v>
      </c>
    </row>
    <row r="136" spans="4:5" ht="15">
      <c r="D136" s="147">
        <v>10128596</v>
      </c>
      <c r="E136" s="147" t="s">
        <v>182</v>
      </c>
    </row>
    <row r="137" spans="4:5" ht="15">
      <c r="D137" s="147">
        <v>10128597</v>
      </c>
      <c r="E137" s="147" t="s">
        <v>187</v>
      </c>
    </row>
    <row r="138" spans="4:5" ht="15">
      <c r="D138" s="147">
        <v>10128598</v>
      </c>
      <c r="E138" s="147" t="s">
        <v>190</v>
      </c>
    </row>
    <row r="139" spans="4:5" ht="15">
      <c r="D139" s="147">
        <v>10128599</v>
      </c>
      <c r="E139" s="147" t="s">
        <v>183</v>
      </c>
    </row>
    <row r="140" spans="4:5" ht="15">
      <c r="D140" s="147">
        <v>10128600</v>
      </c>
      <c r="E140" s="147" t="s">
        <v>187</v>
      </c>
    </row>
    <row r="141" spans="4:5" ht="15">
      <c r="D141" s="147">
        <v>10128579</v>
      </c>
      <c r="E141" s="147" t="s">
        <v>183</v>
      </c>
    </row>
    <row r="142" spans="4:5" ht="15">
      <c r="D142" s="147">
        <v>10128580</v>
      </c>
      <c r="E142" s="147" t="s">
        <v>187</v>
      </c>
    </row>
    <row r="143" spans="4:5" ht="15">
      <c r="D143" s="147">
        <v>10128581</v>
      </c>
      <c r="E143" s="147" t="s">
        <v>187</v>
      </c>
    </row>
    <row r="144" spans="4:5" ht="15">
      <c r="D144" s="147">
        <v>10128582</v>
      </c>
      <c r="E144" s="147" t="s">
        <v>190</v>
      </c>
    </row>
    <row r="145" spans="4:5" ht="15">
      <c r="D145" s="147">
        <v>10128595</v>
      </c>
      <c r="E145" s="147" t="s">
        <v>190</v>
      </c>
    </row>
    <row r="146" spans="4:5" ht="15">
      <c r="D146" s="147">
        <v>10128596</v>
      </c>
      <c r="E146" s="147" t="s">
        <v>182</v>
      </c>
    </row>
    <row r="147" spans="4:5" ht="15">
      <c r="D147" s="147">
        <v>10128597</v>
      </c>
      <c r="E147" s="147" t="s">
        <v>187</v>
      </c>
    </row>
    <row r="148" spans="4:5" ht="15">
      <c r="D148" s="147">
        <v>10128598</v>
      </c>
      <c r="E148" s="147" t="s">
        <v>190</v>
      </c>
    </row>
    <row r="149" spans="4:5" ht="15">
      <c r="D149" s="147">
        <v>10128599</v>
      </c>
      <c r="E149" s="147" t="s">
        <v>183</v>
      </c>
    </row>
    <row r="150" spans="4:5" ht="15">
      <c r="D150" s="147">
        <v>10128600</v>
      </c>
      <c r="E150" s="147" t="s">
        <v>187</v>
      </c>
    </row>
    <row r="151" spans="4:5" ht="15">
      <c r="D151" s="147">
        <v>10128579</v>
      </c>
      <c r="E151" s="147" t="s">
        <v>183</v>
      </c>
    </row>
    <row r="152" spans="4:5" ht="15">
      <c r="D152" s="147">
        <v>10128580</v>
      </c>
      <c r="E152" s="147" t="s">
        <v>187</v>
      </c>
    </row>
    <row r="153" spans="4:5" ht="15">
      <c r="D153" s="147">
        <v>10128581</v>
      </c>
      <c r="E153" s="147" t="s">
        <v>187</v>
      </c>
    </row>
    <row r="154" spans="4:5" ht="15">
      <c r="D154" s="147">
        <v>10128582</v>
      </c>
      <c r="E154" s="147" t="s">
        <v>190</v>
      </c>
    </row>
    <row r="155" spans="4:5" ht="15">
      <c r="D155" s="147">
        <v>10128595</v>
      </c>
      <c r="E155" s="147" t="s">
        <v>190</v>
      </c>
    </row>
    <row r="156" spans="4:5" ht="15">
      <c r="D156" s="147">
        <v>10128596</v>
      </c>
      <c r="E156" s="147" t="s">
        <v>182</v>
      </c>
    </row>
    <row r="157" spans="4:5" ht="15">
      <c r="D157" s="147">
        <v>10128597</v>
      </c>
      <c r="E157" s="147" t="s">
        <v>187</v>
      </c>
    </row>
    <row r="158" spans="4:5" ht="15">
      <c r="D158" s="147">
        <v>10128598</v>
      </c>
      <c r="E158" s="147" t="s">
        <v>190</v>
      </c>
    </row>
    <row r="159" spans="4:5" ht="15">
      <c r="D159" s="147">
        <v>10128599</v>
      </c>
      <c r="E159" s="147" t="s">
        <v>183</v>
      </c>
    </row>
    <row r="160" spans="4:5" ht="15">
      <c r="D160" s="147">
        <v>10128600</v>
      </c>
      <c r="E160" s="147" t="s">
        <v>187</v>
      </c>
    </row>
    <row r="161" spans="4:5" ht="15">
      <c r="D161" s="147">
        <v>10128579</v>
      </c>
      <c r="E161" s="147" t="s">
        <v>183</v>
      </c>
    </row>
    <row r="162" spans="4:5" ht="15">
      <c r="D162" s="147">
        <v>10128580</v>
      </c>
      <c r="E162" s="147" t="s">
        <v>187</v>
      </c>
    </row>
    <row r="163" spans="4:5" ht="15">
      <c r="D163" s="147">
        <v>10128581</v>
      </c>
      <c r="E163" s="147" t="s">
        <v>187</v>
      </c>
    </row>
    <row r="164" spans="4:5" ht="15">
      <c r="D164" s="147">
        <v>10128582</v>
      </c>
      <c r="E164" s="147" t="s">
        <v>190</v>
      </c>
    </row>
    <row r="165" spans="4:5" ht="15">
      <c r="D165" s="147">
        <v>10128595</v>
      </c>
      <c r="E165" s="147" t="s">
        <v>190</v>
      </c>
    </row>
    <row r="166" spans="4:5" ht="15">
      <c r="D166" s="147">
        <v>10128596</v>
      </c>
      <c r="E166" s="147" t="s">
        <v>182</v>
      </c>
    </row>
    <row r="167" spans="4:5" ht="15">
      <c r="D167" s="147">
        <v>10128597</v>
      </c>
      <c r="E167" s="147" t="s">
        <v>187</v>
      </c>
    </row>
    <row r="168" spans="4:5" ht="15">
      <c r="D168" s="147">
        <v>10128598</v>
      </c>
      <c r="E168" s="147" t="s">
        <v>190</v>
      </c>
    </row>
    <row r="169" spans="4:5" ht="15">
      <c r="D169" s="147">
        <v>10128599</v>
      </c>
      <c r="E169" s="147" t="s">
        <v>183</v>
      </c>
    </row>
    <row r="170" spans="4:5" ht="15">
      <c r="D170" s="147">
        <v>10128600</v>
      </c>
      <c r="E170" s="147" t="s">
        <v>187</v>
      </c>
    </row>
    <row r="171" spans="4:5" ht="15">
      <c r="D171" s="147">
        <v>10128579</v>
      </c>
      <c r="E171" s="147" t="s">
        <v>183</v>
      </c>
    </row>
    <row r="172" spans="4:5" ht="15">
      <c r="D172" s="147">
        <v>10128580</v>
      </c>
      <c r="E172" s="147" t="s">
        <v>187</v>
      </c>
    </row>
    <row r="173" spans="4:5" ht="15">
      <c r="D173" s="147">
        <v>10128581</v>
      </c>
      <c r="E173" s="147" t="s">
        <v>187</v>
      </c>
    </row>
    <row r="174" spans="4:5" ht="15">
      <c r="D174" s="147">
        <v>10128582</v>
      </c>
      <c r="E174" s="147" t="s">
        <v>190</v>
      </c>
    </row>
    <row r="175" spans="4:5" ht="15">
      <c r="D175" s="147">
        <v>10128595</v>
      </c>
      <c r="E175" s="147" t="s">
        <v>190</v>
      </c>
    </row>
    <row r="176" spans="4:5" ht="15">
      <c r="D176" s="147">
        <v>10128596</v>
      </c>
      <c r="E176" s="147" t="s">
        <v>182</v>
      </c>
    </row>
    <row r="177" spans="4:5" ht="15">
      <c r="D177" s="147">
        <v>10128597</v>
      </c>
      <c r="E177" s="147" t="s">
        <v>187</v>
      </c>
    </row>
    <row r="178" spans="4:5" ht="15">
      <c r="D178" s="147">
        <v>10128598</v>
      </c>
      <c r="E178" s="147" t="s">
        <v>190</v>
      </c>
    </row>
    <row r="179" spans="4:5" ht="15">
      <c r="D179" s="147">
        <v>10128599</v>
      </c>
      <c r="E179" s="147" t="s">
        <v>183</v>
      </c>
    </row>
    <row r="180" spans="4:5" ht="15">
      <c r="D180" s="147">
        <v>10128600</v>
      </c>
      <c r="E180" s="147" t="s">
        <v>187</v>
      </c>
    </row>
    <row r="181" spans="4:5" ht="15">
      <c r="D181" s="147">
        <v>10128579</v>
      </c>
      <c r="E181" s="147" t="s">
        <v>183</v>
      </c>
    </row>
    <row r="182" spans="4:5" ht="15">
      <c r="D182" s="147">
        <v>10128580</v>
      </c>
      <c r="E182" s="147" t="s">
        <v>187</v>
      </c>
    </row>
    <row r="183" spans="4:5" ht="15">
      <c r="D183" s="147">
        <v>10128581</v>
      </c>
      <c r="E183" s="147" t="s">
        <v>187</v>
      </c>
    </row>
    <row r="184" spans="4:5" ht="15">
      <c r="D184" s="147">
        <v>10128582</v>
      </c>
      <c r="E184" s="147" t="s">
        <v>190</v>
      </c>
    </row>
    <row r="185" spans="4:5" ht="15">
      <c r="D185" s="147">
        <v>10128595</v>
      </c>
      <c r="E185" s="147" t="s">
        <v>190</v>
      </c>
    </row>
    <row r="186" spans="4:5" ht="15">
      <c r="D186" s="147">
        <v>10128596</v>
      </c>
      <c r="E186" s="147" t="s">
        <v>182</v>
      </c>
    </row>
    <row r="187" spans="4:5" ht="15">
      <c r="D187" s="147">
        <v>10128597</v>
      </c>
      <c r="E187" s="147" t="s">
        <v>187</v>
      </c>
    </row>
    <row r="188" spans="4:5" ht="15">
      <c r="D188" s="147">
        <v>10128598</v>
      </c>
      <c r="E188" s="147" t="s">
        <v>190</v>
      </c>
    </row>
    <row r="189" spans="4:5" ht="15">
      <c r="D189" s="147">
        <v>10128599</v>
      </c>
      <c r="E189" s="147" t="s">
        <v>183</v>
      </c>
    </row>
    <row r="190" spans="4:5" ht="15">
      <c r="D190" s="147">
        <v>10128600</v>
      </c>
      <c r="E190" s="147" t="s">
        <v>187</v>
      </c>
    </row>
    <row r="191" spans="4:5" ht="15">
      <c r="D191" s="147">
        <v>10128579</v>
      </c>
      <c r="E191" s="147" t="s">
        <v>183</v>
      </c>
    </row>
    <row r="192" spans="4:5" ht="15">
      <c r="D192" s="147">
        <v>10128580</v>
      </c>
      <c r="E192" s="147" t="s">
        <v>187</v>
      </c>
    </row>
    <row r="193" spans="4:5" ht="15">
      <c r="D193" s="147">
        <v>10128581</v>
      </c>
      <c r="E193" s="147" t="s">
        <v>187</v>
      </c>
    </row>
    <row r="194" spans="4:5" ht="15">
      <c r="D194" s="147">
        <v>10128582</v>
      </c>
      <c r="E194" s="147" t="s">
        <v>190</v>
      </c>
    </row>
    <row r="195" spans="4:5" ht="15">
      <c r="D195" s="147">
        <v>10128595</v>
      </c>
      <c r="E195" s="147" t="s">
        <v>190</v>
      </c>
    </row>
    <row r="196" spans="4:5" ht="15">
      <c r="D196" s="147">
        <v>10128596</v>
      </c>
      <c r="E196" s="147" t="s">
        <v>182</v>
      </c>
    </row>
    <row r="197" spans="4:5" ht="15">
      <c r="D197" s="147">
        <v>10128597</v>
      </c>
      <c r="E197" s="147" t="s">
        <v>187</v>
      </c>
    </row>
    <row r="198" spans="4:5" ht="15">
      <c r="D198" s="147">
        <v>10128598</v>
      </c>
      <c r="E198" s="147" t="s">
        <v>190</v>
      </c>
    </row>
    <row r="199" spans="4:5" ht="15">
      <c r="D199" s="147">
        <v>10128599</v>
      </c>
      <c r="E199" s="147" t="s">
        <v>183</v>
      </c>
    </row>
    <row r="200" spans="4:5" ht="15">
      <c r="D200" s="147">
        <v>10128600</v>
      </c>
      <c r="E200" s="147" t="s">
        <v>187</v>
      </c>
    </row>
    <row r="201" spans="4:5" ht="15">
      <c r="D201" s="147">
        <v>10128579</v>
      </c>
      <c r="E201" s="147" t="s">
        <v>183</v>
      </c>
    </row>
    <row r="202" spans="4:5" ht="15">
      <c r="D202" s="147">
        <v>10128580</v>
      </c>
      <c r="E202" s="147" t="s">
        <v>187</v>
      </c>
    </row>
    <row r="203" spans="4:5" ht="15">
      <c r="D203" s="147">
        <v>10128581</v>
      </c>
      <c r="E203" s="147" t="s">
        <v>187</v>
      </c>
    </row>
    <row r="204" spans="4:5" ht="15">
      <c r="D204" s="147">
        <v>10128582</v>
      </c>
      <c r="E204" s="147" t="s">
        <v>190</v>
      </c>
    </row>
    <row r="205" spans="4:5" ht="15">
      <c r="D205" s="147">
        <v>10128595</v>
      </c>
      <c r="E205" s="147" t="s">
        <v>190</v>
      </c>
    </row>
    <row r="206" spans="4:5" ht="15">
      <c r="D206" s="147">
        <v>10128596</v>
      </c>
      <c r="E206" s="147" t="s">
        <v>182</v>
      </c>
    </row>
    <row r="207" spans="4:5" ht="15">
      <c r="D207" s="147">
        <v>10128597</v>
      </c>
      <c r="E207" s="147" t="s">
        <v>187</v>
      </c>
    </row>
    <row r="208" spans="4:5" ht="15">
      <c r="D208" s="147">
        <v>10128598</v>
      </c>
      <c r="E208" s="147" t="s">
        <v>190</v>
      </c>
    </row>
    <row r="209" spans="4:5" ht="15">
      <c r="D209" s="147">
        <v>10128599</v>
      </c>
      <c r="E209" s="147" t="s">
        <v>183</v>
      </c>
    </row>
    <row r="210" spans="4:5" ht="15">
      <c r="D210" s="147">
        <v>10128600</v>
      </c>
      <c r="E210" s="147" t="s">
        <v>187</v>
      </c>
    </row>
    <row r="211" spans="4:5" ht="15">
      <c r="D211" s="147">
        <v>10128579</v>
      </c>
      <c r="E211" s="147" t="s">
        <v>183</v>
      </c>
    </row>
    <row r="212" spans="4:5" ht="15">
      <c r="D212" s="147">
        <v>10128580</v>
      </c>
      <c r="E212" s="147" t="s">
        <v>187</v>
      </c>
    </row>
    <row r="213" spans="4:5" ht="15">
      <c r="D213" s="147">
        <v>10128581</v>
      </c>
      <c r="E213" s="147" t="s">
        <v>187</v>
      </c>
    </row>
    <row r="214" spans="4:5" ht="15">
      <c r="D214" s="147">
        <v>10128582</v>
      </c>
      <c r="E214" s="147" t="s">
        <v>190</v>
      </c>
    </row>
    <row r="215" spans="4:5" ht="15">
      <c r="D215" s="147">
        <v>10128595</v>
      </c>
      <c r="E215" s="147" t="s">
        <v>190</v>
      </c>
    </row>
    <row r="216" spans="4:5" ht="15">
      <c r="D216" s="147">
        <v>10128596</v>
      </c>
      <c r="E216" s="147" t="s">
        <v>182</v>
      </c>
    </row>
    <row r="217" spans="4:5" ht="15">
      <c r="D217" s="147">
        <v>10128597</v>
      </c>
      <c r="E217" s="147" t="s">
        <v>187</v>
      </c>
    </row>
    <row r="218" spans="4:5" ht="15">
      <c r="D218" s="147">
        <v>10128598</v>
      </c>
      <c r="E218" s="147" t="s">
        <v>190</v>
      </c>
    </row>
    <row r="219" spans="4:5" ht="15">
      <c r="D219" s="147">
        <v>10128599</v>
      </c>
      <c r="E219" s="147" t="s">
        <v>183</v>
      </c>
    </row>
    <row r="220" spans="4:5" ht="15">
      <c r="D220" s="147">
        <v>10128600</v>
      </c>
      <c r="E220" s="147" t="s">
        <v>187</v>
      </c>
    </row>
    <row r="221" spans="4:5" ht="15">
      <c r="D221" s="147">
        <v>10128579</v>
      </c>
      <c r="E221" s="147" t="s">
        <v>183</v>
      </c>
    </row>
    <row r="222" spans="4:5" ht="15">
      <c r="D222" s="147">
        <v>10128580</v>
      </c>
      <c r="E222" s="147" t="s">
        <v>187</v>
      </c>
    </row>
    <row r="223" spans="4:5" ht="15">
      <c r="D223" s="147">
        <v>10128581</v>
      </c>
      <c r="E223" s="147" t="s">
        <v>187</v>
      </c>
    </row>
    <row r="224" spans="4:5" ht="15">
      <c r="D224" s="147">
        <v>10128582</v>
      </c>
      <c r="E224" s="147" t="s">
        <v>190</v>
      </c>
    </row>
    <row r="225" spans="4:5" ht="15">
      <c r="D225" s="147">
        <v>10128595</v>
      </c>
      <c r="E225" s="147" t="s">
        <v>190</v>
      </c>
    </row>
    <row r="226" spans="4:5" ht="15">
      <c r="D226" s="147">
        <v>10128596</v>
      </c>
      <c r="E226" s="147" t="s">
        <v>182</v>
      </c>
    </row>
    <row r="227" spans="4:5" ht="15">
      <c r="D227" s="147">
        <v>10128597</v>
      </c>
      <c r="E227" s="147" t="s">
        <v>187</v>
      </c>
    </row>
    <row r="228" spans="4:5" ht="15">
      <c r="D228" s="147">
        <v>10128598</v>
      </c>
      <c r="E228" s="147" t="s">
        <v>190</v>
      </c>
    </row>
    <row r="229" spans="4:5" ht="15">
      <c r="D229" s="147">
        <v>10128599</v>
      </c>
      <c r="E229" s="147" t="s">
        <v>183</v>
      </c>
    </row>
    <row r="230" spans="4:5" ht="15">
      <c r="D230" s="147">
        <v>10128600</v>
      </c>
      <c r="E230" s="147" t="s">
        <v>187</v>
      </c>
    </row>
    <row r="231" spans="4:5" ht="15">
      <c r="D231" s="147">
        <v>10128579</v>
      </c>
      <c r="E231" s="147" t="s">
        <v>183</v>
      </c>
    </row>
    <row r="232" spans="4:5" ht="15">
      <c r="D232" s="147">
        <v>10128580</v>
      </c>
      <c r="E232" s="147" t="s">
        <v>187</v>
      </c>
    </row>
    <row r="233" spans="4:5" ht="15">
      <c r="D233" s="147">
        <v>10128581</v>
      </c>
      <c r="E233" s="147" t="s">
        <v>187</v>
      </c>
    </row>
    <row r="234" spans="4:5" ht="15">
      <c r="D234" s="147">
        <v>10128582</v>
      </c>
      <c r="E234" s="147" t="s">
        <v>190</v>
      </c>
    </row>
    <row r="235" spans="4:5" ht="15">
      <c r="D235" s="147">
        <v>10128595</v>
      </c>
      <c r="E235" s="147" t="s">
        <v>190</v>
      </c>
    </row>
    <row r="236" spans="4:5" ht="15">
      <c r="D236" s="147">
        <v>10128596</v>
      </c>
      <c r="E236" s="147" t="s">
        <v>182</v>
      </c>
    </row>
    <row r="237" spans="4:5" ht="15">
      <c r="D237" s="147">
        <v>10128597</v>
      </c>
      <c r="E237" s="147" t="s">
        <v>187</v>
      </c>
    </row>
    <row r="238" spans="4:5" ht="15">
      <c r="D238" s="147">
        <v>10128598</v>
      </c>
      <c r="E238" s="147" t="s">
        <v>190</v>
      </c>
    </row>
    <row r="239" spans="4:5" ht="15">
      <c r="D239" s="147">
        <v>10128599</v>
      </c>
      <c r="E239" s="147" t="s">
        <v>183</v>
      </c>
    </row>
    <row r="240" spans="4:5" ht="15">
      <c r="D240" s="147">
        <v>10128600</v>
      </c>
      <c r="E240" s="147" t="s">
        <v>187</v>
      </c>
    </row>
    <row r="241" spans="4:5" ht="15">
      <c r="D241" s="147">
        <v>10128579</v>
      </c>
      <c r="E241" s="147" t="s">
        <v>183</v>
      </c>
    </row>
    <row r="242" spans="4:5" ht="15">
      <c r="D242" s="147">
        <v>10128580</v>
      </c>
      <c r="E242" s="147" t="s">
        <v>187</v>
      </c>
    </row>
    <row r="243" spans="4:5" ht="15">
      <c r="D243" s="147">
        <v>10128581</v>
      </c>
      <c r="E243" s="147" t="s">
        <v>187</v>
      </c>
    </row>
    <row r="244" spans="4:5" ht="15">
      <c r="D244" s="147">
        <v>10128582</v>
      </c>
      <c r="E244" s="147" t="s">
        <v>190</v>
      </c>
    </row>
    <row r="245" spans="4:5" ht="15">
      <c r="D245" s="147">
        <v>10128595</v>
      </c>
      <c r="E245" s="147" t="s">
        <v>190</v>
      </c>
    </row>
    <row r="246" spans="4:5" ht="15">
      <c r="D246" s="147">
        <v>10128596</v>
      </c>
      <c r="E246" s="147" t="s">
        <v>182</v>
      </c>
    </row>
    <row r="247" spans="4:5" ht="15">
      <c r="D247" s="147">
        <v>10128597</v>
      </c>
      <c r="E247" s="147" t="s">
        <v>187</v>
      </c>
    </row>
    <row r="248" spans="4:5" ht="15">
      <c r="D248" s="147">
        <v>10128598</v>
      </c>
      <c r="E248" s="147" t="s">
        <v>190</v>
      </c>
    </row>
    <row r="249" spans="4:5" ht="15">
      <c r="D249" s="147">
        <v>10128599</v>
      </c>
      <c r="E249" s="147" t="s">
        <v>183</v>
      </c>
    </row>
    <row r="250" spans="4:5" ht="15">
      <c r="D250" s="147">
        <v>10128600</v>
      </c>
      <c r="E250" s="147" t="s">
        <v>187</v>
      </c>
    </row>
    <row r="251" spans="4:5" ht="15">
      <c r="D251" s="147">
        <v>10128579</v>
      </c>
      <c r="E251" s="147" t="s">
        <v>183</v>
      </c>
    </row>
    <row r="252" spans="4:5" ht="15">
      <c r="D252" s="147">
        <v>10128580</v>
      </c>
      <c r="E252" s="147" t="s">
        <v>187</v>
      </c>
    </row>
    <row r="253" spans="4:5" ht="15">
      <c r="D253" s="147">
        <v>10128581</v>
      </c>
      <c r="E253" s="147" t="s">
        <v>187</v>
      </c>
    </row>
    <row r="254" spans="4:5" ht="15">
      <c r="D254" s="147">
        <v>10128582</v>
      </c>
      <c r="E254" s="147" t="s">
        <v>190</v>
      </c>
    </row>
    <row r="255" spans="4:5" ht="15">
      <c r="D255" s="147">
        <v>10128595</v>
      </c>
      <c r="E255" s="147" t="s">
        <v>190</v>
      </c>
    </row>
    <row r="256" spans="4:5" ht="15">
      <c r="D256" s="147">
        <v>10128596</v>
      </c>
      <c r="E256" s="147" t="s">
        <v>182</v>
      </c>
    </row>
    <row r="257" spans="4:5" ht="15">
      <c r="D257" s="147">
        <v>10128597</v>
      </c>
      <c r="E257" s="147" t="s">
        <v>187</v>
      </c>
    </row>
    <row r="258" spans="4:5" ht="15">
      <c r="D258" s="147">
        <v>10128598</v>
      </c>
      <c r="E258" s="147" t="s">
        <v>190</v>
      </c>
    </row>
    <row r="259" spans="4:5" ht="15">
      <c r="D259" s="147">
        <v>10128599</v>
      </c>
      <c r="E259" s="147" t="s">
        <v>183</v>
      </c>
    </row>
    <row r="260" spans="4:5" ht="15">
      <c r="D260" s="147">
        <v>10128600</v>
      </c>
      <c r="E260" s="147" t="s">
        <v>187</v>
      </c>
    </row>
    <row r="261" spans="4:5" ht="15">
      <c r="D261" s="147">
        <v>10128579</v>
      </c>
      <c r="E261" s="147" t="s">
        <v>183</v>
      </c>
    </row>
    <row r="262" spans="4:5" ht="15">
      <c r="D262" s="147">
        <v>10128580</v>
      </c>
      <c r="E262" s="147" t="s">
        <v>187</v>
      </c>
    </row>
    <row r="263" spans="4:5" ht="15">
      <c r="D263" s="147">
        <v>10128581</v>
      </c>
      <c r="E263" s="147" t="s">
        <v>187</v>
      </c>
    </row>
    <row r="264" spans="4:5" ht="15">
      <c r="D264" s="147">
        <v>10128582</v>
      </c>
      <c r="E264" s="147" t="s">
        <v>190</v>
      </c>
    </row>
    <row r="265" spans="4:5" ht="15">
      <c r="D265" s="147">
        <v>10128595</v>
      </c>
      <c r="E265" s="147" t="s">
        <v>190</v>
      </c>
    </row>
    <row r="266" spans="4:5" ht="15">
      <c r="D266" s="147">
        <v>10128596</v>
      </c>
      <c r="E266" s="147" t="s">
        <v>182</v>
      </c>
    </row>
    <row r="267" spans="4:5" ht="15">
      <c r="D267" s="147">
        <v>10128597</v>
      </c>
      <c r="E267" s="147" t="s">
        <v>187</v>
      </c>
    </row>
    <row r="268" spans="4:5" ht="15">
      <c r="D268" s="147">
        <v>10128598</v>
      </c>
      <c r="E268" s="147" t="s">
        <v>190</v>
      </c>
    </row>
    <row r="269" spans="4:5" ht="15">
      <c r="D269" s="147">
        <v>10128599</v>
      </c>
      <c r="E269" s="147" t="s">
        <v>183</v>
      </c>
    </row>
    <row r="270" spans="4:5" ht="15">
      <c r="D270" s="147">
        <v>10128600</v>
      </c>
      <c r="E270" s="147" t="s">
        <v>187</v>
      </c>
    </row>
    <row r="271" spans="4:5" ht="15">
      <c r="D271" s="147">
        <v>10128579</v>
      </c>
      <c r="E271" s="147" t="s">
        <v>183</v>
      </c>
    </row>
    <row r="272" spans="4:5" ht="15">
      <c r="D272" s="147">
        <v>10128580</v>
      </c>
      <c r="E272" s="147" t="s">
        <v>187</v>
      </c>
    </row>
    <row r="273" spans="4:5" ht="15">
      <c r="D273" s="147">
        <v>10128581</v>
      </c>
      <c r="E273" s="147" t="s">
        <v>187</v>
      </c>
    </row>
    <row r="274" spans="4:5" ht="15">
      <c r="D274" s="147">
        <v>10128582</v>
      </c>
      <c r="E274" s="147" t="s">
        <v>190</v>
      </c>
    </row>
    <row r="275" spans="4:5" ht="15">
      <c r="D275" s="147">
        <v>10128595</v>
      </c>
      <c r="E275" s="147" t="s">
        <v>190</v>
      </c>
    </row>
    <row r="276" spans="4:5" ht="15">
      <c r="D276" s="147">
        <v>10128596</v>
      </c>
      <c r="E276" s="147" t="s">
        <v>182</v>
      </c>
    </row>
    <row r="277" spans="4:5" ht="15">
      <c r="D277" s="147">
        <v>10128597</v>
      </c>
      <c r="E277" s="147" t="s">
        <v>187</v>
      </c>
    </row>
    <row r="278" spans="4:5" ht="15">
      <c r="D278" s="147">
        <v>10128598</v>
      </c>
      <c r="E278" s="147" t="s">
        <v>190</v>
      </c>
    </row>
    <row r="279" spans="4:5" ht="15">
      <c r="D279" s="147">
        <v>10128599</v>
      </c>
      <c r="E279" s="147" t="s">
        <v>183</v>
      </c>
    </row>
    <row r="280" spans="4:5" ht="15">
      <c r="D280" s="147">
        <v>10128600</v>
      </c>
      <c r="E280" s="147" t="s">
        <v>187</v>
      </c>
    </row>
    <row r="281" spans="4:5" ht="15">
      <c r="D281" s="147">
        <v>10128579</v>
      </c>
      <c r="E281" s="147" t="s">
        <v>183</v>
      </c>
    </row>
    <row r="282" spans="4:5" ht="15">
      <c r="D282" s="147">
        <v>10128580</v>
      </c>
      <c r="E282" s="147" t="s">
        <v>187</v>
      </c>
    </row>
    <row r="283" spans="4:5" ht="15">
      <c r="D283" s="147">
        <v>10128581</v>
      </c>
      <c r="E283" s="147" t="s">
        <v>187</v>
      </c>
    </row>
    <row r="284" spans="4:5" ht="15">
      <c r="D284" s="147">
        <v>10128582</v>
      </c>
      <c r="E284" s="147" t="s">
        <v>190</v>
      </c>
    </row>
    <row r="285" spans="4:5" ht="15">
      <c r="D285" s="147">
        <v>10128595</v>
      </c>
      <c r="E285" s="147" t="s">
        <v>190</v>
      </c>
    </row>
    <row r="286" spans="4:5" ht="15">
      <c r="D286" s="147">
        <v>10128596</v>
      </c>
      <c r="E286" s="147" t="s">
        <v>182</v>
      </c>
    </row>
    <row r="287" spans="4:5" ht="15">
      <c r="D287" s="147">
        <v>10128597</v>
      </c>
      <c r="E287" s="147" t="s">
        <v>187</v>
      </c>
    </row>
    <row r="288" spans="4:5" ht="15">
      <c r="D288" s="147">
        <v>10128598</v>
      </c>
      <c r="E288" s="147" t="s">
        <v>190</v>
      </c>
    </row>
    <row r="289" spans="4:5" ht="15">
      <c r="D289" s="147">
        <v>10128599</v>
      </c>
      <c r="E289" s="147" t="s">
        <v>183</v>
      </c>
    </row>
    <row r="290" spans="4:5" ht="15">
      <c r="D290" s="147">
        <v>10128600</v>
      </c>
      <c r="E290" s="147" t="s">
        <v>187</v>
      </c>
    </row>
    <row r="291" spans="4:5" ht="15">
      <c r="D291" s="147">
        <v>10128579</v>
      </c>
      <c r="E291" s="147" t="s">
        <v>183</v>
      </c>
    </row>
    <row r="292" spans="4:5" ht="15">
      <c r="D292" s="147">
        <v>10128580</v>
      </c>
      <c r="E292" s="147" t="s">
        <v>187</v>
      </c>
    </row>
    <row r="293" spans="4:5" ht="15">
      <c r="D293" s="147">
        <v>10128581</v>
      </c>
      <c r="E293" s="147" t="s">
        <v>187</v>
      </c>
    </row>
    <row r="294" spans="4:5" ht="15">
      <c r="D294" s="147">
        <v>10128582</v>
      </c>
      <c r="E294" s="147" t="s">
        <v>190</v>
      </c>
    </row>
    <row r="295" spans="4:5" ht="15">
      <c r="D295" s="147">
        <v>10128595</v>
      </c>
      <c r="E295" s="147" t="s">
        <v>190</v>
      </c>
    </row>
    <row r="296" spans="4:5" ht="15">
      <c r="D296" s="147">
        <v>10128596</v>
      </c>
      <c r="E296" s="147" t="s">
        <v>182</v>
      </c>
    </row>
    <row r="297" spans="4:5" ht="15">
      <c r="D297" s="147">
        <v>10128597</v>
      </c>
      <c r="E297" s="147" t="s">
        <v>187</v>
      </c>
    </row>
    <row r="298" spans="4:5" ht="15">
      <c r="D298" s="147">
        <v>10128598</v>
      </c>
      <c r="E298" s="147" t="s">
        <v>190</v>
      </c>
    </row>
    <row r="299" spans="4:5" ht="15">
      <c r="D299" s="147">
        <v>10128599</v>
      </c>
      <c r="E299" s="147" t="s">
        <v>183</v>
      </c>
    </row>
    <row r="300" spans="4:5" ht="15">
      <c r="D300" s="147">
        <v>10128600</v>
      </c>
      <c r="E300" s="147" t="s">
        <v>187</v>
      </c>
    </row>
    <row r="301" spans="4:5" ht="15">
      <c r="D301" s="147">
        <v>10128579</v>
      </c>
      <c r="E301" s="147" t="s">
        <v>183</v>
      </c>
    </row>
    <row r="302" spans="4:5" ht="15">
      <c r="D302" s="147">
        <v>10128580</v>
      </c>
      <c r="E302" s="147" t="s">
        <v>187</v>
      </c>
    </row>
    <row r="303" spans="4:5" ht="15">
      <c r="D303" s="147">
        <v>10128581</v>
      </c>
      <c r="E303" s="147" t="s">
        <v>187</v>
      </c>
    </row>
    <row r="304" spans="4:5" ht="15">
      <c r="D304" s="147">
        <v>10128582</v>
      </c>
      <c r="E304" s="147" t="s">
        <v>190</v>
      </c>
    </row>
    <row r="305" spans="4:5" ht="15">
      <c r="D305" s="147">
        <v>10128595</v>
      </c>
      <c r="E305" s="147" t="s">
        <v>190</v>
      </c>
    </row>
    <row r="306" spans="4:5" ht="15">
      <c r="D306" s="147">
        <v>10128596</v>
      </c>
      <c r="E306" s="147" t="s">
        <v>182</v>
      </c>
    </row>
    <row r="307" spans="4:5" ht="15">
      <c r="D307" s="147">
        <v>10128597</v>
      </c>
      <c r="E307" s="147" t="s">
        <v>187</v>
      </c>
    </row>
    <row r="308" spans="4:5" ht="15">
      <c r="D308" s="147">
        <v>10128598</v>
      </c>
      <c r="E308" s="147" t="s">
        <v>190</v>
      </c>
    </row>
    <row r="309" spans="4:5" ht="15">
      <c r="D309" s="147">
        <v>10128599</v>
      </c>
      <c r="E309" s="147" t="s">
        <v>183</v>
      </c>
    </row>
    <row r="310" spans="4:5" ht="15">
      <c r="D310" s="147">
        <v>10128600</v>
      </c>
      <c r="E310" s="147" t="s">
        <v>187</v>
      </c>
    </row>
    <row r="311" spans="4:5" ht="15">
      <c r="D311" s="147">
        <v>10128579</v>
      </c>
      <c r="E311" s="147" t="s">
        <v>183</v>
      </c>
    </row>
    <row r="312" spans="4:5" ht="15">
      <c r="D312" s="147">
        <v>10128580</v>
      </c>
      <c r="E312" s="147" t="s">
        <v>187</v>
      </c>
    </row>
    <row r="313" spans="4:5" ht="15">
      <c r="D313" s="147">
        <v>10128581</v>
      </c>
      <c r="E313" s="147" t="s">
        <v>187</v>
      </c>
    </row>
    <row r="314" spans="4:5" ht="15">
      <c r="D314" s="147">
        <v>10128582</v>
      </c>
      <c r="E314" s="147" t="s">
        <v>190</v>
      </c>
    </row>
    <row r="315" spans="4:5" ht="15">
      <c r="D315" s="147">
        <v>10128595</v>
      </c>
      <c r="E315" s="147" t="s">
        <v>190</v>
      </c>
    </row>
    <row r="316" spans="4:5" ht="15">
      <c r="D316" s="147">
        <v>10128596</v>
      </c>
      <c r="E316" s="147" t="s">
        <v>182</v>
      </c>
    </row>
    <row r="317" spans="4:5" ht="15">
      <c r="D317" s="147">
        <v>10128597</v>
      </c>
      <c r="E317" s="147" t="s">
        <v>187</v>
      </c>
    </row>
    <row r="318" spans="4:5" ht="15">
      <c r="D318" s="147">
        <v>10128598</v>
      </c>
      <c r="E318" s="147" t="s">
        <v>190</v>
      </c>
    </row>
    <row r="319" spans="4:5" ht="15">
      <c r="D319" s="147">
        <v>10128599</v>
      </c>
      <c r="E319" s="147" t="s">
        <v>183</v>
      </c>
    </row>
    <row r="320" spans="4:5" ht="15">
      <c r="D320" s="147">
        <v>10128600</v>
      </c>
      <c r="E320" s="147" t="s">
        <v>187</v>
      </c>
    </row>
    <row r="321" spans="4:5" ht="15">
      <c r="D321" s="147">
        <v>10128579</v>
      </c>
      <c r="E321" s="147" t="s">
        <v>183</v>
      </c>
    </row>
    <row r="322" spans="4:5" ht="15">
      <c r="D322" s="147">
        <v>10128580</v>
      </c>
      <c r="E322" s="147" t="s">
        <v>187</v>
      </c>
    </row>
    <row r="323" spans="4:5" ht="15">
      <c r="D323" s="147">
        <v>10128581</v>
      </c>
      <c r="E323" s="147" t="s">
        <v>187</v>
      </c>
    </row>
    <row r="324" spans="4:5" ht="15">
      <c r="D324" s="147">
        <v>10128582</v>
      </c>
      <c r="E324" s="147" t="s">
        <v>190</v>
      </c>
    </row>
    <row r="325" spans="4:5" ht="15">
      <c r="D325" s="147">
        <v>10128595</v>
      </c>
      <c r="E325" s="147" t="s">
        <v>190</v>
      </c>
    </row>
    <row r="326" spans="4:5" ht="15">
      <c r="D326" s="147">
        <v>10128596</v>
      </c>
      <c r="E326" s="147" t="s">
        <v>182</v>
      </c>
    </row>
    <row r="327" spans="4:5" ht="15">
      <c r="D327" s="147">
        <v>10128597</v>
      </c>
      <c r="E327" s="147" t="s">
        <v>187</v>
      </c>
    </row>
    <row r="328" spans="4:5" ht="15">
      <c r="D328" s="147">
        <v>10128598</v>
      </c>
      <c r="E328" s="147" t="s">
        <v>190</v>
      </c>
    </row>
    <row r="329" spans="4:5" ht="15">
      <c r="D329" s="147">
        <v>10128599</v>
      </c>
      <c r="E329" s="147" t="s">
        <v>183</v>
      </c>
    </row>
    <row r="330" spans="4:5" ht="15">
      <c r="D330" s="147">
        <v>10128600</v>
      </c>
      <c r="E330" s="147" t="s">
        <v>187</v>
      </c>
    </row>
    <row r="331" spans="4:5" ht="15">
      <c r="D331" s="147">
        <v>10128579</v>
      </c>
      <c r="E331" s="147" t="s">
        <v>183</v>
      </c>
    </row>
    <row r="332" spans="4:5" ht="15">
      <c r="D332" s="147">
        <v>10128580</v>
      </c>
      <c r="E332" s="147" t="s">
        <v>187</v>
      </c>
    </row>
    <row r="333" spans="4:5" ht="15">
      <c r="D333" s="147">
        <v>10128581</v>
      </c>
      <c r="E333" s="147" t="s">
        <v>187</v>
      </c>
    </row>
    <row r="334" spans="4:5" ht="15">
      <c r="D334" s="147">
        <v>10128582</v>
      </c>
      <c r="E334" s="147" t="s">
        <v>190</v>
      </c>
    </row>
    <row r="335" spans="4:5" ht="15">
      <c r="D335" s="147">
        <v>10128595</v>
      </c>
      <c r="E335" s="147" t="s">
        <v>190</v>
      </c>
    </row>
    <row r="336" spans="4:5" ht="15">
      <c r="D336" s="147">
        <v>10128596</v>
      </c>
      <c r="E336" s="147" t="s">
        <v>182</v>
      </c>
    </row>
    <row r="337" spans="4:5" ht="15">
      <c r="D337" s="147">
        <v>10128597</v>
      </c>
      <c r="E337" s="147" t="s">
        <v>187</v>
      </c>
    </row>
    <row r="338" spans="4:5" ht="15">
      <c r="D338" s="147">
        <v>10128598</v>
      </c>
      <c r="E338" s="147" t="s">
        <v>190</v>
      </c>
    </row>
    <row r="339" spans="4:5" ht="15">
      <c r="D339" s="147">
        <v>10128599</v>
      </c>
      <c r="E339" s="147" t="s">
        <v>183</v>
      </c>
    </row>
    <row r="340" spans="4:5" ht="15">
      <c r="D340" s="147">
        <v>10128600</v>
      </c>
      <c r="E340" s="147" t="s">
        <v>187</v>
      </c>
    </row>
    <row r="341" spans="4:5" ht="15">
      <c r="D341" s="147">
        <v>10128579</v>
      </c>
      <c r="E341" s="147" t="s">
        <v>183</v>
      </c>
    </row>
    <row r="342" spans="4:5" ht="15">
      <c r="D342" s="147">
        <v>10128580</v>
      </c>
      <c r="E342" s="147" t="s">
        <v>187</v>
      </c>
    </row>
    <row r="343" spans="4:5" ht="15">
      <c r="D343" s="147">
        <v>10128581</v>
      </c>
      <c r="E343" s="147" t="s">
        <v>187</v>
      </c>
    </row>
    <row r="344" spans="4:5" ht="15">
      <c r="D344" s="147">
        <v>10128582</v>
      </c>
      <c r="E344" s="147" t="s">
        <v>190</v>
      </c>
    </row>
    <row r="345" spans="4:5" ht="15">
      <c r="D345" s="147">
        <v>10128595</v>
      </c>
      <c r="E345" s="147" t="s">
        <v>190</v>
      </c>
    </row>
    <row r="346" spans="4:5" ht="15">
      <c r="D346" s="147">
        <v>10128596</v>
      </c>
      <c r="E346" s="147" t="s">
        <v>182</v>
      </c>
    </row>
    <row r="347" spans="4:5" ht="15">
      <c r="D347" s="147">
        <v>10128597</v>
      </c>
      <c r="E347" s="147" t="s">
        <v>187</v>
      </c>
    </row>
    <row r="348" spans="4:5" ht="15">
      <c r="D348" s="147">
        <v>10128598</v>
      </c>
      <c r="E348" s="147" t="s">
        <v>190</v>
      </c>
    </row>
    <row r="349" spans="4:5" ht="15">
      <c r="D349" s="147">
        <v>10128599</v>
      </c>
      <c r="E349" s="147" t="s">
        <v>183</v>
      </c>
    </row>
    <row r="350" spans="4:5" ht="15">
      <c r="D350" s="147">
        <v>10128600</v>
      </c>
      <c r="E350" s="147" t="s">
        <v>187</v>
      </c>
    </row>
    <row r="351" spans="4:5" ht="15">
      <c r="D351" s="147">
        <v>10128579</v>
      </c>
      <c r="E351" s="147" t="s">
        <v>183</v>
      </c>
    </row>
    <row r="352" spans="4:5" ht="15">
      <c r="D352" s="147">
        <v>10128580</v>
      </c>
      <c r="E352" s="147" t="s">
        <v>187</v>
      </c>
    </row>
    <row r="353" spans="4:5" ht="15">
      <c r="D353" s="147">
        <v>10128581</v>
      </c>
      <c r="E353" s="147" t="s">
        <v>187</v>
      </c>
    </row>
    <row r="354" spans="4:5" ht="15">
      <c r="D354" s="147">
        <v>10128582</v>
      </c>
      <c r="E354" s="147" t="s">
        <v>190</v>
      </c>
    </row>
    <row r="355" spans="4:5" ht="15">
      <c r="D355" s="147">
        <v>10128595</v>
      </c>
      <c r="E355" s="147" t="s">
        <v>190</v>
      </c>
    </row>
    <row r="356" spans="4:5" ht="15">
      <c r="D356" s="147">
        <v>10128596</v>
      </c>
      <c r="E356" s="147" t="s">
        <v>182</v>
      </c>
    </row>
    <row r="357" spans="4:5" ht="15">
      <c r="D357" s="147">
        <v>10128597</v>
      </c>
      <c r="E357" s="147" t="s">
        <v>187</v>
      </c>
    </row>
    <row r="358" spans="4:5" ht="15">
      <c r="D358" s="147">
        <v>10128598</v>
      </c>
      <c r="E358" s="147" t="s">
        <v>190</v>
      </c>
    </row>
    <row r="359" spans="4:5" ht="15">
      <c r="D359" s="147">
        <v>10128599</v>
      </c>
      <c r="E359" s="147" t="s">
        <v>183</v>
      </c>
    </row>
    <row r="360" spans="4:5" ht="15">
      <c r="D360" s="147">
        <v>10128600</v>
      </c>
      <c r="E360" s="147" t="s">
        <v>187</v>
      </c>
    </row>
    <row r="361" spans="4:5" ht="15">
      <c r="D361" s="147">
        <v>10128579</v>
      </c>
      <c r="E361" s="147" t="s">
        <v>183</v>
      </c>
    </row>
    <row r="362" spans="4:5" ht="15">
      <c r="D362" s="147">
        <v>10128580</v>
      </c>
      <c r="E362" s="147" t="s">
        <v>187</v>
      </c>
    </row>
    <row r="363" spans="4:5" ht="15">
      <c r="D363" s="147">
        <v>10128581</v>
      </c>
      <c r="E363" s="147" t="s">
        <v>187</v>
      </c>
    </row>
    <row r="364" spans="4:5" ht="15">
      <c r="D364" s="147">
        <v>10128582</v>
      </c>
      <c r="E364" s="147" t="s">
        <v>190</v>
      </c>
    </row>
    <row r="365" spans="4:5" ht="15">
      <c r="D365" s="147">
        <v>10128595</v>
      </c>
      <c r="E365" s="147" t="s">
        <v>190</v>
      </c>
    </row>
    <row r="366" spans="4:5" ht="15">
      <c r="D366" s="147">
        <v>10128596</v>
      </c>
      <c r="E366" s="147" t="s">
        <v>182</v>
      </c>
    </row>
    <row r="367" spans="4:5" ht="15">
      <c r="D367" s="147">
        <v>10128597</v>
      </c>
      <c r="E367" s="147" t="s">
        <v>187</v>
      </c>
    </row>
    <row r="368" spans="4:5" ht="15">
      <c r="D368" s="147">
        <v>10128598</v>
      </c>
      <c r="E368" s="147" t="s">
        <v>190</v>
      </c>
    </row>
    <row r="369" spans="4:5" ht="15">
      <c r="D369" s="147">
        <v>10128599</v>
      </c>
      <c r="E369" s="147" t="s">
        <v>183</v>
      </c>
    </row>
    <row r="370" spans="4:5" ht="15">
      <c r="D370" s="147">
        <v>10128600</v>
      </c>
      <c r="E370" s="147" t="s">
        <v>187</v>
      </c>
    </row>
    <row r="371" spans="4:5" ht="15">
      <c r="D371" s="147">
        <v>10128579</v>
      </c>
      <c r="E371" s="147" t="s">
        <v>183</v>
      </c>
    </row>
    <row r="372" spans="4:5" ht="15">
      <c r="D372" s="147">
        <v>10128580</v>
      </c>
      <c r="E372" s="147" t="s">
        <v>187</v>
      </c>
    </row>
    <row r="373" spans="4:5" ht="15">
      <c r="D373" s="147">
        <v>10128581</v>
      </c>
      <c r="E373" s="147" t="s">
        <v>187</v>
      </c>
    </row>
    <row r="374" spans="4:5" ht="15">
      <c r="D374" s="147">
        <v>10128582</v>
      </c>
      <c r="E374" s="147" t="s">
        <v>190</v>
      </c>
    </row>
    <row r="375" spans="4:5" ht="15">
      <c r="D375" s="147">
        <v>10128595</v>
      </c>
      <c r="E375" s="147" t="s">
        <v>190</v>
      </c>
    </row>
    <row r="376" spans="4:5" ht="15">
      <c r="D376" s="147">
        <v>10128596</v>
      </c>
      <c r="E376" s="147" t="s">
        <v>182</v>
      </c>
    </row>
    <row r="377" spans="4:5" ht="15">
      <c r="D377" s="147">
        <v>10128597</v>
      </c>
      <c r="E377" s="147" t="s">
        <v>187</v>
      </c>
    </row>
    <row r="378" spans="4:5" ht="15">
      <c r="D378" s="147">
        <v>10128598</v>
      </c>
      <c r="E378" s="147" t="s">
        <v>190</v>
      </c>
    </row>
    <row r="379" spans="4:5" ht="15">
      <c r="D379" s="147">
        <v>10128599</v>
      </c>
      <c r="E379" s="147" t="s">
        <v>183</v>
      </c>
    </row>
    <row r="380" spans="4:5" ht="15">
      <c r="D380" s="147">
        <v>10128600</v>
      </c>
      <c r="E380" s="147" t="s">
        <v>187</v>
      </c>
    </row>
    <row r="381" spans="4:5" ht="15">
      <c r="D381" s="147">
        <v>10128579</v>
      </c>
      <c r="E381" s="147" t="s">
        <v>183</v>
      </c>
    </row>
    <row r="382" spans="4:5" ht="15">
      <c r="D382" s="147">
        <v>10128580</v>
      </c>
      <c r="E382" s="147" t="s">
        <v>187</v>
      </c>
    </row>
    <row r="383" spans="4:5" ht="15">
      <c r="D383" s="147">
        <v>10128581</v>
      </c>
      <c r="E383" s="147" t="s">
        <v>187</v>
      </c>
    </row>
    <row r="384" spans="4:5" ht="15">
      <c r="D384" s="147">
        <v>10128582</v>
      </c>
      <c r="E384" s="147" t="s">
        <v>190</v>
      </c>
    </row>
    <row r="385" spans="4:5" ht="15">
      <c r="D385" s="147">
        <v>10128595</v>
      </c>
      <c r="E385" s="147" t="s">
        <v>190</v>
      </c>
    </row>
    <row r="386" spans="4:5" ht="15">
      <c r="D386" s="147">
        <v>10128596</v>
      </c>
      <c r="E386" s="147" t="s">
        <v>182</v>
      </c>
    </row>
    <row r="387" spans="4:5" ht="15">
      <c r="D387" s="147">
        <v>10128597</v>
      </c>
      <c r="E387" s="147" t="s">
        <v>187</v>
      </c>
    </row>
    <row r="388" spans="4:5" ht="15">
      <c r="D388" s="147">
        <v>10128598</v>
      </c>
      <c r="E388" s="147" t="s">
        <v>190</v>
      </c>
    </row>
    <row r="389" spans="4:5" ht="15">
      <c r="D389" s="147">
        <v>10128599</v>
      </c>
      <c r="E389" s="147" t="s">
        <v>183</v>
      </c>
    </row>
    <row r="390" spans="4:5" ht="15">
      <c r="D390" s="147">
        <v>10128600</v>
      </c>
      <c r="E390" s="147" t="s">
        <v>187</v>
      </c>
    </row>
    <row r="391" spans="4:5" ht="15">
      <c r="D391" s="147">
        <v>10128579</v>
      </c>
      <c r="E391" s="147" t="s">
        <v>183</v>
      </c>
    </row>
    <row r="392" spans="4:5" ht="15">
      <c r="D392" s="147">
        <v>10128580</v>
      </c>
      <c r="E392" s="147" t="s">
        <v>187</v>
      </c>
    </row>
    <row r="393" spans="4:5" ht="15">
      <c r="D393" s="147">
        <v>10128581</v>
      </c>
      <c r="E393" s="147" t="s">
        <v>187</v>
      </c>
    </row>
    <row r="394" spans="4:5" ht="15">
      <c r="D394" s="147">
        <v>10128582</v>
      </c>
      <c r="E394" s="147" t="s">
        <v>190</v>
      </c>
    </row>
    <row r="395" spans="4:5" ht="15">
      <c r="D395" s="147">
        <v>10128595</v>
      </c>
      <c r="E395" s="147" t="s">
        <v>190</v>
      </c>
    </row>
    <row r="396" spans="4:5" ht="15">
      <c r="D396" s="147">
        <v>10128596</v>
      </c>
      <c r="E396" s="147" t="s">
        <v>182</v>
      </c>
    </row>
    <row r="397" spans="4:5" ht="15">
      <c r="D397" s="147">
        <v>10128597</v>
      </c>
      <c r="E397" s="147" t="s">
        <v>187</v>
      </c>
    </row>
    <row r="398" spans="4:5" ht="15">
      <c r="D398" s="147">
        <v>10128598</v>
      </c>
      <c r="E398" s="147" t="s">
        <v>190</v>
      </c>
    </row>
    <row r="399" spans="4:5" ht="15">
      <c r="D399" s="147">
        <v>10128599</v>
      </c>
      <c r="E399" s="147" t="s">
        <v>183</v>
      </c>
    </row>
    <row r="400" spans="4:5" ht="15">
      <c r="D400" s="147">
        <v>10128600</v>
      </c>
      <c r="E400" s="147" t="s">
        <v>187</v>
      </c>
    </row>
    <row r="401" spans="4:5" ht="15">
      <c r="D401" s="147">
        <v>10128579</v>
      </c>
      <c r="E401" s="147" t="s">
        <v>183</v>
      </c>
    </row>
    <row r="402" spans="4:5" ht="15">
      <c r="D402" s="147">
        <v>10128580</v>
      </c>
      <c r="E402" s="147" t="s">
        <v>187</v>
      </c>
    </row>
    <row r="403" spans="4:5" ht="15">
      <c r="D403" s="147">
        <v>10128581</v>
      </c>
      <c r="E403" s="147" t="s">
        <v>187</v>
      </c>
    </row>
    <row r="404" spans="4:5" ht="15">
      <c r="D404" s="147">
        <v>10128582</v>
      </c>
      <c r="E404" s="147" t="s">
        <v>190</v>
      </c>
    </row>
    <row r="405" spans="4:5" ht="15">
      <c r="D405" s="147">
        <v>10128595</v>
      </c>
      <c r="E405" s="147" t="s">
        <v>190</v>
      </c>
    </row>
    <row r="406" spans="4:5" ht="15">
      <c r="D406" s="147">
        <v>10128596</v>
      </c>
      <c r="E406" s="147" t="s">
        <v>182</v>
      </c>
    </row>
    <row r="407" spans="4:5" ht="15">
      <c r="D407" s="147">
        <v>10128597</v>
      </c>
      <c r="E407" s="147" t="s">
        <v>187</v>
      </c>
    </row>
    <row r="408" spans="4:5" ht="15">
      <c r="D408" s="147">
        <v>10128598</v>
      </c>
      <c r="E408" s="147" t="s">
        <v>190</v>
      </c>
    </row>
    <row r="409" spans="4:5" ht="15">
      <c r="D409" s="147">
        <v>10128599</v>
      </c>
      <c r="E409" s="147" t="s">
        <v>183</v>
      </c>
    </row>
    <row r="410" spans="4:5" ht="15">
      <c r="D410" s="147">
        <v>10128600</v>
      </c>
      <c r="E410" s="147" t="s">
        <v>187</v>
      </c>
    </row>
    <row r="411" spans="4:5" ht="15">
      <c r="D411" s="147">
        <v>10128579</v>
      </c>
      <c r="E411" s="147" t="s">
        <v>183</v>
      </c>
    </row>
    <row r="412" spans="4:5" ht="15">
      <c r="D412" s="147">
        <v>10128580</v>
      </c>
      <c r="E412" s="147" t="s">
        <v>187</v>
      </c>
    </row>
    <row r="413" spans="4:5" ht="15">
      <c r="D413" s="147">
        <v>10128581</v>
      </c>
      <c r="E413" s="147" t="s">
        <v>187</v>
      </c>
    </row>
    <row r="414" spans="4:5" ht="15">
      <c r="D414" s="147">
        <v>10128582</v>
      </c>
      <c r="E414" s="147" t="s">
        <v>190</v>
      </c>
    </row>
    <row r="415" spans="4:5" ht="15">
      <c r="D415" s="147">
        <v>10128595</v>
      </c>
      <c r="E415" s="147" t="s">
        <v>190</v>
      </c>
    </row>
    <row r="416" spans="4:5" ht="15">
      <c r="D416" s="147">
        <v>10128596</v>
      </c>
      <c r="E416" s="147" t="s">
        <v>182</v>
      </c>
    </row>
    <row r="417" spans="4:5" ht="15">
      <c r="D417" s="147">
        <v>10128597</v>
      </c>
      <c r="E417" s="147" t="s">
        <v>187</v>
      </c>
    </row>
    <row r="418" spans="4:5" ht="15">
      <c r="D418" s="147">
        <v>10128598</v>
      </c>
      <c r="E418" s="147" t="s">
        <v>190</v>
      </c>
    </row>
    <row r="419" spans="4:5" ht="15">
      <c r="D419" s="147">
        <v>10128599</v>
      </c>
      <c r="E419" s="147" t="s">
        <v>183</v>
      </c>
    </row>
    <row r="420" spans="4:5" ht="15">
      <c r="D420" s="147">
        <v>10128600</v>
      </c>
      <c r="E420" s="147" t="s">
        <v>187</v>
      </c>
    </row>
    <row r="421" spans="4:5" ht="15">
      <c r="D421" s="147">
        <v>10128579</v>
      </c>
      <c r="E421" s="147" t="s">
        <v>183</v>
      </c>
    </row>
    <row r="422" spans="4:5" ht="15">
      <c r="D422" s="147">
        <v>10128580</v>
      </c>
      <c r="E422" s="147" t="s">
        <v>187</v>
      </c>
    </row>
    <row r="423" spans="4:5" ht="15">
      <c r="D423" s="147">
        <v>10128581</v>
      </c>
      <c r="E423" s="147" t="s">
        <v>187</v>
      </c>
    </row>
    <row r="424" spans="4:5" ht="15">
      <c r="D424" s="147">
        <v>10128582</v>
      </c>
      <c r="E424" s="147" t="s">
        <v>190</v>
      </c>
    </row>
    <row r="425" spans="4:5" ht="15">
      <c r="D425" s="147">
        <v>10128595</v>
      </c>
      <c r="E425" s="147" t="s">
        <v>190</v>
      </c>
    </row>
    <row r="426" spans="4:5" ht="15">
      <c r="D426" s="147">
        <v>10128596</v>
      </c>
      <c r="E426" s="147" t="s">
        <v>182</v>
      </c>
    </row>
    <row r="427" spans="4:5" ht="15">
      <c r="D427" s="147">
        <v>10128597</v>
      </c>
      <c r="E427" s="147" t="s">
        <v>187</v>
      </c>
    </row>
    <row r="428" spans="4:5" ht="15">
      <c r="D428" s="147">
        <v>10128598</v>
      </c>
      <c r="E428" s="147" t="s">
        <v>190</v>
      </c>
    </row>
    <row r="429" spans="4:5" ht="15">
      <c r="D429" s="147">
        <v>10128599</v>
      </c>
      <c r="E429" s="147" t="s">
        <v>183</v>
      </c>
    </row>
    <row r="430" spans="4:5" ht="15">
      <c r="D430" s="147">
        <v>10128600</v>
      </c>
      <c r="E430" s="147" t="s">
        <v>187</v>
      </c>
    </row>
    <row r="431" spans="4:5" ht="15">
      <c r="D431" s="147">
        <v>10128579</v>
      </c>
      <c r="E431" s="147" t="s">
        <v>183</v>
      </c>
    </row>
    <row r="432" spans="4:5" ht="15">
      <c r="D432" s="147">
        <v>10128580</v>
      </c>
      <c r="E432" s="147" t="s">
        <v>187</v>
      </c>
    </row>
    <row r="433" spans="4:5" ht="15">
      <c r="D433" s="147">
        <v>10128581</v>
      </c>
      <c r="E433" s="147" t="s">
        <v>187</v>
      </c>
    </row>
    <row r="434" spans="4:5" ht="15">
      <c r="D434" s="147">
        <v>10128582</v>
      </c>
      <c r="E434" s="147" t="s">
        <v>190</v>
      </c>
    </row>
    <row r="435" spans="4:5" ht="15">
      <c r="D435" s="147">
        <v>10128595</v>
      </c>
      <c r="E435" s="147" t="s">
        <v>190</v>
      </c>
    </row>
    <row r="436" spans="4:5" ht="15">
      <c r="D436" s="147">
        <v>10128596</v>
      </c>
      <c r="E436" s="147" t="s">
        <v>182</v>
      </c>
    </row>
    <row r="437" spans="4:5" ht="15">
      <c r="D437" s="147">
        <v>10128597</v>
      </c>
      <c r="E437" s="147" t="s">
        <v>187</v>
      </c>
    </row>
    <row r="438" spans="4:5" ht="15">
      <c r="D438" s="147">
        <v>10128598</v>
      </c>
      <c r="E438" s="147" t="s">
        <v>190</v>
      </c>
    </row>
    <row r="439" spans="4:5" ht="15">
      <c r="D439" s="147">
        <v>10128599</v>
      </c>
      <c r="E439" s="147" t="s">
        <v>183</v>
      </c>
    </row>
    <row r="440" spans="4:5" ht="15">
      <c r="D440" s="147">
        <v>10128600</v>
      </c>
      <c r="E440" s="147" t="s">
        <v>187</v>
      </c>
    </row>
    <row r="441" spans="4:5" ht="15">
      <c r="D441" s="147">
        <v>10128579</v>
      </c>
      <c r="E441" s="147" t="s">
        <v>183</v>
      </c>
    </row>
    <row r="442" spans="4:5" ht="15">
      <c r="D442" s="147">
        <v>10128580</v>
      </c>
      <c r="E442" s="147" t="s">
        <v>187</v>
      </c>
    </row>
    <row r="443" spans="4:5" ht="15">
      <c r="D443" s="147">
        <v>10128581</v>
      </c>
      <c r="E443" s="147" t="s">
        <v>187</v>
      </c>
    </row>
    <row r="444" spans="4:5" ht="15">
      <c r="D444" s="147">
        <v>10128582</v>
      </c>
      <c r="E444" s="147" t="s">
        <v>190</v>
      </c>
    </row>
    <row r="445" spans="4:5" ht="15">
      <c r="D445" s="147">
        <v>10128595</v>
      </c>
      <c r="E445" s="147" t="s">
        <v>190</v>
      </c>
    </row>
    <row r="446" spans="4:5" ht="15">
      <c r="D446" s="147">
        <v>10128596</v>
      </c>
      <c r="E446" s="147" t="s">
        <v>182</v>
      </c>
    </row>
    <row r="447" spans="4:5" ht="15">
      <c r="D447" s="147">
        <v>10128597</v>
      </c>
      <c r="E447" s="147" t="s">
        <v>187</v>
      </c>
    </row>
    <row r="448" spans="4:5" ht="15">
      <c r="D448" s="147">
        <v>10128598</v>
      </c>
      <c r="E448" s="147" t="s">
        <v>190</v>
      </c>
    </row>
    <row r="449" spans="4:5" ht="15">
      <c r="D449" s="147">
        <v>10128599</v>
      </c>
      <c r="E449" s="147" t="s">
        <v>183</v>
      </c>
    </row>
    <row r="450" spans="4:5" ht="15">
      <c r="D450" s="147">
        <v>10128600</v>
      </c>
      <c r="E450" s="147" t="s">
        <v>187</v>
      </c>
    </row>
    <row r="451" spans="4:5" ht="15">
      <c r="D451" s="147">
        <v>10128579</v>
      </c>
      <c r="E451" s="147" t="s">
        <v>183</v>
      </c>
    </row>
    <row r="452" spans="4:5" ht="15">
      <c r="D452" s="147">
        <v>10128580</v>
      </c>
      <c r="E452" s="147" t="s">
        <v>187</v>
      </c>
    </row>
    <row r="453" spans="4:5" ht="15">
      <c r="D453" s="147">
        <v>10128581</v>
      </c>
      <c r="E453" s="147" t="s">
        <v>187</v>
      </c>
    </row>
    <row r="454" spans="4:5" ht="15">
      <c r="D454" s="147">
        <v>10128582</v>
      </c>
      <c r="E454" s="147" t="s">
        <v>190</v>
      </c>
    </row>
    <row r="455" spans="4:5" ht="15">
      <c r="D455" s="147">
        <v>10128595</v>
      </c>
      <c r="E455" s="147" t="s">
        <v>190</v>
      </c>
    </row>
    <row r="456" spans="4:5" ht="15">
      <c r="D456" s="147">
        <v>10128596</v>
      </c>
      <c r="E456" s="147" t="s">
        <v>182</v>
      </c>
    </row>
    <row r="457" spans="4:5" ht="15">
      <c r="D457" s="147">
        <v>10128597</v>
      </c>
      <c r="E457" s="147" t="s">
        <v>187</v>
      </c>
    </row>
    <row r="458" spans="4:5" ht="15">
      <c r="D458" s="147">
        <v>10128598</v>
      </c>
      <c r="E458" s="147" t="s">
        <v>190</v>
      </c>
    </row>
    <row r="459" spans="4:5" ht="15">
      <c r="D459" s="147">
        <v>10128599</v>
      </c>
      <c r="E459" s="147" t="s">
        <v>183</v>
      </c>
    </row>
    <row r="460" spans="4:5" ht="15">
      <c r="D460" s="147">
        <v>10128600</v>
      </c>
      <c r="E460" s="147" t="s">
        <v>187</v>
      </c>
    </row>
    <row r="461" spans="4:5" ht="15">
      <c r="D461" s="147">
        <v>10128579</v>
      </c>
      <c r="E461" s="147" t="s">
        <v>183</v>
      </c>
    </row>
    <row r="462" spans="4:5" ht="15">
      <c r="D462" s="147">
        <v>10128580</v>
      </c>
      <c r="E462" s="147" t="s">
        <v>187</v>
      </c>
    </row>
    <row r="463" spans="4:5" ht="15">
      <c r="D463" s="147">
        <v>10128581</v>
      </c>
      <c r="E463" s="147" t="s">
        <v>187</v>
      </c>
    </row>
    <row r="464" spans="4:5" ht="15">
      <c r="D464" s="147">
        <v>10128582</v>
      </c>
      <c r="E464" s="147" t="s">
        <v>190</v>
      </c>
    </row>
    <row r="465" spans="4:5" ht="15">
      <c r="D465" s="147">
        <v>10128595</v>
      </c>
      <c r="E465" s="147" t="s">
        <v>190</v>
      </c>
    </row>
    <row r="466" spans="4:5" ht="15">
      <c r="D466" s="147">
        <v>10128596</v>
      </c>
      <c r="E466" s="147" t="s">
        <v>182</v>
      </c>
    </row>
    <row r="467" spans="4:5" ht="15">
      <c r="D467" s="147">
        <v>10128597</v>
      </c>
      <c r="E467" s="147" t="s">
        <v>187</v>
      </c>
    </row>
    <row r="468" spans="4:5" ht="15">
      <c r="D468" s="147">
        <v>10128598</v>
      </c>
      <c r="E468" s="147" t="s">
        <v>190</v>
      </c>
    </row>
    <row r="469" spans="4:5" ht="15">
      <c r="D469" s="147">
        <v>10128599</v>
      </c>
      <c r="E469" s="147" t="s">
        <v>183</v>
      </c>
    </row>
    <row r="470" spans="4:5" ht="15">
      <c r="D470" s="147">
        <v>10128600</v>
      </c>
      <c r="E470" s="147" t="s">
        <v>187</v>
      </c>
    </row>
    <row r="471" spans="4:5" ht="15">
      <c r="D471" s="147">
        <v>10128579</v>
      </c>
      <c r="E471" s="147" t="s">
        <v>183</v>
      </c>
    </row>
    <row r="472" spans="4:5" ht="15">
      <c r="D472" s="147">
        <v>10128580</v>
      </c>
      <c r="E472" s="147" t="s">
        <v>187</v>
      </c>
    </row>
    <row r="473" spans="4:5" ht="15">
      <c r="D473" s="147">
        <v>10128581</v>
      </c>
      <c r="E473" s="147" t="s">
        <v>187</v>
      </c>
    </row>
    <row r="474" spans="4:5" ht="15">
      <c r="D474" s="147">
        <v>10128582</v>
      </c>
      <c r="E474" s="147" t="s">
        <v>190</v>
      </c>
    </row>
    <row r="475" spans="4:5" ht="15">
      <c r="D475" s="147">
        <v>10128595</v>
      </c>
      <c r="E475" s="147" t="s">
        <v>190</v>
      </c>
    </row>
    <row r="476" spans="4:5" ht="15">
      <c r="D476" s="147">
        <v>10128596</v>
      </c>
      <c r="E476" s="147" t="s">
        <v>182</v>
      </c>
    </row>
    <row r="477" spans="4:5" ht="15">
      <c r="D477" s="147">
        <v>10128597</v>
      </c>
      <c r="E477" s="147" t="s">
        <v>187</v>
      </c>
    </row>
    <row r="478" spans="4:5" ht="15">
      <c r="D478" s="147">
        <v>10128598</v>
      </c>
      <c r="E478" s="147" t="s">
        <v>190</v>
      </c>
    </row>
    <row r="479" spans="4:5" ht="15">
      <c r="D479" s="147">
        <v>10128599</v>
      </c>
      <c r="E479" s="147" t="s">
        <v>183</v>
      </c>
    </row>
    <row r="480" spans="4:5" ht="15">
      <c r="D480" s="147">
        <v>10128600</v>
      </c>
      <c r="E480" s="147" t="s">
        <v>187</v>
      </c>
    </row>
    <row r="481" spans="4:5" ht="15">
      <c r="D481" s="147">
        <v>10128579</v>
      </c>
      <c r="E481" s="147" t="s">
        <v>183</v>
      </c>
    </row>
    <row r="482" spans="4:5" ht="15">
      <c r="D482" s="147">
        <v>10128580</v>
      </c>
      <c r="E482" s="147" t="s">
        <v>187</v>
      </c>
    </row>
    <row r="483" spans="4:5" ht="15">
      <c r="D483" s="147">
        <v>10128581</v>
      </c>
      <c r="E483" s="147" t="s">
        <v>187</v>
      </c>
    </row>
    <row r="484" spans="4:5" ht="15">
      <c r="D484" s="147">
        <v>10128582</v>
      </c>
      <c r="E484" s="147" t="s">
        <v>190</v>
      </c>
    </row>
    <row r="485" spans="4:5" ht="15">
      <c r="D485" s="147">
        <v>10128595</v>
      </c>
      <c r="E485" s="147" t="s">
        <v>190</v>
      </c>
    </row>
    <row r="486" spans="4:5" ht="15">
      <c r="D486" s="147">
        <v>10128596</v>
      </c>
      <c r="E486" s="147" t="s">
        <v>182</v>
      </c>
    </row>
    <row r="487" spans="4:5" ht="15">
      <c r="D487" s="147">
        <v>10128597</v>
      </c>
      <c r="E487" s="147" t="s">
        <v>187</v>
      </c>
    </row>
    <row r="488" spans="4:5" ht="15">
      <c r="D488" s="147">
        <v>10128598</v>
      </c>
      <c r="E488" s="147" t="s">
        <v>190</v>
      </c>
    </row>
    <row r="489" spans="4:5" ht="15">
      <c r="D489" s="147">
        <v>10128599</v>
      </c>
      <c r="E489" s="147" t="s">
        <v>183</v>
      </c>
    </row>
    <row r="490" spans="4:5" ht="15">
      <c r="D490" s="147">
        <v>10128600</v>
      </c>
      <c r="E490" s="147" t="s">
        <v>187</v>
      </c>
    </row>
    <row r="491" spans="4:5" ht="15">
      <c r="D491" s="147">
        <v>10128579</v>
      </c>
      <c r="E491" s="147" t="s">
        <v>183</v>
      </c>
    </row>
    <row r="492" spans="4:5" ht="15">
      <c r="D492" s="147">
        <v>10128580</v>
      </c>
      <c r="E492" s="147" t="s">
        <v>187</v>
      </c>
    </row>
    <row r="493" spans="4:5" ht="15">
      <c r="D493" s="147">
        <v>10128581</v>
      </c>
      <c r="E493" s="147" t="s">
        <v>187</v>
      </c>
    </row>
    <row r="494" spans="4:5" ht="15">
      <c r="D494" s="147">
        <v>10128582</v>
      </c>
      <c r="E494" s="147" t="s">
        <v>190</v>
      </c>
    </row>
    <row r="495" spans="4:5" ht="15">
      <c r="D495" s="147">
        <v>10128595</v>
      </c>
      <c r="E495" s="147" t="s">
        <v>190</v>
      </c>
    </row>
    <row r="496" spans="4:5" ht="15">
      <c r="D496" s="147">
        <v>10128596</v>
      </c>
      <c r="E496" s="147" t="s">
        <v>182</v>
      </c>
    </row>
    <row r="497" spans="4:5" ht="15">
      <c r="D497" s="147">
        <v>10128597</v>
      </c>
      <c r="E497" s="147" t="s">
        <v>187</v>
      </c>
    </row>
    <row r="498" spans="4:5" ht="15">
      <c r="D498" s="147">
        <v>10128598</v>
      </c>
      <c r="E498" s="147" t="s">
        <v>190</v>
      </c>
    </row>
    <row r="499" spans="4:5" ht="15">
      <c r="D499" s="147">
        <v>10128599</v>
      </c>
      <c r="E499" s="147" t="s">
        <v>183</v>
      </c>
    </row>
    <row r="500" spans="4:5" ht="15">
      <c r="D500" s="147">
        <v>10128600</v>
      </c>
      <c r="E500" s="147" t="s">
        <v>187</v>
      </c>
    </row>
    <row r="501" spans="4:5" ht="15">
      <c r="D501" s="147">
        <v>10128579</v>
      </c>
      <c r="E501" s="147" t="s">
        <v>183</v>
      </c>
    </row>
    <row r="502" spans="4:5" ht="15">
      <c r="D502" s="147">
        <v>10128580</v>
      </c>
      <c r="E502" s="147" t="s">
        <v>187</v>
      </c>
    </row>
    <row r="503" spans="4:5" ht="15">
      <c r="D503" s="147">
        <v>10128581</v>
      </c>
      <c r="E503" s="147" t="s">
        <v>187</v>
      </c>
    </row>
    <row r="504" spans="4:5" ht="15">
      <c r="D504" s="147">
        <v>10128582</v>
      </c>
      <c r="E504" s="147" t="s">
        <v>190</v>
      </c>
    </row>
    <row r="505" spans="4:5" ht="15">
      <c r="D505" s="147">
        <v>10128595</v>
      </c>
      <c r="E505" s="147" t="s">
        <v>190</v>
      </c>
    </row>
    <row r="506" spans="4:5" ht="15">
      <c r="D506" s="147">
        <v>10128596</v>
      </c>
      <c r="E506" s="147" t="s">
        <v>182</v>
      </c>
    </row>
    <row r="507" spans="4:5" ht="15">
      <c r="D507" s="147">
        <v>10128597</v>
      </c>
      <c r="E507" s="147" t="s">
        <v>187</v>
      </c>
    </row>
    <row r="508" spans="4:5" ht="15">
      <c r="D508" s="147">
        <v>10128598</v>
      </c>
      <c r="E508" s="147" t="s">
        <v>190</v>
      </c>
    </row>
    <row r="509" spans="4:5" ht="15">
      <c r="D509" s="147">
        <v>10128599</v>
      </c>
      <c r="E509" s="147" t="s">
        <v>183</v>
      </c>
    </row>
    <row r="510" spans="4:5" ht="15">
      <c r="D510" s="147">
        <v>10128600</v>
      </c>
      <c r="E510" s="147" t="s">
        <v>187</v>
      </c>
    </row>
    <row r="511" spans="4:5" ht="15">
      <c r="D511" s="147">
        <v>10128579</v>
      </c>
      <c r="E511" s="147" t="s">
        <v>183</v>
      </c>
    </row>
    <row r="512" spans="4:5" ht="15">
      <c r="D512" s="147">
        <v>10128580</v>
      </c>
      <c r="E512" s="147" t="s">
        <v>187</v>
      </c>
    </row>
    <row r="513" spans="4:5" ht="15">
      <c r="D513" s="147">
        <v>10128581</v>
      </c>
      <c r="E513" s="147" t="s">
        <v>187</v>
      </c>
    </row>
    <row r="514" spans="4:5" ht="15">
      <c r="D514" s="147">
        <v>10128582</v>
      </c>
      <c r="E514" s="147" t="s">
        <v>190</v>
      </c>
    </row>
    <row r="515" spans="4:5" ht="15">
      <c r="D515" s="147">
        <v>10128595</v>
      </c>
      <c r="E515" s="147" t="s">
        <v>190</v>
      </c>
    </row>
    <row r="516" spans="4:5" ht="15">
      <c r="D516" s="147">
        <v>10128596</v>
      </c>
      <c r="E516" s="147" t="s">
        <v>182</v>
      </c>
    </row>
    <row r="517" spans="4:5" ht="15">
      <c r="D517" s="147">
        <v>10128597</v>
      </c>
      <c r="E517" s="147" t="s">
        <v>187</v>
      </c>
    </row>
    <row r="518" spans="4:5" ht="15">
      <c r="D518" s="147">
        <v>10128598</v>
      </c>
      <c r="E518" s="147" t="s">
        <v>190</v>
      </c>
    </row>
    <row r="519" spans="4:5" ht="15">
      <c r="D519" s="147">
        <v>10128599</v>
      </c>
      <c r="E519" s="147" t="s">
        <v>183</v>
      </c>
    </row>
    <row r="520" spans="4:5" ht="15">
      <c r="D520" s="147">
        <v>10128600</v>
      </c>
      <c r="E520" s="147" t="s">
        <v>187</v>
      </c>
    </row>
    <row r="521" spans="4:5" ht="15">
      <c r="D521" s="147">
        <v>10128579</v>
      </c>
      <c r="E521" s="147" t="s">
        <v>183</v>
      </c>
    </row>
    <row r="522" spans="4:5" ht="15">
      <c r="D522" s="147">
        <v>10128580</v>
      </c>
      <c r="E522" s="147" t="s">
        <v>187</v>
      </c>
    </row>
    <row r="523" spans="4:5" ht="15">
      <c r="D523" s="147">
        <v>10128581</v>
      </c>
      <c r="E523" s="147" t="s">
        <v>187</v>
      </c>
    </row>
    <row r="524" spans="4:5" ht="15">
      <c r="D524" s="147">
        <v>10128582</v>
      </c>
      <c r="E524" s="147" t="s">
        <v>190</v>
      </c>
    </row>
    <row r="525" spans="4:5" ht="15">
      <c r="D525" s="147">
        <v>10128595</v>
      </c>
      <c r="E525" s="147" t="s">
        <v>190</v>
      </c>
    </row>
    <row r="526" spans="4:5" ht="15">
      <c r="D526" s="147">
        <v>10128596</v>
      </c>
      <c r="E526" s="147" t="s">
        <v>182</v>
      </c>
    </row>
    <row r="527" spans="4:5" ht="15">
      <c r="D527" s="147">
        <v>10128597</v>
      </c>
      <c r="E527" s="147" t="s">
        <v>187</v>
      </c>
    </row>
    <row r="528" spans="4:5" ht="15">
      <c r="D528" s="147">
        <v>10128598</v>
      </c>
      <c r="E528" s="147" t="s">
        <v>190</v>
      </c>
    </row>
    <row r="529" spans="4:5" ht="15">
      <c r="D529" s="147">
        <v>10128599</v>
      </c>
      <c r="E529" s="147" t="s">
        <v>183</v>
      </c>
    </row>
    <row r="530" spans="4:5" ht="15">
      <c r="D530" s="147">
        <v>10128600</v>
      </c>
      <c r="E530" s="147" t="s">
        <v>187</v>
      </c>
    </row>
    <row r="531" spans="4:5" ht="15">
      <c r="D531" s="147">
        <v>10128579</v>
      </c>
      <c r="E531" s="147" t="s">
        <v>183</v>
      </c>
    </row>
    <row r="532" spans="4:5" ht="15">
      <c r="D532" s="147">
        <v>10128580</v>
      </c>
      <c r="E532" s="147" t="s">
        <v>187</v>
      </c>
    </row>
    <row r="533" spans="4:5" ht="15">
      <c r="D533" s="147">
        <v>10128581</v>
      </c>
      <c r="E533" s="147" t="s">
        <v>187</v>
      </c>
    </row>
    <row r="534" spans="4:5" ht="15">
      <c r="D534" s="147">
        <v>10128582</v>
      </c>
      <c r="E534" s="147" t="s">
        <v>190</v>
      </c>
    </row>
    <row r="535" spans="4:5" ht="15">
      <c r="D535" s="147">
        <v>10128595</v>
      </c>
      <c r="E535" s="147" t="s">
        <v>190</v>
      </c>
    </row>
    <row r="536" spans="4:5" ht="15">
      <c r="D536" s="147">
        <v>10128596</v>
      </c>
      <c r="E536" s="147" t="s">
        <v>182</v>
      </c>
    </row>
    <row r="537" spans="4:5" ht="15">
      <c r="D537" s="147">
        <v>10128597</v>
      </c>
      <c r="E537" s="147" t="s">
        <v>187</v>
      </c>
    </row>
    <row r="538" spans="4:5" ht="15">
      <c r="D538" s="147">
        <v>10128598</v>
      </c>
      <c r="E538" s="147" t="s">
        <v>190</v>
      </c>
    </row>
    <row r="539" spans="4:5" ht="15">
      <c r="D539" s="147">
        <v>10128599</v>
      </c>
      <c r="E539" s="147" t="s">
        <v>183</v>
      </c>
    </row>
    <row r="540" spans="4:5" ht="15">
      <c r="D540" s="147">
        <v>10128600</v>
      </c>
      <c r="E540" s="147" t="s">
        <v>187</v>
      </c>
    </row>
    <row r="541" spans="4:5" ht="15">
      <c r="D541" s="147">
        <v>10128579</v>
      </c>
      <c r="E541" s="147" t="s">
        <v>183</v>
      </c>
    </row>
    <row r="542" spans="4:5" ht="15">
      <c r="D542" s="147">
        <v>10128580</v>
      </c>
      <c r="E542" s="147" t="s">
        <v>187</v>
      </c>
    </row>
    <row r="543" spans="4:5" ht="15">
      <c r="D543" s="147">
        <v>10128581</v>
      </c>
      <c r="E543" s="147" t="s">
        <v>187</v>
      </c>
    </row>
    <row r="544" spans="4:5" ht="15">
      <c r="D544" s="147">
        <v>10128582</v>
      </c>
      <c r="E544" s="147" t="s">
        <v>190</v>
      </c>
    </row>
    <row r="545" spans="4:5" ht="15">
      <c r="D545" s="147">
        <v>10128595</v>
      </c>
      <c r="E545" s="147" t="s">
        <v>190</v>
      </c>
    </row>
    <row r="546" spans="4:5" ht="15">
      <c r="D546" s="147">
        <v>10128596</v>
      </c>
      <c r="E546" s="147" t="s">
        <v>182</v>
      </c>
    </row>
    <row r="547" spans="4:5" ht="15">
      <c r="D547" s="147">
        <v>10128597</v>
      </c>
      <c r="E547" s="147" t="s">
        <v>187</v>
      </c>
    </row>
    <row r="548" spans="4:5" ht="15">
      <c r="D548" s="147">
        <v>10128598</v>
      </c>
      <c r="E548" s="147" t="s">
        <v>190</v>
      </c>
    </row>
    <row r="549" spans="4:5" ht="15">
      <c r="D549" s="147">
        <v>10128599</v>
      </c>
      <c r="E549" s="147" t="s">
        <v>183</v>
      </c>
    </row>
    <row r="550" spans="4:5" ht="15">
      <c r="D550" s="147">
        <v>10128600</v>
      </c>
      <c r="E550" s="147" t="s">
        <v>187</v>
      </c>
    </row>
    <row r="551" spans="4:5" ht="15">
      <c r="D551" s="147">
        <v>10128579</v>
      </c>
      <c r="E551" s="147" t="s">
        <v>183</v>
      </c>
    </row>
    <row r="552" spans="4:5" ht="15">
      <c r="D552" s="147">
        <v>10128580</v>
      </c>
      <c r="E552" s="147" t="s">
        <v>187</v>
      </c>
    </row>
    <row r="553" spans="4:5" ht="15">
      <c r="D553" s="147">
        <v>10128581</v>
      </c>
      <c r="E553" s="147" t="s">
        <v>187</v>
      </c>
    </row>
    <row r="554" spans="4:5" ht="15">
      <c r="D554" s="147">
        <v>10128582</v>
      </c>
      <c r="E554" s="147" t="s">
        <v>190</v>
      </c>
    </row>
    <row r="555" spans="4:5" ht="15">
      <c r="D555" s="147">
        <v>10128595</v>
      </c>
      <c r="E555" s="147" t="s">
        <v>190</v>
      </c>
    </row>
    <row r="556" spans="4:5" ht="15">
      <c r="D556" s="147">
        <v>10128596</v>
      </c>
      <c r="E556" s="147" t="s">
        <v>182</v>
      </c>
    </row>
    <row r="557" spans="4:5" ht="15">
      <c r="D557" s="147">
        <v>10128597</v>
      </c>
      <c r="E557" s="147" t="s">
        <v>187</v>
      </c>
    </row>
    <row r="558" spans="4:5" ht="15">
      <c r="D558" s="147">
        <v>10128598</v>
      </c>
      <c r="E558" s="147" t="s">
        <v>190</v>
      </c>
    </row>
    <row r="559" spans="4:5" ht="15">
      <c r="D559" s="147">
        <v>10128599</v>
      </c>
      <c r="E559" s="147" t="s">
        <v>183</v>
      </c>
    </row>
    <row r="560" spans="4:5" ht="15">
      <c r="D560" s="147">
        <v>10128600</v>
      </c>
      <c r="E560" s="147" t="s">
        <v>187</v>
      </c>
    </row>
    <row r="561" spans="4:5" ht="15">
      <c r="D561" s="147">
        <v>10128579</v>
      </c>
      <c r="E561" s="147" t="s">
        <v>183</v>
      </c>
    </row>
    <row r="562" spans="4:5" ht="15">
      <c r="D562" s="147">
        <v>10128580</v>
      </c>
      <c r="E562" s="147" t="s">
        <v>187</v>
      </c>
    </row>
    <row r="563" spans="4:5" ht="15">
      <c r="D563" s="147">
        <v>10128581</v>
      </c>
      <c r="E563" s="147" t="s">
        <v>187</v>
      </c>
    </row>
    <row r="564" spans="4:5" ht="15">
      <c r="D564" s="147">
        <v>10128582</v>
      </c>
      <c r="E564" s="147" t="s">
        <v>190</v>
      </c>
    </row>
    <row r="565" spans="4:5" ht="15">
      <c r="D565" s="147">
        <v>10128595</v>
      </c>
      <c r="E565" s="147" t="s">
        <v>190</v>
      </c>
    </row>
    <row r="566" spans="4:5" ht="15">
      <c r="D566" s="147">
        <v>10128596</v>
      </c>
      <c r="E566" s="147" t="s">
        <v>182</v>
      </c>
    </row>
    <row r="567" spans="4:5" ht="15">
      <c r="D567" s="147">
        <v>10128597</v>
      </c>
      <c r="E567" s="147" t="s">
        <v>187</v>
      </c>
    </row>
    <row r="568" spans="4:5" ht="15">
      <c r="D568" s="147">
        <v>10128598</v>
      </c>
      <c r="E568" s="147" t="s">
        <v>190</v>
      </c>
    </row>
    <row r="569" spans="4:5" ht="15">
      <c r="D569" s="147">
        <v>10128599</v>
      </c>
      <c r="E569" s="147" t="s">
        <v>183</v>
      </c>
    </row>
    <row r="570" spans="4:5" ht="15">
      <c r="D570" s="147">
        <v>10128600</v>
      </c>
      <c r="E570" s="147" t="s">
        <v>187</v>
      </c>
    </row>
    <row r="571" spans="4:5" ht="15">
      <c r="D571" s="147">
        <v>10128579</v>
      </c>
      <c r="E571" s="147" t="s">
        <v>183</v>
      </c>
    </row>
    <row r="572" spans="4:5" ht="15">
      <c r="D572" s="147">
        <v>10128580</v>
      </c>
      <c r="E572" s="147" t="s">
        <v>187</v>
      </c>
    </row>
    <row r="573" spans="4:5" ht="15">
      <c r="D573" s="147">
        <v>10128581</v>
      </c>
      <c r="E573" s="147" t="s">
        <v>187</v>
      </c>
    </row>
    <row r="574" spans="4:5" ht="15">
      <c r="D574" s="147">
        <v>10128582</v>
      </c>
      <c r="E574" s="147" t="s">
        <v>190</v>
      </c>
    </row>
    <row r="575" spans="4:5" ht="15">
      <c r="D575" s="147">
        <v>10128595</v>
      </c>
      <c r="E575" s="147" t="s">
        <v>190</v>
      </c>
    </row>
    <row r="576" spans="4:5" ht="15">
      <c r="D576" s="147">
        <v>10128596</v>
      </c>
      <c r="E576" s="147" t="s">
        <v>182</v>
      </c>
    </row>
    <row r="577" spans="4:5" ht="15">
      <c r="D577" s="147">
        <v>10128597</v>
      </c>
      <c r="E577" s="147" t="s">
        <v>187</v>
      </c>
    </row>
    <row r="578" spans="4:5" ht="15">
      <c r="D578" s="147">
        <v>10128598</v>
      </c>
      <c r="E578" s="147" t="s">
        <v>190</v>
      </c>
    </row>
    <row r="579" spans="4:5" ht="15">
      <c r="D579" s="147">
        <v>10128599</v>
      </c>
      <c r="E579" s="147" t="s">
        <v>183</v>
      </c>
    </row>
    <row r="580" spans="4:5" ht="15">
      <c r="D580" s="147">
        <v>10128600</v>
      </c>
      <c r="E580" s="147" t="s">
        <v>187</v>
      </c>
    </row>
    <row r="581" spans="4:5" ht="15">
      <c r="D581" s="147">
        <v>10128579</v>
      </c>
      <c r="E581" s="147" t="s">
        <v>183</v>
      </c>
    </row>
    <row r="582" spans="4:5" ht="15">
      <c r="D582" s="147">
        <v>10128580</v>
      </c>
      <c r="E582" s="147" t="s">
        <v>187</v>
      </c>
    </row>
    <row r="583" spans="4:5" ht="15">
      <c r="D583" s="147">
        <v>10128581</v>
      </c>
      <c r="E583" s="147" t="s">
        <v>187</v>
      </c>
    </row>
    <row r="584" spans="4:5" ht="15">
      <c r="D584" s="147">
        <v>10128582</v>
      </c>
      <c r="E584" s="147" t="s">
        <v>190</v>
      </c>
    </row>
    <row r="585" spans="4:5" ht="15">
      <c r="D585" s="147">
        <v>10128595</v>
      </c>
      <c r="E585" s="147" t="s">
        <v>190</v>
      </c>
    </row>
    <row r="586" spans="4:5" ht="15">
      <c r="D586" s="147">
        <v>10128596</v>
      </c>
      <c r="E586" s="147" t="s">
        <v>182</v>
      </c>
    </row>
    <row r="587" spans="4:5" ht="15">
      <c r="D587" s="147">
        <v>10128597</v>
      </c>
      <c r="E587" s="147" t="s">
        <v>187</v>
      </c>
    </row>
    <row r="588" spans="4:5" ht="15">
      <c r="D588" s="147">
        <v>10128598</v>
      </c>
      <c r="E588" s="147" t="s">
        <v>190</v>
      </c>
    </row>
    <row r="589" spans="4:5" ht="15">
      <c r="D589" s="147">
        <v>10128599</v>
      </c>
      <c r="E589" s="147" t="s">
        <v>183</v>
      </c>
    </row>
    <row r="590" spans="4:5" ht="15">
      <c r="D590" s="147">
        <v>10128600</v>
      </c>
      <c r="E590" s="147" t="s">
        <v>187</v>
      </c>
    </row>
    <row r="591" spans="4:5" ht="15">
      <c r="D591" s="147">
        <v>10128579</v>
      </c>
      <c r="E591" s="147" t="s">
        <v>183</v>
      </c>
    </row>
    <row r="592" spans="4:5" ht="15">
      <c r="D592" s="147">
        <v>10128580</v>
      </c>
      <c r="E592" s="147" t="s">
        <v>187</v>
      </c>
    </row>
    <row r="593" spans="4:5" ht="15">
      <c r="D593" s="147">
        <v>10128581</v>
      </c>
      <c r="E593" s="147" t="s">
        <v>187</v>
      </c>
    </row>
    <row r="594" spans="4:5" ht="15">
      <c r="D594" s="147">
        <v>10128582</v>
      </c>
      <c r="E594" s="147" t="s">
        <v>190</v>
      </c>
    </row>
    <row r="595" spans="4:5" ht="15">
      <c r="D595" s="147">
        <v>10128595</v>
      </c>
      <c r="E595" s="147" t="s">
        <v>190</v>
      </c>
    </row>
    <row r="596" spans="4:5" ht="15">
      <c r="D596" s="147">
        <v>10128596</v>
      </c>
      <c r="E596" s="147" t="s">
        <v>182</v>
      </c>
    </row>
    <row r="597" spans="4:5" ht="15">
      <c r="D597" s="147">
        <v>10128597</v>
      </c>
      <c r="E597" s="147" t="s">
        <v>187</v>
      </c>
    </row>
    <row r="598" spans="4:5" ht="15">
      <c r="D598" s="147">
        <v>10128598</v>
      </c>
      <c r="E598" s="147" t="s">
        <v>190</v>
      </c>
    </row>
    <row r="599" spans="4:5" ht="15">
      <c r="D599" s="147">
        <v>10128599</v>
      </c>
      <c r="E599" s="147" t="s">
        <v>183</v>
      </c>
    </row>
    <row r="600" spans="4:5" ht="15">
      <c r="D600" s="147">
        <v>10128600</v>
      </c>
      <c r="E600" s="147" t="s">
        <v>187</v>
      </c>
    </row>
    <row r="601" spans="4:5" ht="15">
      <c r="D601" s="147">
        <v>10128579</v>
      </c>
      <c r="E601" s="147" t="s">
        <v>183</v>
      </c>
    </row>
    <row r="602" spans="4:5" ht="15">
      <c r="D602" s="147">
        <v>10128580</v>
      </c>
      <c r="E602" s="147" t="s">
        <v>187</v>
      </c>
    </row>
    <row r="603" spans="4:5" ht="15">
      <c r="D603" s="147">
        <v>10128581</v>
      </c>
      <c r="E603" s="147" t="s">
        <v>187</v>
      </c>
    </row>
    <row r="604" spans="4:5" ht="15">
      <c r="D604" s="147">
        <v>10128582</v>
      </c>
      <c r="E604" s="147" t="s">
        <v>190</v>
      </c>
    </row>
    <row r="605" spans="4:5" ht="15">
      <c r="D605" s="147">
        <v>10128595</v>
      </c>
      <c r="E605" s="147" t="s">
        <v>190</v>
      </c>
    </row>
    <row r="606" spans="4:5" ht="15">
      <c r="D606" s="147">
        <v>10128596</v>
      </c>
      <c r="E606" s="147" t="s">
        <v>182</v>
      </c>
    </row>
    <row r="607" spans="4:5" ht="15">
      <c r="D607" s="147">
        <v>10128597</v>
      </c>
      <c r="E607" s="147" t="s">
        <v>187</v>
      </c>
    </row>
    <row r="608" spans="4:5" ht="15">
      <c r="D608" s="147">
        <v>10128598</v>
      </c>
      <c r="E608" s="147" t="s">
        <v>190</v>
      </c>
    </row>
    <row r="609" spans="4:5" ht="15">
      <c r="D609" s="147">
        <v>10128599</v>
      </c>
      <c r="E609" s="147" t="s">
        <v>183</v>
      </c>
    </row>
    <row r="610" spans="4:5" ht="15">
      <c r="D610" s="147">
        <v>10128600</v>
      </c>
      <c r="E610" s="147" t="s">
        <v>187</v>
      </c>
    </row>
    <row r="611" spans="4:5" ht="15">
      <c r="D611" s="147">
        <v>10128579</v>
      </c>
      <c r="E611" s="147" t="s">
        <v>183</v>
      </c>
    </row>
    <row r="612" spans="4:5" ht="15">
      <c r="D612" s="147">
        <v>10128580</v>
      </c>
      <c r="E612" s="147" t="s">
        <v>187</v>
      </c>
    </row>
    <row r="613" spans="4:5" ht="15">
      <c r="D613" s="147">
        <v>10128581</v>
      </c>
      <c r="E613" s="147" t="s">
        <v>187</v>
      </c>
    </row>
    <row r="614" spans="4:5" ht="15">
      <c r="D614" s="147">
        <v>10128582</v>
      </c>
      <c r="E614" s="147" t="s">
        <v>190</v>
      </c>
    </row>
    <row r="615" spans="4:5" ht="15">
      <c r="D615" s="147">
        <v>10128595</v>
      </c>
      <c r="E615" s="147" t="s">
        <v>190</v>
      </c>
    </row>
    <row r="616" spans="4:5" ht="15">
      <c r="D616" s="147">
        <v>10128596</v>
      </c>
      <c r="E616" s="147" t="s">
        <v>182</v>
      </c>
    </row>
    <row r="617" spans="4:5" ht="15">
      <c r="D617" s="147">
        <v>10128597</v>
      </c>
      <c r="E617" s="147" t="s">
        <v>187</v>
      </c>
    </row>
    <row r="618" spans="4:5" ht="15">
      <c r="D618" s="147">
        <v>10128598</v>
      </c>
      <c r="E618" s="147" t="s">
        <v>190</v>
      </c>
    </row>
    <row r="619" spans="4:5" ht="15">
      <c r="D619" s="147">
        <v>10128599</v>
      </c>
      <c r="E619" s="147" t="s">
        <v>183</v>
      </c>
    </row>
    <row r="620" spans="4:5" ht="15">
      <c r="D620" s="147">
        <v>10128600</v>
      </c>
      <c r="E620" s="147" t="s">
        <v>187</v>
      </c>
    </row>
    <row r="621" spans="4:5" ht="15">
      <c r="D621" s="147">
        <v>10128579</v>
      </c>
      <c r="E621" s="147" t="s">
        <v>183</v>
      </c>
    </row>
    <row r="622" spans="4:5" ht="15">
      <c r="D622" s="147">
        <v>10128580</v>
      </c>
      <c r="E622" s="147" t="s">
        <v>187</v>
      </c>
    </row>
    <row r="623" spans="4:5" ht="15">
      <c r="D623" s="147">
        <v>10128581</v>
      </c>
      <c r="E623" s="147" t="s">
        <v>187</v>
      </c>
    </row>
    <row r="624" spans="4:5" ht="15">
      <c r="D624" s="147">
        <v>10128582</v>
      </c>
      <c r="E624" s="147" t="s">
        <v>190</v>
      </c>
    </row>
    <row r="625" spans="4:5" ht="15">
      <c r="D625" s="147">
        <v>10128595</v>
      </c>
      <c r="E625" s="147" t="s">
        <v>190</v>
      </c>
    </row>
    <row r="626" spans="4:5" ht="15">
      <c r="D626" s="147">
        <v>10128596</v>
      </c>
      <c r="E626" s="147" t="s">
        <v>182</v>
      </c>
    </row>
    <row r="627" spans="4:5" ht="15">
      <c r="D627" s="147">
        <v>10128597</v>
      </c>
      <c r="E627" s="147" t="s">
        <v>187</v>
      </c>
    </row>
    <row r="628" spans="4:5" ht="15">
      <c r="D628" s="147">
        <v>10128598</v>
      </c>
      <c r="E628" s="147" t="s">
        <v>190</v>
      </c>
    </row>
    <row r="629" spans="4:5" ht="15">
      <c r="D629" s="147">
        <v>10128599</v>
      </c>
      <c r="E629" s="147" t="s">
        <v>183</v>
      </c>
    </row>
    <row r="630" spans="4:5" ht="15">
      <c r="D630" s="147">
        <v>10128600</v>
      </c>
      <c r="E630" s="147" t="s">
        <v>187</v>
      </c>
    </row>
    <row r="631" spans="4:5" ht="15">
      <c r="D631" s="147">
        <v>10128579</v>
      </c>
      <c r="E631" s="147" t="s">
        <v>183</v>
      </c>
    </row>
    <row r="632" spans="4:5" ht="15">
      <c r="D632" s="147">
        <v>10128580</v>
      </c>
      <c r="E632" s="147" t="s">
        <v>187</v>
      </c>
    </row>
    <row r="633" spans="4:5" ht="15">
      <c r="D633" s="147">
        <v>10128581</v>
      </c>
      <c r="E633" s="147" t="s">
        <v>187</v>
      </c>
    </row>
    <row r="634" spans="4:5" ht="15">
      <c r="D634" s="147">
        <v>10128582</v>
      </c>
      <c r="E634" s="147" t="s">
        <v>190</v>
      </c>
    </row>
    <row r="635" spans="4:5" ht="15">
      <c r="D635" s="147">
        <v>10128595</v>
      </c>
      <c r="E635" s="147" t="s">
        <v>190</v>
      </c>
    </row>
    <row r="636" spans="4:5" ht="15">
      <c r="D636" s="147">
        <v>10128596</v>
      </c>
      <c r="E636" s="147" t="s">
        <v>182</v>
      </c>
    </row>
    <row r="637" spans="4:5" ht="15">
      <c r="D637" s="147">
        <v>10128597</v>
      </c>
      <c r="E637" s="147" t="s">
        <v>187</v>
      </c>
    </row>
    <row r="638" spans="4:5" ht="15">
      <c r="D638" s="147">
        <v>10128598</v>
      </c>
      <c r="E638" s="147" t="s">
        <v>190</v>
      </c>
    </row>
    <row r="639" spans="4:5" ht="15">
      <c r="D639" s="147">
        <v>10128599</v>
      </c>
      <c r="E639" s="147" t="s">
        <v>183</v>
      </c>
    </row>
    <row r="640" spans="4:5" ht="15">
      <c r="D640" s="147">
        <v>10128600</v>
      </c>
      <c r="E640" s="147" t="s">
        <v>187</v>
      </c>
    </row>
    <row r="641" spans="4:5" ht="15">
      <c r="D641" s="147">
        <v>10128579</v>
      </c>
      <c r="E641" s="147" t="s">
        <v>183</v>
      </c>
    </row>
    <row r="642" spans="4:5" ht="15">
      <c r="D642" s="147">
        <v>10128580</v>
      </c>
      <c r="E642" s="147" t="s">
        <v>187</v>
      </c>
    </row>
    <row r="643" spans="4:5" ht="15">
      <c r="D643" s="147">
        <v>10128581</v>
      </c>
      <c r="E643" s="147" t="s">
        <v>187</v>
      </c>
    </row>
    <row r="644" spans="4:5" ht="15">
      <c r="D644" s="147">
        <v>10128582</v>
      </c>
      <c r="E644" s="147" t="s">
        <v>190</v>
      </c>
    </row>
    <row r="645" spans="4:5" ht="15">
      <c r="D645" s="147">
        <v>10128595</v>
      </c>
      <c r="E645" s="147" t="s">
        <v>190</v>
      </c>
    </row>
    <row r="646" spans="4:5" ht="15">
      <c r="D646" s="147">
        <v>10128596</v>
      </c>
      <c r="E646" s="147" t="s">
        <v>182</v>
      </c>
    </row>
    <row r="647" spans="4:5" ht="15">
      <c r="D647" s="147">
        <v>10128597</v>
      </c>
      <c r="E647" s="147" t="s">
        <v>187</v>
      </c>
    </row>
    <row r="648" spans="4:5" ht="15">
      <c r="D648" s="147">
        <v>10128598</v>
      </c>
      <c r="E648" s="147" t="s">
        <v>190</v>
      </c>
    </row>
    <row r="649" spans="4:5" ht="15">
      <c r="D649" s="147">
        <v>10128599</v>
      </c>
      <c r="E649" s="147" t="s">
        <v>183</v>
      </c>
    </row>
    <row r="650" spans="4:5" ht="15">
      <c r="D650" s="147">
        <v>10128600</v>
      </c>
      <c r="E650" s="147" t="s">
        <v>187</v>
      </c>
    </row>
    <row r="651" spans="4:5" ht="15">
      <c r="D651" s="147">
        <v>10128579</v>
      </c>
      <c r="E651" s="147" t="s">
        <v>183</v>
      </c>
    </row>
    <row r="652" spans="4:5" ht="15">
      <c r="D652" s="147">
        <v>10128580</v>
      </c>
      <c r="E652" s="147" t="s">
        <v>187</v>
      </c>
    </row>
    <row r="653" spans="4:5" ht="15">
      <c r="D653" s="147">
        <v>10128581</v>
      </c>
      <c r="E653" s="147" t="s">
        <v>187</v>
      </c>
    </row>
    <row r="654" spans="4:5" ht="15">
      <c r="D654" s="147">
        <v>10128582</v>
      </c>
      <c r="E654" s="147" t="s">
        <v>190</v>
      </c>
    </row>
    <row r="655" spans="4:5" ht="15">
      <c r="D655" s="147">
        <v>10128595</v>
      </c>
      <c r="E655" s="147" t="s">
        <v>190</v>
      </c>
    </row>
    <row r="656" spans="4:5" ht="15">
      <c r="D656" s="147">
        <v>10128596</v>
      </c>
      <c r="E656" s="147" t="s">
        <v>182</v>
      </c>
    </row>
    <row r="657" spans="4:5" ht="15">
      <c r="D657" s="147">
        <v>10128597</v>
      </c>
      <c r="E657" s="147" t="s">
        <v>187</v>
      </c>
    </row>
    <row r="658" spans="4:5" ht="15">
      <c r="D658" s="147">
        <v>10128598</v>
      </c>
      <c r="E658" s="147" t="s">
        <v>190</v>
      </c>
    </row>
    <row r="659" spans="4:5" ht="15">
      <c r="D659" s="147">
        <v>10128599</v>
      </c>
      <c r="E659" s="147" t="s">
        <v>183</v>
      </c>
    </row>
    <row r="660" spans="4:5" ht="15">
      <c r="D660" s="147">
        <v>10128600</v>
      </c>
      <c r="E660" s="147" t="s">
        <v>187</v>
      </c>
    </row>
    <row r="661" spans="4:5" ht="15">
      <c r="D661" s="147">
        <v>10128579</v>
      </c>
      <c r="E661" s="147" t="s">
        <v>183</v>
      </c>
    </row>
    <row r="662" spans="4:5" ht="15">
      <c r="D662" s="147">
        <v>10128580</v>
      </c>
      <c r="E662" s="147" t="s">
        <v>187</v>
      </c>
    </row>
    <row r="663" spans="4:5" ht="15">
      <c r="D663" s="147">
        <v>10128581</v>
      </c>
      <c r="E663" s="147" t="s">
        <v>187</v>
      </c>
    </row>
    <row r="664" spans="4:5" ht="15">
      <c r="D664" s="147">
        <v>10128582</v>
      </c>
      <c r="E664" s="147" t="s">
        <v>190</v>
      </c>
    </row>
    <row r="665" spans="4:5" ht="15">
      <c r="D665" s="147">
        <v>10128595</v>
      </c>
      <c r="E665" s="147" t="s">
        <v>190</v>
      </c>
    </row>
    <row r="666" spans="4:5" ht="15">
      <c r="D666" s="147">
        <v>10128596</v>
      </c>
      <c r="E666" s="147" t="s">
        <v>182</v>
      </c>
    </row>
    <row r="667" spans="4:5" ht="15">
      <c r="D667" s="147">
        <v>10128597</v>
      </c>
      <c r="E667" s="147" t="s">
        <v>187</v>
      </c>
    </row>
    <row r="668" spans="4:5" ht="15">
      <c r="D668" s="147">
        <v>10128598</v>
      </c>
      <c r="E668" s="147" t="s">
        <v>190</v>
      </c>
    </row>
    <row r="669" spans="4:5" ht="15">
      <c r="D669" s="147">
        <v>10128599</v>
      </c>
      <c r="E669" s="147" t="s">
        <v>183</v>
      </c>
    </row>
    <row r="670" spans="4:5" ht="15">
      <c r="D670" s="147">
        <v>10128600</v>
      </c>
      <c r="E670" s="147" t="s">
        <v>187</v>
      </c>
    </row>
    <row r="671" spans="4:5" ht="15">
      <c r="D671" s="147">
        <v>10128579</v>
      </c>
      <c r="E671" s="147" t="s">
        <v>183</v>
      </c>
    </row>
    <row r="672" spans="4:5" ht="15">
      <c r="D672" s="147">
        <v>10128580</v>
      </c>
      <c r="E672" s="147" t="s">
        <v>187</v>
      </c>
    </row>
    <row r="673" spans="4:5" ht="15">
      <c r="D673" s="147">
        <v>10128581</v>
      </c>
      <c r="E673" s="147" t="s">
        <v>187</v>
      </c>
    </row>
    <row r="674" spans="4:5" ht="15">
      <c r="D674" s="147">
        <v>10128582</v>
      </c>
      <c r="E674" s="147" t="s">
        <v>190</v>
      </c>
    </row>
    <row r="675" spans="4:5" ht="15">
      <c r="D675" s="147">
        <v>10128595</v>
      </c>
      <c r="E675" s="147" t="s">
        <v>190</v>
      </c>
    </row>
    <row r="676" spans="4:5" ht="15">
      <c r="D676" s="147">
        <v>10128596</v>
      </c>
      <c r="E676" s="147" t="s">
        <v>182</v>
      </c>
    </row>
    <row r="677" spans="4:5" ht="15">
      <c r="D677" s="147">
        <v>10128597</v>
      </c>
      <c r="E677" s="147" t="s">
        <v>187</v>
      </c>
    </row>
    <row r="678" spans="4:5" ht="15">
      <c r="D678" s="147">
        <v>10128598</v>
      </c>
      <c r="E678" s="147" t="s">
        <v>190</v>
      </c>
    </row>
    <row r="679" spans="4:5" ht="15">
      <c r="D679" s="147">
        <v>10128599</v>
      </c>
      <c r="E679" s="147" t="s">
        <v>183</v>
      </c>
    </row>
    <row r="680" spans="4:5" ht="15">
      <c r="D680" s="147">
        <v>10128600</v>
      </c>
      <c r="E680" s="147" t="s">
        <v>187</v>
      </c>
    </row>
    <row r="681" spans="4:5" ht="15">
      <c r="D681" s="147">
        <v>10128579</v>
      </c>
      <c r="E681" s="147" t="s">
        <v>183</v>
      </c>
    </row>
    <row r="682" spans="4:5" ht="15">
      <c r="D682" s="147">
        <v>10128580</v>
      </c>
      <c r="E682" s="147" t="s">
        <v>187</v>
      </c>
    </row>
    <row r="683" spans="4:5" ht="15">
      <c r="D683" s="147">
        <v>10128581</v>
      </c>
      <c r="E683" s="147" t="s">
        <v>187</v>
      </c>
    </row>
    <row r="684" spans="4:5" ht="15">
      <c r="D684" s="147">
        <v>10128582</v>
      </c>
      <c r="E684" s="147" t="s">
        <v>190</v>
      </c>
    </row>
    <row r="685" spans="4:5" ht="15">
      <c r="D685" s="147">
        <v>10128595</v>
      </c>
      <c r="E685" s="147" t="s">
        <v>190</v>
      </c>
    </row>
    <row r="686" spans="4:5" ht="15">
      <c r="D686" s="147">
        <v>10128596</v>
      </c>
      <c r="E686" s="147" t="s">
        <v>182</v>
      </c>
    </row>
    <row r="687" spans="4:5" ht="15">
      <c r="D687" s="147">
        <v>10128597</v>
      </c>
      <c r="E687" s="147" t="s">
        <v>187</v>
      </c>
    </row>
    <row r="688" spans="4:5" ht="15">
      <c r="D688" s="147">
        <v>10128598</v>
      </c>
      <c r="E688" s="147" t="s">
        <v>190</v>
      </c>
    </row>
    <row r="689" spans="4:5" ht="15">
      <c r="D689" s="147">
        <v>10128599</v>
      </c>
      <c r="E689" s="147" t="s">
        <v>183</v>
      </c>
    </row>
    <row r="690" spans="4:5" ht="15">
      <c r="D690" s="147">
        <v>10128600</v>
      </c>
      <c r="E690" s="147" t="s">
        <v>187</v>
      </c>
    </row>
    <row r="691" spans="4:5" ht="15">
      <c r="D691" s="147">
        <v>10128579</v>
      </c>
      <c r="E691" s="147" t="s">
        <v>183</v>
      </c>
    </row>
    <row r="692" spans="4:5" ht="15">
      <c r="D692" s="147">
        <v>10128580</v>
      </c>
      <c r="E692" s="147" t="s">
        <v>187</v>
      </c>
    </row>
    <row r="693" spans="4:5" ht="15">
      <c r="D693" s="147">
        <v>10128581</v>
      </c>
      <c r="E693" s="147" t="s">
        <v>187</v>
      </c>
    </row>
    <row r="694" spans="4:5" ht="15">
      <c r="D694" s="147">
        <v>10128582</v>
      </c>
      <c r="E694" s="147" t="s">
        <v>190</v>
      </c>
    </row>
    <row r="695" spans="4:5" ht="15">
      <c r="D695" s="147">
        <v>10128595</v>
      </c>
      <c r="E695" s="147" t="s">
        <v>190</v>
      </c>
    </row>
    <row r="696" spans="4:5" ht="15">
      <c r="D696" s="147">
        <v>10128596</v>
      </c>
      <c r="E696" s="147" t="s">
        <v>182</v>
      </c>
    </row>
    <row r="697" spans="4:5" ht="15">
      <c r="D697" s="147">
        <v>10128597</v>
      </c>
      <c r="E697" s="147" t="s">
        <v>187</v>
      </c>
    </row>
    <row r="698" spans="4:5" ht="15">
      <c r="D698" s="147">
        <v>10128598</v>
      </c>
      <c r="E698" s="147" t="s">
        <v>190</v>
      </c>
    </row>
    <row r="699" spans="4:5" ht="15">
      <c r="D699" s="147">
        <v>10128599</v>
      </c>
      <c r="E699" s="147" t="s">
        <v>183</v>
      </c>
    </row>
    <row r="700" spans="4:5" ht="15">
      <c r="D700" s="147">
        <v>10128600</v>
      </c>
      <c r="E700" s="147" t="s">
        <v>187</v>
      </c>
    </row>
    <row r="701" spans="4:5" ht="15">
      <c r="D701" s="147">
        <v>10128579</v>
      </c>
      <c r="E701" s="147" t="s">
        <v>183</v>
      </c>
    </row>
    <row r="702" spans="4:5" ht="15">
      <c r="D702" s="147">
        <v>10128580</v>
      </c>
      <c r="E702" s="147" t="s">
        <v>187</v>
      </c>
    </row>
    <row r="703" spans="4:5" ht="15">
      <c r="D703" s="147">
        <v>10128581</v>
      </c>
      <c r="E703" s="147" t="s">
        <v>187</v>
      </c>
    </row>
    <row r="704" spans="4:5" ht="15">
      <c r="D704" s="147">
        <v>10128582</v>
      </c>
      <c r="E704" s="147" t="s">
        <v>190</v>
      </c>
    </row>
    <row r="705" spans="4:5" ht="15">
      <c r="D705" s="147">
        <v>10128595</v>
      </c>
      <c r="E705" s="147" t="s">
        <v>190</v>
      </c>
    </row>
    <row r="706" spans="4:5" ht="15">
      <c r="D706" s="147">
        <v>10128596</v>
      </c>
      <c r="E706" s="147" t="s">
        <v>182</v>
      </c>
    </row>
    <row r="707" spans="4:5" ht="15">
      <c r="D707" s="147">
        <v>10128597</v>
      </c>
      <c r="E707" s="147" t="s">
        <v>187</v>
      </c>
    </row>
    <row r="708" spans="4:5" ht="15">
      <c r="D708" s="147">
        <v>10128598</v>
      </c>
      <c r="E708" s="147" t="s">
        <v>190</v>
      </c>
    </row>
    <row r="709" spans="4:5" ht="15">
      <c r="D709" s="147">
        <v>10128599</v>
      </c>
      <c r="E709" s="147" t="s">
        <v>183</v>
      </c>
    </row>
    <row r="710" spans="4:5" ht="15">
      <c r="D710" s="147">
        <v>10128600</v>
      </c>
      <c r="E710" s="147" t="s">
        <v>187</v>
      </c>
    </row>
    <row r="711" spans="4:5" ht="15">
      <c r="D711" s="147">
        <v>10128579</v>
      </c>
      <c r="E711" s="147" t="s">
        <v>183</v>
      </c>
    </row>
    <row r="712" spans="4:5" ht="15">
      <c r="D712" s="147">
        <v>10128580</v>
      </c>
      <c r="E712" s="147" t="s">
        <v>187</v>
      </c>
    </row>
    <row r="713" spans="4:5" ht="15">
      <c r="D713" s="147">
        <v>10128581</v>
      </c>
      <c r="E713" s="147" t="s">
        <v>187</v>
      </c>
    </row>
    <row r="714" spans="4:5" ht="15">
      <c r="D714" s="147">
        <v>10128582</v>
      </c>
      <c r="E714" s="147" t="s">
        <v>190</v>
      </c>
    </row>
    <row r="715" spans="4:5" ht="15">
      <c r="D715" s="147">
        <v>10128595</v>
      </c>
      <c r="E715" s="147" t="s">
        <v>190</v>
      </c>
    </row>
    <row r="716" spans="4:5" ht="15">
      <c r="D716" s="147">
        <v>10128596</v>
      </c>
      <c r="E716" s="147" t="s">
        <v>182</v>
      </c>
    </row>
    <row r="717" spans="4:5" ht="15">
      <c r="D717" s="147">
        <v>10128597</v>
      </c>
      <c r="E717" s="147" t="s">
        <v>187</v>
      </c>
    </row>
    <row r="718" spans="4:5" ht="15">
      <c r="D718" s="147">
        <v>10128598</v>
      </c>
      <c r="E718" s="147" t="s">
        <v>190</v>
      </c>
    </row>
    <row r="719" spans="4:5" ht="15">
      <c r="D719" s="147">
        <v>10128599</v>
      </c>
      <c r="E719" s="147" t="s">
        <v>183</v>
      </c>
    </row>
    <row r="720" spans="4:5" ht="15">
      <c r="D720" s="147">
        <v>10128600</v>
      </c>
      <c r="E720" s="147" t="s">
        <v>187</v>
      </c>
    </row>
    <row r="721" spans="4:5" ht="15">
      <c r="D721" s="147">
        <v>10128579</v>
      </c>
      <c r="E721" s="147" t="s">
        <v>183</v>
      </c>
    </row>
    <row r="722" spans="4:5" ht="15">
      <c r="D722" s="147">
        <v>10128580</v>
      </c>
      <c r="E722" s="147" t="s">
        <v>187</v>
      </c>
    </row>
    <row r="723" spans="4:5" ht="15">
      <c r="D723" s="147">
        <v>10128581</v>
      </c>
      <c r="E723" s="147" t="s">
        <v>187</v>
      </c>
    </row>
    <row r="724" spans="4:5" ht="15">
      <c r="D724" s="147">
        <v>10128582</v>
      </c>
      <c r="E724" s="147" t="s">
        <v>190</v>
      </c>
    </row>
    <row r="725" spans="4:5" ht="15">
      <c r="D725" s="147">
        <v>10128595</v>
      </c>
      <c r="E725" s="147" t="s">
        <v>190</v>
      </c>
    </row>
    <row r="726" spans="4:5" ht="15">
      <c r="D726" s="147">
        <v>10128596</v>
      </c>
      <c r="E726" s="147" t="s">
        <v>182</v>
      </c>
    </row>
    <row r="727" spans="4:5" ht="15">
      <c r="D727" s="147">
        <v>10128597</v>
      </c>
      <c r="E727" s="147" t="s">
        <v>187</v>
      </c>
    </row>
    <row r="728" spans="4:5" ht="15">
      <c r="D728" s="147">
        <v>10128598</v>
      </c>
      <c r="E728" s="147" t="s">
        <v>190</v>
      </c>
    </row>
    <row r="729" spans="4:5" ht="15">
      <c r="D729" s="147">
        <v>10128599</v>
      </c>
      <c r="E729" s="147" t="s">
        <v>183</v>
      </c>
    </row>
    <row r="730" spans="4:5" ht="15">
      <c r="D730" s="147">
        <v>10128600</v>
      </c>
      <c r="E730" s="147" t="s">
        <v>187</v>
      </c>
    </row>
    <row r="731" spans="4:5" ht="15">
      <c r="D731" s="147">
        <v>10128579</v>
      </c>
      <c r="E731" s="147" t="s">
        <v>183</v>
      </c>
    </row>
    <row r="732" spans="4:5" ht="15">
      <c r="D732" s="147">
        <v>10128580</v>
      </c>
      <c r="E732" s="147" t="s">
        <v>187</v>
      </c>
    </row>
    <row r="733" spans="4:5" ht="15">
      <c r="D733" s="147">
        <v>10128581</v>
      </c>
      <c r="E733" s="147" t="s">
        <v>187</v>
      </c>
    </row>
    <row r="734" spans="4:5" ht="15">
      <c r="D734" s="147">
        <v>10128582</v>
      </c>
      <c r="E734" s="147" t="s">
        <v>190</v>
      </c>
    </row>
    <row r="735" spans="4:5" ht="15">
      <c r="D735" s="147">
        <v>10128595</v>
      </c>
      <c r="E735" s="147" t="s">
        <v>190</v>
      </c>
    </row>
    <row r="736" spans="4:5" ht="15">
      <c r="D736" s="147">
        <v>10128596</v>
      </c>
      <c r="E736" s="147" t="s">
        <v>182</v>
      </c>
    </row>
    <row r="737" spans="4:5" ht="15">
      <c r="D737" s="147">
        <v>10128597</v>
      </c>
      <c r="E737" s="147" t="s">
        <v>187</v>
      </c>
    </row>
    <row r="738" spans="4:5" ht="15">
      <c r="D738" s="147">
        <v>10128598</v>
      </c>
      <c r="E738" s="147" t="s">
        <v>190</v>
      </c>
    </row>
    <row r="739" spans="4:5" ht="15">
      <c r="D739" s="147">
        <v>10128599</v>
      </c>
      <c r="E739" s="147" t="s">
        <v>183</v>
      </c>
    </row>
    <row r="740" spans="4:5" ht="15">
      <c r="D740" s="147">
        <v>10128600</v>
      </c>
      <c r="E740" s="147" t="s">
        <v>187</v>
      </c>
    </row>
    <row r="741" spans="4:5" ht="15">
      <c r="D741" s="147">
        <v>10128579</v>
      </c>
      <c r="E741" s="147" t="s">
        <v>183</v>
      </c>
    </row>
    <row r="742" spans="4:5" ht="15">
      <c r="D742" s="147">
        <v>10128580</v>
      </c>
      <c r="E742" s="147" t="s">
        <v>187</v>
      </c>
    </row>
    <row r="743" spans="4:5" ht="15">
      <c r="D743" s="147">
        <v>10128581</v>
      </c>
      <c r="E743" s="147" t="s">
        <v>187</v>
      </c>
    </row>
    <row r="744" spans="4:5" ht="15">
      <c r="D744" s="147">
        <v>10128582</v>
      </c>
      <c r="E744" s="147" t="s">
        <v>190</v>
      </c>
    </row>
    <row r="745" spans="4:5" ht="15">
      <c r="D745" s="147">
        <v>10128595</v>
      </c>
      <c r="E745" s="147" t="s">
        <v>190</v>
      </c>
    </row>
    <row r="746" spans="4:5" ht="15">
      <c r="D746" s="147">
        <v>10128596</v>
      </c>
      <c r="E746" s="147" t="s">
        <v>182</v>
      </c>
    </row>
    <row r="747" spans="4:5" ht="15">
      <c r="D747" s="147">
        <v>10128597</v>
      </c>
      <c r="E747" s="147" t="s">
        <v>187</v>
      </c>
    </row>
    <row r="748" spans="4:5" ht="15">
      <c r="D748" s="147">
        <v>10128598</v>
      </c>
      <c r="E748" s="147" t="s">
        <v>190</v>
      </c>
    </row>
    <row r="749" spans="4:5" ht="15">
      <c r="D749" s="147">
        <v>10128599</v>
      </c>
      <c r="E749" s="147" t="s">
        <v>183</v>
      </c>
    </row>
    <row r="750" spans="4:5" ht="15">
      <c r="D750" s="147">
        <v>10128600</v>
      </c>
      <c r="E750" s="147" t="s">
        <v>187</v>
      </c>
    </row>
    <row r="751" spans="4:5" ht="15">
      <c r="D751" s="147">
        <v>10128579</v>
      </c>
      <c r="E751" s="147" t="s">
        <v>183</v>
      </c>
    </row>
    <row r="752" spans="4:5" ht="15">
      <c r="D752" s="147">
        <v>10128580</v>
      </c>
      <c r="E752" s="147" t="s">
        <v>187</v>
      </c>
    </row>
    <row r="753" spans="4:5" ht="15">
      <c r="D753" s="147">
        <v>10128581</v>
      </c>
      <c r="E753" s="147" t="s">
        <v>187</v>
      </c>
    </row>
    <row r="754" spans="4:5" ht="15">
      <c r="D754" s="147">
        <v>10128582</v>
      </c>
      <c r="E754" s="147" t="s">
        <v>190</v>
      </c>
    </row>
    <row r="755" spans="4:5" ht="15">
      <c r="D755" s="147">
        <v>10128595</v>
      </c>
      <c r="E755" s="147" t="s">
        <v>190</v>
      </c>
    </row>
    <row r="756" spans="4:5" ht="15">
      <c r="D756" s="147">
        <v>10128596</v>
      </c>
      <c r="E756" s="147" t="s">
        <v>182</v>
      </c>
    </row>
    <row r="757" spans="4:5" ht="15">
      <c r="D757" s="147">
        <v>10128597</v>
      </c>
      <c r="E757" s="147" t="s">
        <v>187</v>
      </c>
    </row>
    <row r="758" spans="4:5" ht="15">
      <c r="D758" s="147">
        <v>10128598</v>
      </c>
      <c r="E758" s="147" t="s">
        <v>190</v>
      </c>
    </row>
    <row r="759" spans="4:5" ht="15">
      <c r="D759" s="147">
        <v>10128599</v>
      </c>
      <c r="E759" s="147" t="s">
        <v>183</v>
      </c>
    </row>
    <row r="760" spans="4:5" ht="15">
      <c r="D760" s="147">
        <v>10128600</v>
      </c>
      <c r="E760" s="147" t="s">
        <v>187</v>
      </c>
    </row>
    <row r="761" spans="4:5" ht="15">
      <c r="D761" s="147">
        <v>10128579</v>
      </c>
      <c r="E761" s="147" t="s">
        <v>183</v>
      </c>
    </row>
    <row r="762" spans="4:5" ht="15">
      <c r="D762" s="147">
        <v>10128580</v>
      </c>
      <c r="E762" s="147" t="s">
        <v>187</v>
      </c>
    </row>
    <row r="763" spans="4:5" ht="15">
      <c r="D763" s="147">
        <v>10128581</v>
      </c>
      <c r="E763" s="147" t="s">
        <v>187</v>
      </c>
    </row>
    <row r="764" spans="4:5" ht="15">
      <c r="D764" s="147">
        <v>10128582</v>
      </c>
      <c r="E764" s="147" t="s">
        <v>190</v>
      </c>
    </row>
    <row r="765" spans="4:5" ht="15">
      <c r="D765" s="147">
        <v>10128595</v>
      </c>
      <c r="E765" s="147" t="s">
        <v>190</v>
      </c>
    </row>
    <row r="766" spans="4:5" ht="15">
      <c r="D766" s="147">
        <v>10128596</v>
      </c>
      <c r="E766" s="147" t="s">
        <v>182</v>
      </c>
    </row>
    <row r="767" spans="4:5" ht="15">
      <c r="D767" s="147">
        <v>10128597</v>
      </c>
      <c r="E767" s="147" t="s">
        <v>187</v>
      </c>
    </row>
    <row r="768" spans="4:5" ht="15">
      <c r="D768" s="147">
        <v>10128598</v>
      </c>
      <c r="E768" s="147" t="s">
        <v>190</v>
      </c>
    </row>
    <row r="769" spans="4:5" ht="15">
      <c r="D769" s="147">
        <v>10128599</v>
      </c>
      <c r="E769" s="147" t="s">
        <v>183</v>
      </c>
    </row>
    <row r="770" spans="4:5" ht="15">
      <c r="D770" s="147">
        <v>10128600</v>
      </c>
      <c r="E770" s="147" t="s">
        <v>187</v>
      </c>
    </row>
  </sheetData>
  <pageMargins left="0.7" right="0.7" top="0.75" bottom="0.75" header="0.3" footer="0.3"/>
  <pageSetup horizontalDpi="600" verticalDpi="600" orientation="portrait" paperSize="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PAL2G</dc:creator>
  <cp:keywords/>
  <dc:description/>
  <cp:lastModifiedBy>Tocy Tom (MariApps)</cp:lastModifiedBy>
  <cp:category/>
  <cp:contentType/>
  <cp:contentStatus/>
</cp:coreProperties>
</file>