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Quote!$A$1:$R$57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Quote!$A$38</definedName>
    <definedName name="Enquiry_To_Vendor_ID" comment="Enquiry to Vendor ID">Quote!$C$38</definedName>
    <definedName name="GrandTotal">Quote!$N$37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Quote!$A$30</definedName>
    <definedName name="ItemListStartupRow" comment="Item List Start Up Row">Quote!$A$19</definedName>
    <definedName name="ItemSubTotal">Quote!$N$36</definedName>
    <definedName name="ItemSubTotalTitle">Quote!$J$36</definedName>
    <definedName name="LeadDay">Quote!$M$11</definedName>
    <definedName name="Lock">Quote!$M$38</definedName>
    <definedName name="LoggedInEmailID">Quote!$N$38</definedName>
    <definedName name="LoggedInPwd">Quote!$O$38</definedName>
    <definedName name="OtherCharges">Quote!$C$32</definedName>
    <definedName name="OtherChargesLastRow">Quote!$A$36</definedName>
    <definedName name="OtherChargesStartRow">Quote!$A$31</definedName>
    <definedName name="Port">Quote!$P$38</definedName>
    <definedName name="PortOfDelivery" comment="Port of Delivery">Quote!$M$9</definedName>
    <definedName name="PurchaserName">Quote!$J$38</definedName>
    <definedName name="QuoteBefore">Quote!$M$8</definedName>
    <definedName name="QuoteID">MasterData!$N$7</definedName>
    <definedName name="QuoteSubject">Quote!$E$38</definedName>
    <definedName name="Remarks">Quote!$E$40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Quote!$K$38</definedName>
    <definedName name="SentIndex">Quote!$L$38</definedName>
    <definedName name="Server">Quote!$Q$38</definedName>
    <definedName name="Terms">Quote!$A$44:$T$65</definedName>
    <definedName name="ToEmailID">Quote!$I$38</definedName>
    <definedName name="ToEmailPwd">Quote!$H$38</definedName>
    <definedName name="VAL">Quote!$F$38</definedName>
    <definedName name="VAT_All">Quote!$M$16</definedName>
    <definedName name="Vendor_ID" comment="Vendor ID">Quote!$B$38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Quote!$D$38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Quote!$E$41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</definedName>
  </definedNames>
  <calcPr fullCalcOnLoad="1"/>
</workbook>
</file>

<file path=xl/sharedStrings.xml><?xml version="1.0" encoding="utf-8"?>
<sst xmlns="http://schemas.openxmlformats.org/spreadsheetml/2006/main" count="212" uniqueCount="170">
  <si>
    <t>RFQ</t>
  </si>
  <si>
    <t>Request for Quote</t>
  </si>
  <si>
    <t>Invoice To</t>
  </si>
  <si>
    <t>Bernhard Schulte Shipmanagement (Singapore) Pte. Ltd.
Invoice To:  MASTER  &amp; OWNER OF SAN FRANCISCA,
             REGD. OWNER: SFL TAURION INC,
             AS AGENTS: Bernhard Schulte Shipmanagement (Singapore) Pte Ltd 
                                   Bernhard Schulte House
                                   108 Middle Road, Singapore 188967
             ATTN:- Accounts Department
             PLEASE SEND SOFT COPY TO:- sg-smc-acct@bs-shipmanagement.com</t>
  </si>
  <si>
    <t>Vessel</t>
  </si>
  <si>
    <t>San Francisca</t>
  </si>
  <si>
    <t>RFQ No.</t>
  </si>
  <si>
    <t>SFR/O0119/RF19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</si>
  <si>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</si>
  <si>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</si>
  <si>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</si>
  <si>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</si>
  <si>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</si>
  <si>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</si>
  <si>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</si>
  <si>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</si>
  <si>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</si>
  <si>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</si>
  <si>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</si>
  <si>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</si>
  <si>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</si>
  <si>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</si>
  <si>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</si>
  <si>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</si>
  <si>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</si>
  <si>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</si>
  <si>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</si>
  <si>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</si>
  <si>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</si>
  <si>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</si>
  <si>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</si>
  <si>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</si>
  <si>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</si>
  <si>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</si>
  <si>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</si>
  <si>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</si>
  <si>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</si>
  <si>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</si>
  <si>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</si>
  <si>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</si>
  <si>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GASES</t>
  </si>
  <si>
    <t>ACETYLENE A-40 FILLING-ACETYLENE CYLINDERS</t>
  </si>
  <si>
    <t>PCS</t>
  </si>
  <si>
    <t>OXYGEN O-40 FILLING-OXYGEN CYLINDERS</t>
  </si>
  <si>
    <t>SHADE 10 GLASS. 5 SETS 60 X 110 MM FOR ARC WELDING-WELDERS PROTECTION</t>
  </si>
  <si>
    <t>SAFETY SPECTACLES SHADE 4 FOR BRAZING AND GAS WELDING-GAS WELDER ACCESSORIES</t>
  </si>
  <si>
    <t>SAFETY SPECTACLES CLEAR FOR EYE PROTECTION-GAS WELDER ACCESSORIES</t>
  </si>
  <si>
    <t>18/8-321N 3.2X300MM 54 ELECTRODES 1.7 KG-COATED STICK ELECTODES</t>
  </si>
  <si>
    <t>18/8-321N 2.5X300MM 89 ELECTRODES 1.7 KG-COATED STICK ELECTODES</t>
  </si>
  <si>
    <t>SHADE 6 GLASS. 10 PCS DIAMETER 50MM FOR GAS WELDING-GAS WELDER ACCESSORIES</t>
  </si>
  <si>
    <t>GPO-302N BOX 2.5X350MM 295 ELECTRODES 5.2KG-COATED STICK ELECTODES</t>
  </si>
  <si>
    <t>GPO-302N BOX 3.2X350MM 190 ELECTRODES 5.4KG-COATED STICK ELECTODES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</si>
  <si>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</si>
  <si>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</si>
  <si>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</si>
  <si>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</si>
  <si>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</si>
  <si>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</si>
  <si>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</si>
  <si>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</si>
  <si>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</si>
  <si>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</si>
  <si>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</si>
  <si>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</si>
  <si>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</si>
  <si>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</si>
  <si>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</si>
  <si>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</si>
  <si>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</si>
  <si>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</si>
  <si>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</si>
  <si>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</si>
  <si>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</si>
  <si>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</si>
  <si>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</si>
  <si>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</si>
  <si>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</si>
  <si>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</si>
  <si>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GASES, WELDING-CUTTING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</si>
  <si>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</si>
  <si>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</si>
  <si>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</si>
  <si>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</si>
  <si>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</si>
  <si>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</si>
  <si>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</si>
  <si>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</si>
  <si>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</si>
  <si>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</si>
  <si>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</si>
  <si>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</si>
  <si>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</si>
  <si>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</si>
  <si>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</si>
  <si>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</si>
  <si>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</si>
  <si>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</si>
  <si>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</si>
  <si>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</si>
  <si>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</si>
  <si>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</si>
  <si>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</si>
  <si>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</si>
  <si>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</si>
  <si>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</si>
  <si>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</si>
  <si>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</si>
  <si>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</si>
  <si>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</si>
  <si>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</si>
  <si>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</si>
  <si>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</si>
  <si>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</si>
  <si>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</si>
  <si>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</si>
  <si>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</si>
  <si>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</si>
  <si>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</si>
  <si>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</si>
  <si>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</si>
  <si>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</si>
  <si>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</si>
  <si>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</si>
  <si>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</si>
  <si>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</si>
  <si>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</si>
  <si>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</si>
  <si>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</si>
  <si>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</si>
  <si>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</si>
  <si>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</si>
  <si>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</si>
  <si>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</si>
  <si>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</si>
  <si>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</si>
  <si>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</si>
  <si>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</si>
  <si>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</si>
  <si>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</si>
  <si>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</si>
  <si>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</si>
  <si>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</si>
  <si>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</si>
  <si>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</si>
  <si>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</si>
  <si>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</si>
  <si>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</si>
  <si>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</si>
  <si>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</si>
  <si>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</si>
  <si>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</si>
  <si>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</si>
  <si>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</si>
  <si>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</si>
  <si>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</si>
  <si>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</si>
  <si>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</si>
  <si>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</si>
  <si>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</si>
  <si>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BJD1907311755658LET</t>
  </si>
  <si>
    <t>BASED ON ACETYLENE REFILLING</t>
  </si>
  <si>
    <t>BASED ON OXYGEN REFILLING
2.10 TRANSPORTION CHARGE | Price-180.00</t>
  </si>
  <si>
    <t>110*90MM
3.10 UNITOR 633255,DELIVERY TIME 15 WORKING DAYS | Price-106.69</t>
  </si>
  <si>
    <t>4.10 UNITOR 632950 | Price-40.47</t>
  </si>
  <si>
    <t>SAME AS ITEM4
5.10 UNITOR 632943 | Price-27.59</t>
  </si>
  <si>
    <t>ATLANTIC,3.2MM 5KG/PKT</t>
  </si>
  <si>
    <t>ATLANTIC,2.5MM 2KG/PKT</t>
  </si>
  <si>
    <t>UNITOR 633321</t>
  </si>
  <si>
    <t>ATLANTIC,2.5MM 5KG/PKT</t>
  </si>
  <si>
    <t xml:space="preserve">
Date promised : 2019-08-06
Quote validity : 2019-09-02
Item Added - 2.10 : OXYGEN O-40 FILLING-OXYGEN CYLINDERS | Ref.No.:905034 | QTY : 1 | UOM : PCS | Price : 180 USD | Remarks : TRANSPORTION CHARGE
Item Added - 3.10 : SHADE 10 GLASS. 5 SETS 60 X 110 MM FOR ARC WELDING-WELDERS PROTECTION | Ref.No.:633255 | QTY : 0 | UOM : PCS | Price : 106.69 USD | Remarks : UNITOR 633255,DELIVERY TIME 15 WORKING DAYS
Item Added - 4.10 : SAFETY SPECTACLES SHADE 4 FOR BRAZING AND GAS WELDING-GAS WELDER ACCESSORIES | Ref.No.:632950 | QTY : 0 | UOM : PCS | Price : 40.47 USD | Remarks : UNITOR 632950
Item Added - 5.10 : SAFETY SPECTACLES CLEAR FOR EYE PROTECTION-GAS WELDER ACCESSORIES | Ref.No.:632943 | QTY : 0 | UOM : PCS | Price : 27.59 USD | Remarks : UNITOR 632943
 Item Total : 600.44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</si>
</sst>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7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43714.50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99990009860977</v>
      </c>
      <c r="C20" s="227" t="s">
        <v>40</v>
      </c>
      <c r="D20" s="228" t="s">
        <v>41</v>
      </c>
      <c r="E20" s="229"/>
      <c r="F20" s="229">
        <v>905026</v>
      </c>
      <c r="G20" s="229" t="s">
        <v>42</v>
      </c>
      <c r="H20" s="230">
        <v>0</v>
      </c>
      <c r="I20" s="231">
        <v>2</v>
      </c>
      <c r="J20" s="232">
        <v>65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160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99990009860958</v>
      </c>
      <c r="C21" s="227" t="s">
        <v>40</v>
      </c>
      <c r="D21" s="228" t="s">
        <v>43</v>
      </c>
      <c r="E21" s="229"/>
      <c r="F21" s="229">
        <v>905034</v>
      </c>
      <c r="G21" s="229" t="s">
        <v>42</v>
      </c>
      <c r="H21" s="230">
        <v>0</v>
      </c>
      <c r="I21" s="231">
        <v>4</v>
      </c>
      <c r="J21" s="232">
        <v>80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161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99990009861651</v>
      </c>
      <c r="C22" s="227">
        <v>633255</v>
      </c>
      <c r="D22" s="228" t="s">
        <v>44</v>
      </c>
      <c r="E22" s="229"/>
      <c r="F22" s="229">
        <v>633255</v>
      </c>
      <c r="G22" s="229" t="s">
        <v>42</v>
      </c>
      <c r="H22" s="230">
        <v>0</v>
      </c>
      <c r="I22" s="231">
        <v>5</v>
      </c>
      <c r="J22" s="232">
        <v>0.19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162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99990009861469</v>
      </c>
      <c r="C23" s="227">
        <v>632950</v>
      </c>
      <c r="D23" s="228" t="s">
        <v>45</v>
      </c>
      <c r="E23" s="229"/>
      <c r="F23" s="229">
        <v>632950</v>
      </c>
      <c r="G23" s="229" t="s">
        <v>42</v>
      </c>
      <c r="H23" s="230">
        <v>0</v>
      </c>
      <c r="I23" s="231">
        <v>4</v>
      </c>
      <c r="J23" s="232">
        <v>0.71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163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99990009861470</v>
      </c>
      <c r="C24" s="227">
        <v>632943</v>
      </c>
      <c r="D24" s="228" t="s">
        <v>46</v>
      </c>
      <c r="E24" s="229"/>
      <c r="F24" s="229">
        <v>632943</v>
      </c>
      <c r="G24" s="229" t="s">
        <v>42</v>
      </c>
      <c r="H24" s="230">
        <v>0</v>
      </c>
      <c r="I24" s="231">
        <v>3</v>
      </c>
      <c r="J24" s="232">
        <v>0.71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164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99990009861559</v>
      </c>
      <c r="C25" s="227">
        <v>699413</v>
      </c>
      <c r="D25" s="228" t="s">
        <v>47</v>
      </c>
      <c r="E25" s="229"/>
      <c r="F25" s="229">
        <v>699413</v>
      </c>
      <c r="G25" s="229" t="s">
        <v>42</v>
      </c>
      <c r="H25" s="230">
        <v>0</v>
      </c>
      <c r="I25" s="231">
        <v>1</v>
      </c>
      <c r="J25" s="232">
        <v>53.06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165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99990009861579</v>
      </c>
      <c r="C26" s="227">
        <v>699405</v>
      </c>
      <c r="D26" s="228" t="s">
        <v>48</v>
      </c>
      <c r="E26" s="229"/>
      <c r="F26" s="229">
        <v>699405</v>
      </c>
      <c r="G26" s="229" t="s">
        <v>42</v>
      </c>
      <c r="H26" s="230">
        <v>0</v>
      </c>
      <c r="I26" s="231">
        <v>1</v>
      </c>
      <c r="J26" s="232">
        <v>21.22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166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99990009861465</v>
      </c>
      <c r="C27" s="227">
        <v>633321</v>
      </c>
      <c r="D27" s="228" t="s">
        <v>49</v>
      </c>
      <c r="E27" s="229"/>
      <c r="F27" s="229">
        <v>633321</v>
      </c>
      <c r="G27" s="229" t="s">
        <v>42</v>
      </c>
      <c r="H27" s="230">
        <v>0</v>
      </c>
      <c r="I27" s="231">
        <v>10</v>
      </c>
      <c r="J27" s="232">
        <v>4.06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167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99990009861568</v>
      </c>
      <c r="C28" s="227">
        <v>699165</v>
      </c>
      <c r="D28" s="228" t="s">
        <v>50</v>
      </c>
      <c r="E28" s="229"/>
      <c r="F28" s="229">
        <v>699165</v>
      </c>
      <c r="G28" s="229" t="s">
        <v>42</v>
      </c>
      <c r="H28" s="230">
        <v>0</v>
      </c>
      <c r="I28" s="231">
        <v>2</v>
      </c>
      <c r="J28" s="232">
        <v>7.63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168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99990009861567</v>
      </c>
      <c r="C29" s="227">
        <v>699173</v>
      </c>
      <c r="D29" s="228" t="s">
        <v>51</v>
      </c>
      <c r="E29" s="229"/>
      <c r="F29" s="229">
        <v>699173</v>
      </c>
      <c r="G29" s="229" t="s">
        <v>42</v>
      </c>
      <c r="H29" s="230">
        <v>0</v>
      </c>
      <c r="I29" s="231">
        <v>2</v>
      </c>
      <c r="J29" s="232">
        <v>7.19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165</v>
      </c>
      <c r="Q29" s="236"/>
      <c r="R29" s="237"/>
      <c r="S29" s="238"/>
      <c r="T29" s="239"/>
    </row>
    <row r="30" spans="1:20" ht="15" customHeight="1">
      <c r="A30" s="32"/>
      <c r="B30" s="295"/>
      <c r="C30" s="296"/>
      <c r="D30" s="296"/>
      <c r="E30" s="296"/>
      <c r="F30" s="296"/>
      <c r="G30" s="296"/>
      <c r="H30" s="297"/>
      <c r="I30" s="297"/>
      <c r="J30" s="297"/>
      <c r="K30" s="297"/>
      <c r="L30" s="297"/>
      <c r="M30" s="297"/>
      <c r="N30" s="297"/>
      <c r="O30" s="297"/>
      <c r="P30" s="297"/>
      <c r="Q30" s="297"/>
      <c r="R30" s="297"/>
      <c r="S30" s="297"/>
      <c r="T30" s="298"/>
    </row>
    <row r="31" spans="1:20" ht="12.75" customHeight="1">
      <c r="A31" s="289" t="s">
        <v>28</v>
      </c>
      <c r="B31" s="289"/>
      <c r="C31" s="290" t="s">
        <v>52</v>
      </c>
      <c r="D31" s="291"/>
      <c r="E31" s="291"/>
      <c r="F31" s="291"/>
      <c r="G31" s="291"/>
      <c r="H31" s="291"/>
      <c r="I31" s="292"/>
      <c r="J31" s="292" t="s">
        <v>53</v>
      </c>
      <c r="K31" s="292"/>
      <c r="L31" s="292" t="s">
        <v>35</v>
      </c>
      <c r="M31" s="292" t="s">
        <v>36</v>
      </c>
      <c r="N31" s="293" t="s">
        <v>54</v>
      </c>
      <c r="O31" s="294" t="s">
        <v>38</v>
      </c>
      <c r="P31" s="294"/>
      <c r="Q31" s="294"/>
      <c r="R31" s="294"/>
      <c r="S31" s="294"/>
      <c r="T31" s="225"/>
    </row>
    <row r="32" spans="1:20" ht="15" customHeight="1">
      <c r="A32" s="269">
        <v>1</v>
      </c>
      <c r="B32" s="270"/>
      <c r="C32" s="271" t="s">
        <v>55</v>
      </c>
      <c r="D32" s="272" t="s">
        <v>55</v>
      </c>
      <c r="E32" s="272" t="s">
        <v>55</v>
      </c>
      <c r="F32" s="272" t="s">
        <v>55</v>
      </c>
      <c r="G32" s="272" t="s">
        <v>55</v>
      </c>
      <c r="H32" s="273" t="s">
        <v>55</v>
      </c>
      <c r="I32" s="274"/>
      <c r="J32" s="275">
        <v>0</v>
      </c>
      <c r="K32" s="276"/>
      <c r="L32" s="277">
        <v>0</v>
      </c>
      <c r="M32" s="277">
        <v>0</v>
      </c>
      <c r="N32" s="285">
        <f>(J32-(J32*L32/100)+((J32-(J32*L32/100))*M32/100))</f>
      </c>
      <c r="O32" s="286"/>
      <c r="P32" s="287"/>
      <c r="Q32" s="287"/>
      <c r="R32" s="287"/>
      <c r="S32" s="288"/>
      <c r="T32" s="283"/>
    </row>
    <row r="33" spans="1:20" ht="15" customHeight="1">
      <c r="A33" s="269">
        <v>2</v>
      </c>
      <c r="B33" s="270"/>
      <c r="C33" s="271" t="s">
        <v>56</v>
      </c>
      <c r="D33" s="272" t="s">
        <v>56</v>
      </c>
      <c r="E33" s="272" t="s">
        <v>56</v>
      </c>
      <c r="F33" s="272" t="s">
        <v>56</v>
      </c>
      <c r="G33" s="272" t="s">
        <v>56</v>
      </c>
      <c r="H33" s="273" t="s">
        <v>56</v>
      </c>
      <c r="I33" s="284"/>
      <c r="J33" s="275">
        <v>0</v>
      </c>
      <c r="K33" s="276"/>
      <c r="L33" s="277">
        <v>0</v>
      </c>
      <c r="M33" s="277">
        <v>0</v>
      </c>
      <c r="N33" s="279">
        <f>(J33-(J33*L33/100)+((J33-(J33*L33/100))*M33/100))</f>
      </c>
      <c r="O33" s="280"/>
      <c r="P33" s="281"/>
      <c r="Q33" s="281"/>
      <c r="R33" s="281"/>
      <c r="S33" s="282"/>
      <c r="T33" s="283"/>
    </row>
    <row r="34" spans="1:20" ht="15" customHeight="1">
      <c r="A34" s="269">
        <v>3</v>
      </c>
      <c r="B34" s="270"/>
      <c r="C34" s="271"/>
      <c r="D34" s="272"/>
      <c r="E34" s="272"/>
      <c r="F34" s="272"/>
      <c r="G34" s="272"/>
      <c r="H34" s="273"/>
      <c r="I34" s="274"/>
      <c r="J34" s="275">
        <v>0</v>
      </c>
      <c r="K34" s="276"/>
      <c r="L34" s="277">
        <v>0</v>
      </c>
      <c r="M34" s="277">
        <v>0</v>
      </c>
      <c r="N34" s="279">
        <f>(J34-(J34*L34/100)+((J34-(J34*L34/100))*M34/100))</f>
      </c>
      <c r="O34" s="280"/>
      <c r="P34" s="281"/>
      <c r="Q34" s="281"/>
      <c r="R34" s="281"/>
      <c r="S34" s="282"/>
      <c r="T34" s="283"/>
    </row>
    <row r="35" spans="1:20" ht="15.75" customHeight="1">
      <c r="A35" s="269">
        <v>4</v>
      </c>
      <c r="B35" s="270"/>
      <c r="C35" s="271"/>
      <c r="D35" s="272"/>
      <c r="E35" s="272"/>
      <c r="F35" s="272"/>
      <c r="G35" s="272"/>
      <c r="H35" s="273"/>
      <c r="I35" s="274"/>
      <c r="J35" s="275">
        <v>0</v>
      </c>
      <c r="K35" s="276"/>
      <c r="L35" s="277">
        <v>0</v>
      </c>
      <c r="M35" s="278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16" ht="15.95" customHeight="1">
      <c r="A36" s="247"/>
      <c r="B36" s="247"/>
      <c r="C36" s="248"/>
      <c r="D36" s="248"/>
      <c r="I36" s="163"/>
      <c r="J36" s="58" t="s">
        <v>57</v>
      </c>
      <c r="K36" s="59"/>
      <c r="L36" s="58"/>
      <c r="M36" s="59"/>
      <c r="N36" s="264">
        <f>SUM(ItmPrice)</f>
      </c>
      <c r="O36" s="267"/>
      <c r="P36" s="268"/>
    </row>
    <row r="37" spans="1:16" ht="15" customHeight="1">
      <c r="A37" s="247"/>
      <c r="B37" s="247"/>
      <c r="C37" s="248"/>
      <c r="D37" s="248"/>
      <c r="I37" s="163"/>
      <c r="J37" s="123" t="s">
        <v>58</v>
      </c>
      <c r="K37" s="124"/>
      <c r="L37" s="124"/>
      <c r="M37" s="125"/>
      <c r="N37" s="264">
        <f>SUM(N32:N36)</f>
      </c>
      <c r="O37" s="265"/>
      <c r="P37" s="266"/>
    </row>
    <row r="38" spans="1:19" ht="2.25" customHeight="1" hidden="1">
      <c r="A38" s="258">
        <v>0</v>
      </c>
      <c r="B38" s="258">
        <v>0</v>
      </c>
      <c r="C38" s="259">
        <v>0</v>
      </c>
      <c r="D38" s="248"/>
      <c r="E38" s="248"/>
      <c r="F38" s="260">
        <v>1</v>
      </c>
      <c r="G38" s="248"/>
      <c r="H38" s="248"/>
      <c r="I38" s="248"/>
      <c r="J38" s="248"/>
      <c r="K38" s="261"/>
      <c r="L38" s="262">
        <v>0</v>
      </c>
      <c r="M38" s="263">
        <v>0</v>
      </c>
      <c r="N38" s="162" t="s">
        <v>59</v>
      </c>
      <c r="O38" s="257"/>
      <c r="P38" s="263">
        <v>995</v>
      </c>
      <c r="Q38" s="248" t="s">
        <v>60</v>
      </c>
      <c r="R38" s="248"/>
      <c r="S38" s="248"/>
    </row>
    <row r="39" spans="1:19" ht="18.75" customHeight="1">
      <c r="A39" s="247"/>
      <c r="B39" s="247"/>
      <c r="C39" s="247"/>
      <c r="H39" s="257"/>
      <c r="I39" s="163"/>
      <c r="J39" s="248"/>
      <c r="K39" s="248"/>
      <c r="L39" s="248"/>
      <c r="M39" s="248"/>
      <c r="N39" s="248"/>
      <c r="O39" s="248"/>
      <c r="P39" s="248"/>
      <c r="R39" s="248"/>
      <c r="S39" s="248"/>
    </row>
    <row r="40" spans="1:20" ht="127.5" customHeight="1">
      <c r="A40" s="249" t="s">
        <v>61</v>
      </c>
      <c r="B40" s="249"/>
      <c r="C40" s="249"/>
      <c r="D40" s="250"/>
      <c r="E40" s="254"/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  <c r="R40" s="255"/>
      <c r="S40" s="255"/>
      <c r="T40" s="256"/>
    </row>
    <row r="41" spans="1:20" ht="129.75" customHeight="1">
      <c r="A41" s="249" t="s">
        <v>38</v>
      </c>
      <c r="B41" s="249"/>
      <c r="C41" s="249"/>
      <c r="D41" s="250"/>
      <c r="E41" s="251" t="s">
        <v>169</v>
      </c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3"/>
    </row>
    <row r="42" spans="1:19" ht="15.95" customHeight="1">
      <c r="A42" s="247"/>
      <c r="B42" s="247"/>
      <c r="C42" s="247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</row>
    <row r="43" spans="1:20" ht="15.95" customHeight="1">
      <c r="A43" s="245" t="s">
        <v>62</v>
      </c>
      <c r="B43" s="245"/>
      <c r="C43" s="245"/>
      <c r="D43" s="245"/>
      <c r="E43" s="245"/>
      <c r="F43" s="24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6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7.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7.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2"/>
    </row>
    <row r="67" spans="1:9" ht="12.75">
      <c r="A67" s="240" t="s">
        <v>63</v>
      </c>
      <c r="B67" s="240"/>
      <c r="C67" s="240"/>
      <c r="D67" s="240"/>
      <c r="E67" s="240"/>
      <c r="F67" s="240"/>
      <c r="G67" s="240"/>
      <c r="I67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5">
    <mergeCell ref="E40:S40"/>
    <mergeCell ref="E41:S41"/>
    <mergeCell ref="E43:S43"/>
    <mergeCell ref="A44:S65"/>
    <mergeCell ref="A66:S66"/>
    <mergeCell ref="A40:D40"/>
    <mergeCell ref="A41:D41"/>
    <mergeCell ref="K1:R1"/>
    <mergeCell ref="R19:S19"/>
    <mergeCell ref="R20:S20"/>
    <mergeCell ref="O32:S32"/>
    <mergeCell ref="O33:S33"/>
    <mergeCell ref="O31:S31"/>
    <mergeCell ref="J31:K31"/>
    <mergeCell ref="K4:L4"/>
    <mergeCell ref="M4:P4"/>
    <mergeCell ref="K5:L5"/>
    <mergeCell ref="M5:P5"/>
    <mergeCell ref="M7:Q7"/>
    <mergeCell ref="P20:Q20"/>
    <mergeCell ref="M12:O12"/>
    <mergeCell ref="K12:L12"/>
    <mergeCell ref="O36:P36"/>
    <mergeCell ref="O37:P37"/>
    <mergeCell ref="J37:M37"/>
    <mergeCell ref="O34:S34"/>
    <mergeCell ref="O35:S35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1:H31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C32:H32"/>
    <mergeCell ref="J32:K32"/>
    <mergeCell ref="C33:H33"/>
    <mergeCell ref="J33:K33"/>
    <mergeCell ref="C34:H34"/>
    <mergeCell ref="J34:K34"/>
    <mergeCell ref="C35:H35"/>
    <mergeCell ref="J35:K35"/>
  </mergeCells>
  <dataValidations count="5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list" allowBlank="1" showInputMessage="1" showErrorMessage="1" sqref="C32:H32">
      <formula1>'MasterData'!$H$1:$H$20</formula1>
    </dataValidation>
    <dataValidation type="list" allowBlank="1" showInputMessage="1" showErrorMessage="1" sqref="C33:H33">
      <formula1>'MasterData'!$H$1:$H$20</formula1>
    </dataValidation>
    <dataValidation type="list" allowBlank="1" showInputMessage="1" showErrorMessage="1" sqref="C34:H34">
      <formula1>'MasterData'!$H$1:$H$20</formula1>
    </dataValidation>
    <dataValidation type="list" allowBlank="1" showInputMessage="1" showErrorMessage="1" sqref="C35:H35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55</v>
      </c>
      <c r="M1" s="300" t="s">
        <v>64</v>
      </c>
      <c r="N1" s="301" t="s">
        <v>0</v>
      </c>
      <c r="O1" s="162" t="s">
        <v>65</v>
      </c>
    </row>
    <row r="2" spans="7:15" ht="12.75">
      <c r="G2" s="162">
        <v>1001310</v>
      </c>
      <c r="H2" s="162" t="s">
        <v>56</v>
      </c>
      <c r="M2" s="300" t="s">
        <v>66</v>
      </c>
      <c r="N2" s="301">
        <v>1020657198</v>
      </c>
      <c r="O2" s="162" t="s">
        <v>67</v>
      </c>
    </row>
    <row r="3" spans="7:15" ht="12.75">
      <c r="G3" s="162">
        <v>1001352</v>
      </c>
      <c r="H3" s="162" t="s">
        <v>52</v>
      </c>
      <c r="M3" s="300" t="s">
        <v>68</v>
      </c>
      <c r="N3" s="301">
        <v>99990000415602</v>
      </c>
      <c r="O3" s="162" t="s">
        <v>69</v>
      </c>
    </row>
    <row r="4" spans="7:15" ht="12.75">
      <c r="G4" s="162">
        <v>1012729</v>
      </c>
      <c r="H4" s="162" t="s">
        <v>70</v>
      </c>
      <c r="M4" s="300" t="s">
        <v>71</v>
      </c>
      <c r="N4" s="301">
        <v>1021648428</v>
      </c>
      <c r="O4" s="162" t="s">
        <v>72</v>
      </c>
    </row>
    <row r="5" spans="7:15" ht="12.75">
      <c r="G5" s="162">
        <v>1012730</v>
      </c>
      <c r="H5" s="162" t="s">
        <v>73</v>
      </c>
      <c r="M5" s="300" t="s">
        <v>74</v>
      </c>
      <c r="N5" s="301"/>
      <c r="O5" s="162" t="s">
        <v>75</v>
      </c>
    </row>
    <row r="6" spans="7:15" ht="12.75">
      <c r="G6" s="162">
        <v>1012731</v>
      </c>
      <c r="H6" s="162" t="s">
        <v>76</v>
      </c>
      <c r="M6" s="300" t="s">
        <v>77</v>
      </c>
      <c r="N6" s="301" t="s">
        <v>78</v>
      </c>
      <c r="O6" s="162" t="s">
        <v>79</v>
      </c>
    </row>
    <row r="7" spans="7:15" ht="12.75">
      <c r="G7" s="162">
        <v>1012732</v>
      </c>
      <c r="H7" s="162" t="s">
        <v>80</v>
      </c>
      <c r="M7" s="300" t="s">
        <v>81</v>
      </c>
      <c r="N7" s="301">
        <v>0</v>
      </c>
      <c r="O7" s="162" t="s">
        <v>82</v>
      </c>
    </row>
    <row r="8" spans="7:15" ht="12.75">
      <c r="G8" s="162">
        <v>1012733</v>
      </c>
      <c r="H8" s="162" t="s">
        <v>83</v>
      </c>
      <c r="O8" s="162" t="s">
        <v>84</v>
      </c>
    </row>
    <row r="9" spans="7:15" ht="12.75">
      <c r="G9" s="162">
        <v>1012735</v>
      </c>
      <c r="H9" s="162" t="s">
        <v>85</v>
      </c>
      <c r="O9" s="162" t="s">
        <v>86</v>
      </c>
    </row>
    <row r="10" spans="7:15" ht="12.75">
      <c r="G10" s="162">
        <v>1012736</v>
      </c>
      <c r="H10" s="162" t="s">
        <v>87</v>
      </c>
      <c r="O10" s="162" t="s">
        <v>88</v>
      </c>
    </row>
    <row r="11" spans="7:15" ht="12.75">
      <c r="G11" s="162">
        <v>1012737</v>
      </c>
      <c r="H11" s="162" t="s">
        <v>89</v>
      </c>
      <c r="O11" s="162" t="s">
        <v>90</v>
      </c>
    </row>
    <row r="12" spans="7:15" ht="12.75">
      <c r="G12" s="162">
        <v>1012738</v>
      </c>
      <c r="H12" s="162" t="s">
        <v>91</v>
      </c>
      <c r="O12" s="162" t="s">
        <v>92</v>
      </c>
    </row>
    <row r="13" spans="7:15" ht="12.75">
      <c r="G13" s="162">
        <v>1012739</v>
      </c>
      <c r="H13" s="162" t="s">
        <v>93</v>
      </c>
      <c r="O13" s="162" t="s">
        <v>94</v>
      </c>
    </row>
    <row r="14" spans="7:15" ht="12.75">
      <c r="G14" s="162">
        <v>1012740</v>
      </c>
      <c r="H14" s="162" t="s">
        <v>95</v>
      </c>
      <c r="O14" s="162" t="s">
        <v>96</v>
      </c>
    </row>
    <row r="15" spans="7:15" ht="12.75">
      <c r="G15" s="162">
        <v>1012741</v>
      </c>
      <c r="H15" s="162" t="s">
        <v>97</v>
      </c>
      <c r="O15" s="162" t="s">
        <v>98</v>
      </c>
    </row>
    <row r="16" spans="7:15" ht="12.75">
      <c r="G16" s="162">
        <v>1012742</v>
      </c>
      <c r="H16" s="162" t="s">
        <v>99</v>
      </c>
      <c r="O16" s="162" t="s">
        <v>100</v>
      </c>
    </row>
    <row r="17" spans="7:15" ht="12.75">
      <c r="G17" s="162">
        <v>1012743</v>
      </c>
      <c r="H17" s="162" t="s">
        <v>101</v>
      </c>
      <c r="O17" s="162" t="s">
        <v>102</v>
      </c>
    </row>
    <row r="18" spans="7:15" ht="12.75">
      <c r="G18" s="162">
        <v>1012744</v>
      </c>
      <c r="H18" s="162" t="s">
        <v>103</v>
      </c>
      <c r="O18" s="162" t="s">
        <v>104</v>
      </c>
    </row>
    <row r="19" spans="7:15" ht="12.75">
      <c r="G19" s="162">
        <v>1020032</v>
      </c>
      <c r="H19" s="162" t="s">
        <v>105</v>
      </c>
      <c r="O19" s="162" t="s">
        <v>106</v>
      </c>
    </row>
    <row r="20" spans="7:15" ht="12.75">
      <c r="G20" s="162">
        <v>1020033</v>
      </c>
      <c r="H20" s="162" t="s">
        <v>107</v>
      </c>
      <c r="O20" s="162" t="s">
        <v>108</v>
      </c>
    </row>
    <row r="21" ht="12.75">
      <c r="O21" s="162" t="s">
        <v>109</v>
      </c>
    </row>
    <row r="22" ht="12.75">
      <c r="O22" s="162" t="s">
        <v>110</v>
      </c>
    </row>
    <row r="23" ht="12.75">
      <c r="O23" s="162" t="s">
        <v>111</v>
      </c>
    </row>
    <row r="24" ht="12.75">
      <c r="O24" s="162" t="s">
        <v>112</v>
      </c>
    </row>
    <row r="25" ht="12.75">
      <c r="O25" s="162" t="s">
        <v>113</v>
      </c>
    </row>
    <row r="26" ht="12.75">
      <c r="O26" s="162" t="s">
        <v>114</v>
      </c>
    </row>
    <row r="27" ht="12.75">
      <c r="O27" s="162" t="s">
        <v>115</v>
      </c>
    </row>
    <row r="28" ht="12.75">
      <c r="O28" s="162" t="s">
        <v>116</v>
      </c>
    </row>
    <row r="29" ht="12.75">
      <c r="O29" s="162" t="s">
        <v>117</v>
      </c>
    </row>
    <row r="30" ht="12.75">
      <c r="O30" s="162" t="s">
        <v>118</v>
      </c>
    </row>
    <row r="31" ht="12.75">
      <c r="O31" s="162" t="s">
        <v>119</v>
      </c>
    </row>
    <row r="32" ht="12.75">
      <c r="O32" s="162" t="s">
        <v>120</v>
      </c>
    </row>
    <row r="33" ht="12.75">
      <c r="O33" s="162" t="s">
        <v>121</v>
      </c>
    </row>
    <row r="34" ht="12.75">
      <c r="O34" s="162" t="s">
        <v>122</v>
      </c>
    </row>
    <row r="35" ht="12.75">
      <c r="O35" s="162" t="s">
        <v>123</v>
      </c>
    </row>
    <row r="36" ht="12.75">
      <c r="O36" s="162" t="s">
        <v>124</v>
      </c>
    </row>
    <row r="37" ht="12.75">
      <c r="O37" s="162" t="s">
        <v>125</v>
      </c>
    </row>
    <row r="38" ht="12.75">
      <c r="O38" s="162" t="s">
        <v>126</v>
      </c>
    </row>
    <row r="39" ht="12.75">
      <c r="O39" s="162" t="s">
        <v>127</v>
      </c>
    </row>
    <row r="40" ht="12.75">
      <c r="O40" s="162" t="s">
        <v>128</v>
      </c>
    </row>
    <row r="41" ht="12.75">
      <c r="O41" s="162" t="s">
        <v>129</v>
      </c>
    </row>
    <row r="42" ht="12.75">
      <c r="O42" s="162" t="s">
        <v>130</v>
      </c>
    </row>
    <row r="43" ht="12.75">
      <c r="O43" s="162" t="s">
        <v>131</v>
      </c>
    </row>
    <row r="44" ht="12.75">
      <c r="O44" s="162" t="s">
        <v>132</v>
      </c>
    </row>
    <row r="45" ht="12.75">
      <c r="O45" s="162" t="s">
        <v>133</v>
      </c>
    </row>
    <row r="46" ht="12.75">
      <c r="O46" s="162" t="s">
        <v>134</v>
      </c>
    </row>
    <row r="47" ht="12.75">
      <c r="O47" s="162" t="s">
        <v>135</v>
      </c>
    </row>
    <row r="48" ht="12.75">
      <c r="O48" s="162" t="s">
        <v>136</v>
      </c>
    </row>
    <row r="49" ht="12.75">
      <c r="O49" s="162" t="s">
        <v>137</v>
      </c>
    </row>
    <row r="50" ht="12.75">
      <c r="O50" s="162" t="s">
        <v>138</v>
      </c>
    </row>
    <row r="51" ht="12.75">
      <c r="O51" s="162" t="s">
        <v>139</v>
      </c>
    </row>
    <row r="52" ht="12.75">
      <c r="O52" s="162" t="s">
        <v>140</v>
      </c>
    </row>
    <row r="53" ht="12.75">
      <c r="O53" s="162" t="s">
        <v>141</v>
      </c>
    </row>
    <row r="54" ht="12.75">
      <c r="O54" s="162" t="s">
        <v>142</v>
      </c>
    </row>
    <row r="55" ht="12.75">
      <c r="O55" s="162" t="s">
        <v>143</v>
      </c>
    </row>
    <row r="56" ht="12.75">
      <c r="O56" s="162" t="s">
        <v>144</v>
      </c>
    </row>
    <row r="57" ht="12.75">
      <c r="O57" s="162" t="s">
        <v>145</v>
      </c>
    </row>
    <row r="58" ht="12.75">
      <c r="O58" s="162" t="s">
        <v>146</v>
      </c>
    </row>
    <row r="59" ht="12.75">
      <c r="O59" s="162" t="s">
        <v>147</v>
      </c>
    </row>
    <row r="60" ht="12.75">
      <c r="O60" s="162" t="s">
        <v>148</v>
      </c>
    </row>
    <row r="61" ht="12.75">
      <c r="O61" s="162" t="s">
        <v>149</v>
      </c>
    </row>
    <row r="62" ht="12.75">
      <c r="O62" s="162" t="s">
        <v>150</v>
      </c>
    </row>
    <row r="63" ht="12.75">
      <c r="O63" s="162" t="s">
        <v>151</v>
      </c>
    </row>
    <row r="64" ht="12.75">
      <c r="O64" s="162" t="s">
        <v>152</v>
      </c>
    </row>
    <row r="65" ht="12.75">
      <c r="O65" s="162" t="s">
        <v>153</v>
      </c>
    </row>
    <row r="66" ht="12.75">
      <c r="O66" s="162" t="s">
        <v>154</v>
      </c>
    </row>
    <row r="67" ht="12.75">
      <c r="O67" s="162" t="s">
        <v>155</v>
      </c>
    </row>
    <row r="68" ht="12.75">
      <c r="O68" s="162" t="s">
        <v>156</v>
      </c>
    </row>
    <row r="69" ht="12.75">
      <c r="O69" s="162" t="s">
        <v>157</v>
      </c>
    </row>
    <row r="70" ht="12.75">
      <c r="O70" s="162" t="s">
        <v>158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