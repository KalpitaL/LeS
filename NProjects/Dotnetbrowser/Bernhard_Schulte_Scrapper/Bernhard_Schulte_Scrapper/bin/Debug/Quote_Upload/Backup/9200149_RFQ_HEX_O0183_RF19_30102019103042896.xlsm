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Quote!$A$1:$R$194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Quote!$A$175</definedName>
    <definedName name="Enquiry_To_Vendor_ID" comment="Enquiry to Vendor ID">Quote!$C$175</definedName>
    <definedName name="GrandTotal">Quote!$N$174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Quote!$A$167</definedName>
    <definedName name="ItemListStartupRow" comment="Item List Start Up Row">Quote!$A$19</definedName>
    <definedName name="ItemSubTotal">Quote!$N$173</definedName>
    <definedName name="ItemSubTotalTitle">Quote!$J$173</definedName>
    <definedName name="LeadDay">Quote!$M$11</definedName>
    <definedName name="Lock">Quote!$M$175</definedName>
    <definedName name="LoggedInEmailID">Quote!$N$175</definedName>
    <definedName name="LoggedInPwd">Quote!$O$175</definedName>
    <definedName name="OtherCharges">Quote!$C$169</definedName>
    <definedName name="OtherChargesLastRow">Quote!$A$173</definedName>
    <definedName name="OtherChargesStartRow">Quote!$A$168</definedName>
    <definedName name="Port">Quote!$P$175</definedName>
    <definedName name="PortOfDelivery" comment="Port of Delivery">Quote!$M$9</definedName>
    <definedName name="PurchaserName">Quote!$J$175</definedName>
    <definedName name="QuoteBefore">Quote!$M$8</definedName>
    <definedName name="QuoteID">MasterData!$N$7</definedName>
    <definedName name="QuoteSubject">Quote!$E$175</definedName>
    <definedName name="Remarks">Quote!$E$177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Quote!$K$175</definedName>
    <definedName name="SentIndex">Quote!$L$175</definedName>
    <definedName name="Server">Quote!$Q$175</definedName>
    <definedName name="Terms">Quote!$A$181:$T$202</definedName>
    <definedName name="ToEmailID">Quote!$I$175</definedName>
    <definedName name="ToEmailPwd">Quote!$H$175</definedName>
    <definedName name="VAL">Quote!$F$175</definedName>
    <definedName name="VAT_All">Quote!$M$16</definedName>
    <definedName name="Vendor_ID" comment="Vendor ID">Quote!$B$175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Quote!$D$175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Quote!$E$178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,Quote!$N$81:$N$81,Quote!$N$82:$N$82,Quote!$N$83:$N$83,Quote!$N$84:$N$84,Quote!$N$85:$N$85,Quote!$N$86:$N$86,Quote!$N$87:$N$87,Quote!$N$88:$N$88,Quote!$N$89:$N$89,Quote!$N$90:$N$90,Quote!$N$91:$N$91,Quote!$N$92:$N$92,Quote!$N$93:$N$93,Quote!$N$94:$N$94,Quote!$N$95:$N$95,Quote!$N$96:$N$96,Quote!$N$97:$N$97,Quote!$N$98:$N$98,Quote!$N$99:$N$99,Quote!$N$100:$N$100,Quote!$N$101:$N$101,Quote!$N$102:$N$102,Quote!$N$103:$N$103,Quote!$N$104:$N$104,Quote!$N$105:$N$105,Quote!$N$106:$N$106,Quote!$N$107:$N$107,Quote!$N$108:$N$108,Quote!$N$109:$N$109,Quote!$N$110:$N$110,Quote!$N$111:$N$111,Quote!$N$112:$N$112,Quote!$N$113:$N$113,Quote!$N$114:$N$114,Quote!$N$115:$N$115,Quote!$N$116:$N$116,Quote!$N$117:$N$117,Quote!$N$118:$N$118,Quote!$N$119:$N$119,Quote!$N$120:$N$120,Quote!$N$121:$N$121,Quote!$N$122:$N$122,Quote!$N$123:$N$123,Quote!$N$124:$N$124,Quote!$N$125:$N$125,Quote!$N$126:$N$126,Quote!$N$127:$N$127,Quote!$N$128:$N$128,Quote!$N$129:$N$129,Quote!$N$130:$N$130,Quote!$N$131:$N$131,Quote!$N$132:$N$132,Quote!$N$133:$N$133,Quote!$N$134:$N$134,Quote!$N$135:$N$135,Quote!$N$136:$N$136,Quote!$N$137:$N$137,Quote!$N$138:$N$138,Quote!$N$139:$N$139,Quote!$N$140:$N$140,Quote!$N$141:$N$141,Quote!$N$142:$N$142,Quote!$N$143:$N$143,Quote!$N$144:$N$144,Quote!$N$145:$N$145,Quote!$N$146:$N$146,Quote!$N$147:$N$147,Quote!$N$148:$N$148,Quote!$N$149:$N$149,Quote!$N$150:$N$150,Quote!$N$151:$N$151,Quote!$N$152:$N$152,Quote!$N$153:$N$153,Quote!$N$154:$N$154,Quote!$N$155:$N$155,Quote!$N$156:$N$156,Quote!$N$157:$N$157,Quote!$N$158:$N$158,Quote!$N$159:$N$159,Quote!$N$160:$N$160,Quote!$N$161:$N$161,Quote!$N$162:$N$162,Quote!$N$163:$N$163,Quote!$N$164:$N$164,Quote!$N$165:$N$165,Quote!$N$166:$N$166</definedName>
  </definedNames>
  <calcPr fullCalcOnLoad="1"/>
</workbook>
</file>

<file path=xl/sharedStrings.xml><?xml version="1.0" encoding="utf-8"?>
<sst xmlns="http://schemas.openxmlformats.org/spreadsheetml/2006/main" count="510" uniqueCount="343">
  <si>
    <t>RFQ</t>
  </si>
  <si>
    <t>Request for Quote</t>
  </si>
  <si>
    <t>Invoice To</t>
  </si>
  <si>
    <t>Bernhard Schulte Shipmanagement (Singapore) Pte. Ltd.
MASTER  &amp; OWNER OF HARUNA EXPRESS,
REGD. OWNER: PACIFIC LINK SHIPPING LIMITED,
AS AGENTS: BERNHARD SCHULTE SHIPMANAGEMENT (SINGAPORE) PTE LTD
BERNHARD SCHULTE HOUSE,
108 MIDDLE ROAD, #08-00,
SINGAPORE 188967
ATTN:- Accounts Department
PLEASE SEND SOFT COPY TO THE RESPECTIVE EMAIL ADDRESS:- 
For FINAL INVOICES:- sg-smc-acct@bs-shipmanagement.com
For DISBURSEMENTS:- sg-smc-fleetacct@bs-shipmanagement.com
For SUPPLIER’S SOA/BILLINGS:- sg-smc-acctsoa@bs-shipmanagement.com</t>
  </si>
  <si>
    <t>Vessel</t>
  </si>
  <si>
    <t>Haruna Express</t>
  </si>
  <si>
    <t>RFQ No.</t>
  </si>
  <si>
    <t>HEX/O0183/RF19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</si>
  <si>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</si>
  <si>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</si>
  <si>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</si>
  <si>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</si>
  <si>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</si>
  <si>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</si>
  <si>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</si>
  <si>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</si>
  <si>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</si>
  <si>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</si>
  <si>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</si>
  <si>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</si>
  <si>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</si>
  <si>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</si>
  <si>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</si>
  <si>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</si>
  <si>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</si>
  <si>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</si>
  <si>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</si>
  <si>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</si>
  <si>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</si>
  <si>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</si>
  <si>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</si>
  <si>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</si>
  <si>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</si>
  <si>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</si>
  <si>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</si>
  <si>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</si>
  <si>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</si>
  <si>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</si>
  <si>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</si>
  <si>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</si>
  <si>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HANDWHEEL FOR JIS VALVE, CAST IRON 100X10MM AD340010</t>
  </si>
  <si>
    <t>PCS</t>
  </si>
  <si>
    <t>HANDWHEEL FOR JIS VALVE, CAST IRON 80X8MM AD340008</t>
  </si>
  <si>
    <t>HANDWHEEL FOR JIS VALVE, CAST IRON 160X14MM AD340016</t>
  </si>
  <si>
    <t>RAG COTTON 100% STERILIZED, WHITE</t>
  </si>
  <si>
    <t>KGS</t>
  </si>
  <si>
    <t>QUOTED 25KG/BAG, PRICE PER BAG</t>
  </si>
  <si>
    <t>BATTERY DRY CELL R03(UM-4) 1.5V LEAK-PROOF</t>
  </si>
  <si>
    <t>BATTERY DRY CELL R6P(UM-3) 1.5V LEAK-PROOF</t>
  </si>
  <si>
    <t>BATTERY DRY CELL R1(UM-5) 1.5V</t>
  </si>
  <si>
    <t>BATTERY DRY CELL R20P(UM-1) 1.5V LEAK-PROOF</t>
  </si>
  <si>
    <t>BAKELITE SHEET, 3X1000X1000MM</t>
  </si>
  <si>
    <t>SHT</t>
  </si>
  <si>
    <t>PADLOCK BRASS 40MM, MASTER KEY SYSTEM</t>
  </si>
  <si>
    <t>WRINGER MOP BUCKET (Hard Plastic)</t>
  </si>
  <si>
    <t>BRUSH RADIATOR ANGLE(DOG LEG), 50MM WIDTH</t>
  </si>
  <si>
    <t>BRUSH RADIATOR ANGLE(DOG LEG) 65MM WIDTH</t>
  </si>
  <si>
    <t>BRUSH PAINT ROLLER MINI, WITH HANDLE 100MM WIDTH</t>
  </si>
  <si>
    <t>SET</t>
  </si>
  <si>
    <t>SPARE MINI ROLLER 100MM WIDTH</t>
  </si>
  <si>
    <t>WRENCH SET ALLEN HEXAGON, 2.5-12MM 8'S</t>
  </si>
  <si>
    <t>BATTERY DRY CELL R14P(UM-2) C 1.5V EVEREADY 1235SW-2 2'S/PKT</t>
  </si>
  <si>
    <t>JOINT SHEET NATURAL RUBBER 3.0X1000X1000MM</t>
  </si>
  <si>
    <t>MTR</t>
  </si>
  <si>
    <t>PRTCONS</t>
  </si>
  <si>
    <t>POCKET NOTEBOOK HARD COVERED, 150PAGE</t>
  </si>
  <si>
    <t>VOL</t>
  </si>
  <si>
    <t>LAMINATING POUCH FILM (100'S) - A4 size</t>
  </si>
  <si>
    <t>PKT</t>
  </si>
  <si>
    <t>TAPE PAPER DOUBLE SIDE GUMMED, 15MMX20MTR</t>
  </si>
  <si>
    <t>RLS</t>
  </si>
  <si>
    <t>TAPE PAPER DOUBLE SIDE GUMMED, 50MM X 10MTR</t>
  </si>
  <si>
    <t>LANTERN LED SAFETY APPROVED, BRIGHTSTAR 2206LED 4 CELLS</t>
  </si>
  <si>
    <t>KINDLY PROVIDE LED SAFETY APPROVED LIGHT</t>
  </si>
  <si>
    <t>HANDWHEEL FOR JIS VALVE, CAST IRON 140X12MM AD340014</t>
  </si>
  <si>
    <t>HANDWHEEL FOR JIS VALVE, CAST IRON 125X10MM AD340012</t>
  </si>
  <si>
    <t>GLOBE HOSE VALVE CAST-IRON, FLANGE&amp;COUPLING F7333 10K-65MM</t>
  </si>
  <si>
    <t>ANGLE HOSE VALVE CAST-IRON, FLANGE&amp;COUPLING F7333 10K-65MM</t>
  </si>
  <si>
    <t>INDICATOR MORTISE LATCH, WITH LEVER HANDLE OHS#2220</t>
  </si>
  <si>
    <t>RIGHT HAND</t>
  </si>
  <si>
    <t>CYLINDER MORTISE LOCK, WITH LEVER HANDLE OHS#2320</t>
  </si>
  <si>
    <t>HEAVING LINE NYLON, 1"CIRX200MTR</t>
  </si>
  <si>
    <t>C/L</t>
  </si>
  <si>
    <t>HAMMER CHIPPING WITH HANDLE, 225GRM</t>
  </si>
  <si>
    <t>HAMMER CHIPPING WITH HANDLE, 450GRM</t>
  </si>
  <si>
    <t>LAMP MERCURY REFLECTOR HRF, 400W E-39</t>
  </si>
  <si>
    <t>PLUG &amp; RECEPTACLE 2-FLAT PIN, NON-WATERTIGHT PHENOL RESIN</t>
  </si>
  <si>
    <t>TORCH SAFETY PERSONAL ISSUE, WOLF M-60 ATEX 1WATT LED MINI</t>
  </si>
  <si>
    <t>KINDLY PROVIDE SAFETY TORCH</t>
  </si>
  <si>
    <t>SAND PAPER ABRASIVE 230X280MM, GRIT #320</t>
  </si>
  <si>
    <t>LAMP FLUORESCENT DAYLIGHT, FL-8D 8W 15.5X287MM</t>
  </si>
  <si>
    <t>LAMP FLUORESCENT DAYLIGHT FL-15 15W 25.5X436MM</t>
  </si>
  <si>
    <t>LAMP FLUORESCENT DAYLIGHT FL-20S 20W 32.5X580MM</t>
  </si>
  <si>
    <t>LAMP FLUORESCENT DAYLIGHT FL-20S/EL 20W 26X588.7MM</t>
  </si>
  <si>
    <t>TESTER CIRCUIT PENCIL TYPE, 80-600V,</t>
  </si>
  <si>
    <t>FLASHLIGHT INTRINSICALLY SAFE, LED BRIGHT STAR #60102 ORANGE</t>
  </si>
  <si>
    <t>KINDLY PROVIDE BRIGHT STAR SAFETY TORCH</t>
  </si>
  <si>
    <t>LAMP MERCURY REFLECTOR HRF, 700W E-39</t>
  </si>
  <si>
    <t>HAND LAMP WATERTIGHT E-26 60W, (EX.JIS)</t>
  </si>
  <si>
    <t>PLUG OFFSET W/TIGHT IEC 3P+E, AC380-415V/440-460V RED P12-3B</t>
  </si>
  <si>
    <t>RECEPTACLE W/TIGHT IEC 3P+E, AC380-415V/440-460V RED R12-3</t>
  </si>
  <si>
    <t>V-BELT M-15</t>
  </si>
  <si>
    <t>V-BELT B-102</t>
  </si>
  <si>
    <t>V-BELT A-54</t>
  </si>
  <si>
    <t>V-BELT A-48</t>
  </si>
  <si>
    <t>V-BELT A-45</t>
  </si>
  <si>
    <t>V-BELT A-26</t>
  </si>
  <si>
    <t>V-BELT A-25</t>
  </si>
  <si>
    <t>CERTIFIED INSULATION RUBBER MATS,</t>
  </si>
  <si>
    <t>SUPPLY 6.6KV 4.0MM * 1000MM(THICK* WIDTH)</t>
  </si>
  <si>
    <t>VARNISH INSULATION CLEAR SPRAY, 300CC</t>
  </si>
  <si>
    <t>TIN</t>
  </si>
  <si>
    <t>LAMP LED 7.5W (60W) 100V E-26, DAY LIGHT WHITE</t>
  </si>
  <si>
    <t>FUSE CARTRIDGE CELLO-LITE UC-1 1AMP AC500V(DC250V)</t>
  </si>
  <si>
    <t>FUSE CARTRIDGE CELLO-LITE UC-1 3AMP AC500V(DC250V)</t>
  </si>
  <si>
    <t>FUSE CARTRIDGE CELLO-LITE UC-1, 5AMP AC500V(DC250V)</t>
  </si>
  <si>
    <t>FUSE CARTRIDGE CELLO-LITE UC-1, 10AMP AC500V(DC250V)</t>
  </si>
  <si>
    <t>FUSE CARTRIDGE CELLO-LITE UC-1, 15AMP AC500V(DC250V)</t>
  </si>
  <si>
    <t>FUSE CARTRIDGE CELLO-LITE UC-1, 20AMP AC500V(DC250V)</t>
  </si>
  <si>
    <t>JOINT SHEET NATURAL RUBBER, 5.0X1000X1000MM</t>
  </si>
  <si>
    <t>JOINT SHEET NATURAL RUBBER 2.0X1000X1000MM</t>
  </si>
  <si>
    <t>JOINT SHEET NATURAL RUBBER 4.0X1000X1000MM</t>
  </si>
  <si>
    <t>JOINT SHEET NON-ASBESTOS PILLAR NO.5650 2.0X1500X2000MM</t>
  </si>
  <si>
    <t>JOINT SHEET NON-ASBESTOS PILLAR NO.5650 3.0X1500X2000MM</t>
  </si>
  <si>
    <t>BALL VALVE DIN S.STEEL 1000LBS, FULL BORE #7752 BSP 1/2"</t>
  </si>
  <si>
    <t>BALL VALVE DIN S.STEEL 1000LBS, FULL BORE #7752 BSP 1"</t>
  </si>
  <si>
    <t>SCF-S-PIP313</t>
  </si>
  <si>
    <t>CONNECTOR MALE FLARELESS BRASS, 6MMXPT1/4</t>
  </si>
  <si>
    <t>SCF-S-PIP312</t>
  </si>
  <si>
    <t>SCF-S-PIP311</t>
  </si>
  <si>
    <t>CONNECTOR MALE FLARELESS BRASS, 8MMXPT1/8</t>
  </si>
  <si>
    <t>CONNECTOR MALE FLARELESS BRASS, 8MMXPT1/4</t>
  </si>
  <si>
    <t>CONNECTOR MALE FLARELESS BRASS 10MMXPT1/4</t>
  </si>
  <si>
    <t>UNION FLARELESS BRASS 6MMXPT1/4</t>
  </si>
  <si>
    <t>UNION FLARELESS BRASS 8MMXPT1/4</t>
  </si>
  <si>
    <t>UNION FLARELESS BRASS 10MMXPT3/8</t>
  </si>
  <si>
    <t>COUPLING FEMALE FLARELESS, BRASS 6MMXPT1/4</t>
  </si>
  <si>
    <t>COUPLING FEMALE FLARELESS, BRASS 6MMXPT3/8</t>
  </si>
  <si>
    <t>COUPLING FEMALE FLARELESS, BRASS 8MMXPT1/4</t>
  </si>
  <si>
    <t>COUPLING FEMALE FLARELESS, BRASS 8MMXPT3/8</t>
  </si>
  <si>
    <t>COUPLING FEMALE FLARELESS, BRASS 8MMXPT1/2</t>
  </si>
  <si>
    <t>COUPLING FEMALE FLARELESS, BRASS 10MMXPT1/4</t>
  </si>
  <si>
    <t>COUPLING FEMALE FLARELESS, BRASS 10MMXPT3/8</t>
  </si>
  <si>
    <t>BRUSH WIRE WHEEL OD50MM, WITH 6MM ARBOR</t>
  </si>
  <si>
    <t>BRUSH RADIATOR ANGLE(DOG LEG), 25MM WIDTH</t>
  </si>
  <si>
    <t>COPPER SHEET 1.0X365X1200MM</t>
  </si>
  <si>
    <t>CHISEL COLD 16X175MM</t>
  </si>
  <si>
    <t>CHISEL COLD 22X200MM</t>
  </si>
  <si>
    <t>BRUSH WIRE CUP PLAITED 60MMDIA, FOR DERUSTING BRUSH MAG9000</t>
  </si>
  <si>
    <t>DERUSTING BRUSH AIR MAG9000 HOLGER CLASEN 9000MIN-1</t>
  </si>
  <si>
    <t>FLANGE STEEL WELDING SLIP-ON, FLAT FACE B-2220 5KG-150MM</t>
  </si>
  <si>
    <t>TAPE SEAL TEFLON 0.1X20MMX10MTR</t>
  </si>
  <si>
    <t>AIR FILTER 10X1600MM</t>
  </si>
  <si>
    <t>WHEEL GRINDING OFFSET RESINOID, 100X3X15MM GRAIN36 4300MTR/MIN</t>
  </si>
  <si>
    <t>WHEEL GRINDING OFFSET RESINOID, 100X4X15MM GRAIN36 4300MTR/MIN</t>
  </si>
  <si>
    <t>CONTACT SPRAY WEICON 400 ML</t>
  </si>
  <si>
    <t>ANTI-SPLASHING TAPE 50MM X 10MTR</t>
  </si>
  <si>
    <t>QUOTED BRAND NF</t>
  </si>
  <si>
    <t>ANTI-SPLASHING TAPE 75MM X 10MTR</t>
  </si>
  <si>
    <t>WRENCH SET ALLEN HEXAGON, 1/8-1/2" 8'S</t>
  </si>
  <si>
    <t>GLUE SUPER BONDER LOCTITE 495, BOND IN SECOND 20GRM</t>
  </si>
  <si>
    <t>BTL</t>
  </si>
  <si>
    <t>QUOTED BRAND LOCTITE</t>
  </si>
  <si>
    <t>GUN FOR SILICON SEALANT</t>
  </si>
  <si>
    <t>REFRACTORY PLASTIC FIRECLAY, PLIBRICO SUPER AB 25KG</t>
  </si>
  <si>
    <t>CTN</t>
  </si>
  <si>
    <t>O-RING SPLICING KIT LOCTITE</t>
  </si>
  <si>
    <t>EQUIVALENT</t>
  </si>
  <si>
    <t>O-RING KIT 17SIZES/222PCS, IN ACRYL CASE</t>
  </si>
  <si>
    <t>TAPE PVC INSULATION 50MMX20MTR</t>
  </si>
  <si>
    <t>SPL</t>
  </si>
  <si>
    <t>ANGLE PLUG &amp; RECEPTACLE 3PIN-U, NON-WATERTIGHT PHENOL RESIN</t>
  </si>
  <si>
    <t>SILICON SEALANT CLEAR 330GRM (300grm)</t>
  </si>
  <si>
    <t>TUB</t>
  </si>
  <si>
    <t>SILICONE GASKET 300CC</t>
  </si>
  <si>
    <t>BATTERY DRY LANTERN 6V, SPRING TYPE</t>
  </si>
  <si>
    <t>VACUUM CLEANER PNEUMATIC BLOBAC CLEANER" MODEL V-300</t>
  </si>
  <si>
    <t>PLASTIC BAG BLACK, 500X400X1300MM 50'S</t>
  </si>
  <si>
    <t>LAMINATOR POUCH ELEC AC100V, MAX WIDTH 230MM (A-4)</t>
  </si>
  <si>
    <t>TAPE HOOK &amp; LOOP, W100MM X L25MTR</t>
  </si>
  <si>
    <t>PIPE REPAIR KIT "THISTLEWRAP", TRK 19500</t>
  </si>
  <si>
    <t>PUTTY FLEXANE 80 DEVCON 1LB</t>
  </si>
  <si>
    <t>BLANKET ACRYL 100% 1500X2000MM BLUE</t>
  </si>
  <si>
    <t>QUOTED CAMEL</t>
  </si>
  <si>
    <t>FAUCET WALL COMBINATION WITH OVERHEAD SWIVEL SPOUT 13(1/2)</t>
  </si>
  <si>
    <t>HAND SOAP IN PUM DISPENSER - JELL TYPE</t>
  </si>
  <si>
    <t>REFILL FOR HAND SOAP PUM DISPENSER</t>
  </si>
  <si>
    <t>QUOTED 500G/BTL</t>
  </si>
  <si>
    <t>GLASS CLEANER AEROSOL, 300ML</t>
  </si>
  <si>
    <t>WRENCH OPEN &amp; 12-POINT BOX, 17MM</t>
  </si>
  <si>
    <t>WRENCH OPEN &amp; 12-POINT BOX, 19MM</t>
  </si>
  <si>
    <t>WRENCH OPEN &amp; 12-POINT BOX, 24MM</t>
  </si>
  <si>
    <t>WRENCH OPEN &amp; 12-POINT BOX, 27MM</t>
  </si>
  <si>
    <t>SCREWDRIVERS WOOD HANDLE SLOTTED 6.0X100MM</t>
  </si>
  <si>
    <t>SCREWDRIVER WOOD HANDLE SLOTTED 7.0X125MM</t>
  </si>
  <si>
    <t>SCREWDRIVER WOOD HANDLE  PHILIPS #3 150MM</t>
  </si>
  <si>
    <t>DRILL SET HSS STRAIGHT SHANK, 1-13MM 25'S IN STEEL CASE</t>
  </si>
  <si>
    <t>WRENCH DOUBLE HEAD RATCHET, &amp; SPUD 12-POINT 17X19MM</t>
  </si>
  <si>
    <t>WRENCH DOUBLE HEAD RATCHET, &amp; SPUD 12-POINT 24X27MM</t>
  </si>
  <si>
    <t>HEX HEAD BOLT/NUT STAINLESS, STEEL M12 X 40MM</t>
  </si>
  <si>
    <t>QUOTED SUS 201</t>
  </si>
  <si>
    <t>HEX HEAD BOLT/NUT STAINLESS, STEEL M8 X 35MM</t>
  </si>
  <si>
    <t>BRUSH RADIATOR ANGLE(DOG LEG), 40MM WIDTH</t>
  </si>
  <si>
    <t>BRUSH WIRE CUP PLAITED 80MMDIA, FOR DERUSTING BRUSH MAG9000</t>
  </si>
  <si>
    <t>FLASHLIGHT STRONG ADJUSTABLE FLOOD &amp; SPOT UM-1X4'S</t>
  </si>
  <si>
    <t>BROOM CORN WHISK HAND</t>
  </si>
  <si>
    <t>BROOM CORN LONG HANDLED</t>
  </si>
  <si>
    <t>HEX HEAD BOLT/NUT STAINLESS, STEEL M6 X 30MM</t>
  </si>
  <si>
    <t>HEX HEAD BOLT/NUT STAINLESS, STEEL M10 X 40MM</t>
  </si>
  <si>
    <t>STENCIL LETTER ADJUSTABLE, BRASS A-Z &amp; 0-9 30MM 76'S</t>
  </si>
  <si>
    <t>HEX HEAD BOLT/NUT STAINLESS, STEEL M22 X 120MM</t>
  </si>
  <si>
    <t>SQUEEGEE RUBBER HANDLED, BLADE WIDTH 400MM</t>
  </si>
  <si>
    <t>SHOVEL SQUARE NON-SPARK, SPECIAL ALUM BRONZE 180X910MM</t>
  </si>
  <si>
    <t>TAPE MEASURING STAINLESS STEEL, WITH METAL CASE 10MTR</t>
  </si>
  <si>
    <t>MATTRESS FOAM RUBBER 900X2000X150MM</t>
  </si>
  <si>
    <t>DELIVERY TIME 3 WORKING DAYS CUSTOM MADE  NON-RETURNABLE</t>
  </si>
  <si>
    <t>COVER MATTRESS WITH FURTHER, DETAIL</t>
  </si>
  <si>
    <t>Mattress cover, cotton, blue, size: 900 x2000mm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</si>
  <si>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</si>
  <si>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</si>
  <si>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</si>
  <si>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</si>
  <si>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</si>
  <si>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</si>
  <si>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</si>
  <si>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</si>
  <si>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</si>
  <si>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</si>
  <si>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FOR DRY DOCK
YULIAN SHIPYARDS IN CHINA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</si>
  <si>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</si>
  <si>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</si>
  <si>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</si>
  <si>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</si>
  <si>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</si>
  <si>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</si>
  <si>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</si>
  <si>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</si>
  <si>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</si>
  <si>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</si>
  <si>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</si>
  <si>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</si>
  <si>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</si>
  <si>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</si>
  <si>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</si>
  <si>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</si>
  <si>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</si>
  <si>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</si>
  <si>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</si>
  <si>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</si>
  <si>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</si>
  <si>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</si>
  <si>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</si>
  <si>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</si>
  <si>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</si>
  <si>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</si>
  <si>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</si>
  <si>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</si>
  <si>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</si>
  <si>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</si>
  <si>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</si>
  <si>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</si>
  <si>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</si>
  <si>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</si>
  <si>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</si>
  <si>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</si>
  <si>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</si>
  <si>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</si>
  <si>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</si>
  <si>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</si>
  <si>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</si>
  <si>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</si>
  <si>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</si>
  <si>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</si>
  <si>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</si>
  <si>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</si>
  <si>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</si>
  <si>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</si>
  <si>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</si>
  <si>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</si>
  <si>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</si>
  <si>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</si>
  <si>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</si>
  <si>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</si>
  <si>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</si>
  <si>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</si>
  <si>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</si>
  <si>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</si>
  <si>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</si>
  <si>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</si>
  <si>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</si>
  <si>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</si>
  <si>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</si>
  <si>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</si>
  <si>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</si>
  <si>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</si>
  <si>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</si>
  <si>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</si>
  <si>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</si>
  <si>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</si>
  <si>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</si>
  <si>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</si>
  <si>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</si>
  <si>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</si>
  <si>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</si>
  <si>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</si>
  <si>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</si>
  <si>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</si>
  <si>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</si>
  <si>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</si>
  <si>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</si>
  <si>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</si>
  <si>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</si>
  <si>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</si>
  <si>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</si>
  <si>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</si>
  <si>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</si>
  <si>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</si>
  <si>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</si>
  <si>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</si>
  <si>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</si>
  <si>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</si>
  <si>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BJD1910301045287LET</t>
  </si>
  <si>
    <t>90%-COTTON 25KG/PKT,NO LOOSE</t>
  </si>
  <si>
    <t>STAINLESS STEEL</t>
  </si>
  <si>
    <t>18MM*10M/ROLL</t>
  </si>
  <si>
    <t>BRIGHTSTAR 2206LED</t>
  </si>
  <si>
    <t>PLS ADV PICTURE WHEN ORDERED</t>
  </si>
  <si>
    <t>WOLF M-60</t>
  </si>
  <si>
    <t>BRIGHTSTAR 60102</t>
  </si>
  <si>
    <t>CRC</t>
  </si>
  <si>
    <t>SAME AS ABV</t>
  </si>
  <si>
    <t>EQUIVALENT 75MM M14*2</t>
  </si>
  <si>
    <t>SEMPO</t>
  </si>
  <si>
    <t>20MTR/ROLL,NO CUT</t>
  </si>
  <si>
    <t>WEICON</t>
  </si>
  <si>
    <t>NOSPRAY</t>
  </si>
  <si>
    <t>HOLDENBOND</t>
  </si>
  <si>
    <t>PLIBRICO</t>
  </si>
  <si>
    <t>50MM*10M/ROLL</t>
  </si>
  <si>
    <t>A4 110V</t>
  </si>
  <si>
    <t>75MM M14*2</t>
  </si>
  <si>
    <t>NON-RETURN</t>
  </si>
  <si>
    <t xml:space="preserve">
Date promised : 2019-11-02
Quote validity : 2019-11-29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</si>
</sst>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20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43768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43768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9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321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314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99990009555963</v>
      </c>
      <c r="C20" s="227">
        <v>2125084</v>
      </c>
      <c r="D20" s="228" t="s">
        <v>40</v>
      </c>
      <c r="E20" s="229"/>
      <c r="F20" s="229">
        <v>751503</v>
      </c>
      <c r="G20" s="229" t="s">
        <v>41</v>
      </c>
      <c r="H20" s="230">
        <v>0.88</v>
      </c>
      <c r="I20" s="231">
        <v>12</v>
      </c>
      <c r="J20" s="232">
        <v>1.78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99990009555962</v>
      </c>
      <c r="C21" s="227">
        <v>2125083</v>
      </c>
      <c r="D21" s="228" t="s">
        <v>42</v>
      </c>
      <c r="E21" s="229"/>
      <c r="F21" s="229">
        <v>751502</v>
      </c>
      <c r="G21" s="229" t="s">
        <v>41</v>
      </c>
      <c r="H21" s="230">
        <v>0.65</v>
      </c>
      <c r="I21" s="231">
        <v>30</v>
      </c>
      <c r="J21" s="232">
        <v>1.14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99990011118849</v>
      </c>
      <c r="C22" s="227">
        <v>751506</v>
      </c>
      <c r="D22" s="228" t="s">
        <v>43</v>
      </c>
      <c r="E22" s="229"/>
      <c r="F22" s="229">
        <v>751506</v>
      </c>
      <c r="G22" s="229" t="s">
        <v>41</v>
      </c>
      <c r="H22" s="230">
        <v>0</v>
      </c>
      <c r="I22" s="231">
        <v>12</v>
      </c>
      <c r="J22" s="232">
        <v>2.92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99990008655515</v>
      </c>
      <c r="C23" s="227">
        <v>232907</v>
      </c>
      <c r="D23" s="228" t="s">
        <v>44</v>
      </c>
      <c r="E23" s="229"/>
      <c r="F23" s="229">
        <v>232907</v>
      </c>
      <c r="G23" s="229" t="s">
        <v>45</v>
      </c>
      <c r="H23" s="230">
        <v>39</v>
      </c>
      <c r="I23" s="231">
        <v>600</v>
      </c>
      <c r="J23" s="232">
        <v>1.05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322</v>
      </c>
      <c r="Q23" s="236"/>
      <c r="R23" s="237" t="s">
        <v>46</v>
      </c>
      <c r="S23" s="238"/>
      <c r="T23" s="239"/>
    </row>
    <row r="24" spans="1:20" ht="24" customHeight="1">
      <c r="A24" s="226">
        <v>5</v>
      </c>
      <c r="B24" s="226">
        <v>99990008656766</v>
      </c>
      <c r="C24" s="227">
        <v>792410</v>
      </c>
      <c r="D24" s="228" t="s">
        <v>47</v>
      </c>
      <c r="E24" s="229"/>
      <c r="F24" s="229">
        <v>792410</v>
      </c>
      <c r="G24" s="229" t="s">
        <v>41</v>
      </c>
      <c r="H24" s="230">
        <v>0.10</v>
      </c>
      <c r="I24" s="231">
        <v>80</v>
      </c>
      <c r="J24" s="232">
        <v>0.1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99990008656763</v>
      </c>
      <c r="C25" s="227">
        <v>792403</v>
      </c>
      <c r="D25" s="228" t="s">
        <v>48</v>
      </c>
      <c r="E25" s="229"/>
      <c r="F25" s="229">
        <v>792403</v>
      </c>
      <c r="G25" s="229" t="s">
        <v>41</v>
      </c>
      <c r="H25" s="230">
        <v>0.13</v>
      </c>
      <c r="I25" s="231">
        <v>70</v>
      </c>
      <c r="J25" s="232">
        <v>0.13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99990008656764</v>
      </c>
      <c r="C26" s="227">
        <v>792404</v>
      </c>
      <c r="D26" s="228" t="s">
        <v>49</v>
      </c>
      <c r="E26" s="229"/>
      <c r="F26" s="229">
        <v>792404</v>
      </c>
      <c r="G26" s="229" t="s">
        <v>41</v>
      </c>
      <c r="H26" s="230">
        <v>0.26</v>
      </c>
      <c r="I26" s="231">
        <v>50</v>
      </c>
      <c r="J26" s="232">
        <v>0.26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99990008656761</v>
      </c>
      <c r="C27" s="227">
        <v>792401</v>
      </c>
      <c r="D27" s="228" t="s">
        <v>50</v>
      </c>
      <c r="E27" s="229"/>
      <c r="F27" s="229">
        <v>792401</v>
      </c>
      <c r="G27" s="229" t="s">
        <v>41</v>
      </c>
      <c r="H27" s="230">
        <v>0.68</v>
      </c>
      <c r="I27" s="231">
        <v>120</v>
      </c>
      <c r="J27" s="232">
        <v>0.68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99990008211401</v>
      </c>
      <c r="C28" s="227">
        <v>795384</v>
      </c>
      <c r="D28" s="228" t="s">
        <v>51</v>
      </c>
      <c r="E28" s="229"/>
      <c r="F28" s="229">
        <v>795384</v>
      </c>
      <c r="G28" s="229" t="s">
        <v>52</v>
      </c>
      <c r="H28" s="230">
        <v>0</v>
      </c>
      <c r="I28" s="231">
        <v>1</v>
      </c>
      <c r="J28" s="232">
        <v>24.33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99990008655534</v>
      </c>
      <c r="C29" s="227">
        <v>490511</v>
      </c>
      <c r="D29" s="228" t="s">
        <v>53</v>
      </c>
      <c r="E29" s="229"/>
      <c r="F29" s="229">
        <v>490511</v>
      </c>
      <c r="G29" s="229" t="s">
        <v>41</v>
      </c>
      <c r="H29" s="230">
        <v>1.43</v>
      </c>
      <c r="I29" s="231">
        <v>24</v>
      </c>
      <c r="J29" s="232">
        <v>1.43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323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99990008655459</v>
      </c>
      <c r="C30" s="227">
        <v>174280</v>
      </c>
      <c r="D30" s="228" t="s">
        <v>54</v>
      </c>
      <c r="E30" s="229"/>
      <c r="F30" s="229">
        <v>174280</v>
      </c>
      <c r="G30" s="229" t="s">
        <v>41</v>
      </c>
      <c r="H30" s="230">
        <v>6.59</v>
      </c>
      <c r="I30" s="231">
        <v>8</v>
      </c>
      <c r="J30" s="232">
        <v>6.59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99990008655873</v>
      </c>
      <c r="C31" s="227">
        <v>510167</v>
      </c>
      <c r="D31" s="228" t="s">
        <v>55</v>
      </c>
      <c r="E31" s="229"/>
      <c r="F31" s="229">
        <v>510167</v>
      </c>
      <c r="G31" s="229" t="s">
        <v>41</v>
      </c>
      <c r="H31" s="230">
        <v>0.44</v>
      </c>
      <c r="I31" s="231">
        <v>20</v>
      </c>
      <c r="J31" s="232">
        <v>0.44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99990008655874</v>
      </c>
      <c r="C32" s="227">
        <v>510168</v>
      </c>
      <c r="D32" s="228" t="s">
        <v>56</v>
      </c>
      <c r="E32" s="229"/>
      <c r="F32" s="229">
        <v>510168</v>
      </c>
      <c r="G32" s="229" t="s">
        <v>41</v>
      </c>
      <c r="H32" s="230">
        <v>0.57</v>
      </c>
      <c r="I32" s="231">
        <v>40</v>
      </c>
      <c r="J32" s="232">
        <v>0.57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99990008655905</v>
      </c>
      <c r="C33" s="227">
        <v>510461</v>
      </c>
      <c r="D33" s="228" t="s">
        <v>57</v>
      </c>
      <c r="E33" s="229"/>
      <c r="F33" s="229">
        <v>510461</v>
      </c>
      <c r="G33" s="229" t="s">
        <v>58</v>
      </c>
      <c r="H33" s="230">
        <v>0.42</v>
      </c>
      <c r="I33" s="231">
        <v>44</v>
      </c>
      <c r="J33" s="232">
        <v>0.42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99990008655906</v>
      </c>
      <c r="C34" s="227">
        <v>510462</v>
      </c>
      <c r="D34" s="228" t="s">
        <v>59</v>
      </c>
      <c r="E34" s="229"/>
      <c r="F34" s="229">
        <v>510462</v>
      </c>
      <c r="G34" s="229" t="s">
        <v>41</v>
      </c>
      <c r="H34" s="230">
        <v>0.14</v>
      </c>
      <c r="I34" s="231">
        <v>300</v>
      </c>
      <c r="J34" s="232">
        <v>0.14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99990008656384</v>
      </c>
      <c r="C35" s="227">
        <v>611281</v>
      </c>
      <c r="D35" s="228" t="s">
        <v>60</v>
      </c>
      <c r="E35" s="229"/>
      <c r="F35" s="229">
        <v>611281</v>
      </c>
      <c r="G35" s="229" t="s">
        <v>58</v>
      </c>
      <c r="H35" s="230">
        <v>2.61</v>
      </c>
      <c r="I35" s="231">
        <v>4</v>
      </c>
      <c r="J35" s="232">
        <v>2.61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99990008656762</v>
      </c>
      <c r="C36" s="227">
        <v>792402</v>
      </c>
      <c r="D36" s="228" t="s">
        <v>61</v>
      </c>
      <c r="E36" s="229"/>
      <c r="F36" s="229">
        <v>792402</v>
      </c>
      <c r="G36" s="229" t="s">
        <v>41</v>
      </c>
      <c r="H36" s="230">
        <v>0.52</v>
      </c>
      <c r="I36" s="231">
        <v>30</v>
      </c>
      <c r="J36" s="232">
        <v>0.52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99990008657533</v>
      </c>
      <c r="C37" s="227">
        <v>811114</v>
      </c>
      <c r="D37" s="228" t="s">
        <v>62</v>
      </c>
      <c r="E37" s="229"/>
      <c r="F37" s="229">
        <v>811114</v>
      </c>
      <c r="G37" s="229" t="s">
        <v>63</v>
      </c>
      <c r="H37" s="230">
        <v>4.36</v>
      </c>
      <c r="I37" s="231">
        <v>20</v>
      </c>
      <c r="J37" s="232">
        <v>4.36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99990008657699</v>
      </c>
      <c r="C38" s="227" t="s">
        <v>64</v>
      </c>
      <c r="D38" s="228" t="s">
        <v>65</v>
      </c>
      <c r="E38" s="229"/>
      <c r="F38" s="229">
        <v>470138</v>
      </c>
      <c r="G38" s="229" t="s">
        <v>66</v>
      </c>
      <c r="H38" s="230">
        <v>0.40</v>
      </c>
      <c r="I38" s="231">
        <v>12</v>
      </c>
      <c r="J38" s="232">
        <v>0.4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99990008657711</v>
      </c>
      <c r="C39" s="227" t="s">
        <v>64</v>
      </c>
      <c r="D39" s="228" t="s">
        <v>67</v>
      </c>
      <c r="E39" s="229"/>
      <c r="F39" s="229">
        <v>470297</v>
      </c>
      <c r="G39" s="229" t="s">
        <v>68</v>
      </c>
      <c r="H39" s="230">
        <v>4.87</v>
      </c>
      <c r="I39" s="231">
        <v>2</v>
      </c>
      <c r="J39" s="232">
        <v>4.87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99990008657856</v>
      </c>
      <c r="C40" s="227" t="s">
        <v>64</v>
      </c>
      <c r="D40" s="228" t="s">
        <v>69</v>
      </c>
      <c r="E40" s="229"/>
      <c r="F40" s="229">
        <v>471268</v>
      </c>
      <c r="G40" s="229" t="s">
        <v>70</v>
      </c>
      <c r="H40" s="230">
        <v>0.12</v>
      </c>
      <c r="I40" s="231">
        <v>12</v>
      </c>
      <c r="J40" s="232">
        <v>0.12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324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99990008657858</v>
      </c>
      <c r="C41" s="227" t="s">
        <v>64</v>
      </c>
      <c r="D41" s="228" t="s">
        <v>71</v>
      </c>
      <c r="E41" s="229"/>
      <c r="F41" s="229">
        <v>471270</v>
      </c>
      <c r="G41" s="229" t="s">
        <v>70</v>
      </c>
      <c r="H41" s="230">
        <v>0.37</v>
      </c>
      <c r="I41" s="231">
        <v>12</v>
      </c>
      <c r="J41" s="232">
        <v>0.37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99990009433112</v>
      </c>
      <c r="C42" s="227">
        <v>2111743</v>
      </c>
      <c r="D42" s="228" t="s">
        <v>72</v>
      </c>
      <c r="E42" s="229"/>
      <c r="F42" s="229">
        <v>792241</v>
      </c>
      <c r="G42" s="229" t="s">
        <v>41</v>
      </c>
      <c r="H42" s="230">
        <v>63.57</v>
      </c>
      <c r="I42" s="231">
        <v>10</v>
      </c>
      <c r="J42" s="232">
        <v>64.23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325</v>
      </c>
      <c r="Q42" s="236"/>
      <c r="R42" s="237" t="s">
        <v>73</v>
      </c>
      <c r="S42" s="238"/>
      <c r="T42" s="239"/>
    </row>
    <row r="43" spans="1:20" ht="24" customHeight="1">
      <c r="A43" s="226">
        <v>24</v>
      </c>
      <c r="B43" s="226">
        <v>99990011118848</v>
      </c>
      <c r="C43" s="227">
        <v>751505</v>
      </c>
      <c r="D43" s="228" t="s">
        <v>74</v>
      </c>
      <c r="E43" s="229"/>
      <c r="F43" s="229">
        <v>751505</v>
      </c>
      <c r="G43" s="229" t="s">
        <v>41</v>
      </c>
      <c r="H43" s="230">
        <v>0</v>
      </c>
      <c r="I43" s="231">
        <v>30</v>
      </c>
      <c r="J43" s="232">
        <v>2.6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99990011118847</v>
      </c>
      <c r="C44" s="227">
        <v>751504</v>
      </c>
      <c r="D44" s="228" t="s">
        <v>75</v>
      </c>
      <c r="E44" s="229"/>
      <c r="F44" s="229">
        <v>751504</v>
      </c>
      <c r="G44" s="229" t="s">
        <v>41</v>
      </c>
      <c r="H44" s="230">
        <v>0</v>
      </c>
      <c r="I44" s="231">
        <v>30</v>
      </c>
      <c r="J44" s="232">
        <v>1.78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99990010234564</v>
      </c>
      <c r="C45" s="227">
        <v>751733</v>
      </c>
      <c r="D45" s="228" t="s">
        <v>76</v>
      </c>
      <c r="E45" s="229"/>
      <c r="F45" s="229">
        <v>751733</v>
      </c>
      <c r="G45" s="229" t="s">
        <v>41</v>
      </c>
      <c r="H45" s="230">
        <v>0</v>
      </c>
      <c r="I45" s="231">
        <v>3</v>
      </c>
      <c r="J45" s="232">
        <v>122.63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99990010234565</v>
      </c>
      <c r="C46" s="227">
        <v>751737</v>
      </c>
      <c r="D46" s="228" t="s">
        <v>77</v>
      </c>
      <c r="E46" s="229"/>
      <c r="F46" s="229">
        <v>751737</v>
      </c>
      <c r="G46" s="229" t="s">
        <v>41</v>
      </c>
      <c r="H46" s="230">
        <v>0</v>
      </c>
      <c r="I46" s="231">
        <v>3</v>
      </c>
      <c r="J46" s="232">
        <v>110.79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99990010212715</v>
      </c>
      <c r="C47" s="227">
        <v>490108</v>
      </c>
      <c r="D47" s="228" t="s">
        <v>78</v>
      </c>
      <c r="E47" s="229"/>
      <c r="F47" s="229">
        <v>490108</v>
      </c>
      <c r="G47" s="229" t="s">
        <v>58</v>
      </c>
      <c r="H47" s="230">
        <v>0</v>
      </c>
      <c r="I47" s="231">
        <v>1</v>
      </c>
      <c r="J47" s="232">
        <v>77.05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326</v>
      </c>
      <c r="Q47" s="236"/>
      <c r="R47" s="237" t="s">
        <v>79</v>
      </c>
      <c r="S47" s="238"/>
      <c r="T47" s="239"/>
    </row>
    <row r="48" spans="1:20" ht="24" customHeight="1">
      <c r="A48" s="226">
        <v>29</v>
      </c>
      <c r="B48" s="226">
        <v>99990010149683</v>
      </c>
      <c r="C48" s="227">
        <v>490113</v>
      </c>
      <c r="D48" s="228" t="s">
        <v>80</v>
      </c>
      <c r="E48" s="229"/>
      <c r="F48" s="229">
        <v>490113</v>
      </c>
      <c r="G48" s="229" t="s">
        <v>58</v>
      </c>
      <c r="H48" s="230">
        <v>0</v>
      </c>
      <c r="I48" s="231">
        <v>1</v>
      </c>
      <c r="J48" s="232">
        <v>10.54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326</v>
      </c>
      <c r="Q48" s="236"/>
      <c r="R48" s="237" t="s">
        <v>79</v>
      </c>
      <c r="S48" s="238"/>
      <c r="T48" s="239"/>
    </row>
    <row r="49" spans="1:20" ht="24" customHeight="1">
      <c r="A49" s="226">
        <v>30</v>
      </c>
      <c r="B49" s="226">
        <v>99990009647103</v>
      </c>
      <c r="C49" s="227">
        <v>211291</v>
      </c>
      <c r="D49" s="228" t="s">
        <v>81</v>
      </c>
      <c r="E49" s="229"/>
      <c r="F49" s="229">
        <v>211291</v>
      </c>
      <c r="G49" s="229" t="s">
        <v>82</v>
      </c>
      <c r="H49" s="230">
        <v>20.79</v>
      </c>
      <c r="I49" s="231">
        <v>2</v>
      </c>
      <c r="J49" s="232">
        <v>19.46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99990008657970</v>
      </c>
      <c r="C50" s="227">
        <v>612611</v>
      </c>
      <c r="D50" s="228" t="s">
        <v>83</v>
      </c>
      <c r="E50" s="229"/>
      <c r="F50" s="229">
        <v>612611</v>
      </c>
      <c r="G50" s="229" t="s">
        <v>41</v>
      </c>
      <c r="H50" s="230">
        <v>1.16</v>
      </c>
      <c r="I50" s="231">
        <v>24</v>
      </c>
      <c r="J50" s="232">
        <v>1.16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99990008657971</v>
      </c>
      <c r="C51" s="227">
        <v>612612</v>
      </c>
      <c r="D51" s="228" t="s">
        <v>84</v>
      </c>
      <c r="E51" s="229"/>
      <c r="F51" s="229">
        <v>612612</v>
      </c>
      <c r="G51" s="229" t="s">
        <v>41</v>
      </c>
      <c r="H51" s="230">
        <v>1.54</v>
      </c>
      <c r="I51" s="231">
        <v>3</v>
      </c>
      <c r="J51" s="232">
        <v>1.54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99990009630912</v>
      </c>
      <c r="C52" s="227">
        <v>791115</v>
      </c>
      <c r="D52" s="228" t="s">
        <v>85</v>
      </c>
      <c r="E52" s="229"/>
      <c r="F52" s="229">
        <v>791115</v>
      </c>
      <c r="G52" s="229" t="s">
        <v>41</v>
      </c>
      <c r="H52" s="230">
        <v>6.49</v>
      </c>
      <c r="I52" s="231">
        <v>6</v>
      </c>
      <c r="J52" s="232">
        <v>6.42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99990011491588</v>
      </c>
      <c r="C53" s="227">
        <v>792953</v>
      </c>
      <c r="D53" s="228" t="s">
        <v>86</v>
      </c>
      <c r="E53" s="229"/>
      <c r="F53" s="229">
        <v>792953</v>
      </c>
      <c r="G53" s="229" t="s">
        <v>58</v>
      </c>
      <c r="H53" s="230">
        <v>0</v>
      </c>
      <c r="I53" s="231">
        <v>10</v>
      </c>
      <c r="J53" s="232">
        <v>1.56</v>
      </c>
      <c r="K53" s="233"/>
      <c r="L53" s="231">
        <v>0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99990009594909</v>
      </c>
      <c r="C54" s="227">
        <v>2142299</v>
      </c>
      <c r="D54" s="228" t="s">
        <v>87</v>
      </c>
      <c r="E54" s="229"/>
      <c r="F54" s="229">
        <v>792279</v>
      </c>
      <c r="G54" s="229" t="s">
        <v>41</v>
      </c>
      <c r="H54" s="230">
        <v>92.47</v>
      </c>
      <c r="I54" s="231">
        <v>5</v>
      </c>
      <c r="J54" s="232">
        <v>77.97</v>
      </c>
      <c r="K54" s="233"/>
      <c r="L54" s="231">
        <v>0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327</v>
      </c>
      <c r="Q54" s="236"/>
      <c r="R54" s="237" t="s">
        <v>88</v>
      </c>
      <c r="S54" s="238"/>
      <c r="T54" s="239"/>
    </row>
    <row r="55" spans="1:20" ht="24" customHeight="1">
      <c r="A55" s="226">
        <v>36</v>
      </c>
      <c r="B55" s="226">
        <v>99990009813271</v>
      </c>
      <c r="C55" s="227">
        <v>614761</v>
      </c>
      <c r="D55" s="228" t="s">
        <v>89</v>
      </c>
      <c r="E55" s="229"/>
      <c r="F55" s="229">
        <v>614761</v>
      </c>
      <c r="G55" s="229" t="s">
        <v>52</v>
      </c>
      <c r="H55" s="230">
        <v>0</v>
      </c>
      <c r="I55" s="231">
        <v>20</v>
      </c>
      <c r="J55" s="232">
        <v>0.1</v>
      </c>
      <c r="K55" s="233"/>
      <c r="L55" s="231">
        <v>0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99990008656713</v>
      </c>
      <c r="C56" s="227">
        <v>791423</v>
      </c>
      <c r="D56" s="228" t="s">
        <v>90</v>
      </c>
      <c r="E56" s="229"/>
      <c r="F56" s="229">
        <v>791423</v>
      </c>
      <c r="G56" s="229" t="s">
        <v>41</v>
      </c>
      <c r="H56" s="230">
        <v>0.34</v>
      </c>
      <c r="I56" s="231">
        <v>25</v>
      </c>
      <c r="J56" s="232">
        <v>0.35</v>
      </c>
      <c r="K56" s="233"/>
      <c r="L56" s="231">
        <v>0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99990008656715</v>
      </c>
      <c r="C57" s="227">
        <v>791425</v>
      </c>
      <c r="D57" s="228" t="s">
        <v>91</v>
      </c>
      <c r="E57" s="229"/>
      <c r="F57" s="229">
        <v>791425</v>
      </c>
      <c r="G57" s="229" t="s">
        <v>41</v>
      </c>
      <c r="H57" s="230">
        <v>0.49</v>
      </c>
      <c r="I57" s="231">
        <v>25</v>
      </c>
      <c r="J57" s="232">
        <v>0.45</v>
      </c>
      <c r="K57" s="233"/>
      <c r="L57" s="231">
        <v>0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99990008656717</v>
      </c>
      <c r="C58" s="227">
        <v>791427</v>
      </c>
      <c r="D58" s="228" t="s">
        <v>92</v>
      </c>
      <c r="E58" s="229"/>
      <c r="F58" s="229">
        <v>791427</v>
      </c>
      <c r="G58" s="229" t="s">
        <v>41</v>
      </c>
      <c r="H58" s="230">
        <v>0.53</v>
      </c>
      <c r="I58" s="231">
        <v>100</v>
      </c>
      <c r="J58" s="232">
        <v>0.49</v>
      </c>
      <c r="K58" s="233"/>
      <c r="L58" s="231">
        <v>0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/>
      <c r="S58" s="238"/>
      <c r="T58" s="239"/>
    </row>
    <row r="59" spans="1:20" ht="24" customHeight="1">
      <c r="A59" s="226">
        <v>40</v>
      </c>
      <c r="B59" s="226">
        <v>99990008656721</v>
      </c>
      <c r="C59" s="227">
        <v>791431</v>
      </c>
      <c r="D59" s="228" t="s">
        <v>93</v>
      </c>
      <c r="E59" s="229"/>
      <c r="F59" s="229">
        <v>791431</v>
      </c>
      <c r="G59" s="229" t="s">
        <v>41</v>
      </c>
      <c r="H59" s="230">
        <v>0.51</v>
      </c>
      <c r="I59" s="231">
        <v>100</v>
      </c>
      <c r="J59" s="232">
        <v>0.55</v>
      </c>
      <c r="K59" s="233"/>
      <c r="L59" s="231">
        <v>0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99990008656909</v>
      </c>
      <c r="C60" s="227">
        <v>795722</v>
      </c>
      <c r="D60" s="228" t="s">
        <v>94</v>
      </c>
      <c r="E60" s="229"/>
      <c r="F60" s="229">
        <v>795722</v>
      </c>
      <c r="G60" s="229" t="s">
        <v>41</v>
      </c>
      <c r="H60" s="230">
        <v>0.28</v>
      </c>
      <c r="I60" s="231">
        <v>1</v>
      </c>
      <c r="J60" s="232">
        <v>0.28</v>
      </c>
      <c r="K60" s="233"/>
      <c r="L60" s="231">
        <v>0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24" customHeight="1">
      <c r="A61" s="226">
        <v>42</v>
      </c>
      <c r="B61" s="226">
        <v>99990009574382</v>
      </c>
      <c r="C61" s="227">
        <v>2137253</v>
      </c>
      <c r="D61" s="228" t="s">
        <v>95</v>
      </c>
      <c r="E61" s="229"/>
      <c r="F61" s="229">
        <v>792229</v>
      </c>
      <c r="G61" s="229" t="s">
        <v>41</v>
      </c>
      <c r="H61" s="230">
        <v>46.23</v>
      </c>
      <c r="I61" s="231">
        <v>5</v>
      </c>
      <c r="J61" s="232">
        <v>46.72</v>
      </c>
      <c r="K61" s="233"/>
      <c r="L61" s="231">
        <v>0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 t="s">
        <v>328</v>
      </c>
      <c r="Q61" s="236"/>
      <c r="R61" s="237" t="s">
        <v>96</v>
      </c>
      <c r="S61" s="238"/>
      <c r="T61" s="239"/>
    </row>
    <row r="62" spans="1:20" ht="24" customHeight="1">
      <c r="A62" s="226">
        <v>43</v>
      </c>
      <c r="B62" s="226">
        <v>99990010235053</v>
      </c>
      <c r="C62" s="227">
        <v>791116</v>
      </c>
      <c r="D62" s="228" t="s">
        <v>97</v>
      </c>
      <c r="E62" s="229"/>
      <c r="F62" s="229">
        <v>791116</v>
      </c>
      <c r="G62" s="229" t="s">
        <v>41</v>
      </c>
      <c r="H62" s="230">
        <v>0</v>
      </c>
      <c r="I62" s="231">
        <v>10</v>
      </c>
      <c r="J62" s="232">
        <v>22.77</v>
      </c>
      <c r="K62" s="233"/>
      <c r="L62" s="231">
        <v>0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/>
      <c r="Q62" s="236"/>
      <c r="R62" s="237"/>
      <c r="S62" s="238"/>
      <c r="T62" s="239"/>
    </row>
    <row r="63" spans="1:20" ht="24" customHeight="1">
      <c r="A63" s="226">
        <v>44</v>
      </c>
      <c r="B63" s="226">
        <v>99990008656740</v>
      </c>
      <c r="C63" s="227">
        <v>792151</v>
      </c>
      <c r="D63" s="228" t="s">
        <v>98</v>
      </c>
      <c r="E63" s="229"/>
      <c r="F63" s="229">
        <v>792151</v>
      </c>
      <c r="G63" s="229" t="s">
        <v>41</v>
      </c>
      <c r="H63" s="230">
        <v>3.99</v>
      </c>
      <c r="I63" s="231">
        <v>6</v>
      </c>
      <c r="J63" s="232">
        <v>3.99</v>
      </c>
      <c r="K63" s="233"/>
      <c r="L63" s="231">
        <v>0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/>
      <c r="Q63" s="236"/>
      <c r="R63" s="237"/>
      <c r="S63" s="238"/>
      <c r="T63" s="239"/>
    </row>
    <row r="64" spans="1:20" ht="24" customHeight="1">
      <c r="A64" s="226">
        <v>45</v>
      </c>
      <c r="B64" s="226">
        <v>99990008656781</v>
      </c>
      <c r="C64" s="227">
        <v>792754</v>
      </c>
      <c r="D64" s="228" t="s">
        <v>99</v>
      </c>
      <c r="E64" s="229"/>
      <c r="F64" s="229">
        <v>792754</v>
      </c>
      <c r="G64" s="229" t="s">
        <v>41</v>
      </c>
      <c r="H64" s="230">
        <v>8.71</v>
      </c>
      <c r="I64" s="231">
        <v>3</v>
      </c>
      <c r="J64" s="232">
        <v>8.71</v>
      </c>
      <c r="K64" s="233"/>
      <c r="L64" s="231">
        <v>0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99990010171736</v>
      </c>
      <c r="C65" s="227">
        <v>792764</v>
      </c>
      <c r="D65" s="228" t="s">
        <v>100</v>
      </c>
      <c r="E65" s="229"/>
      <c r="F65" s="229">
        <v>792764</v>
      </c>
      <c r="G65" s="229" t="s">
        <v>41</v>
      </c>
      <c r="H65" s="230">
        <v>0</v>
      </c>
      <c r="I65" s="231">
        <v>3</v>
      </c>
      <c r="J65" s="232">
        <v>13.63</v>
      </c>
      <c r="K65" s="233"/>
      <c r="L65" s="231">
        <v>0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/>
      <c r="Q65" s="236"/>
      <c r="R65" s="237"/>
      <c r="S65" s="238"/>
      <c r="T65" s="239"/>
    </row>
    <row r="66" spans="1:20" ht="24" customHeight="1">
      <c r="A66" s="226">
        <v>47</v>
      </c>
      <c r="B66" s="226">
        <v>99990008213171</v>
      </c>
      <c r="C66" s="227">
        <v>814001</v>
      </c>
      <c r="D66" s="228" t="s">
        <v>101</v>
      </c>
      <c r="E66" s="229"/>
      <c r="F66" s="229">
        <v>814001</v>
      </c>
      <c r="G66" s="229" t="s">
        <v>41</v>
      </c>
      <c r="H66" s="230">
        <v>0</v>
      </c>
      <c r="I66" s="231">
        <v>2</v>
      </c>
      <c r="J66" s="232">
        <v>1.28</v>
      </c>
      <c r="K66" s="233"/>
      <c r="L66" s="231">
        <v>0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/>
      <c r="Q66" s="236"/>
      <c r="R66" s="237"/>
      <c r="S66" s="238"/>
      <c r="T66" s="239"/>
    </row>
    <row r="67" spans="1:20" ht="24" customHeight="1">
      <c r="A67" s="226">
        <v>48</v>
      </c>
      <c r="B67" s="226">
        <v>99990008213358</v>
      </c>
      <c r="C67" s="227">
        <v>814272</v>
      </c>
      <c r="D67" s="228" t="s">
        <v>102</v>
      </c>
      <c r="E67" s="229"/>
      <c r="F67" s="229">
        <v>814272</v>
      </c>
      <c r="G67" s="229" t="s">
        <v>41</v>
      </c>
      <c r="H67" s="230">
        <v>0</v>
      </c>
      <c r="I67" s="231">
        <v>6</v>
      </c>
      <c r="J67" s="232">
        <v>3.38</v>
      </c>
      <c r="K67" s="233"/>
      <c r="L67" s="231">
        <v>0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/>
      <c r="Q67" s="236"/>
      <c r="R67" s="237"/>
      <c r="S67" s="238"/>
      <c r="T67" s="239"/>
    </row>
    <row r="68" spans="1:20" ht="24" customHeight="1">
      <c r="A68" s="226">
        <v>49</v>
      </c>
      <c r="B68" s="226">
        <v>99990010265741</v>
      </c>
      <c r="C68" s="227">
        <v>814138</v>
      </c>
      <c r="D68" s="228" t="s">
        <v>103</v>
      </c>
      <c r="E68" s="229"/>
      <c r="F68" s="229">
        <v>814138</v>
      </c>
      <c r="G68" s="229" t="s">
        <v>41</v>
      </c>
      <c r="H68" s="230">
        <v>0</v>
      </c>
      <c r="I68" s="231">
        <v>6</v>
      </c>
      <c r="J68" s="232">
        <v>1.3</v>
      </c>
      <c r="K68" s="233"/>
      <c r="L68" s="231">
        <v>0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/>
      <c r="Q68" s="236"/>
      <c r="R68" s="237"/>
      <c r="S68" s="238"/>
      <c r="T68" s="239"/>
    </row>
    <row r="69" spans="1:20" ht="24" customHeight="1">
      <c r="A69" s="226">
        <v>50</v>
      </c>
      <c r="B69" s="226">
        <v>99990010385286</v>
      </c>
      <c r="C69" s="227">
        <v>814132</v>
      </c>
      <c r="D69" s="228" t="s">
        <v>104</v>
      </c>
      <c r="E69" s="229"/>
      <c r="F69" s="229">
        <v>814132</v>
      </c>
      <c r="G69" s="229" t="s">
        <v>41</v>
      </c>
      <c r="H69" s="230">
        <v>0</v>
      </c>
      <c r="I69" s="231">
        <v>6</v>
      </c>
      <c r="J69" s="232">
        <v>1.16</v>
      </c>
      <c r="K69" s="233"/>
      <c r="L69" s="231">
        <v>0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/>
      <c r="Q69" s="236"/>
      <c r="R69" s="237"/>
      <c r="S69" s="238"/>
      <c r="T69" s="239"/>
    </row>
    <row r="70" spans="1:20" ht="24" customHeight="1">
      <c r="A70" s="226">
        <v>51</v>
      </c>
      <c r="B70" s="226">
        <v>99990010708908</v>
      </c>
      <c r="C70" s="227">
        <v>814129</v>
      </c>
      <c r="D70" s="228" t="s">
        <v>105</v>
      </c>
      <c r="E70" s="229"/>
      <c r="F70" s="229">
        <v>814129</v>
      </c>
      <c r="G70" s="229" t="s">
        <v>41</v>
      </c>
      <c r="H70" s="230">
        <v>0</v>
      </c>
      <c r="I70" s="231">
        <v>6</v>
      </c>
      <c r="J70" s="232">
        <v>1.09</v>
      </c>
      <c r="K70" s="233"/>
      <c r="L70" s="231">
        <v>0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/>
      <c r="Q70" s="236"/>
      <c r="R70" s="237"/>
      <c r="S70" s="238"/>
      <c r="T70" s="239"/>
    </row>
    <row r="71" spans="1:20" ht="24" customHeight="1">
      <c r="A71" s="226">
        <v>52</v>
      </c>
      <c r="B71" s="226">
        <v>99990010304799</v>
      </c>
      <c r="C71" s="227">
        <v>814110</v>
      </c>
      <c r="D71" s="228" t="s">
        <v>106</v>
      </c>
      <c r="E71" s="229"/>
      <c r="F71" s="229">
        <v>814110</v>
      </c>
      <c r="G71" s="229" t="s">
        <v>41</v>
      </c>
      <c r="H71" s="230">
        <v>0</v>
      </c>
      <c r="I71" s="231">
        <v>4</v>
      </c>
      <c r="J71" s="232">
        <v>0.95</v>
      </c>
      <c r="K71" s="233"/>
      <c r="L71" s="231">
        <v>0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99990010385284</v>
      </c>
      <c r="C72" s="227">
        <v>814109</v>
      </c>
      <c r="D72" s="228" t="s">
        <v>107</v>
      </c>
      <c r="E72" s="229"/>
      <c r="F72" s="229">
        <v>814109</v>
      </c>
      <c r="G72" s="229" t="s">
        <v>41</v>
      </c>
      <c r="H72" s="230">
        <v>0</v>
      </c>
      <c r="I72" s="231">
        <v>6</v>
      </c>
      <c r="J72" s="232">
        <v>0.95</v>
      </c>
      <c r="K72" s="233"/>
      <c r="L72" s="231">
        <v>0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/>
      <c r="Q72" s="236"/>
      <c r="R72" s="237"/>
      <c r="S72" s="238"/>
      <c r="T72" s="239"/>
    </row>
    <row r="73" spans="1:20" ht="24" customHeight="1">
      <c r="A73" s="226">
        <v>54</v>
      </c>
      <c r="B73" s="226">
        <v>99990012196224</v>
      </c>
      <c r="C73" s="227">
        <v>2674973</v>
      </c>
      <c r="D73" s="228" t="s">
        <v>108</v>
      </c>
      <c r="E73" s="229"/>
      <c r="F73" s="229">
        <v>2674973</v>
      </c>
      <c r="G73" s="229" t="s">
        <v>63</v>
      </c>
      <c r="H73" s="230">
        <v>0</v>
      </c>
      <c r="I73" s="231">
        <v>60</v>
      </c>
      <c r="J73" s="232">
        <v>30.17</v>
      </c>
      <c r="K73" s="233"/>
      <c r="L73" s="231">
        <v>0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/>
      <c r="Q73" s="236"/>
      <c r="R73" s="237" t="s">
        <v>109</v>
      </c>
      <c r="S73" s="238"/>
      <c r="T73" s="239"/>
    </row>
    <row r="74" spans="1:20" ht="24" customHeight="1">
      <c r="A74" s="226">
        <v>55</v>
      </c>
      <c r="B74" s="226">
        <v>99990008656904</v>
      </c>
      <c r="C74" s="227">
        <v>795521</v>
      </c>
      <c r="D74" s="228" t="s">
        <v>110</v>
      </c>
      <c r="E74" s="229"/>
      <c r="F74" s="229">
        <v>795521</v>
      </c>
      <c r="G74" s="229" t="s">
        <v>111</v>
      </c>
      <c r="H74" s="230">
        <v>5.79</v>
      </c>
      <c r="I74" s="231">
        <v>5</v>
      </c>
      <c r="J74" s="232">
        <v>8.73</v>
      </c>
      <c r="K74" s="233"/>
      <c r="L74" s="231">
        <v>0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 t="s">
        <v>329</v>
      </c>
      <c r="Q74" s="236"/>
      <c r="R74" s="237"/>
      <c r="S74" s="238"/>
      <c r="T74" s="239"/>
    </row>
    <row r="75" spans="1:20" ht="24" customHeight="1">
      <c r="A75" s="226">
        <v>56</v>
      </c>
      <c r="B75" s="226">
        <v>99990009574375</v>
      </c>
      <c r="C75" s="227">
        <v>2137246</v>
      </c>
      <c r="D75" s="228" t="s">
        <v>112</v>
      </c>
      <c r="E75" s="229"/>
      <c r="F75" s="229">
        <v>790253</v>
      </c>
      <c r="G75" s="229" t="s">
        <v>41</v>
      </c>
      <c r="H75" s="230">
        <v>2.25</v>
      </c>
      <c r="I75" s="231">
        <v>50</v>
      </c>
      <c r="J75" s="232">
        <v>2.14</v>
      </c>
      <c r="K75" s="233"/>
      <c r="L75" s="231">
        <v>0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/>
      <c r="Q75" s="236"/>
      <c r="R75" s="237"/>
      <c r="S75" s="238"/>
      <c r="T75" s="239"/>
    </row>
    <row r="76" spans="1:20" ht="24" customHeight="1">
      <c r="A76" s="226">
        <v>57</v>
      </c>
      <c r="B76" s="226">
        <v>99990008656815</v>
      </c>
      <c r="C76" s="227">
        <v>793741</v>
      </c>
      <c r="D76" s="228" t="s">
        <v>113</v>
      </c>
      <c r="E76" s="229"/>
      <c r="F76" s="229">
        <v>793741</v>
      </c>
      <c r="G76" s="229" t="s">
        <v>41</v>
      </c>
      <c r="H76" s="230">
        <v>0.30</v>
      </c>
      <c r="I76" s="231">
        <v>20</v>
      </c>
      <c r="J76" s="232">
        <v>0.3</v>
      </c>
      <c r="K76" s="233"/>
      <c r="L76" s="231">
        <v>0</v>
      </c>
      <c r="M76" s="231">
        <v>0</v>
      </c>
      <c r="N76" s="234">
        <f>ROUND(((I76*J76)-((I76*J76)*L76/100))+(((I76*J76)-((I76*J76)*L76/100))*M76/100),2)</f>
      </c>
      <c r="O76" s="230">
        <f>M11</f>
      </c>
      <c r="P76" s="235"/>
      <c r="Q76" s="236"/>
      <c r="R76" s="237"/>
      <c r="S76" s="238"/>
      <c r="T76" s="239"/>
    </row>
    <row r="77" spans="1:20" ht="24" customHeight="1">
      <c r="A77" s="226">
        <v>58</v>
      </c>
      <c r="B77" s="226">
        <v>99990008656816</v>
      </c>
      <c r="C77" s="227">
        <v>793742</v>
      </c>
      <c r="D77" s="228" t="s">
        <v>114</v>
      </c>
      <c r="E77" s="229"/>
      <c r="F77" s="229">
        <v>793742</v>
      </c>
      <c r="G77" s="229" t="s">
        <v>41</v>
      </c>
      <c r="H77" s="230">
        <v>0.34</v>
      </c>
      <c r="I77" s="231">
        <v>20</v>
      </c>
      <c r="J77" s="232">
        <v>0.34</v>
      </c>
      <c r="K77" s="233"/>
      <c r="L77" s="231">
        <v>0</v>
      </c>
      <c r="M77" s="231">
        <v>0</v>
      </c>
      <c r="N77" s="234">
        <f>ROUND(((I77*J77)-((I77*J77)*L77/100))+(((I77*J77)-((I77*J77)*L77/100))*M77/100),2)</f>
      </c>
      <c r="O77" s="230">
        <f>M11</f>
      </c>
      <c r="P77" s="235"/>
      <c r="Q77" s="236"/>
      <c r="R77" s="237"/>
      <c r="S77" s="238"/>
      <c r="T77" s="239"/>
    </row>
    <row r="78" spans="1:20" ht="24" customHeight="1">
      <c r="A78" s="226">
        <v>59</v>
      </c>
      <c r="B78" s="226">
        <v>99990008656817</v>
      </c>
      <c r="C78" s="227">
        <v>793743</v>
      </c>
      <c r="D78" s="228" t="s">
        <v>115</v>
      </c>
      <c r="E78" s="229"/>
      <c r="F78" s="229">
        <v>793743</v>
      </c>
      <c r="G78" s="229" t="s">
        <v>41</v>
      </c>
      <c r="H78" s="230">
        <v>0.40</v>
      </c>
      <c r="I78" s="231">
        <v>20</v>
      </c>
      <c r="J78" s="232">
        <v>0.4</v>
      </c>
      <c r="K78" s="233"/>
      <c r="L78" s="231">
        <v>0</v>
      </c>
      <c r="M78" s="231">
        <v>0</v>
      </c>
      <c r="N78" s="234">
        <f>ROUND(((I78*J78)-((I78*J78)*L78/100))+(((I78*J78)-((I78*J78)*L78/100))*M78/100),2)</f>
      </c>
      <c r="O78" s="230">
        <f>M11</f>
      </c>
      <c r="P78" s="235"/>
      <c r="Q78" s="236"/>
      <c r="R78" s="237"/>
      <c r="S78" s="238"/>
      <c r="T78" s="239"/>
    </row>
    <row r="79" spans="1:20" ht="24" customHeight="1">
      <c r="A79" s="226">
        <v>60</v>
      </c>
      <c r="B79" s="226">
        <v>99990008656818</v>
      </c>
      <c r="C79" s="227">
        <v>793744</v>
      </c>
      <c r="D79" s="228" t="s">
        <v>116</v>
      </c>
      <c r="E79" s="229"/>
      <c r="F79" s="229">
        <v>793744</v>
      </c>
      <c r="G79" s="229" t="s">
        <v>41</v>
      </c>
      <c r="H79" s="230">
        <v>0.40</v>
      </c>
      <c r="I79" s="231">
        <v>20</v>
      </c>
      <c r="J79" s="232">
        <v>0.4</v>
      </c>
      <c r="K79" s="233"/>
      <c r="L79" s="231">
        <v>0</v>
      </c>
      <c r="M79" s="231">
        <v>0</v>
      </c>
      <c r="N79" s="234">
        <f>ROUND(((I79*J79)-((I79*J79)*L79/100))+(((I79*J79)-((I79*J79)*L79/100))*M79/100),2)</f>
      </c>
      <c r="O79" s="230">
        <f>M11</f>
      </c>
      <c r="P79" s="235"/>
      <c r="Q79" s="236"/>
      <c r="R79" s="237"/>
      <c r="S79" s="238"/>
      <c r="T79" s="239"/>
    </row>
    <row r="80" spans="1:20" ht="24" customHeight="1">
      <c r="A80" s="226">
        <v>61</v>
      </c>
      <c r="B80" s="226">
        <v>99990010092109</v>
      </c>
      <c r="C80" s="227">
        <v>793745</v>
      </c>
      <c r="D80" s="228" t="s">
        <v>117</v>
      </c>
      <c r="E80" s="229"/>
      <c r="F80" s="229">
        <v>793745</v>
      </c>
      <c r="G80" s="229" t="s">
        <v>41</v>
      </c>
      <c r="H80" s="230">
        <v>0</v>
      </c>
      <c r="I80" s="231">
        <v>10</v>
      </c>
      <c r="J80" s="232">
        <v>0.41</v>
      </c>
      <c r="K80" s="233"/>
      <c r="L80" s="231">
        <v>0</v>
      </c>
      <c r="M80" s="231">
        <v>0</v>
      </c>
      <c r="N80" s="234">
        <f>ROUND(((I80*J80)-((I80*J80)*L80/100))+(((I80*J80)-((I80*J80)*L80/100))*M80/100),2)</f>
      </c>
      <c r="O80" s="230">
        <f>M11</f>
      </c>
      <c r="P80" s="235"/>
      <c r="Q80" s="236"/>
      <c r="R80" s="237"/>
      <c r="S80" s="238"/>
      <c r="T80" s="239"/>
    </row>
    <row r="81" spans="1:20" ht="24" customHeight="1">
      <c r="A81" s="226">
        <v>62</v>
      </c>
      <c r="B81" s="226">
        <v>99990010092110</v>
      </c>
      <c r="C81" s="227">
        <v>793746</v>
      </c>
      <c r="D81" s="228" t="s">
        <v>118</v>
      </c>
      <c r="E81" s="229"/>
      <c r="F81" s="229">
        <v>793746</v>
      </c>
      <c r="G81" s="229" t="s">
        <v>41</v>
      </c>
      <c r="H81" s="230">
        <v>0</v>
      </c>
      <c r="I81" s="231">
        <v>10</v>
      </c>
      <c r="J81" s="232">
        <v>0.41</v>
      </c>
      <c r="K81" s="233"/>
      <c r="L81" s="231">
        <v>0</v>
      </c>
      <c r="M81" s="231">
        <v>0</v>
      </c>
      <c r="N81" s="234">
        <f>ROUND(((I81*J81)-((I81*J81)*L81/100))+(((I81*J81)-((I81*J81)*L81/100))*M81/100),2)</f>
      </c>
      <c r="O81" s="230">
        <f>M11</f>
      </c>
      <c r="P81" s="235"/>
      <c r="Q81" s="236"/>
      <c r="R81" s="237"/>
      <c r="S81" s="238"/>
      <c r="T81" s="239"/>
    </row>
    <row r="82" spans="1:20" ht="24" customHeight="1">
      <c r="A82" s="226">
        <v>63</v>
      </c>
      <c r="B82" s="226">
        <v>99990009374761</v>
      </c>
      <c r="C82" s="227">
        <v>2096666</v>
      </c>
      <c r="D82" s="228" t="s">
        <v>119</v>
      </c>
      <c r="E82" s="229"/>
      <c r="F82" s="229">
        <v>811116</v>
      </c>
      <c r="G82" s="229" t="s">
        <v>63</v>
      </c>
      <c r="H82" s="230">
        <v>7.87</v>
      </c>
      <c r="I82" s="231">
        <v>2</v>
      </c>
      <c r="J82" s="232">
        <v>8</v>
      </c>
      <c r="K82" s="233"/>
      <c r="L82" s="231">
        <v>0</v>
      </c>
      <c r="M82" s="231">
        <v>0</v>
      </c>
      <c r="N82" s="234">
        <f>ROUND(((I82*J82)-((I82*J82)*L82/100))+(((I82*J82)-((I82*J82)*L82/100))*M82/100),2)</f>
      </c>
      <c r="O82" s="230">
        <f>M11</f>
      </c>
      <c r="P82" s="235"/>
      <c r="Q82" s="236"/>
      <c r="R82" s="237"/>
      <c r="S82" s="238"/>
      <c r="T82" s="239"/>
    </row>
    <row r="83" spans="1:20" ht="24" customHeight="1">
      <c r="A83" s="226">
        <v>64</v>
      </c>
      <c r="B83" s="226">
        <v>99990008657532</v>
      </c>
      <c r="C83" s="227">
        <v>811113</v>
      </c>
      <c r="D83" s="228" t="s">
        <v>120</v>
      </c>
      <c r="E83" s="229"/>
      <c r="F83" s="229">
        <v>811113</v>
      </c>
      <c r="G83" s="229" t="s">
        <v>63</v>
      </c>
      <c r="H83" s="230">
        <v>3.04</v>
      </c>
      <c r="I83" s="231">
        <v>2</v>
      </c>
      <c r="J83" s="232">
        <v>3.04</v>
      </c>
      <c r="K83" s="233"/>
      <c r="L83" s="231">
        <v>0</v>
      </c>
      <c r="M83" s="231">
        <v>0</v>
      </c>
      <c r="N83" s="234">
        <f>ROUND(((I83*J83)-((I83*J83)*L83/100))+(((I83*J83)-((I83*J83)*L83/100))*M83/100),2)</f>
      </c>
      <c r="O83" s="230">
        <f>M11</f>
      </c>
      <c r="P83" s="235"/>
      <c r="Q83" s="236"/>
      <c r="R83" s="237"/>
      <c r="S83" s="238"/>
      <c r="T83" s="239"/>
    </row>
    <row r="84" spans="1:20" ht="24" customHeight="1">
      <c r="A84" s="226">
        <v>65</v>
      </c>
      <c r="B84" s="226">
        <v>99990008657534</v>
      </c>
      <c r="C84" s="227">
        <v>811115</v>
      </c>
      <c r="D84" s="228" t="s">
        <v>121</v>
      </c>
      <c r="E84" s="229"/>
      <c r="F84" s="229">
        <v>811115</v>
      </c>
      <c r="G84" s="229" t="s">
        <v>63</v>
      </c>
      <c r="H84" s="230">
        <v>5.68</v>
      </c>
      <c r="I84" s="231">
        <v>2</v>
      </c>
      <c r="J84" s="232">
        <v>5.68</v>
      </c>
      <c r="K84" s="233"/>
      <c r="L84" s="231">
        <v>0</v>
      </c>
      <c r="M84" s="231">
        <v>0</v>
      </c>
      <c r="N84" s="234">
        <f>ROUND(((I84*J84)-((I84*J84)*L84/100))+(((I84*J84)-((I84*J84)*L84/100))*M84/100),2)</f>
      </c>
      <c r="O84" s="230">
        <f>M11</f>
      </c>
      <c r="P84" s="235"/>
      <c r="Q84" s="236"/>
      <c r="R84" s="237"/>
      <c r="S84" s="238"/>
      <c r="T84" s="239"/>
    </row>
    <row r="85" spans="1:20" ht="24" customHeight="1">
      <c r="A85" s="226">
        <v>66</v>
      </c>
      <c r="B85" s="226">
        <v>99990008657537</v>
      </c>
      <c r="C85" s="227">
        <v>811128</v>
      </c>
      <c r="D85" s="228" t="s">
        <v>122</v>
      </c>
      <c r="E85" s="229"/>
      <c r="F85" s="229">
        <v>811128</v>
      </c>
      <c r="G85" s="229" t="s">
        <v>58</v>
      </c>
      <c r="H85" s="230">
        <v>28.19</v>
      </c>
      <c r="I85" s="231">
        <v>2</v>
      </c>
      <c r="J85" s="232">
        <v>28.19</v>
      </c>
      <c r="K85" s="233"/>
      <c r="L85" s="231">
        <v>0</v>
      </c>
      <c r="M85" s="231">
        <v>0</v>
      </c>
      <c r="N85" s="234">
        <f>ROUND(((I85*J85)-((I85*J85)*L85/100))+(((I85*J85)-((I85*J85)*L85/100))*M85/100),2)</f>
      </c>
      <c r="O85" s="230">
        <f>M11</f>
      </c>
      <c r="P85" s="235"/>
      <c r="Q85" s="236"/>
      <c r="R85" s="237"/>
      <c r="S85" s="238"/>
      <c r="T85" s="239"/>
    </row>
    <row r="86" spans="1:20" ht="24" customHeight="1">
      <c r="A86" s="226">
        <v>67</v>
      </c>
      <c r="B86" s="226">
        <v>99990008657538</v>
      </c>
      <c r="C86" s="227">
        <v>811129</v>
      </c>
      <c r="D86" s="228" t="s">
        <v>123</v>
      </c>
      <c r="E86" s="229"/>
      <c r="F86" s="229">
        <v>811129</v>
      </c>
      <c r="G86" s="229" t="s">
        <v>58</v>
      </c>
      <c r="H86" s="230">
        <v>42.59</v>
      </c>
      <c r="I86" s="231">
        <v>2</v>
      </c>
      <c r="J86" s="232">
        <v>42.59</v>
      </c>
      <c r="K86" s="233"/>
      <c r="L86" s="231">
        <v>0</v>
      </c>
      <c r="M86" s="231">
        <v>0</v>
      </c>
      <c r="N86" s="234">
        <f>ROUND(((I86*J86)-((I86*J86)*L86/100))+(((I86*J86)-((I86*J86)*L86/100))*M86/100),2)</f>
      </c>
      <c r="O86" s="230">
        <f>M11</f>
      </c>
      <c r="P86" s="235"/>
      <c r="Q86" s="236"/>
      <c r="R86" s="237"/>
      <c r="S86" s="238"/>
      <c r="T86" s="239"/>
    </row>
    <row r="87" spans="1:20" ht="24" customHeight="1">
      <c r="A87" s="226">
        <v>68</v>
      </c>
      <c r="B87" s="226">
        <v>99990008656535</v>
      </c>
      <c r="C87" s="227">
        <v>756667</v>
      </c>
      <c r="D87" s="228" t="s">
        <v>124</v>
      </c>
      <c r="E87" s="229"/>
      <c r="F87" s="229">
        <v>756667</v>
      </c>
      <c r="G87" s="229" t="s">
        <v>41</v>
      </c>
      <c r="H87" s="230">
        <v>2.90</v>
      </c>
      <c r="I87" s="231">
        <v>4</v>
      </c>
      <c r="J87" s="232">
        <v>2.9</v>
      </c>
      <c r="K87" s="233"/>
      <c r="L87" s="231">
        <v>0</v>
      </c>
      <c r="M87" s="231">
        <v>0</v>
      </c>
      <c r="N87" s="234">
        <f>ROUND(((I87*J87)-((I87*J87)*L87/100))+(((I87*J87)-((I87*J87)*L87/100))*M87/100),2)</f>
      </c>
      <c r="O87" s="230">
        <f>M11</f>
      </c>
      <c r="P87" s="235"/>
      <c r="Q87" s="236"/>
      <c r="R87" s="237"/>
      <c r="S87" s="238"/>
      <c r="T87" s="239"/>
    </row>
    <row r="88" spans="1:20" ht="24" customHeight="1">
      <c r="A88" s="226">
        <v>69</v>
      </c>
      <c r="B88" s="226">
        <v>99990008656537</v>
      </c>
      <c r="C88" s="227">
        <v>756669</v>
      </c>
      <c r="D88" s="228" t="s">
        <v>125</v>
      </c>
      <c r="E88" s="229"/>
      <c r="F88" s="229">
        <v>756669</v>
      </c>
      <c r="G88" s="229" t="s">
        <v>41</v>
      </c>
      <c r="H88" s="230">
        <v>5.05</v>
      </c>
      <c r="I88" s="231">
        <v>4</v>
      </c>
      <c r="J88" s="232">
        <v>5.05</v>
      </c>
      <c r="K88" s="233"/>
      <c r="L88" s="231">
        <v>0</v>
      </c>
      <c r="M88" s="231">
        <v>0</v>
      </c>
      <c r="N88" s="234">
        <f>ROUND(((I88*J88)-((I88*J88)*L88/100))+(((I88*J88)-((I88*J88)*L88/100))*M88/100),2)</f>
      </c>
      <c r="O88" s="230">
        <f>M11</f>
      </c>
      <c r="P88" s="235"/>
      <c r="Q88" s="236"/>
      <c r="R88" s="237"/>
      <c r="S88" s="238"/>
      <c r="T88" s="239"/>
    </row>
    <row r="89" spans="1:20" ht="24" customHeight="1">
      <c r="A89" s="226">
        <v>70</v>
      </c>
      <c r="B89" s="226">
        <v>99990009864578</v>
      </c>
      <c r="C89" s="227" t="s">
        <v>126</v>
      </c>
      <c r="D89" s="228" t="s">
        <v>127</v>
      </c>
      <c r="E89" s="229"/>
      <c r="F89" s="229">
        <v>734002</v>
      </c>
      <c r="G89" s="229" t="s">
        <v>41</v>
      </c>
      <c r="H89" s="230">
        <v>0</v>
      </c>
      <c r="I89" s="231">
        <v>5</v>
      </c>
      <c r="J89" s="232">
        <v>0.23</v>
      </c>
      <c r="K89" s="233"/>
      <c r="L89" s="231">
        <v>0</v>
      </c>
      <c r="M89" s="231">
        <v>0</v>
      </c>
      <c r="N89" s="234">
        <f>ROUND(((I89*J89)-((I89*J89)*L89/100))+(((I89*J89)-((I89*J89)*L89/100))*M89/100),2)</f>
      </c>
      <c r="O89" s="230">
        <f>M11</f>
      </c>
      <c r="P89" s="235"/>
      <c r="Q89" s="236"/>
      <c r="R89" s="237"/>
      <c r="S89" s="238"/>
      <c r="T89" s="239"/>
    </row>
    <row r="90" spans="1:20" ht="24" customHeight="1">
      <c r="A90" s="226">
        <v>71</v>
      </c>
      <c r="B90" s="226">
        <v>99990009864577</v>
      </c>
      <c r="C90" s="227" t="s">
        <v>128</v>
      </c>
      <c r="D90" s="228" t="s">
        <v>127</v>
      </c>
      <c r="E90" s="229"/>
      <c r="F90" s="229">
        <v>734003</v>
      </c>
      <c r="G90" s="229" t="s">
        <v>41</v>
      </c>
      <c r="H90" s="230">
        <v>0</v>
      </c>
      <c r="I90" s="231">
        <v>5</v>
      </c>
      <c r="J90" s="232">
        <v>0.23</v>
      </c>
      <c r="K90" s="233"/>
      <c r="L90" s="231">
        <v>0</v>
      </c>
      <c r="M90" s="231">
        <v>0</v>
      </c>
      <c r="N90" s="234">
        <f>ROUND(((I90*J90)-((I90*J90)*L90/100))+(((I90*J90)-((I90*J90)*L90/100))*M90/100),2)</f>
      </c>
      <c r="O90" s="230">
        <f>M11</f>
      </c>
      <c r="P90" s="235" t="s">
        <v>330</v>
      </c>
      <c r="Q90" s="236"/>
      <c r="R90" s="237"/>
      <c r="S90" s="238"/>
      <c r="T90" s="239"/>
    </row>
    <row r="91" spans="1:20" ht="24" customHeight="1">
      <c r="A91" s="226">
        <v>72</v>
      </c>
      <c r="B91" s="226">
        <v>99990009864576</v>
      </c>
      <c r="C91" s="227" t="s">
        <v>129</v>
      </c>
      <c r="D91" s="228" t="s">
        <v>130</v>
      </c>
      <c r="E91" s="229"/>
      <c r="F91" s="229">
        <v>734004</v>
      </c>
      <c r="G91" s="229" t="s">
        <v>41</v>
      </c>
      <c r="H91" s="230">
        <v>0</v>
      </c>
      <c r="I91" s="231">
        <v>5</v>
      </c>
      <c r="J91" s="232">
        <v>0.23</v>
      </c>
      <c r="K91" s="233"/>
      <c r="L91" s="231">
        <v>0</v>
      </c>
      <c r="M91" s="231">
        <v>0</v>
      </c>
      <c r="N91" s="234">
        <f>ROUND(((I91*J91)-((I91*J91)*L91/100))+(((I91*J91)-((I91*J91)*L91/100))*M91/100),2)</f>
      </c>
      <c r="O91" s="230">
        <f>M11</f>
      </c>
      <c r="P91" s="235"/>
      <c r="Q91" s="236"/>
      <c r="R91" s="237"/>
      <c r="S91" s="238"/>
      <c r="T91" s="239"/>
    </row>
    <row r="92" spans="1:20" ht="24" customHeight="1">
      <c r="A92" s="226">
        <v>73</v>
      </c>
      <c r="B92" s="226">
        <v>99990009573463</v>
      </c>
      <c r="C92" s="227">
        <v>2136415</v>
      </c>
      <c r="D92" s="228" t="s">
        <v>131</v>
      </c>
      <c r="E92" s="229"/>
      <c r="F92" s="229">
        <v>734005</v>
      </c>
      <c r="G92" s="229" t="s">
        <v>41</v>
      </c>
      <c r="H92" s="230">
        <v>0.24</v>
      </c>
      <c r="I92" s="231">
        <v>5</v>
      </c>
      <c r="J92" s="232">
        <v>0.23</v>
      </c>
      <c r="K92" s="233"/>
      <c r="L92" s="231">
        <v>0</v>
      </c>
      <c r="M92" s="231">
        <v>0</v>
      </c>
      <c r="N92" s="234">
        <f>ROUND(((I92*J92)-((I92*J92)*L92/100))+(((I92*J92)-((I92*J92)*L92/100))*M92/100),2)</f>
      </c>
      <c r="O92" s="230">
        <f>M11</f>
      </c>
      <c r="P92" s="235"/>
      <c r="Q92" s="236"/>
      <c r="R92" s="237"/>
      <c r="S92" s="238"/>
      <c r="T92" s="239"/>
    </row>
    <row r="93" spans="1:20" ht="24" customHeight="1">
      <c r="A93" s="226">
        <v>74</v>
      </c>
      <c r="B93" s="226">
        <v>99990008655979</v>
      </c>
      <c r="C93" s="227">
        <v>734006</v>
      </c>
      <c r="D93" s="228" t="s">
        <v>132</v>
      </c>
      <c r="E93" s="229"/>
      <c r="F93" s="229">
        <v>734006</v>
      </c>
      <c r="G93" s="229" t="s">
        <v>41</v>
      </c>
      <c r="H93" s="230">
        <v>0.38</v>
      </c>
      <c r="I93" s="231">
        <v>5</v>
      </c>
      <c r="J93" s="232">
        <v>0.38</v>
      </c>
      <c r="K93" s="233"/>
      <c r="L93" s="231">
        <v>0</v>
      </c>
      <c r="M93" s="231">
        <v>0</v>
      </c>
      <c r="N93" s="234">
        <f>ROUND(((I93*J93)-((I93*J93)*L93/100))+(((I93*J93)-((I93*J93)*L93/100))*M93/100),2)</f>
      </c>
      <c r="O93" s="230">
        <f>M11</f>
      </c>
      <c r="P93" s="235"/>
      <c r="Q93" s="236"/>
      <c r="R93" s="237"/>
      <c r="S93" s="238"/>
      <c r="T93" s="239"/>
    </row>
    <row r="94" spans="1:20" ht="24" customHeight="1">
      <c r="A94" s="226">
        <v>75</v>
      </c>
      <c r="B94" s="226">
        <v>99990008655984</v>
      </c>
      <c r="C94" s="227">
        <v>734022</v>
      </c>
      <c r="D94" s="228" t="s">
        <v>133</v>
      </c>
      <c r="E94" s="229"/>
      <c r="F94" s="229">
        <v>734022</v>
      </c>
      <c r="G94" s="229" t="s">
        <v>41</v>
      </c>
      <c r="H94" s="230">
        <v>0.45</v>
      </c>
      <c r="I94" s="231">
        <v>5</v>
      </c>
      <c r="J94" s="232">
        <v>0.45</v>
      </c>
      <c r="K94" s="233"/>
      <c r="L94" s="231">
        <v>0</v>
      </c>
      <c r="M94" s="231">
        <v>0</v>
      </c>
      <c r="N94" s="234">
        <f>ROUND(((I94*J94)-((I94*J94)*L94/100))+(((I94*J94)-((I94*J94)*L94/100))*M94/100),2)</f>
      </c>
      <c r="O94" s="230">
        <f>M11</f>
      </c>
      <c r="P94" s="235"/>
      <c r="Q94" s="236"/>
      <c r="R94" s="237"/>
      <c r="S94" s="238"/>
      <c r="T94" s="239"/>
    </row>
    <row r="95" spans="1:20" ht="24" customHeight="1">
      <c r="A95" s="226">
        <v>76</v>
      </c>
      <c r="B95" s="226">
        <v>99990008655985</v>
      </c>
      <c r="C95" s="227">
        <v>734023</v>
      </c>
      <c r="D95" s="228" t="s">
        <v>134</v>
      </c>
      <c r="E95" s="229"/>
      <c r="F95" s="229">
        <v>734023</v>
      </c>
      <c r="G95" s="229" t="s">
        <v>41</v>
      </c>
      <c r="H95" s="230">
        <v>0.51</v>
      </c>
      <c r="I95" s="231">
        <v>5</v>
      </c>
      <c r="J95" s="232">
        <v>0.51</v>
      </c>
      <c r="K95" s="233"/>
      <c r="L95" s="231">
        <v>0</v>
      </c>
      <c r="M95" s="231">
        <v>0</v>
      </c>
      <c r="N95" s="234">
        <f>ROUND(((I95*J95)-((I95*J95)*L95/100))+(((I95*J95)-((I95*J95)*L95/100))*M95/100),2)</f>
      </c>
      <c r="O95" s="230">
        <f>M11</f>
      </c>
      <c r="P95" s="235"/>
      <c r="Q95" s="236"/>
      <c r="R95" s="237"/>
      <c r="S95" s="238"/>
      <c r="T95" s="239"/>
    </row>
    <row r="96" spans="1:20" ht="24" customHeight="1">
      <c r="A96" s="226">
        <v>77</v>
      </c>
      <c r="B96" s="226">
        <v>99990008655986</v>
      </c>
      <c r="C96" s="227">
        <v>734024</v>
      </c>
      <c r="D96" s="228" t="s">
        <v>135</v>
      </c>
      <c r="E96" s="229"/>
      <c r="F96" s="229">
        <v>734024</v>
      </c>
      <c r="G96" s="229" t="s">
        <v>41</v>
      </c>
      <c r="H96" s="230">
        <v>0.65</v>
      </c>
      <c r="I96" s="231">
        <v>5</v>
      </c>
      <c r="J96" s="232">
        <v>0.65</v>
      </c>
      <c r="K96" s="233"/>
      <c r="L96" s="231">
        <v>0</v>
      </c>
      <c r="M96" s="231">
        <v>0</v>
      </c>
      <c r="N96" s="234">
        <f>ROUND(((I96*J96)-((I96*J96)*L96/100))+(((I96*J96)-((I96*J96)*L96/100))*M96/100),2)</f>
      </c>
      <c r="O96" s="230">
        <f>M11</f>
      </c>
      <c r="P96" s="235"/>
      <c r="Q96" s="236"/>
      <c r="R96" s="237"/>
      <c r="S96" s="238"/>
      <c r="T96" s="239"/>
    </row>
    <row r="97" spans="1:20" ht="24" customHeight="1">
      <c r="A97" s="226">
        <v>78</v>
      </c>
      <c r="B97" s="226">
        <v>99990010098494</v>
      </c>
      <c r="C97" s="227">
        <v>734033</v>
      </c>
      <c r="D97" s="228" t="s">
        <v>136</v>
      </c>
      <c r="E97" s="229"/>
      <c r="F97" s="229">
        <v>734033</v>
      </c>
      <c r="G97" s="229" t="s">
        <v>41</v>
      </c>
      <c r="H97" s="230">
        <v>0</v>
      </c>
      <c r="I97" s="231">
        <v>5</v>
      </c>
      <c r="J97" s="232">
        <v>0.35</v>
      </c>
      <c r="K97" s="233"/>
      <c r="L97" s="231">
        <v>0</v>
      </c>
      <c r="M97" s="231">
        <v>0</v>
      </c>
      <c r="N97" s="234">
        <f>ROUND(((I97*J97)-((I97*J97)*L97/100))+(((I97*J97)-((I97*J97)*L97/100))*M97/100),2)</f>
      </c>
      <c r="O97" s="230">
        <f>M11</f>
      </c>
      <c r="P97" s="235"/>
      <c r="Q97" s="236"/>
      <c r="R97" s="237"/>
      <c r="S97" s="238"/>
      <c r="T97" s="239"/>
    </row>
    <row r="98" spans="1:20" ht="24" customHeight="1">
      <c r="A98" s="226">
        <v>79</v>
      </c>
      <c r="B98" s="226">
        <v>99990009573466</v>
      </c>
      <c r="C98" s="227">
        <v>2136418</v>
      </c>
      <c r="D98" s="228" t="s">
        <v>137</v>
      </c>
      <c r="E98" s="229"/>
      <c r="F98" s="229">
        <v>734034</v>
      </c>
      <c r="G98" s="229" t="s">
        <v>41</v>
      </c>
      <c r="H98" s="230">
        <v>0.47</v>
      </c>
      <c r="I98" s="231">
        <v>5</v>
      </c>
      <c r="J98" s="232">
        <v>0.47</v>
      </c>
      <c r="K98" s="233"/>
      <c r="L98" s="231">
        <v>0</v>
      </c>
      <c r="M98" s="231">
        <v>0</v>
      </c>
      <c r="N98" s="234">
        <f>ROUND(((I98*J98)-((I98*J98)*L98/100))+(((I98*J98)-((I98*J98)*L98/100))*M98/100),2)</f>
      </c>
      <c r="O98" s="230">
        <f>M11</f>
      </c>
      <c r="P98" s="235"/>
      <c r="Q98" s="236"/>
      <c r="R98" s="237"/>
      <c r="S98" s="238"/>
      <c r="T98" s="239"/>
    </row>
    <row r="99" spans="1:20" ht="24" customHeight="1">
      <c r="A99" s="226">
        <v>80</v>
      </c>
      <c r="B99" s="226">
        <v>99990010098495</v>
      </c>
      <c r="C99" s="227">
        <v>734036</v>
      </c>
      <c r="D99" s="228" t="s">
        <v>138</v>
      </c>
      <c r="E99" s="229"/>
      <c r="F99" s="229">
        <v>734036</v>
      </c>
      <c r="G99" s="229" t="s">
        <v>41</v>
      </c>
      <c r="H99" s="230">
        <v>0</v>
      </c>
      <c r="I99" s="231">
        <v>5</v>
      </c>
      <c r="J99" s="232">
        <v>0.39</v>
      </c>
      <c r="K99" s="233"/>
      <c r="L99" s="231">
        <v>0</v>
      </c>
      <c r="M99" s="231">
        <v>0</v>
      </c>
      <c r="N99" s="234">
        <f>ROUND(((I99*J99)-((I99*J99)*L99/100))+(((I99*J99)-((I99*J99)*L99/100))*M99/100),2)</f>
      </c>
      <c r="O99" s="230">
        <f>M11</f>
      </c>
      <c r="P99" s="235"/>
      <c r="Q99" s="236"/>
      <c r="R99" s="237"/>
      <c r="S99" s="238"/>
      <c r="T99" s="239"/>
    </row>
    <row r="100" spans="1:20" ht="24" customHeight="1">
      <c r="A100" s="226">
        <v>81</v>
      </c>
      <c r="B100" s="226">
        <v>99990009573468</v>
      </c>
      <c r="C100" s="227">
        <v>2136420</v>
      </c>
      <c r="D100" s="228" t="s">
        <v>139</v>
      </c>
      <c r="E100" s="229"/>
      <c r="F100" s="229">
        <v>734037</v>
      </c>
      <c r="G100" s="229" t="s">
        <v>41</v>
      </c>
      <c r="H100" s="230">
        <v>0.49</v>
      </c>
      <c r="I100" s="231">
        <v>5</v>
      </c>
      <c r="J100" s="232">
        <v>0.49</v>
      </c>
      <c r="K100" s="233"/>
      <c r="L100" s="231">
        <v>0</v>
      </c>
      <c r="M100" s="231">
        <v>0</v>
      </c>
      <c r="N100" s="234">
        <f>ROUND(((I100*J100)-((I100*J100)*L100/100))+(((I100*J100)-((I100*J100)*L100/100))*M100/100),2)</f>
      </c>
      <c r="O100" s="230">
        <f>M11</f>
      </c>
      <c r="P100" s="235"/>
      <c r="Q100" s="236"/>
      <c r="R100" s="237"/>
      <c r="S100" s="238"/>
      <c r="T100" s="239"/>
    </row>
    <row r="101" spans="1:20" ht="24" customHeight="1">
      <c r="A101" s="226">
        <v>82</v>
      </c>
      <c r="B101" s="226">
        <v>99990009573469</v>
      </c>
      <c r="C101" s="227">
        <v>2136421</v>
      </c>
      <c r="D101" s="228" t="s">
        <v>140</v>
      </c>
      <c r="E101" s="229"/>
      <c r="F101" s="229">
        <v>734038</v>
      </c>
      <c r="G101" s="229" t="s">
        <v>41</v>
      </c>
      <c r="H101" s="230">
        <v>0.73</v>
      </c>
      <c r="I101" s="231">
        <v>5</v>
      </c>
      <c r="J101" s="232">
        <v>0.72</v>
      </c>
      <c r="K101" s="233"/>
      <c r="L101" s="231">
        <v>0</v>
      </c>
      <c r="M101" s="231">
        <v>0</v>
      </c>
      <c r="N101" s="234">
        <f>ROUND(((I101*J101)-((I101*J101)*L101/100))+(((I101*J101)-((I101*J101)*L101/100))*M101/100),2)</f>
      </c>
      <c r="O101" s="230">
        <f>M11</f>
      </c>
      <c r="P101" s="235"/>
      <c r="Q101" s="236"/>
      <c r="R101" s="237"/>
      <c r="S101" s="238"/>
      <c r="T101" s="239"/>
    </row>
    <row r="102" spans="1:20" ht="24" customHeight="1">
      <c r="A102" s="226">
        <v>83</v>
      </c>
      <c r="B102" s="226">
        <v>99990010098496</v>
      </c>
      <c r="C102" s="227">
        <v>734039</v>
      </c>
      <c r="D102" s="228" t="s">
        <v>141</v>
      </c>
      <c r="E102" s="229"/>
      <c r="F102" s="229">
        <v>734039</v>
      </c>
      <c r="G102" s="229" t="s">
        <v>41</v>
      </c>
      <c r="H102" s="230">
        <v>0</v>
      </c>
      <c r="I102" s="231">
        <v>5</v>
      </c>
      <c r="J102" s="232">
        <v>0.49</v>
      </c>
      <c r="K102" s="233"/>
      <c r="L102" s="231">
        <v>0</v>
      </c>
      <c r="M102" s="231">
        <v>0</v>
      </c>
      <c r="N102" s="234">
        <f>ROUND(((I102*J102)-((I102*J102)*L102/100))+(((I102*J102)-((I102*J102)*L102/100))*M102/100),2)</f>
      </c>
      <c r="O102" s="230">
        <f>M11</f>
      </c>
      <c r="P102" s="235"/>
      <c r="Q102" s="236"/>
      <c r="R102" s="237"/>
      <c r="S102" s="238"/>
      <c r="T102" s="239"/>
    </row>
    <row r="103" spans="1:20" ht="24" customHeight="1">
      <c r="A103" s="226">
        <v>84</v>
      </c>
      <c r="B103" s="226">
        <v>99990009573470</v>
      </c>
      <c r="C103" s="227">
        <v>2136422</v>
      </c>
      <c r="D103" s="228" t="s">
        <v>142</v>
      </c>
      <c r="E103" s="229"/>
      <c r="F103" s="229">
        <v>734040</v>
      </c>
      <c r="G103" s="229" t="s">
        <v>41</v>
      </c>
      <c r="H103" s="230">
        <v>0.57</v>
      </c>
      <c r="I103" s="231">
        <v>5</v>
      </c>
      <c r="J103" s="232">
        <v>0.56</v>
      </c>
      <c r="K103" s="233"/>
      <c r="L103" s="231">
        <v>0</v>
      </c>
      <c r="M103" s="231">
        <v>0</v>
      </c>
      <c r="N103" s="234">
        <f>ROUND(((I103*J103)-((I103*J103)*L103/100))+(((I103*J103)-((I103*J103)*L103/100))*M103/100),2)</f>
      </c>
      <c r="O103" s="230">
        <f>M11</f>
      </c>
      <c r="P103" s="235"/>
      <c r="Q103" s="236"/>
      <c r="R103" s="237"/>
      <c r="S103" s="238"/>
      <c r="T103" s="239"/>
    </row>
    <row r="104" spans="1:20" ht="24" customHeight="1">
      <c r="A104" s="226">
        <v>85</v>
      </c>
      <c r="B104" s="226">
        <v>99990008655576</v>
      </c>
      <c r="C104" s="227">
        <v>510786</v>
      </c>
      <c r="D104" s="228" t="s">
        <v>143</v>
      </c>
      <c r="E104" s="229"/>
      <c r="F104" s="229">
        <v>510786</v>
      </c>
      <c r="G104" s="229" t="s">
        <v>41</v>
      </c>
      <c r="H104" s="230">
        <v>0.40</v>
      </c>
      <c r="I104" s="231">
        <v>10</v>
      </c>
      <c r="J104" s="232">
        <v>0.4</v>
      </c>
      <c r="K104" s="233"/>
      <c r="L104" s="231">
        <v>0</v>
      </c>
      <c r="M104" s="231">
        <v>0</v>
      </c>
      <c r="N104" s="234">
        <f>ROUND(((I104*J104)-((I104*J104)*L104/100))+(((I104*J104)-((I104*J104)*L104/100))*M104/100),2)</f>
      </c>
      <c r="O104" s="230">
        <f>M11</f>
      </c>
      <c r="P104" s="235"/>
      <c r="Q104" s="236"/>
      <c r="R104" s="237"/>
      <c r="S104" s="238"/>
      <c r="T104" s="239"/>
    </row>
    <row r="105" spans="1:20" ht="24" customHeight="1">
      <c r="A105" s="226">
        <v>86</v>
      </c>
      <c r="B105" s="226">
        <v>99990008657588</v>
      </c>
      <c r="C105" s="227">
        <v>510165</v>
      </c>
      <c r="D105" s="228" t="s">
        <v>144</v>
      </c>
      <c r="E105" s="229"/>
      <c r="F105" s="229">
        <v>510165</v>
      </c>
      <c r="G105" s="229" t="s">
        <v>41</v>
      </c>
      <c r="H105" s="230">
        <v>0.22</v>
      </c>
      <c r="I105" s="231">
        <v>10</v>
      </c>
      <c r="J105" s="232">
        <v>0.22</v>
      </c>
      <c r="K105" s="233"/>
      <c r="L105" s="231">
        <v>0</v>
      </c>
      <c r="M105" s="231">
        <v>0</v>
      </c>
      <c r="N105" s="234">
        <f>ROUND(((I105*J105)-((I105*J105)*L105/100))+(((I105*J105)-((I105*J105)*L105/100))*M105/100),2)</f>
      </c>
      <c r="O105" s="230">
        <f>M11</f>
      </c>
      <c r="P105" s="235"/>
      <c r="Q105" s="236"/>
      <c r="R105" s="237"/>
      <c r="S105" s="238"/>
      <c r="T105" s="239"/>
    </row>
    <row r="106" spans="1:20" ht="24" customHeight="1">
      <c r="A106" s="226">
        <v>87</v>
      </c>
      <c r="B106" s="226">
        <v>99990008657514</v>
      </c>
      <c r="C106" s="227">
        <v>671906</v>
      </c>
      <c r="D106" s="228" t="s">
        <v>145</v>
      </c>
      <c r="E106" s="229"/>
      <c r="F106" s="229">
        <v>671906</v>
      </c>
      <c r="G106" s="229" t="s">
        <v>52</v>
      </c>
      <c r="H106" s="230">
        <v>49.69</v>
      </c>
      <c r="I106" s="231">
        <v>2</v>
      </c>
      <c r="J106" s="232">
        <v>49.69</v>
      </c>
      <c r="K106" s="233"/>
      <c r="L106" s="231">
        <v>0</v>
      </c>
      <c r="M106" s="231">
        <v>0</v>
      </c>
      <c r="N106" s="234">
        <f>ROUND(((I106*J106)-((I106*J106)*L106/100))+(((I106*J106)-((I106*J106)*L106/100))*M106/100),2)</f>
      </c>
      <c r="O106" s="230">
        <f>M11</f>
      </c>
      <c r="P106" s="235"/>
      <c r="Q106" s="236"/>
      <c r="R106" s="237"/>
      <c r="S106" s="238"/>
      <c r="T106" s="239"/>
    </row>
    <row r="107" spans="1:20" ht="24" customHeight="1">
      <c r="A107" s="226">
        <v>88</v>
      </c>
      <c r="B107" s="226">
        <v>99990008657999</v>
      </c>
      <c r="C107" s="227">
        <v>612904</v>
      </c>
      <c r="D107" s="228" t="s">
        <v>146</v>
      </c>
      <c r="E107" s="229"/>
      <c r="F107" s="229">
        <v>612904</v>
      </c>
      <c r="G107" s="229" t="s">
        <v>41</v>
      </c>
      <c r="H107" s="230">
        <v>1.30</v>
      </c>
      <c r="I107" s="231">
        <v>2</v>
      </c>
      <c r="J107" s="232">
        <v>1.3</v>
      </c>
      <c r="K107" s="233"/>
      <c r="L107" s="231">
        <v>0</v>
      </c>
      <c r="M107" s="231">
        <v>0</v>
      </c>
      <c r="N107" s="234">
        <f>ROUND(((I107*J107)-((I107*J107)*L107/100))+(((I107*J107)-((I107*J107)*L107/100))*M107/100),2)</f>
      </c>
      <c r="O107" s="230">
        <f>M11</f>
      </c>
      <c r="P107" s="235"/>
      <c r="Q107" s="236"/>
      <c r="R107" s="237"/>
      <c r="S107" s="238"/>
      <c r="T107" s="239"/>
    </row>
    <row r="108" spans="1:20" ht="24" customHeight="1">
      <c r="A108" s="226">
        <v>89</v>
      </c>
      <c r="B108" s="226">
        <v>99990008658001</v>
      </c>
      <c r="C108" s="227">
        <v>612906</v>
      </c>
      <c r="D108" s="228" t="s">
        <v>147</v>
      </c>
      <c r="E108" s="229"/>
      <c r="F108" s="229">
        <v>612906</v>
      </c>
      <c r="G108" s="229" t="s">
        <v>41</v>
      </c>
      <c r="H108" s="230">
        <v>1.29</v>
      </c>
      <c r="I108" s="231">
        <v>2</v>
      </c>
      <c r="J108" s="232">
        <v>1.29</v>
      </c>
      <c r="K108" s="233"/>
      <c r="L108" s="231">
        <v>0</v>
      </c>
      <c r="M108" s="231">
        <v>0</v>
      </c>
      <c r="N108" s="234">
        <f>ROUND(((I108*J108)-((I108*J108)*L108/100))+(((I108*J108)-((I108*J108)*L108/100))*M108/100),2)</f>
      </c>
      <c r="O108" s="230">
        <f>M11</f>
      </c>
      <c r="P108" s="235"/>
      <c r="Q108" s="236"/>
      <c r="R108" s="237"/>
      <c r="S108" s="238"/>
      <c r="T108" s="239"/>
    </row>
    <row r="109" spans="1:20" ht="24" customHeight="1">
      <c r="A109" s="226">
        <v>90</v>
      </c>
      <c r="B109" s="226">
        <v>99990009374766</v>
      </c>
      <c r="C109" s="227">
        <v>2096671</v>
      </c>
      <c r="D109" s="228" t="s">
        <v>148</v>
      </c>
      <c r="E109" s="229"/>
      <c r="F109" s="229">
        <v>592075</v>
      </c>
      <c r="G109" s="229" t="s">
        <v>41</v>
      </c>
      <c r="H109" s="230">
        <v>1.87</v>
      </c>
      <c r="I109" s="231">
        <v>20</v>
      </c>
      <c r="J109" s="232">
        <v>1.93</v>
      </c>
      <c r="K109" s="233"/>
      <c r="L109" s="231">
        <v>0</v>
      </c>
      <c r="M109" s="231">
        <v>0</v>
      </c>
      <c r="N109" s="234">
        <f>ROUND(((I109*J109)-((I109*J109)*L109/100))+(((I109*J109)-((I109*J109)*L109/100))*M109/100),2)</f>
      </c>
      <c r="O109" s="230">
        <f>M11</f>
      </c>
      <c r="P109" s="235" t="s">
        <v>331</v>
      </c>
      <c r="Q109" s="236"/>
      <c r="R109" s="237"/>
      <c r="S109" s="238"/>
      <c r="T109" s="239"/>
    </row>
    <row r="110" spans="1:20" ht="24" customHeight="1">
      <c r="A110" s="226">
        <v>91</v>
      </c>
      <c r="B110" s="226">
        <v>99990008656230</v>
      </c>
      <c r="C110" s="227">
        <v>592071</v>
      </c>
      <c r="D110" s="228" t="s">
        <v>149</v>
      </c>
      <c r="E110" s="229"/>
      <c r="F110" s="229">
        <v>592071</v>
      </c>
      <c r="G110" s="229" t="s">
        <v>58</v>
      </c>
      <c r="H110" s="230">
        <v>36.51</v>
      </c>
      <c r="I110" s="231">
        <v>4</v>
      </c>
      <c r="J110" s="232">
        <v>36.51</v>
      </c>
      <c r="K110" s="233"/>
      <c r="L110" s="231">
        <v>0</v>
      </c>
      <c r="M110" s="231">
        <v>0</v>
      </c>
      <c r="N110" s="234">
        <f>ROUND(((I110*J110)-((I110*J110)*L110/100))+(((I110*J110)-((I110*J110)*L110/100))*M110/100),2)</f>
      </c>
      <c r="O110" s="230">
        <f>M11</f>
      </c>
      <c r="P110" s="235" t="s">
        <v>332</v>
      </c>
      <c r="Q110" s="236"/>
      <c r="R110" s="237"/>
      <c r="S110" s="238"/>
      <c r="T110" s="239"/>
    </row>
    <row r="111" spans="1:20" ht="24" customHeight="1">
      <c r="A111" s="226">
        <v>92</v>
      </c>
      <c r="B111" s="226">
        <v>99990011222778</v>
      </c>
      <c r="C111" s="227">
        <v>734612</v>
      </c>
      <c r="D111" s="228" t="s">
        <v>150</v>
      </c>
      <c r="E111" s="229"/>
      <c r="F111" s="229">
        <v>734612</v>
      </c>
      <c r="G111" s="229" t="s">
        <v>41</v>
      </c>
      <c r="H111" s="230">
        <v>0</v>
      </c>
      <c r="I111" s="231">
        <v>10</v>
      </c>
      <c r="J111" s="232">
        <v>6.88</v>
      </c>
      <c r="K111" s="233"/>
      <c r="L111" s="231">
        <v>0</v>
      </c>
      <c r="M111" s="231">
        <v>0</v>
      </c>
      <c r="N111" s="234">
        <f>ROUND(((I111*J111)-((I111*J111)*L111/100))+(((I111*J111)-((I111*J111)*L111/100))*M111/100),2)</f>
      </c>
      <c r="O111" s="230">
        <f>M11</f>
      </c>
      <c r="P111" s="235"/>
      <c r="Q111" s="236"/>
      <c r="R111" s="237"/>
      <c r="S111" s="238"/>
      <c r="T111" s="239"/>
    </row>
    <row r="112" spans="1:20" ht="24" customHeight="1">
      <c r="A112" s="226">
        <v>93</v>
      </c>
      <c r="B112" s="226">
        <v>99990008657553</v>
      </c>
      <c r="C112" s="227">
        <v>812502</v>
      </c>
      <c r="D112" s="228" t="s">
        <v>151</v>
      </c>
      <c r="E112" s="229"/>
      <c r="F112" s="229">
        <v>812502</v>
      </c>
      <c r="G112" s="229" t="s">
        <v>41</v>
      </c>
      <c r="H112" s="230">
        <v>0.18</v>
      </c>
      <c r="I112" s="231">
        <v>30</v>
      </c>
      <c r="J112" s="232">
        <v>0.18</v>
      </c>
      <c r="K112" s="233"/>
      <c r="L112" s="231">
        <v>0</v>
      </c>
      <c r="M112" s="231">
        <v>0</v>
      </c>
      <c r="N112" s="234">
        <f>ROUND(((I112*J112)-((I112*J112)*L112/100))+(((I112*J112)-((I112*J112)*L112/100))*M112/100),2)</f>
      </c>
      <c r="O112" s="230">
        <f>M11</f>
      </c>
      <c r="P112" s="235"/>
      <c r="Q112" s="236"/>
      <c r="R112" s="237"/>
      <c r="S112" s="238"/>
      <c r="T112" s="239"/>
    </row>
    <row r="113" spans="1:20" ht="24" customHeight="1">
      <c r="A113" s="226">
        <v>94</v>
      </c>
      <c r="B113" s="226">
        <v>99990008656965</v>
      </c>
      <c r="C113" s="227">
        <v>813101</v>
      </c>
      <c r="D113" s="228" t="s">
        <v>152</v>
      </c>
      <c r="E113" s="229"/>
      <c r="F113" s="229">
        <v>813101</v>
      </c>
      <c r="G113" s="229" t="s">
        <v>63</v>
      </c>
      <c r="H113" s="230">
        <v>3.76</v>
      </c>
      <c r="I113" s="231">
        <v>50</v>
      </c>
      <c r="J113" s="232">
        <v>1.48</v>
      </c>
      <c r="K113" s="233"/>
      <c r="L113" s="231">
        <v>0</v>
      </c>
      <c r="M113" s="231">
        <v>0</v>
      </c>
      <c r="N113" s="234">
        <f>ROUND(((I113*J113)-((I113*J113)*L113/100))+(((I113*J113)-((I113*J113)*L113/100))*M113/100),2)</f>
      </c>
      <c r="O113" s="230">
        <f>M11</f>
      </c>
      <c r="P113" s="235" t="s">
        <v>333</v>
      </c>
      <c r="Q113" s="236"/>
      <c r="R113" s="237"/>
      <c r="S113" s="238"/>
      <c r="T113" s="239"/>
    </row>
    <row r="114" spans="1:20" ht="24" customHeight="1">
      <c r="A114" s="226">
        <v>95</v>
      </c>
      <c r="B114" s="226">
        <v>99990008655641</v>
      </c>
      <c r="C114" s="227">
        <v>614801</v>
      </c>
      <c r="D114" s="228" t="s">
        <v>153</v>
      </c>
      <c r="E114" s="229"/>
      <c r="F114" s="229">
        <v>614801</v>
      </c>
      <c r="G114" s="229" t="s">
        <v>41</v>
      </c>
      <c r="H114" s="230">
        <v>0.19</v>
      </c>
      <c r="I114" s="231">
        <v>10</v>
      </c>
      <c r="J114" s="232">
        <v>0.19</v>
      </c>
      <c r="K114" s="233"/>
      <c r="L114" s="231">
        <v>0</v>
      </c>
      <c r="M114" s="231">
        <v>0</v>
      </c>
      <c r="N114" s="234">
        <f>ROUND(((I114*J114)-((I114*J114)*L114/100))+(((I114*J114)-((I114*J114)*L114/100))*M114/100),2)</f>
      </c>
      <c r="O114" s="230">
        <f>M11</f>
      </c>
      <c r="P114" s="235"/>
      <c r="Q114" s="236"/>
      <c r="R114" s="237"/>
      <c r="S114" s="238"/>
      <c r="T114" s="239"/>
    </row>
    <row r="115" spans="1:20" ht="24" customHeight="1">
      <c r="A115" s="226">
        <v>96</v>
      </c>
      <c r="B115" s="226">
        <v>99990009573604</v>
      </c>
      <c r="C115" s="227">
        <v>2136554</v>
      </c>
      <c r="D115" s="228" t="s">
        <v>154</v>
      </c>
      <c r="E115" s="229"/>
      <c r="F115" s="229">
        <v>614802</v>
      </c>
      <c r="G115" s="229" t="s">
        <v>41</v>
      </c>
      <c r="H115" s="230">
        <v>0.20</v>
      </c>
      <c r="I115" s="231">
        <v>10</v>
      </c>
      <c r="J115" s="232">
        <v>0.19</v>
      </c>
      <c r="K115" s="233"/>
      <c r="L115" s="231">
        <v>0</v>
      </c>
      <c r="M115" s="231">
        <v>0</v>
      </c>
      <c r="N115" s="234">
        <f>ROUND(((I115*J115)-((I115*J115)*L115/100))+(((I115*J115)-((I115*J115)*L115/100))*M115/100),2)</f>
      </c>
      <c r="O115" s="230">
        <f>M11</f>
      </c>
      <c r="P115" s="235"/>
      <c r="Q115" s="236"/>
      <c r="R115" s="237"/>
      <c r="S115" s="238"/>
      <c r="T115" s="239"/>
    </row>
    <row r="116" spans="1:20" ht="24" customHeight="1">
      <c r="A116" s="226">
        <v>97</v>
      </c>
      <c r="B116" s="226">
        <v>99990008184000</v>
      </c>
      <c r="C116" s="227">
        <v>450843</v>
      </c>
      <c r="D116" s="228" t="s">
        <v>155</v>
      </c>
      <c r="E116" s="229"/>
      <c r="F116" s="229">
        <v>450843</v>
      </c>
      <c r="G116" s="229" t="s">
        <v>111</v>
      </c>
      <c r="H116" s="230">
        <v>0</v>
      </c>
      <c r="I116" s="231">
        <v>5</v>
      </c>
      <c r="J116" s="232">
        <v>21.41</v>
      </c>
      <c r="K116" s="233"/>
      <c r="L116" s="231">
        <v>0</v>
      </c>
      <c r="M116" s="231">
        <v>0</v>
      </c>
      <c r="N116" s="234">
        <f>ROUND(((I116*J116)-((I116*J116)*L116/100))+(((I116*J116)-((I116*J116)*L116/100))*M116/100),2)</f>
      </c>
      <c r="O116" s="230">
        <f>M11</f>
      </c>
      <c r="P116" s="235" t="s">
        <v>334</v>
      </c>
      <c r="Q116" s="236"/>
      <c r="R116" s="237"/>
      <c r="S116" s="238"/>
      <c r="T116" s="239"/>
    </row>
    <row r="117" spans="1:20" ht="24" customHeight="1">
      <c r="A117" s="226">
        <v>98</v>
      </c>
      <c r="B117" s="226">
        <v>99990008656632</v>
      </c>
      <c r="C117" s="227">
        <v>871802</v>
      </c>
      <c r="D117" s="228" t="s">
        <v>156</v>
      </c>
      <c r="E117" s="229"/>
      <c r="F117" s="229">
        <v>871802</v>
      </c>
      <c r="G117" s="229" t="s">
        <v>70</v>
      </c>
      <c r="H117" s="230">
        <v>29.50</v>
      </c>
      <c r="I117" s="231">
        <v>2</v>
      </c>
      <c r="J117" s="232">
        <v>35.89</v>
      </c>
      <c r="K117" s="233"/>
      <c r="L117" s="231">
        <v>0</v>
      </c>
      <c r="M117" s="231">
        <v>0</v>
      </c>
      <c r="N117" s="234">
        <f>ROUND(((I117*J117)-((I117*J117)*L117/100))+(((I117*J117)-((I117*J117)*L117/100))*M117/100),2)</f>
      </c>
      <c r="O117" s="230">
        <f>M11</f>
      </c>
      <c r="P117" s="235" t="s">
        <v>335</v>
      </c>
      <c r="Q117" s="236"/>
      <c r="R117" s="237" t="s">
        <v>157</v>
      </c>
      <c r="S117" s="238"/>
      <c r="T117" s="239"/>
    </row>
    <row r="118" spans="1:20" ht="24" customHeight="1">
      <c r="A118" s="226">
        <v>99</v>
      </c>
      <c r="B118" s="226">
        <v>99990008656634</v>
      </c>
      <c r="C118" s="227">
        <v>871808</v>
      </c>
      <c r="D118" s="228" t="s">
        <v>158</v>
      </c>
      <c r="E118" s="229"/>
      <c r="F118" s="229">
        <v>871808</v>
      </c>
      <c r="G118" s="229" t="s">
        <v>70</v>
      </c>
      <c r="H118" s="230">
        <v>47.20</v>
      </c>
      <c r="I118" s="231">
        <v>2</v>
      </c>
      <c r="J118" s="232">
        <v>54.07</v>
      </c>
      <c r="K118" s="233"/>
      <c r="L118" s="231">
        <v>0</v>
      </c>
      <c r="M118" s="231">
        <v>0</v>
      </c>
      <c r="N118" s="234">
        <f>ROUND(((I118*J118)-((I118*J118)*L118/100))+(((I118*J118)-((I118*J118)*L118/100))*M118/100),2)</f>
      </c>
      <c r="O118" s="230">
        <f>M11</f>
      </c>
      <c r="P118" s="235" t="s">
        <v>335</v>
      </c>
      <c r="Q118" s="236"/>
      <c r="R118" s="237" t="s">
        <v>157</v>
      </c>
      <c r="S118" s="238"/>
      <c r="T118" s="239"/>
    </row>
    <row r="119" spans="1:20" ht="24" customHeight="1">
      <c r="A119" s="226">
        <v>100</v>
      </c>
      <c r="B119" s="226">
        <v>99990008656385</v>
      </c>
      <c r="C119" s="227">
        <v>611282</v>
      </c>
      <c r="D119" s="228" t="s">
        <v>159</v>
      </c>
      <c r="E119" s="229"/>
      <c r="F119" s="229">
        <v>611282</v>
      </c>
      <c r="G119" s="229" t="s">
        <v>58</v>
      </c>
      <c r="H119" s="230">
        <v>2.61</v>
      </c>
      <c r="I119" s="231">
        <v>2</v>
      </c>
      <c r="J119" s="232">
        <v>2.61</v>
      </c>
      <c r="K119" s="233"/>
      <c r="L119" s="231">
        <v>0</v>
      </c>
      <c r="M119" s="231">
        <v>0</v>
      </c>
      <c r="N119" s="234">
        <f>ROUND(((I119*J119)-((I119*J119)*L119/100))+(((I119*J119)-((I119*J119)*L119/100))*M119/100),2)</f>
      </c>
      <c r="O119" s="230">
        <f>M11</f>
      </c>
      <c r="P119" s="235"/>
      <c r="Q119" s="236"/>
      <c r="R119" s="237"/>
      <c r="S119" s="238"/>
      <c r="T119" s="239"/>
    </row>
    <row r="120" spans="1:20" ht="24" customHeight="1">
      <c r="A120" s="226">
        <v>101</v>
      </c>
      <c r="B120" s="226">
        <v>99990008656947</v>
      </c>
      <c r="C120" s="227">
        <v>812758</v>
      </c>
      <c r="D120" s="228" t="s">
        <v>160</v>
      </c>
      <c r="E120" s="229"/>
      <c r="F120" s="229">
        <v>812758</v>
      </c>
      <c r="G120" s="229" t="s">
        <v>161</v>
      </c>
      <c r="H120" s="230">
        <v>4.23</v>
      </c>
      <c r="I120" s="231">
        <v>6</v>
      </c>
      <c r="J120" s="232">
        <v>1.8</v>
      </c>
      <c r="K120" s="233"/>
      <c r="L120" s="231">
        <v>0</v>
      </c>
      <c r="M120" s="231">
        <v>0</v>
      </c>
      <c r="N120" s="234">
        <f>ROUND(((I120*J120)-((I120*J120)*L120/100))+(((I120*J120)-((I120*J120)*L120/100))*M120/100),2)</f>
      </c>
      <c r="O120" s="230">
        <f>M11</f>
      </c>
      <c r="P120" s="235" t="s">
        <v>336</v>
      </c>
      <c r="Q120" s="236"/>
      <c r="R120" s="237" t="s">
        <v>162</v>
      </c>
      <c r="S120" s="238"/>
      <c r="T120" s="239"/>
    </row>
    <row r="121" spans="1:20" ht="24" customHeight="1">
      <c r="A121" s="226">
        <v>102</v>
      </c>
      <c r="B121" s="226">
        <v>99990008656938</v>
      </c>
      <c r="C121" s="227">
        <v>812603</v>
      </c>
      <c r="D121" s="228" t="s">
        <v>163</v>
      </c>
      <c r="E121" s="229"/>
      <c r="F121" s="229">
        <v>812603</v>
      </c>
      <c r="G121" s="229" t="s">
        <v>41</v>
      </c>
      <c r="H121" s="230">
        <v>1.20</v>
      </c>
      <c r="I121" s="231">
        <v>2</v>
      </c>
      <c r="J121" s="232">
        <v>1.2</v>
      </c>
      <c r="K121" s="233"/>
      <c r="L121" s="231">
        <v>0</v>
      </c>
      <c r="M121" s="231">
        <v>0</v>
      </c>
      <c r="N121" s="234">
        <f>ROUND(((I121*J121)-((I121*J121)*L121/100))+(((I121*J121)-((I121*J121)*L121/100))*M121/100),2)</f>
      </c>
      <c r="O121" s="230">
        <f>M11</f>
      </c>
      <c r="P121" s="235"/>
      <c r="Q121" s="236"/>
      <c r="R121" s="237"/>
      <c r="S121" s="238"/>
      <c r="T121" s="239"/>
    </row>
    <row r="122" spans="1:20" ht="24" customHeight="1">
      <c r="A122" s="226">
        <v>103</v>
      </c>
      <c r="B122" s="226">
        <v>99990008655866</v>
      </c>
      <c r="C122" s="227">
        <v>812442</v>
      </c>
      <c r="D122" s="228" t="s">
        <v>164</v>
      </c>
      <c r="E122" s="229"/>
      <c r="F122" s="229">
        <v>812442</v>
      </c>
      <c r="G122" s="229" t="s">
        <v>165</v>
      </c>
      <c r="H122" s="230">
        <v>44.44</v>
      </c>
      <c r="I122" s="231">
        <v>5</v>
      </c>
      <c r="J122" s="232">
        <v>43.8</v>
      </c>
      <c r="K122" s="233"/>
      <c r="L122" s="231">
        <v>0</v>
      </c>
      <c r="M122" s="231">
        <v>0</v>
      </c>
      <c r="N122" s="234">
        <f>ROUND(((I122*J122)-((I122*J122)*L122/100))+(((I122*J122)-((I122*J122)*L122/100))*M122/100),2)</f>
      </c>
      <c r="O122" s="230">
        <f>M11</f>
      </c>
      <c r="P122" s="235" t="s">
        <v>337</v>
      </c>
      <c r="Q122" s="236"/>
      <c r="R122" s="237"/>
      <c r="S122" s="238"/>
      <c r="T122" s="239"/>
    </row>
    <row r="123" spans="1:20" ht="24" customHeight="1">
      <c r="A123" s="226">
        <v>104</v>
      </c>
      <c r="B123" s="226">
        <v>99990008656962</v>
      </c>
      <c r="C123" s="227">
        <v>813070</v>
      </c>
      <c r="D123" s="228" t="s">
        <v>166</v>
      </c>
      <c r="E123" s="229"/>
      <c r="F123" s="229">
        <v>813070</v>
      </c>
      <c r="G123" s="229" t="s">
        <v>58</v>
      </c>
      <c r="H123" s="230">
        <v>26.13</v>
      </c>
      <c r="I123" s="231">
        <v>2</v>
      </c>
      <c r="J123" s="232">
        <v>8.39</v>
      </c>
      <c r="K123" s="233"/>
      <c r="L123" s="231">
        <v>0</v>
      </c>
      <c r="M123" s="231">
        <v>0</v>
      </c>
      <c r="N123" s="234">
        <f>ROUND(((I123*J123)-((I123*J123)*L123/100))+(((I123*J123)-((I123*J123)*L123/100))*M123/100),2)</f>
      </c>
      <c r="O123" s="230">
        <f>M11</f>
      </c>
      <c r="P123" s="235" t="s">
        <v>167</v>
      </c>
      <c r="Q123" s="236"/>
      <c r="R123" s="237" t="s">
        <v>167</v>
      </c>
      <c r="S123" s="238"/>
      <c r="T123" s="239"/>
    </row>
    <row r="124" spans="1:20" ht="24" customHeight="1">
      <c r="A124" s="226">
        <v>105</v>
      </c>
      <c r="B124" s="226">
        <v>99990008656963</v>
      </c>
      <c r="C124" s="227">
        <v>813072</v>
      </c>
      <c r="D124" s="228" t="s">
        <v>168</v>
      </c>
      <c r="E124" s="229"/>
      <c r="F124" s="229">
        <v>813072</v>
      </c>
      <c r="G124" s="229" t="s">
        <v>58</v>
      </c>
      <c r="H124" s="230">
        <v>2.60</v>
      </c>
      <c r="I124" s="231">
        <v>5</v>
      </c>
      <c r="J124" s="232">
        <v>2.6</v>
      </c>
      <c r="K124" s="233"/>
      <c r="L124" s="231">
        <v>0</v>
      </c>
      <c r="M124" s="231">
        <v>0</v>
      </c>
      <c r="N124" s="234">
        <f>ROUND(((I124*J124)-((I124*J124)*L124/100))+(((I124*J124)-((I124*J124)*L124/100))*M124/100),2)</f>
      </c>
      <c r="O124" s="230">
        <f>M11</f>
      </c>
      <c r="P124" s="235"/>
      <c r="Q124" s="236"/>
      <c r="R124" s="237"/>
      <c r="S124" s="238"/>
      <c r="T124" s="239"/>
    </row>
    <row r="125" spans="1:20" ht="24" customHeight="1">
      <c r="A125" s="226">
        <v>106</v>
      </c>
      <c r="B125" s="226">
        <v>99990008656892</v>
      </c>
      <c r="C125" s="227">
        <v>795432</v>
      </c>
      <c r="D125" s="228" t="s">
        <v>169</v>
      </c>
      <c r="E125" s="229"/>
      <c r="F125" s="229">
        <v>795432</v>
      </c>
      <c r="G125" s="229" t="s">
        <v>170</v>
      </c>
      <c r="H125" s="230">
        <v>0.46</v>
      </c>
      <c r="I125" s="231">
        <v>10</v>
      </c>
      <c r="J125" s="232">
        <v>0.46</v>
      </c>
      <c r="K125" s="233"/>
      <c r="L125" s="231">
        <v>0</v>
      </c>
      <c r="M125" s="231">
        <v>0</v>
      </c>
      <c r="N125" s="234">
        <f>ROUND(((I125*J125)-((I125*J125)*L125/100))+(((I125*J125)-((I125*J125)*L125/100))*M125/100),2)</f>
      </c>
      <c r="O125" s="230">
        <f>M11</f>
      </c>
      <c r="P125" s="235" t="s">
        <v>338</v>
      </c>
      <c r="Q125" s="236"/>
      <c r="R125" s="237"/>
      <c r="S125" s="238"/>
      <c r="T125" s="239"/>
    </row>
    <row r="126" spans="1:20" ht="24" customHeight="1">
      <c r="A126" s="226">
        <v>107</v>
      </c>
      <c r="B126" s="226">
        <v>99990008210211</v>
      </c>
      <c r="C126" s="227">
        <v>792903</v>
      </c>
      <c r="D126" s="228" t="s">
        <v>171</v>
      </c>
      <c r="E126" s="229"/>
      <c r="F126" s="229">
        <v>792903</v>
      </c>
      <c r="G126" s="229" t="s">
        <v>58</v>
      </c>
      <c r="H126" s="230">
        <v>0</v>
      </c>
      <c r="I126" s="231">
        <v>10</v>
      </c>
      <c r="J126" s="232">
        <v>1.56</v>
      </c>
      <c r="K126" s="233"/>
      <c r="L126" s="231">
        <v>0</v>
      </c>
      <c r="M126" s="231">
        <v>0</v>
      </c>
      <c r="N126" s="234">
        <f>ROUND(((I126*J126)-((I126*J126)*L126/100))+(((I126*J126)-((I126*J126)*L126/100))*M126/100),2)</f>
      </c>
      <c r="O126" s="230">
        <f>M11</f>
      </c>
      <c r="P126" s="235"/>
      <c r="Q126" s="236"/>
      <c r="R126" s="237"/>
      <c r="S126" s="238"/>
      <c r="T126" s="239"/>
    </row>
    <row r="127" spans="1:20" ht="24" customHeight="1">
      <c r="A127" s="226">
        <v>108</v>
      </c>
      <c r="B127" s="226">
        <v>99990008656937</v>
      </c>
      <c r="C127" s="227">
        <v>812602</v>
      </c>
      <c r="D127" s="228" t="s">
        <v>172</v>
      </c>
      <c r="E127" s="229"/>
      <c r="F127" s="229">
        <v>812602</v>
      </c>
      <c r="G127" s="229" t="s">
        <v>173</v>
      </c>
      <c r="H127" s="230">
        <v>1.08</v>
      </c>
      <c r="I127" s="231">
        <v>6</v>
      </c>
      <c r="J127" s="232">
        <v>1.08</v>
      </c>
      <c r="K127" s="233"/>
      <c r="L127" s="231">
        <v>0</v>
      </c>
      <c r="M127" s="231">
        <v>0</v>
      </c>
      <c r="N127" s="234">
        <f>ROUND(((I127*J127)-((I127*J127)*L127/100))+(((I127*J127)-((I127*J127)*L127/100))*M127/100),2)</f>
      </c>
      <c r="O127" s="230">
        <f>M11</f>
      </c>
      <c r="P127" s="235"/>
      <c r="Q127" s="236"/>
      <c r="R127" s="237"/>
      <c r="S127" s="238"/>
      <c r="T127" s="239"/>
    </row>
    <row r="128" spans="1:20" ht="24" customHeight="1">
      <c r="A128" s="226">
        <v>109</v>
      </c>
      <c r="B128" s="226">
        <v>99990009355642</v>
      </c>
      <c r="C128" s="227">
        <v>2093284</v>
      </c>
      <c r="D128" s="228" t="s">
        <v>174</v>
      </c>
      <c r="E128" s="229"/>
      <c r="F128" s="229">
        <v>812672</v>
      </c>
      <c r="G128" s="229" t="s">
        <v>41</v>
      </c>
      <c r="H128" s="230">
        <v>12.48</v>
      </c>
      <c r="I128" s="231">
        <v>6</v>
      </c>
      <c r="J128" s="232">
        <v>2.82</v>
      </c>
      <c r="K128" s="233"/>
      <c r="L128" s="231">
        <v>0</v>
      </c>
      <c r="M128" s="231">
        <v>0</v>
      </c>
      <c r="N128" s="234">
        <f>ROUND(((I128*J128)-((I128*J128)*L128/100))+(((I128*J128)-((I128*J128)*L128/100))*M128/100),2)</f>
      </c>
      <c r="O128" s="230">
        <f>M11</f>
      </c>
      <c r="P128" s="235"/>
      <c r="Q128" s="236"/>
      <c r="R128" s="237"/>
      <c r="S128" s="238"/>
      <c r="T128" s="239"/>
    </row>
    <row r="129" spans="1:20" ht="24" customHeight="1">
      <c r="A129" s="226">
        <v>110</v>
      </c>
      <c r="B129" s="226">
        <v>99990008656775</v>
      </c>
      <c r="C129" s="227">
        <v>792435</v>
      </c>
      <c r="D129" s="228" t="s">
        <v>175</v>
      </c>
      <c r="E129" s="229"/>
      <c r="F129" s="229">
        <v>792435</v>
      </c>
      <c r="G129" s="229" t="s">
        <v>41</v>
      </c>
      <c r="H129" s="230">
        <v>1.25</v>
      </c>
      <c r="I129" s="231">
        <v>12</v>
      </c>
      <c r="J129" s="232">
        <v>1.25</v>
      </c>
      <c r="K129" s="233"/>
      <c r="L129" s="231">
        <v>0</v>
      </c>
      <c r="M129" s="231">
        <v>0</v>
      </c>
      <c r="N129" s="234">
        <f>ROUND(((I129*J129)-((I129*J129)*L129/100))+(((I129*J129)-((I129*J129)*L129/100))*M129/100),2)</f>
      </c>
      <c r="O129" s="230">
        <f>M11</f>
      </c>
      <c r="P129" s="235"/>
      <c r="Q129" s="236"/>
      <c r="R129" s="237"/>
      <c r="S129" s="238"/>
      <c r="T129" s="239"/>
    </row>
    <row r="130" spans="1:20" ht="24" customHeight="1">
      <c r="A130" s="226">
        <v>111</v>
      </c>
      <c r="B130" s="226">
        <v>99990008656213</v>
      </c>
      <c r="C130" s="227">
        <v>590721</v>
      </c>
      <c r="D130" s="228" t="s">
        <v>176</v>
      </c>
      <c r="E130" s="229"/>
      <c r="F130" s="229">
        <v>590721</v>
      </c>
      <c r="G130" s="229" t="s">
        <v>58</v>
      </c>
      <c r="H130" s="230">
        <v>40.33</v>
      </c>
      <c r="I130" s="231">
        <v>1</v>
      </c>
      <c r="J130" s="232">
        <v>38.93</v>
      </c>
      <c r="K130" s="233"/>
      <c r="L130" s="231">
        <v>0</v>
      </c>
      <c r="M130" s="231">
        <v>0</v>
      </c>
      <c r="N130" s="234">
        <f>ROUND(((I130*J130)-((I130*J130)*L130/100))+(((I130*J130)-((I130*J130)*L130/100))*M130/100),2)</f>
      </c>
      <c r="O130" s="230">
        <f>M11</f>
      </c>
      <c r="P130" s="235" t="s">
        <v>167</v>
      </c>
      <c r="Q130" s="236"/>
      <c r="R130" s="237"/>
      <c r="S130" s="238"/>
      <c r="T130" s="239"/>
    </row>
    <row r="131" spans="1:20" ht="24" customHeight="1">
      <c r="A131" s="226">
        <v>112</v>
      </c>
      <c r="B131" s="226">
        <v>99990008655444</v>
      </c>
      <c r="C131" s="227">
        <v>174176</v>
      </c>
      <c r="D131" s="228" t="s">
        <v>177</v>
      </c>
      <c r="E131" s="229"/>
      <c r="F131" s="229">
        <v>174176</v>
      </c>
      <c r="G131" s="229" t="s">
        <v>68</v>
      </c>
      <c r="H131" s="230">
        <v>5.23</v>
      </c>
      <c r="I131" s="231">
        <v>5</v>
      </c>
      <c r="J131" s="232">
        <v>4.5</v>
      </c>
      <c r="K131" s="233"/>
      <c r="L131" s="231">
        <v>0</v>
      </c>
      <c r="M131" s="231">
        <v>0</v>
      </c>
      <c r="N131" s="234">
        <f>ROUND(((I131*J131)-((I131*J131)*L131/100))+(((I131*J131)-((I131*J131)*L131/100))*M131/100),2)</f>
      </c>
      <c r="O131" s="230">
        <f>M11</f>
      </c>
      <c r="P131" s="235"/>
      <c r="Q131" s="236"/>
      <c r="R131" s="237"/>
      <c r="S131" s="238"/>
      <c r="T131" s="239"/>
    </row>
    <row r="132" spans="1:20" ht="24" customHeight="1">
      <c r="A132" s="226">
        <v>113</v>
      </c>
      <c r="B132" s="226">
        <v>99990008184144</v>
      </c>
      <c r="C132" s="227">
        <v>470281</v>
      </c>
      <c r="D132" s="228" t="s">
        <v>178</v>
      </c>
      <c r="E132" s="229"/>
      <c r="F132" s="229">
        <v>470281</v>
      </c>
      <c r="G132" s="229" t="s">
        <v>58</v>
      </c>
      <c r="H132" s="230">
        <v>0</v>
      </c>
      <c r="I132" s="231">
        <v>1</v>
      </c>
      <c r="J132" s="232">
        <v>48.66</v>
      </c>
      <c r="K132" s="233"/>
      <c r="L132" s="231">
        <v>0</v>
      </c>
      <c r="M132" s="231">
        <v>0</v>
      </c>
      <c r="N132" s="234">
        <f>ROUND(((I132*J132)-((I132*J132)*L132/100))+(((I132*J132)-((I132*J132)*L132/100))*M132/100),2)</f>
      </c>
      <c r="O132" s="230">
        <f>M11</f>
      </c>
      <c r="P132" s="235" t="s">
        <v>339</v>
      </c>
      <c r="Q132" s="236"/>
      <c r="R132" s="237"/>
      <c r="S132" s="238"/>
      <c r="T132" s="239"/>
    </row>
    <row r="133" spans="1:20" ht="24" customHeight="1">
      <c r="A133" s="226">
        <v>114</v>
      </c>
      <c r="B133" s="226">
        <v>99990008169564</v>
      </c>
      <c r="C133" s="227">
        <v>150706</v>
      </c>
      <c r="D133" s="228" t="s">
        <v>179</v>
      </c>
      <c r="E133" s="229"/>
      <c r="F133" s="229">
        <v>150706</v>
      </c>
      <c r="G133" s="229" t="s">
        <v>70</v>
      </c>
      <c r="H133" s="230">
        <v>0</v>
      </c>
      <c r="I133" s="231">
        <v>1</v>
      </c>
      <c r="J133" s="232">
        <v>20.44</v>
      </c>
      <c r="K133" s="233"/>
      <c r="L133" s="231">
        <v>0</v>
      </c>
      <c r="M133" s="231">
        <v>0</v>
      </c>
      <c r="N133" s="234">
        <f>ROUND(((I133*J133)-((I133*J133)*L133/100))+(((I133*J133)-((I133*J133)*L133/100))*M133/100),2)</f>
      </c>
      <c r="O133" s="230">
        <f>M11</f>
      </c>
      <c r="P133" s="235"/>
      <c r="Q133" s="236"/>
      <c r="R133" s="237"/>
      <c r="S133" s="238"/>
      <c r="T133" s="239"/>
    </row>
    <row r="134" spans="1:20" ht="24" customHeight="1">
      <c r="A134" s="226">
        <v>115</v>
      </c>
      <c r="B134" s="226">
        <v>99990008212388</v>
      </c>
      <c r="C134" s="227">
        <v>812367</v>
      </c>
      <c r="D134" s="228" t="s">
        <v>180</v>
      </c>
      <c r="E134" s="229"/>
      <c r="F134" s="229">
        <v>812367</v>
      </c>
      <c r="G134" s="229" t="s">
        <v>58</v>
      </c>
      <c r="H134" s="230">
        <v>0</v>
      </c>
      <c r="I134" s="231">
        <v>4</v>
      </c>
      <c r="J134" s="232">
        <v>12.98</v>
      </c>
      <c r="K134" s="233"/>
      <c r="L134" s="231">
        <v>0</v>
      </c>
      <c r="M134" s="231">
        <v>0</v>
      </c>
      <c r="N134" s="234">
        <f>ROUND(((I134*J134)-((I134*J134)*L134/100))+(((I134*J134)-((I134*J134)*L134/100))*M134/100),2)</f>
      </c>
      <c r="O134" s="230">
        <f>M11</f>
      </c>
      <c r="P134" s="235" t="s">
        <v>336</v>
      </c>
      <c r="Q134" s="236"/>
      <c r="R134" s="237"/>
      <c r="S134" s="238"/>
      <c r="T134" s="239"/>
    </row>
    <row r="135" spans="1:20" ht="24" customHeight="1">
      <c r="A135" s="226">
        <v>116</v>
      </c>
      <c r="B135" s="226">
        <v>99990008212401</v>
      </c>
      <c r="C135" s="227">
        <v>812248</v>
      </c>
      <c r="D135" s="228" t="s">
        <v>181</v>
      </c>
      <c r="E135" s="229"/>
      <c r="F135" s="229">
        <v>812248</v>
      </c>
      <c r="G135" s="229" t="s">
        <v>58</v>
      </c>
      <c r="H135" s="230">
        <v>0</v>
      </c>
      <c r="I135" s="231">
        <v>2</v>
      </c>
      <c r="J135" s="232">
        <v>45.42</v>
      </c>
      <c r="K135" s="233"/>
      <c r="L135" s="231">
        <v>0</v>
      </c>
      <c r="M135" s="231">
        <v>0</v>
      </c>
      <c r="N135" s="234">
        <f>ROUND(((I135*J135)-((I135*J135)*L135/100))+(((I135*J135)-((I135*J135)*L135/100))*M135/100),2)</f>
      </c>
      <c r="O135" s="230">
        <f>M11</f>
      </c>
      <c r="P135" s="235" t="s">
        <v>336</v>
      </c>
      <c r="Q135" s="236"/>
      <c r="R135" s="237"/>
      <c r="S135" s="238"/>
      <c r="T135" s="239"/>
    </row>
    <row r="136" spans="1:20" ht="24" customHeight="1">
      <c r="A136" s="226">
        <v>117</v>
      </c>
      <c r="B136" s="226">
        <v>99990008655240</v>
      </c>
      <c r="C136" s="227">
        <v>150347</v>
      </c>
      <c r="D136" s="228" t="s">
        <v>182</v>
      </c>
      <c r="E136" s="229"/>
      <c r="F136" s="229">
        <v>150347</v>
      </c>
      <c r="G136" s="229" t="s">
        <v>52</v>
      </c>
      <c r="H136" s="230">
        <v>9.21</v>
      </c>
      <c r="I136" s="231">
        <v>6</v>
      </c>
      <c r="J136" s="232">
        <v>9.73</v>
      </c>
      <c r="K136" s="233"/>
      <c r="L136" s="231">
        <v>0</v>
      </c>
      <c r="M136" s="231">
        <v>0</v>
      </c>
      <c r="N136" s="234">
        <f>ROUND(((I136*J136)-((I136*J136)*L136/100))+(((I136*J136)-((I136*J136)*L136/100))*M136/100),2)</f>
      </c>
      <c r="O136" s="230">
        <f>M11</f>
      </c>
      <c r="P136" s="235"/>
      <c r="Q136" s="236"/>
      <c r="R136" s="237" t="s">
        <v>183</v>
      </c>
      <c r="S136" s="238"/>
      <c r="T136" s="239"/>
    </row>
    <row r="137" spans="1:20" ht="24" customHeight="1">
      <c r="A137" s="226">
        <v>118</v>
      </c>
      <c r="B137" s="226">
        <v>99990008655276</v>
      </c>
      <c r="C137" s="227">
        <v>530156</v>
      </c>
      <c r="D137" s="228" t="s">
        <v>184</v>
      </c>
      <c r="E137" s="229"/>
      <c r="F137" s="229">
        <v>530156</v>
      </c>
      <c r="G137" s="229" t="s">
        <v>41</v>
      </c>
      <c r="H137" s="230">
        <v>12.57</v>
      </c>
      <c r="I137" s="231">
        <v>1</v>
      </c>
      <c r="J137" s="232">
        <v>11.44</v>
      </c>
      <c r="K137" s="233"/>
      <c r="L137" s="231">
        <v>0</v>
      </c>
      <c r="M137" s="231">
        <v>0</v>
      </c>
      <c r="N137" s="234">
        <f>ROUND(((I137*J137)-((I137*J137)*L137/100))+(((I137*J137)-((I137*J137)*L137/100))*M137/100),2)</f>
      </c>
      <c r="O137" s="230">
        <f>M11</f>
      </c>
      <c r="P137" s="235"/>
      <c r="Q137" s="236"/>
      <c r="R137" s="237"/>
      <c r="S137" s="238"/>
      <c r="T137" s="239"/>
    </row>
    <row r="138" spans="1:20" ht="24" customHeight="1">
      <c r="A138" s="226">
        <v>119</v>
      </c>
      <c r="B138" s="226">
        <v>99990008655297</v>
      </c>
      <c r="C138" s="227">
        <v>550291</v>
      </c>
      <c r="D138" s="228" t="s">
        <v>185</v>
      </c>
      <c r="E138" s="229"/>
      <c r="F138" s="229">
        <v>550291</v>
      </c>
      <c r="G138" s="229" t="s">
        <v>41</v>
      </c>
      <c r="H138" s="230">
        <v>0.68</v>
      </c>
      <c r="I138" s="231">
        <v>24</v>
      </c>
      <c r="J138" s="232">
        <v>0.68</v>
      </c>
      <c r="K138" s="233"/>
      <c r="L138" s="231">
        <v>0</v>
      </c>
      <c r="M138" s="231">
        <v>0</v>
      </c>
      <c r="N138" s="234">
        <f>ROUND(((I138*J138)-((I138*J138)*L138/100))+(((I138*J138)-((I138*J138)*L138/100))*M138/100),2)</f>
      </c>
      <c r="O138" s="230">
        <f>M11</f>
      </c>
      <c r="P138" s="235"/>
      <c r="Q138" s="236"/>
      <c r="R138" s="237"/>
      <c r="S138" s="238"/>
      <c r="T138" s="239"/>
    </row>
    <row r="139" spans="1:20" ht="24" customHeight="1">
      <c r="A139" s="226">
        <v>120</v>
      </c>
      <c r="B139" s="226">
        <v>99990008655298</v>
      </c>
      <c r="C139" s="227">
        <v>550292</v>
      </c>
      <c r="D139" s="228" t="s">
        <v>186</v>
      </c>
      <c r="E139" s="229"/>
      <c r="F139" s="229">
        <v>550292</v>
      </c>
      <c r="G139" s="229" t="s">
        <v>41</v>
      </c>
      <c r="H139" s="230">
        <v>0.68</v>
      </c>
      <c r="I139" s="231">
        <v>48</v>
      </c>
      <c r="J139" s="232">
        <v>0.68</v>
      </c>
      <c r="K139" s="233"/>
      <c r="L139" s="231">
        <v>0</v>
      </c>
      <c r="M139" s="231">
        <v>0</v>
      </c>
      <c r="N139" s="234">
        <f>ROUND(((I139*J139)-((I139*J139)*L139/100))+(((I139*J139)-((I139*J139)*L139/100))*M139/100),2)</f>
      </c>
      <c r="O139" s="230">
        <f>M11</f>
      </c>
      <c r="P139" s="235" t="s">
        <v>330</v>
      </c>
      <c r="Q139" s="236"/>
      <c r="R139" s="237" t="s">
        <v>187</v>
      </c>
      <c r="S139" s="238"/>
      <c r="T139" s="239"/>
    </row>
    <row r="140" spans="1:20" ht="24" customHeight="1">
      <c r="A140" s="226">
        <v>121</v>
      </c>
      <c r="B140" s="226">
        <v>99990008655301</v>
      </c>
      <c r="C140" s="227">
        <v>550314</v>
      </c>
      <c r="D140" s="228" t="s">
        <v>188</v>
      </c>
      <c r="E140" s="229"/>
      <c r="F140" s="229">
        <v>550314</v>
      </c>
      <c r="G140" s="229" t="s">
        <v>161</v>
      </c>
      <c r="H140" s="230">
        <v>0.58</v>
      </c>
      <c r="I140" s="231">
        <v>12</v>
      </c>
      <c r="J140" s="232">
        <v>0.78</v>
      </c>
      <c r="K140" s="233"/>
      <c r="L140" s="231">
        <v>0</v>
      </c>
      <c r="M140" s="231">
        <v>0</v>
      </c>
      <c r="N140" s="234">
        <f>ROUND(((I140*J140)-((I140*J140)*L140/100))+(((I140*J140)-((I140*J140)*L140/100))*M140/100),2)</f>
      </c>
      <c r="O140" s="230">
        <f>M11</f>
      </c>
      <c r="P140" s="235"/>
      <c r="Q140" s="236"/>
      <c r="R140" s="237"/>
      <c r="S140" s="238"/>
      <c r="T140" s="239"/>
    </row>
    <row r="141" spans="1:20" ht="24" customHeight="1">
      <c r="A141" s="226">
        <v>122</v>
      </c>
      <c r="B141" s="226">
        <v>99990008656316</v>
      </c>
      <c r="C141" s="227">
        <v>610771</v>
      </c>
      <c r="D141" s="228" t="s">
        <v>189</v>
      </c>
      <c r="E141" s="229"/>
      <c r="F141" s="229">
        <v>610771</v>
      </c>
      <c r="G141" s="229" t="s">
        <v>41</v>
      </c>
      <c r="H141" s="230">
        <v>1</v>
      </c>
      <c r="I141" s="231">
        <v>2</v>
      </c>
      <c r="J141" s="232">
        <v>1</v>
      </c>
      <c r="K141" s="233"/>
      <c r="L141" s="231">
        <v>0</v>
      </c>
      <c r="M141" s="231">
        <v>0</v>
      </c>
      <c r="N141" s="234">
        <f>ROUND(((I141*J141)-((I141*J141)*L141/100))+(((I141*J141)-((I141*J141)*L141/100))*M141/100),2)</f>
      </c>
      <c r="O141" s="230">
        <f>M11</f>
      </c>
      <c r="P141" s="235"/>
      <c r="Q141" s="236"/>
      <c r="R141" s="237"/>
      <c r="S141" s="238"/>
      <c r="T141" s="239"/>
    </row>
    <row r="142" spans="1:20" ht="24" customHeight="1">
      <c r="A142" s="226">
        <v>123</v>
      </c>
      <c r="B142" s="226">
        <v>99990008656317</v>
      </c>
      <c r="C142" s="227">
        <v>610772</v>
      </c>
      <c r="D142" s="228" t="s">
        <v>190</v>
      </c>
      <c r="E142" s="229"/>
      <c r="F142" s="229">
        <v>610772</v>
      </c>
      <c r="G142" s="229" t="s">
        <v>41</v>
      </c>
      <c r="H142" s="230">
        <v>1.17</v>
      </c>
      <c r="I142" s="231">
        <v>2</v>
      </c>
      <c r="J142" s="232">
        <v>1.17</v>
      </c>
      <c r="K142" s="233"/>
      <c r="L142" s="231">
        <v>0</v>
      </c>
      <c r="M142" s="231">
        <v>0</v>
      </c>
      <c r="N142" s="234">
        <f>ROUND(((I142*J142)-((I142*J142)*L142/100))+(((I142*J142)-((I142*J142)*L142/100))*M142/100),2)</f>
      </c>
      <c r="O142" s="230">
        <f>M11</f>
      </c>
      <c r="P142" s="235"/>
      <c r="Q142" s="236"/>
      <c r="R142" s="237"/>
      <c r="S142" s="238"/>
      <c r="T142" s="239"/>
    </row>
    <row r="143" spans="1:20" ht="24" customHeight="1">
      <c r="A143" s="226">
        <v>124</v>
      </c>
      <c r="B143" s="226">
        <v>99990008656321</v>
      </c>
      <c r="C143" s="227">
        <v>610776</v>
      </c>
      <c r="D143" s="228" t="s">
        <v>191</v>
      </c>
      <c r="E143" s="229"/>
      <c r="F143" s="229">
        <v>610776</v>
      </c>
      <c r="G143" s="229" t="s">
        <v>41</v>
      </c>
      <c r="H143" s="230">
        <v>1.87</v>
      </c>
      <c r="I143" s="231">
        <v>2</v>
      </c>
      <c r="J143" s="232">
        <v>1.87</v>
      </c>
      <c r="K143" s="233"/>
      <c r="L143" s="231">
        <v>0</v>
      </c>
      <c r="M143" s="231">
        <v>0</v>
      </c>
      <c r="N143" s="234">
        <f>ROUND(((I143*J143)-((I143*J143)*L143/100))+(((I143*J143)-((I143*J143)*L143/100))*M143/100),2)</f>
      </c>
      <c r="O143" s="230">
        <f>M11</f>
      </c>
      <c r="P143" s="235"/>
      <c r="Q143" s="236"/>
      <c r="R143" s="237"/>
      <c r="S143" s="238"/>
      <c r="T143" s="239"/>
    </row>
    <row r="144" spans="1:20" ht="24" customHeight="1">
      <c r="A144" s="226">
        <v>125</v>
      </c>
      <c r="B144" s="226">
        <v>99990008656323</v>
      </c>
      <c r="C144" s="227">
        <v>610778</v>
      </c>
      <c r="D144" s="228" t="s">
        <v>192</v>
      </c>
      <c r="E144" s="229"/>
      <c r="F144" s="229">
        <v>610778</v>
      </c>
      <c r="G144" s="229" t="s">
        <v>41</v>
      </c>
      <c r="H144" s="230">
        <v>2.29</v>
      </c>
      <c r="I144" s="231">
        <v>2</v>
      </c>
      <c r="J144" s="232">
        <v>2.29</v>
      </c>
      <c r="K144" s="233"/>
      <c r="L144" s="231">
        <v>0</v>
      </c>
      <c r="M144" s="231">
        <v>0</v>
      </c>
      <c r="N144" s="234">
        <f>ROUND(((I144*J144)-((I144*J144)*L144/100))+(((I144*J144)-((I144*J144)*L144/100))*M144/100),2)</f>
      </c>
      <c r="O144" s="230">
        <f>M11</f>
      </c>
      <c r="P144" s="235"/>
      <c r="Q144" s="236"/>
      <c r="R144" s="237"/>
      <c r="S144" s="238"/>
      <c r="T144" s="239"/>
    </row>
    <row r="145" spans="1:20" ht="24" customHeight="1">
      <c r="A145" s="226">
        <v>126</v>
      </c>
      <c r="B145" s="226">
        <v>99990008656498</v>
      </c>
      <c r="C145" s="227">
        <v>612203</v>
      </c>
      <c r="D145" s="228" t="s">
        <v>193</v>
      </c>
      <c r="E145" s="229"/>
      <c r="F145" s="229">
        <v>612203</v>
      </c>
      <c r="G145" s="229" t="s">
        <v>41</v>
      </c>
      <c r="H145" s="230">
        <v>0.60</v>
      </c>
      <c r="I145" s="231">
        <v>2</v>
      </c>
      <c r="J145" s="232">
        <v>0.78</v>
      </c>
      <c r="K145" s="233"/>
      <c r="L145" s="231">
        <v>0</v>
      </c>
      <c r="M145" s="231">
        <v>0</v>
      </c>
      <c r="N145" s="234">
        <f>ROUND(((I145*J145)-((I145*J145)*L145/100))+(((I145*J145)-((I145*J145)*L145/100))*M145/100),2)</f>
      </c>
      <c r="O145" s="230">
        <f>M11</f>
      </c>
      <c r="P145" s="235"/>
      <c r="Q145" s="236"/>
      <c r="R145" s="237"/>
      <c r="S145" s="238"/>
      <c r="T145" s="239"/>
    </row>
    <row r="146" spans="1:20" ht="24" customHeight="1">
      <c r="A146" s="226">
        <v>127</v>
      </c>
      <c r="B146" s="226">
        <v>99990008656499</v>
      </c>
      <c r="C146" s="227">
        <v>612204</v>
      </c>
      <c r="D146" s="228" t="s">
        <v>194</v>
      </c>
      <c r="E146" s="229"/>
      <c r="F146" s="229">
        <v>612204</v>
      </c>
      <c r="G146" s="229" t="s">
        <v>41</v>
      </c>
      <c r="H146" s="230">
        <v>0.28</v>
      </c>
      <c r="I146" s="231">
        <v>2</v>
      </c>
      <c r="J146" s="232">
        <v>0.97</v>
      </c>
      <c r="K146" s="233"/>
      <c r="L146" s="231">
        <v>0</v>
      </c>
      <c r="M146" s="231">
        <v>0</v>
      </c>
      <c r="N146" s="234">
        <f>ROUND(((I146*J146)-((I146*J146)*L146/100))+(((I146*J146)-((I146*J146)*L146/100))*M146/100),2)</f>
      </c>
      <c r="O146" s="230">
        <f>M11</f>
      </c>
      <c r="P146" s="235"/>
      <c r="Q146" s="236"/>
      <c r="R146" s="237"/>
      <c r="S146" s="238"/>
      <c r="T146" s="239"/>
    </row>
    <row r="147" spans="1:20" ht="24" customHeight="1">
      <c r="A147" s="226">
        <v>128</v>
      </c>
      <c r="B147" s="226">
        <v>99990008656506</v>
      </c>
      <c r="C147" s="227">
        <v>612214</v>
      </c>
      <c r="D147" s="228" t="s">
        <v>195</v>
      </c>
      <c r="E147" s="229"/>
      <c r="F147" s="229">
        <v>612214</v>
      </c>
      <c r="G147" s="229" t="s">
        <v>41</v>
      </c>
      <c r="H147" s="230">
        <v>1.20</v>
      </c>
      <c r="I147" s="231">
        <v>2</v>
      </c>
      <c r="J147" s="232">
        <v>1.17</v>
      </c>
      <c r="K147" s="233"/>
      <c r="L147" s="231">
        <v>0</v>
      </c>
      <c r="M147" s="231">
        <v>0</v>
      </c>
      <c r="N147" s="234">
        <f>ROUND(((I147*J147)-((I147*J147)*L147/100))+(((I147*J147)-((I147*J147)*L147/100))*M147/100),2)</f>
      </c>
      <c r="O147" s="230">
        <f>M11</f>
      </c>
      <c r="P147" s="235"/>
      <c r="Q147" s="236"/>
      <c r="R147" s="237"/>
      <c r="S147" s="238"/>
      <c r="T147" s="239"/>
    </row>
    <row r="148" spans="1:20" ht="24" customHeight="1">
      <c r="A148" s="226">
        <v>129</v>
      </c>
      <c r="B148" s="226">
        <v>99990008658203</v>
      </c>
      <c r="C148" s="227">
        <v>630255</v>
      </c>
      <c r="D148" s="228" t="s">
        <v>196</v>
      </c>
      <c r="E148" s="229"/>
      <c r="F148" s="229">
        <v>630255</v>
      </c>
      <c r="G148" s="229" t="s">
        <v>58</v>
      </c>
      <c r="H148" s="230">
        <v>20.96</v>
      </c>
      <c r="I148" s="231">
        <v>2</v>
      </c>
      <c r="J148" s="232">
        <v>20.96</v>
      </c>
      <c r="K148" s="233"/>
      <c r="L148" s="231">
        <v>0</v>
      </c>
      <c r="M148" s="231">
        <v>0</v>
      </c>
      <c r="N148" s="234">
        <f>ROUND(((I148*J148)-((I148*J148)*L148/100))+(((I148*J148)-((I148*J148)*L148/100))*M148/100),2)</f>
      </c>
      <c r="O148" s="230">
        <f>M11</f>
      </c>
      <c r="P148" s="235"/>
      <c r="Q148" s="236"/>
      <c r="R148" s="237"/>
      <c r="S148" s="238"/>
      <c r="T148" s="239"/>
    </row>
    <row r="149" spans="1:20" ht="24" customHeight="1">
      <c r="A149" s="226">
        <v>130</v>
      </c>
      <c r="B149" s="226">
        <v>99990009304643</v>
      </c>
      <c r="C149" s="227">
        <v>2089543</v>
      </c>
      <c r="D149" s="228" t="s">
        <v>197</v>
      </c>
      <c r="E149" s="229"/>
      <c r="F149" s="229">
        <v>611057</v>
      </c>
      <c r="G149" s="229" t="s">
        <v>41</v>
      </c>
      <c r="H149" s="230">
        <v>4.64</v>
      </c>
      <c r="I149" s="231">
        <v>2</v>
      </c>
      <c r="J149" s="232">
        <v>4.64</v>
      </c>
      <c r="K149" s="233"/>
      <c r="L149" s="231">
        <v>0</v>
      </c>
      <c r="M149" s="231">
        <v>0</v>
      </c>
      <c r="N149" s="234">
        <f>ROUND(((I149*J149)-((I149*J149)*L149/100))+(((I149*J149)-((I149*J149)*L149/100))*M149/100),2)</f>
      </c>
      <c r="O149" s="230">
        <f>M11</f>
      </c>
      <c r="P149" s="235"/>
      <c r="Q149" s="236"/>
      <c r="R149" s="237"/>
      <c r="S149" s="238"/>
      <c r="T149" s="239"/>
    </row>
    <row r="150" spans="1:20" ht="24" customHeight="1">
      <c r="A150" s="226">
        <v>131</v>
      </c>
      <c r="B150" s="226">
        <v>99990009304645</v>
      </c>
      <c r="C150" s="227">
        <v>2089545</v>
      </c>
      <c r="D150" s="228" t="s">
        <v>198</v>
      </c>
      <c r="E150" s="229"/>
      <c r="F150" s="229">
        <v>611065</v>
      </c>
      <c r="G150" s="229" t="s">
        <v>41</v>
      </c>
      <c r="H150" s="230">
        <v>8.97</v>
      </c>
      <c r="I150" s="231">
        <v>2</v>
      </c>
      <c r="J150" s="232">
        <v>7.2</v>
      </c>
      <c r="K150" s="233"/>
      <c r="L150" s="231">
        <v>0</v>
      </c>
      <c r="M150" s="231">
        <v>0</v>
      </c>
      <c r="N150" s="234">
        <f>ROUND(((I150*J150)-((I150*J150)*L150/100))+(((I150*J150)-((I150*J150)*L150/100))*M150/100),2)</f>
      </c>
      <c r="O150" s="230">
        <f>M11</f>
      </c>
      <c r="P150" s="235"/>
      <c r="Q150" s="236"/>
      <c r="R150" s="237"/>
      <c r="S150" s="238"/>
      <c r="T150" s="239"/>
    </row>
    <row r="151" spans="1:20" ht="24" customHeight="1">
      <c r="A151" s="226">
        <v>132</v>
      </c>
      <c r="B151" s="226">
        <v>99990009431057</v>
      </c>
      <c r="C151" s="227">
        <v>2110036</v>
      </c>
      <c r="D151" s="228" t="s">
        <v>199</v>
      </c>
      <c r="E151" s="229"/>
      <c r="F151" s="229">
        <v>692750</v>
      </c>
      <c r="G151" s="229" t="s">
        <v>58</v>
      </c>
      <c r="H151" s="230">
        <v>0.29</v>
      </c>
      <c r="I151" s="231">
        <v>24</v>
      </c>
      <c r="J151" s="232">
        <v>0.4</v>
      </c>
      <c r="K151" s="233"/>
      <c r="L151" s="231">
        <v>0</v>
      </c>
      <c r="M151" s="231">
        <v>0</v>
      </c>
      <c r="N151" s="234">
        <f>ROUND(((I151*J151)-((I151*J151)*L151/100))+(((I151*J151)-((I151*J151)*L151/100))*M151/100),2)</f>
      </c>
      <c r="O151" s="230">
        <f>M11</f>
      </c>
      <c r="P151" s="235"/>
      <c r="Q151" s="236"/>
      <c r="R151" s="237" t="s">
        <v>200</v>
      </c>
      <c r="S151" s="238"/>
      <c r="T151" s="239"/>
    </row>
    <row r="152" spans="1:20" ht="24" customHeight="1">
      <c r="A152" s="226">
        <v>133</v>
      </c>
      <c r="B152" s="226">
        <v>99990009456488</v>
      </c>
      <c r="C152" s="227">
        <v>2112555</v>
      </c>
      <c r="D152" s="228" t="s">
        <v>201</v>
      </c>
      <c r="E152" s="229"/>
      <c r="F152" s="229">
        <v>692542</v>
      </c>
      <c r="G152" s="229" t="s">
        <v>58</v>
      </c>
      <c r="H152" s="230">
        <v>0.10</v>
      </c>
      <c r="I152" s="231">
        <v>24</v>
      </c>
      <c r="J152" s="232">
        <v>0.14</v>
      </c>
      <c r="K152" s="233"/>
      <c r="L152" s="231">
        <v>0</v>
      </c>
      <c r="M152" s="231">
        <v>0</v>
      </c>
      <c r="N152" s="234">
        <f>ROUND(((I152*J152)-((I152*J152)*L152/100))+(((I152*J152)-((I152*J152)*L152/100))*M152/100),2)</f>
      </c>
      <c r="O152" s="230">
        <f>M11</f>
      </c>
      <c r="P152" s="235"/>
      <c r="Q152" s="236"/>
      <c r="R152" s="237" t="s">
        <v>200</v>
      </c>
      <c r="S152" s="238"/>
      <c r="T152" s="239"/>
    </row>
    <row r="153" spans="1:20" ht="24" customHeight="1">
      <c r="A153" s="226">
        <v>134</v>
      </c>
      <c r="B153" s="226">
        <v>99990008655872</v>
      </c>
      <c r="C153" s="227">
        <v>510166</v>
      </c>
      <c r="D153" s="228" t="s">
        <v>202</v>
      </c>
      <c r="E153" s="229"/>
      <c r="F153" s="229">
        <v>510166</v>
      </c>
      <c r="G153" s="229" t="s">
        <v>41</v>
      </c>
      <c r="H153" s="230">
        <v>0.34</v>
      </c>
      <c r="I153" s="231">
        <v>30</v>
      </c>
      <c r="J153" s="232">
        <v>0.34</v>
      </c>
      <c r="K153" s="233"/>
      <c r="L153" s="231">
        <v>0</v>
      </c>
      <c r="M153" s="231">
        <v>0</v>
      </c>
      <c r="N153" s="234">
        <f>ROUND(((I153*J153)-((I153*J153)*L153/100))+(((I153*J153)-((I153*J153)*L153/100))*M153/100),2)</f>
      </c>
      <c r="O153" s="230">
        <f>M11</f>
      </c>
      <c r="P153" s="235"/>
      <c r="Q153" s="236"/>
      <c r="R153" s="237"/>
      <c r="S153" s="238"/>
      <c r="T153" s="239"/>
    </row>
    <row r="154" spans="1:20" ht="24" customHeight="1">
      <c r="A154" s="226">
        <v>135</v>
      </c>
      <c r="B154" s="226">
        <v>99990008656231</v>
      </c>
      <c r="C154" s="227">
        <v>592073</v>
      </c>
      <c r="D154" s="228" t="s">
        <v>203</v>
      </c>
      <c r="E154" s="229"/>
      <c r="F154" s="229">
        <v>592073</v>
      </c>
      <c r="G154" s="229" t="s">
        <v>41</v>
      </c>
      <c r="H154" s="230">
        <v>1.93</v>
      </c>
      <c r="I154" s="231">
        <v>12</v>
      </c>
      <c r="J154" s="232">
        <v>1.93</v>
      </c>
      <c r="K154" s="233"/>
      <c r="L154" s="231">
        <v>0</v>
      </c>
      <c r="M154" s="231">
        <v>0</v>
      </c>
      <c r="N154" s="234">
        <f>ROUND(((I154*J154)-((I154*J154)*L154/100))+(((I154*J154)-((I154*J154)*L154/100))*M154/100),2)</f>
      </c>
      <c r="O154" s="230">
        <f>M11</f>
      </c>
      <c r="P154" s="235" t="s">
        <v>340</v>
      </c>
      <c r="Q154" s="236"/>
      <c r="R154" s="237"/>
      <c r="S154" s="238"/>
      <c r="T154" s="239"/>
    </row>
    <row r="155" spans="1:20" ht="24" customHeight="1">
      <c r="A155" s="226">
        <v>136</v>
      </c>
      <c r="B155" s="226">
        <v>99990008656746</v>
      </c>
      <c r="C155" s="227">
        <v>792203</v>
      </c>
      <c r="D155" s="228" t="s">
        <v>204</v>
      </c>
      <c r="E155" s="229"/>
      <c r="F155" s="229">
        <v>792203</v>
      </c>
      <c r="G155" s="229" t="s">
        <v>41</v>
      </c>
      <c r="H155" s="230">
        <v>3</v>
      </c>
      <c r="I155" s="231">
        <v>6</v>
      </c>
      <c r="J155" s="232">
        <v>3</v>
      </c>
      <c r="K155" s="233"/>
      <c r="L155" s="231">
        <v>0</v>
      </c>
      <c r="M155" s="231">
        <v>0</v>
      </c>
      <c r="N155" s="234">
        <f>ROUND(((I155*J155)-((I155*J155)*L155/100))+(((I155*J155)-((I155*J155)*L155/100))*M155/100),2)</f>
      </c>
      <c r="O155" s="230">
        <f>M11</f>
      </c>
      <c r="P155" s="235"/>
      <c r="Q155" s="236"/>
      <c r="R155" s="237"/>
      <c r="S155" s="238"/>
      <c r="T155" s="239"/>
    </row>
    <row r="156" spans="1:20" ht="24" customHeight="1">
      <c r="A156" s="226">
        <v>137</v>
      </c>
      <c r="B156" s="226">
        <v>99990008655539</v>
      </c>
      <c r="C156" s="227">
        <v>510811</v>
      </c>
      <c r="D156" s="228" t="s">
        <v>205</v>
      </c>
      <c r="E156" s="229"/>
      <c r="F156" s="229">
        <v>510811</v>
      </c>
      <c r="G156" s="229" t="s">
        <v>41</v>
      </c>
      <c r="H156" s="230">
        <v>0.81</v>
      </c>
      <c r="I156" s="231">
        <v>12</v>
      </c>
      <c r="J156" s="232">
        <v>0.81</v>
      </c>
      <c r="K156" s="233"/>
      <c r="L156" s="231">
        <v>0</v>
      </c>
      <c r="M156" s="231">
        <v>0</v>
      </c>
      <c r="N156" s="234">
        <f>ROUND(((I156*J156)-((I156*J156)*L156/100))+(((I156*J156)-((I156*J156)*L156/100))*M156/100),2)</f>
      </c>
      <c r="O156" s="230">
        <f>M11</f>
      </c>
      <c r="P156" s="235"/>
      <c r="Q156" s="236"/>
      <c r="R156" s="237"/>
      <c r="S156" s="238"/>
      <c r="T156" s="239"/>
    </row>
    <row r="157" spans="1:20" ht="24" customHeight="1">
      <c r="A157" s="226">
        <v>138</v>
      </c>
      <c r="B157" s="226">
        <v>99990008655578</v>
      </c>
      <c r="C157" s="227">
        <v>510801</v>
      </c>
      <c r="D157" s="228" t="s">
        <v>206</v>
      </c>
      <c r="E157" s="229"/>
      <c r="F157" s="229">
        <v>510801</v>
      </c>
      <c r="G157" s="229" t="s">
        <v>41</v>
      </c>
      <c r="H157" s="230">
        <v>1.68</v>
      </c>
      <c r="I157" s="231">
        <v>24</v>
      </c>
      <c r="J157" s="232">
        <v>1.68</v>
      </c>
      <c r="K157" s="233"/>
      <c r="L157" s="231">
        <v>0</v>
      </c>
      <c r="M157" s="231">
        <v>0</v>
      </c>
      <c r="N157" s="234">
        <f>ROUND(((I157*J157)-((I157*J157)*L157/100))+(((I157*J157)-((I157*J157)*L157/100))*M157/100),2)</f>
      </c>
      <c r="O157" s="230">
        <f>M11</f>
      </c>
      <c r="P157" s="235"/>
      <c r="Q157" s="236"/>
      <c r="R157" s="237"/>
      <c r="S157" s="238"/>
      <c r="T157" s="239"/>
    </row>
    <row r="158" spans="1:20" ht="24" customHeight="1">
      <c r="A158" s="226">
        <v>139</v>
      </c>
      <c r="B158" s="226">
        <v>99990011013631</v>
      </c>
      <c r="C158" s="227">
        <v>692511</v>
      </c>
      <c r="D158" s="228" t="s">
        <v>207</v>
      </c>
      <c r="E158" s="229"/>
      <c r="F158" s="229">
        <v>692511</v>
      </c>
      <c r="G158" s="229" t="s">
        <v>58</v>
      </c>
      <c r="H158" s="230">
        <v>0</v>
      </c>
      <c r="I158" s="231">
        <v>24</v>
      </c>
      <c r="J158" s="232">
        <v>0.07</v>
      </c>
      <c r="K158" s="233"/>
      <c r="L158" s="231">
        <v>0</v>
      </c>
      <c r="M158" s="231">
        <v>0</v>
      </c>
      <c r="N158" s="234">
        <f>ROUND(((I158*J158)-((I158*J158)*L158/100))+(((I158*J158)-((I158*J158)*L158/100))*M158/100),2)</f>
      </c>
      <c r="O158" s="230">
        <f>M11</f>
      </c>
      <c r="P158" s="235"/>
      <c r="Q158" s="236"/>
      <c r="R158" s="237"/>
      <c r="S158" s="238"/>
      <c r="T158" s="239"/>
    </row>
    <row r="159" spans="1:20" ht="24" customHeight="1">
      <c r="A159" s="226">
        <v>140</v>
      </c>
      <c r="B159" s="226">
        <v>99990010449230</v>
      </c>
      <c r="C159" s="227">
        <v>692711</v>
      </c>
      <c r="D159" s="228" t="s">
        <v>208</v>
      </c>
      <c r="E159" s="229"/>
      <c r="F159" s="229">
        <v>692711</v>
      </c>
      <c r="G159" s="229" t="s">
        <v>58</v>
      </c>
      <c r="H159" s="230">
        <v>0</v>
      </c>
      <c r="I159" s="231">
        <v>24</v>
      </c>
      <c r="J159" s="232">
        <v>0.27</v>
      </c>
      <c r="K159" s="233"/>
      <c r="L159" s="231">
        <v>0</v>
      </c>
      <c r="M159" s="231">
        <v>0</v>
      </c>
      <c r="N159" s="234">
        <f>ROUND(((I159*J159)-((I159*J159)*L159/100))+(((I159*J159)-((I159*J159)*L159/100))*M159/100),2)</f>
      </c>
      <c r="O159" s="230">
        <f>M11</f>
      </c>
      <c r="P159" s="235"/>
      <c r="Q159" s="236"/>
      <c r="R159" s="237"/>
      <c r="S159" s="238"/>
      <c r="T159" s="239"/>
    </row>
    <row r="160" spans="1:20" ht="24" customHeight="1">
      <c r="A160" s="226">
        <v>141</v>
      </c>
      <c r="B160" s="226">
        <v>99990010178012</v>
      </c>
      <c r="C160" s="227">
        <v>613134</v>
      </c>
      <c r="D160" s="228" t="s">
        <v>209</v>
      </c>
      <c r="E160" s="229"/>
      <c r="F160" s="229">
        <v>613134</v>
      </c>
      <c r="G160" s="229" t="s">
        <v>58</v>
      </c>
      <c r="H160" s="230">
        <v>0</v>
      </c>
      <c r="I160" s="231">
        <v>1</v>
      </c>
      <c r="J160" s="232">
        <v>26.47</v>
      </c>
      <c r="K160" s="233"/>
      <c r="L160" s="231">
        <v>0</v>
      </c>
      <c r="M160" s="231">
        <v>0</v>
      </c>
      <c r="N160" s="234">
        <f>ROUND(((I160*J160)-((I160*J160)*L160/100))+(((I160*J160)-((I160*J160)*L160/100))*M160/100),2)</f>
      </c>
      <c r="O160" s="230">
        <f>M11</f>
      </c>
      <c r="P160" s="235"/>
      <c r="Q160" s="236"/>
      <c r="R160" s="237"/>
      <c r="S160" s="238"/>
      <c r="T160" s="239"/>
    </row>
    <row r="161" spans="1:20" ht="24" customHeight="1">
      <c r="A161" s="226">
        <v>142</v>
      </c>
      <c r="B161" s="226">
        <v>99990010150688</v>
      </c>
      <c r="C161" s="227">
        <v>693117</v>
      </c>
      <c r="D161" s="228" t="s">
        <v>210</v>
      </c>
      <c r="E161" s="229"/>
      <c r="F161" s="229">
        <v>693117</v>
      </c>
      <c r="G161" s="229" t="s">
        <v>58</v>
      </c>
      <c r="H161" s="230">
        <v>0</v>
      </c>
      <c r="I161" s="231">
        <v>24</v>
      </c>
      <c r="J161" s="232">
        <v>3.43</v>
      </c>
      <c r="K161" s="233"/>
      <c r="L161" s="231">
        <v>0</v>
      </c>
      <c r="M161" s="231">
        <v>0</v>
      </c>
      <c r="N161" s="234">
        <f>ROUND(((I161*J161)-((I161*J161)*L161/100))+(((I161*J161)-((I161*J161)*L161/100))*M161/100),2)</f>
      </c>
      <c r="O161" s="230">
        <f>M11</f>
      </c>
      <c r="P161" s="235"/>
      <c r="Q161" s="236"/>
      <c r="R161" s="237"/>
      <c r="S161" s="238"/>
      <c r="T161" s="239"/>
    </row>
    <row r="162" spans="1:20" ht="24" customHeight="1">
      <c r="A162" s="226">
        <v>143</v>
      </c>
      <c r="B162" s="226">
        <v>99990008655463</v>
      </c>
      <c r="C162" s="227">
        <v>174292</v>
      </c>
      <c r="D162" s="228" t="s">
        <v>211</v>
      </c>
      <c r="E162" s="229"/>
      <c r="F162" s="229">
        <v>174292</v>
      </c>
      <c r="G162" s="229" t="s">
        <v>41</v>
      </c>
      <c r="H162" s="230">
        <v>2.22</v>
      </c>
      <c r="I162" s="231">
        <v>12</v>
      </c>
      <c r="J162" s="232">
        <v>2.22</v>
      </c>
      <c r="K162" s="233"/>
      <c r="L162" s="231">
        <v>0</v>
      </c>
      <c r="M162" s="231">
        <v>0</v>
      </c>
      <c r="N162" s="234">
        <f>ROUND(((I162*J162)-((I162*J162)*L162/100))+(((I162*J162)-((I162*J162)*L162/100))*M162/100),2)</f>
      </c>
      <c r="O162" s="230">
        <f>M11</f>
      </c>
      <c r="P162" s="235"/>
      <c r="Q162" s="236"/>
      <c r="R162" s="237"/>
      <c r="S162" s="238"/>
      <c r="T162" s="239"/>
    </row>
    <row r="163" spans="1:20" ht="24" customHeight="1">
      <c r="A163" s="226">
        <v>144</v>
      </c>
      <c r="B163" s="226">
        <v>99990008191422</v>
      </c>
      <c r="C163" s="227">
        <v>615951</v>
      </c>
      <c r="D163" s="228" t="s">
        <v>212</v>
      </c>
      <c r="E163" s="229"/>
      <c r="F163" s="229">
        <v>615951</v>
      </c>
      <c r="G163" s="229" t="s">
        <v>41</v>
      </c>
      <c r="H163" s="230">
        <v>0</v>
      </c>
      <c r="I163" s="231">
        <v>6</v>
      </c>
      <c r="J163" s="232">
        <v>6.9</v>
      </c>
      <c r="K163" s="233"/>
      <c r="L163" s="231">
        <v>0</v>
      </c>
      <c r="M163" s="231">
        <v>0</v>
      </c>
      <c r="N163" s="234">
        <f>ROUND(((I163*J163)-((I163*J163)*L163/100))+(((I163*J163)-((I163*J163)*L163/100))*M163/100),2)</f>
      </c>
      <c r="O163" s="230">
        <f>M11</f>
      </c>
      <c r="P163" s="235"/>
      <c r="Q163" s="236"/>
      <c r="R163" s="237"/>
      <c r="S163" s="238"/>
      <c r="T163" s="239"/>
    </row>
    <row r="164" spans="1:20" ht="24" customHeight="1">
      <c r="A164" s="226">
        <v>145</v>
      </c>
      <c r="B164" s="226">
        <v>99990011693141</v>
      </c>
      <c r="C164" s="227">
        <v>650841</v>
      </c>
      <c r="D164" s="228" t="s">
        <v>213</v>
      </c>
      <c r="E164" s="229"/>
      <c r="F164" s="229">
        <v>650841</v>
      </c>
      <c r="G164" s="229" t="s">
        <v>41</v>
      </c>
      <c r="H164" s="230">
        <v>0</v>
      </c>
      <c r="I164" s="231">
        <v>2</v>
      </c>
      <c r="J164" s="232">
        <v>3.41</v>
      </c>
      <c r="K164" s="233"/>
      <c r="L164" s="231">
        <v>0</v>
      </c>
      <c r="M164" s="231">
        <v>0</v>
      </c>
      <c r="N164" s="234">
        <f>ROUND(((I164*J164)-((I164*J164)*L164/100))+(((I164*J164)-((I164*J164)*L164/100))*M164/100),2)</f>
      </c>
      <c r="O164" s="230">
        <f>M11</f>
      </c>
      <c r="P164" s="235"/>
      <c r="Q164" s="236"/>
      <c r="R164" s="237"/>
      <c r="S164" s="238"/>
      <c r="T164" s="239"/>
    </row>
    <row r="165" spans="1:20" ht="24" customHeight="1">
      <c r="A165" s="226">
        <v>146</v>
      </c>
      <c r="B165" s="226">
        <v>99990008655223</v>
      </c>
      <c r="C165" s="227">
        <v>150201</v>
      </c>
      <c r="D165" s="228" t="s">
        <v>214</v>
      </c>
      <c r="E165" s="229"/>
      <c r="F165" s="229">
        <v>150201</v>
      </c>
      <c r="G165" s="229" t="s">
        <v>41</v>
      </c>
      <c r="H165" s="230">
        <v>20.28</v>
      </c>
      <c r="I165" s="231">
        <v>8</v>
      </c>
      <c r="J165" s="232">
        <v>103.16</v>
      </c>
      <c r="K165" s="233"/>
      <c r="L165" s="231">
        <v>0</v>
      </c>
      <c r="M165" s="231">
        <v>0</v>
      </c>
      <c r="N165" s="234">
        <f>ROUND(((I165*J165)-((I165*J165)*L165/100))+(((I165*J165)-((I165*J165)*L165/100))*M165/100),2)</f>
      </c>
      <c r="O165" s="230">
        <f>M11</f>
      </c>
      <c r="P165" s="235" t="s">
        <v>341</v>
      </c>
      <c r="Q165" s="236"/>
      <c r="R165" s="237" t="s">
        <v>215</v>
      </c>
      <c r="S165" s="238"/>
      <c r="T165" s="239"/>
    </row>
    <row r="166" spans="1:20" ht="24" customHeight="1">
      <c r="A166" s="226">
        <v>147</v>
      </c>
      <c r="B166" s="226">
        <v>99990011932980</v>
      </c>
      <c r="C166" s="227">
        <v>150251</v>
      </c>
      <c r="D166" s="228" t="s">
        <v>216</v>
      </c>
      <c r="E166" s="229"/>
      <c r="F166" s="229">
        <v>150251</v>
      </c>
      <c r="G166" s="229" t="s">
        <v>41</v>
      </c>
      <c r="H166" s="230">
        <v>0</v>
      </c>
      <c r="I166" s="231">
        <v>20</v>
      </c>
      <c r="J166" s="232">
        <v>7.3</v>
      </c>
      <c r="K166" s="233"/>
      <c r="L166" s="231">
        <v>0</v>
      </c>
      <c r="M166" s="231">
        <v>0</v>
      </c>
      <c r="N166" s="234">
        <f>ROUND(((I166*J166)-((I166*J166)*L166/100))+(((I166*J166)-((I166*J166)*L166/100))*M166/100),2)</f>
      </c>
      <c r="O166" s="230">
        <f>M11</f>
      </c>
      <c r="P166" s="235"/>
      <c r="Q166" s="236"/>
      <c r="R166" s="237" t="s">
        <v>217</v>
      </c>
      <c r="S166" s="238"/>
      <c r="T166" s="239"/>
    </row>
    <row r="167" spans="1:20" ht="15" customHeight="1">
      <c r="A167" s="32"/>
      <c r="B167" s="295"/>
      <c r="C167" s="296"/>
      <c r="D167" s="296"/>
      <c r="E167" s="296"/>
      <c r="F167" s="296"/>
      <c r="G167" s="296"/>
      <c r="H167" s="297"/>
      <c r="I167" s="297"/>
      <c r="J167" s="297"/>
      <c r="K167" s="297"/>
      <c r="L167" s="297"/>
      <c r="M167" s="297"/>
      <c r="N167" s="297"/>
      <c r="O167" s="297"/>
      <c r="P167" s="297"/>
      <c r="Q167" s="297"/>
      <c r="R167" s="297"/>
      <c r="S167" s="297"/>
      <c r="T167" s="298"/>
    </row>
    <row r="168" spans="1:20" ht="12.75" customHeight="1">
      <c r="A168" s="289" t="s">
        <v>28</v>
      </c>
      <c r="B168" s="289"/>
      <c r="C168" s="290" t="s">
        <v>218</v>
      </c>
      <c r="D168" s="291"/>
      <c r="E168" s="291"/>
      <c r="F168" s="291"/>
      <c r="G168" s="291"/>
      <c r="H168" s="291"/>
      <c r="I168" s="292"/>
      <c r="J168" s="292" t="s">
        <v>219</v>
      </c>
      <c r="K168" s="292"/>
      <c r="L168" s="292" t="s">
        <v>35</v>
      </c>
      <c r="M168" s="292" t="s">
        <v>36</v>
      </c>
      <c r="N168" s="293" t="s">
        <v>220</v>
      </c>
      <c r="O168" s="294" t="s">
        <v>38</v>
      </c>
      <c r="P168" s="294"/>
      <c r="Q168" s="294"/>
      <c r="R168" s="294"/>
      <c r="S168" s="294"/>
      <c r="T168" s="225"/>
    </row>
    <row r="169" spans="1:20" ht="15" customHeight="1">
      <c r="A169" s="269">
        <v>1</v>
      </c>
      <c r="B169" s="270"/>
      <c r="C169" s="271" t="s">
        <v>221</v>
      </c>
      <c r="D169" s="272" t="s">
        <v>221</v>
      </c>
      <c r="E169" s="272" t="s">
        <v>221</v>
      </c>
      <c r="F169" s="272" t="s">
        <v>221</v>
      </c>
      <c r="G169" s="272" t="s">
        <v>221</v>
      </c>
      <c r="H169" s="273" t="s">
        <v>221</v>
      </c>
      <c r="I169" s="274"/>
      <c r="J169" s="275">
        <v>0</v>
      </c>
      <c r="K169" s="276"/>
      <c r="L169" s="277">
        <v>0</v>
      </c>
      <c r="M169" s="277">
        <v>0</v>
      </c>
      <c r="N169" s="285">
        <f>(J169-(J169*L169/100)+((J169-(J169*L169/100))*M169/100))</f>
      </c>
      <c r="O169" s="286"/>
      <c r="P169" s="287"/>
      <c r="Q169" s="287"/>
      <c r="R169" s="287"/>
      <c r="S169" s="288"/>
      <c r="T169" s="283"/>
    </row>
    <row r="170" spans="1:20" ht="15" customHeight="1">
      <c r="A170" s="269">
        <v>2</v>
      </c>
      <c r="B170" s="270"/>
      <c r="C170" s="271" t="s">
        <v>222</v>
      </c>
      <c r="D170" s="272" t="s">
        <v>222</v>
      </c>
      <c r="E170" s="272" t="s">
        <v>222</v>
      </c>
      <c r="F170" s="272" t="s">
        <v>222</v>
      </c>
      <c r="G170" s="272" t="s">
        <v>222</v>
      </c>
      <c r="H170" s="273" t="s">
        <v>222</v>
      </c>
      <c r="I170" s="284"/>
      <c r="J170" s="275">
        <v>0</v>
      </c>
      <c r="K170" s="276"/>
      <c r="L170" s="277">
        <v>0</v>
      </c>
      <c r="M170" s="277">
        <v>0</v>
      </c>
      <c r="N170" s="279">
        <f>(J170-(J170*L170/100)+((J170-(J170*L170/100))*M170/100))</f>
      </c>
      <c r="O170" s="280"/>
      <c r="P170" s="281"/>
      <c r="Q170" s="281"/>
      <c r="R170" s="281"/>
      <c r="S170" s="282"/>
      <c r="T170" s="283"/>
    </row>
    <row r="171" spans="1:20" ht="15" customHeight="1">
      <c r="A171" s="269">
        <v>3</v>
      </c>
      <c r="B171" s="270"/>
      <c r="C171" s="271"/>
      <c r="D171" s="272"/>
      <c r="E171" s="272"/>
      <c r="F171" s="272"/>
      <c r="G171" s="272"/>
      <c r="H171" s="273"/>
      <c r="I171" s="274"/>
      <c r="J171" s="275">
        <v>0</v>
      </c>
      <c r="K171" s="276"/>
      <c r="L171" s="277">
        <v>0</v>
      </c>
      <c r="M171" s="277">
        <v>0</v>
      </c>
      <c r="N171" s="279">
        <f>(J171-(J171*L171/100)+((J171-(J171*L171/100))*M171/100))</f>
      </c>
      <c r="O171" s="280"/>
      <c r="P171" s="281"/>
      <c r="Q171" s="281"/>
      <c r="R171" s="281"/>
      <c r="S171" s="282"/>
      <c r="T171" s="283"/>
    </row>
    <row r="172" spans="1:20" ht="15.75" customHeight="1">
      <c r="A172" s="269">
        <v>4</v>
      </c>
      <c r="B172" s="270"/>
      <c r="C172" s="271"/>
      <c r="D172" s="272"/>
      <c r="E172" s="272"/>
      <c r="F172" s="272"/>
      <c r="G172" s="272"/>
      <c r="H172" s="273"/>
      <c r="I172" s="274"/>
      <c r="J172" s="275">
        <v>0</v>
      </c>
      <c r="K172" s="276"/>
      <c r="L172" s="277">
        <v>0</v>
      </c>
      <c r="M172" s="278">
        <v>0</v>
      </c>
      <c r="N172" s="279">
        <f>(J172-(J172*L172/100)+((J172-(J172*L172/100))*M172/100))</f>
      </c>
      <c r="O172" s="280"/>
      <c r="P172" s="281"/>
      <c r="Q172" s="281"/>
      <c r="R172" s="281"/>
      <c r="S172" s="282"/>
      <c r="T172" s="283"/>
    </row>
    <row r="173" spans="1:16" ht="15.95" customHeight="1">
      <c r="A173" s="247"/>
      <c r="B173" s="247"/>
      <c r="C173" s="248"/>
      <c r="D173" s="248"/>
      <c r="I173" s="163"/>
      <c r="J173" s="58" t="s">
        <v>223</v>
      </c>
      <c r="K173" s="59"/>
      <c r="L173" s="58"/>
      <c r="M173" s="59"/>
      <c r="N173" s="264">
        <f>SUM(ItmPrice)</f>
      </c>
      <c r="O173" s="267"/>
      <c r="P173" s="268"/>
    </row>
    <row r="174" spans="1:16" ht="15" customHeight="1">
      <c r="A174" s="247"/>
      <c r="B174" s="247"/>
      <c r="C174" s="248"/>
      <c r="D174" s="248"/>
      <c r="I174" s="163"/>
      <c r="J174" s="123" t="s">
        <v>224</v>
      </c>
      <c r="K174" s="124"/>
      <c r="L174" s="124"/>
      <c r="M174" s="125"/>
      <c r="N174" s="264">
        <f>SUM(N169:N173)</f>
      </c>
      <c r="O174" s="265"/>
      <c r="P174" s="266"/>
    </row>
    <row r="175" spans="1:19" ht="2.25" customHeight="1" hidden="1">
      <c r="A175" s="258">
        <v>0</v>
      </c>
      <c r="B175" s="258">
        <v>0</v>
      </c>
      <c r="C175" s="259">
        <v>0</v>
      </c>
      <c r="D175" s="248"/>
      <c r="E175" s="248"/>
      <c r="F175" s="260">
        <v>1</v>
      </c>
      <c r="G175" s="248"/>
      <c r="H175" s="248"/>
      <c r="I175" s="248"/>
      <c r="J175" s="248"/>
      <c r="K175" s="261"/>
      <c r="L175" s="262">
        <v>0</v>
      </c>
      <c r="M175" s="263">
        <v>0</v>
      </c>
      <c r="N175" s="162" t="s">
        <v>225</v>
      </c>
      <c r="O175" s="257"/>
      <c r="P175" s="263">
        <v>995</v>
      </c>
      <c r="Q175" s="248" t="s">
        <v>226</v>
      </c>
      <c r="R175" s="248"/>
      <c r="S175" s="248"/>
    </row>
    <row r="176" spans="1:19" ht="18.75" customHeight="1">
      <c r="A176" s="247"/>
      <c r="B176" s="247"/>
      <c r="C176" s="247"/>
      <c r="H176" s="257"/>
      <c r="I176" s="163"/>
      <c r="J176" s="248"/>
      <c r="K176" s="248"/>
      <c r="L176" s="248"/>
      <c r="M176" s="248"/>
      <c r="N176" s="248"/>
      <c r="O176" s="248"/>
      <c r="P176" s="248"/>
      <c r="R176" s="248"/>
      <c r="S176" s="248"/>
    </row>
    <row r="177" spans="1:20" ht="127.5" customHeight="1">
      <c r="A177" s="249" t="s">
        <v>227</v>
      </c>
      <c r="B177" s="249"/>
      <c r="C177" s="249"/>
      <c r="D177" s="250"/>
      <c r="E177" s="254" t="s">
        <v>228</v>
      </c>
      <c r="F177" s="255"/>
      <c r="G177" s="255"/>
      <c r="H177" s="255"/>
      <c r="I177" s="255"/>
      <c r="J177" s="255"/>
      <c r="K177" s="255"/>
      <c r="L177" s="255"/>
      <c r="M177" s="255"/>
      <c r="N177" s="255"/>
      <c r="O177" s="255"/>
      <c r="P177" s="255"/>
      <c r="Q177" s="255"/>
      <c r="R177" s="255"/>
      <c r="S177" s="255"/>
      <c r="T177" s="256"/>
    </row>
    <row r="178" spans="1:20" ht="129.75" customHeight="1">
      <c r="A178" s="249" t="s">
        <v>38</v>
      </c>
      <c r="B178" s="249"/>
      <c r="C178" s="249"/>
      <c r="D178" s="250"/>
      <c r="E178" s="251" t="s">
        <v>342</v>
      </c>
      <c r="F178" s="252"/>
      <c r="G178" s="252"/>
      <c r="H178" s="252"/>
      <c r="I178" s="252"/>
      <c r="J178" s="252"/>
      <c r="K178" s="252"/>
      <c r="L178" s="252"/>
      <c r="M178" s="252"/>
      <c r="N178" s="252"/>
      <c r="O178" s="252"/>
      <c r="P178" s="252"/>
      <c r="Q178" s="252"/>
      <c r="R178" s="252"/>
      <c r="S178" s="252"/>
      <c r="T178" s="253"/>
    </row>
    <row r="179" spans="1:19" ht="15.95" customHeight="1">
      <c r="A179" s="247"/>
      <c r="B179" s="247"/>
      <c r="C179" s="247"/>
      <c r="H179" s="248"/>
      <c r="I179" s="248"/>
      <c r="J179" s="248"/>
      <c r="K179" s="248"/>
      <c r="L179" s="248"/>
      <c r="M179" s="248"/>
      <c r="N179" s="248"/>
      <c r="O179" s="248"/>
      <c r="P179" s="248"/>
      <c r="Q179" s="248"/>
      <c r="R179" s="248"/>
      <c r="S179" s="248"/>
    </row>
    <row r="180" spans="1:20" ht="15.95" customHeight="1">
      <c r="A180" s="245" t="s">
        <v>229</v>
      </c>
      <c r="B180" s="245"/>
      <c r="C180" s="245"/>
      <c r="D180" s="245"/>
      <c r="E180" s="245"/>
      <c r="F180" s="245"/>
      <c r="G180" s="245"/>
      <c r="H180" s="245"/>
      <c r="I180" s="245"/>
      <c r="J180" s="245"/>
      <c r="K180" s="245"/>
      <c r="L180" s="245"/>
      <c r="M180" s="245"/>
      <c r="N180" s="245"/>
      <c r="O180" s="245"/>
      <c r="P180" s="245"/>
      <c r="Q180" s="245"/>
      <c r="R180" s="245"/>
      <c r="S180" s="245"/>
      <c r="T180" s="246"/>
    </row>
    <row r="181" spans="1:20" ht="12.75" customHeight="1">
      <c r="A181" s="243"/>
      <c r="B181" s="243"/>
      <c r="C181" s="243"/>
      <c r="D181" s="243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4"/>
    </row>
    <row r="182" spans="1:20" ht="12.75" customHeight="1">
      <c r="A182" s="243"/>
      <c r="B182" s="243"/>
      <c r="C182" s="243"/>
      <c r="D182" s="243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4"/>
    </row>
    <row r="183" spans="1:20" ht="7.5" customHeight="1">
      <c r="A183" s="243"/>
      <c r="B183" s="243"/>
      <c r="C183" s="243"/>
      <c r="D183" s="243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4"/>
    </row>
    <row r="184" spans="1:20" ht="12.75" customHeight="1">
      <c r="A184" s="243"/>
      <c r="B184" s="243"/>
      <c r="C184" s="243"/>
      <c r="D184" s="243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4"/>
    </row>
    <row r="185" spans="1:20" ht="12.75" customHeight="1">
      <c r="A185" s="243"/>
      <c r="B185" s="243"/>
      <c r="C185" s="243"/>
      <c r="D185" s="243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4"/>
    </row>
    <row r="186" spans="1:20" ht="12.75" customHeight="1">
      <c r="A186" s="243"/>
      <c r="B186" s="243"/>
      <c r="C186" s="243"/>
      <c r="D186" s="243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4"/>
    </row>
    <row r="187" spans="1:20" ht="7.5" customHeight="1">
      <c r="A187" s="243"/>
      <c r="B187" s="243"/>
      <c r="C187" s="243"/>
      <c r="D187" s="243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4"/>
    </row>
    <row r="188" spans="1:20" ht="12.75" customHeight="1">
      <c r="A188" s="243"/>
      <c r="B188" s="243"/>
      <c r="C188" s="243"/>
      <c r="D188" s="243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4"/>
    </row>
    <row r="189" spans="1:20" ht="12.75" customHeight="1">
      <c r="A189" s="243"/>
      <c r="B189" s="243"/>
      <c r="C189" s="243"/>
      <c r="D189" s="243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4"/>
    </row>
    <row r="190" spans="1:20" ht="12.75" customHeight="1">
      <c r="A190" s="243"/>
      <c r="B190" s="243"/>
      <c r="C190" s="243"/>
      <c r="D190" s="243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4"/>
    </row>
    <row r="191" spans="1:20" ht="12.75" customHeight="1">
      <c r="A191" s="243"/>
      <c r="B191" s="243"/>
      <c r="C191" s="243"/>
      <c r="D191" s="243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4"/>
    </row>
    <row r="192" spans="1:20" ht="12.75" customHeight="1">
      <c r="A192" s="243"/>
      <c r="B192" s="243"/>
      <c r="C192" s="243"/>
      <c r="D192" s="243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4"/>
    </row>
    <row r="193" spans="1:20" ht="12.75" customHeight="1">
      <c r="A193" s="243"/>
      <c r="B193" s="243"/>
      <c r="C193" s="243"/>
      <c r="D193" s="243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4"/>
    </row>
    <row r="194" spans="1:20" ht="7.5" customHeight="1">
      <c r="A194" s="243"/>
      <c r="B194" s="243"/>
      <c r="C194" s="243"/>
      <c r="D194" s="243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4"/>
    </row>
    <row r="195" spans="1:20" ht="12.75" customHeight="1">
      <c r="A195" s="243"/>
      <c r="B195" s="243"/>
      <c r="C195" s="243"/>
      <c r="D195" s="243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4"/>
    </row>
    <row r="196" spans="1:20" ht="12.75" customHeight="1">
      <c r="A196" s="243"/>
      <c r="B196" s="243"/>
      <c r="C196" s="243"/>
      <c r="D196" s="243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4"/>
    </row>
    <row r="197" spans="1:20" ht="12.75" customHeight="1">
      <c r="A197" s="243"/>
      <c r="B197" s="243"/>
      <c r="C197" s="243"/>
      <c r="D197" s="243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4"/>
    </row>
    <row r="198" spans="1:20" ht="12.75" customHeight="1">
      <c r="A198" s="243"/>
      <c r="B198" s="243"/>
      <c r="C198" s="243"/>
      <c r="D198" s="243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4"/>
    </row>
    <row r="199" spans="1:20" ht="12.75" customHeight="1">
      <c r="A199" s="243"/>
      <c r="B199" s="243"/>
      <c r="C199" s="243"/>
      <c r="D199" s="243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4"/>
    </row>
    <row r="200" spans="1:20" ht="7.5" customHeight="1">
      <c r="A200" s="243"/>
      <c r="B200" s="243"/>
      <c r="C200" s="243"/>
      <c r="D200" s="243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4"/>
    </row>
    <row r="201" spans="1:20" ht="12.75" customHeight="1">
      <c r="A201" s="243"/>
      <c r="B201" s="243"/>
      <c r="C201" s="243"/>
      <c r="D201" s="243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4"/>
    </row>
    <row r="202" spans="1:20" ht="12.75" customHeight="1">
      <c r="A202" s="243"/>
      <c r="B202" s="243"/>
      <c r="C202" s="243"/>
      <c r="D202" s="243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4"/>
    </row>
    <row r="203" spans="1:20" ht="12.75" customHeight="1">
      <c r="A203" s="241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42"/>
    </row>
    <row r="204" spans="1:9" ht="12.75">
      <c r="A204" s="240" t="s">
        <v>230</v>
      </c>
      <c r="B204" s="240"/>
      <c r="C204" s="240"/>
      <c r="D204" s="240"/>
      <c r="E204" s="240"/>
      <c r="F204" s="240"/>
      <c r="G204" s="240"/>
      <c r="I20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359">
    <mergeCell ref="E177:S177"/>
    <mergeCell ref="E178:S178"/>
    <mergeCell ref="E180:S180"/>
    <mergeCell ref="A181:S202"/>
    <mergeCell ref="A203:S203"/>
    <mergeCell ref="A177:D177"/>
    <mergeCell ref="A178:D178"/>
    <mergeCell ref="K1:R1"/>
    <mergeCell ref="R19:S19"/>
    <mergeCell ref="R20:S20"/>
    <mergeCell ref="O169:S169"/>
    <mergeCell ref="O170:S170"/>
    <mergeCell ref="O168:S168"/>
    <mergeCell ref="J168:K168"/>
    <mergeCell ref="K4:L4"/>
    <mergeCell ref="M4:P4"/>
    <mergeCell ref="K5:L5"/>
    <mergeCell ref="M5:P5"/>
    <mergeCell ref="M7:Q7"/>
    <mergeCell ref="P20:Q20"/>
    <mergeCell ref="M12:O12"/>
    <mergeCell ref="K12:L12"/>
    <mergeCell ref="O173:P173"/>
    <mergeCell ref="O174:P174"/>
    <mergeCell ref="J174:M174"/>
    <mergeCell ref="O171:S171"/>
    <mergeCell ref="O172:S17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168:H16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D86:E86"/>
    <mergeCell ref="J86:K86"/>
    <mergeCell ref="D87:E87"/>
    <mergeCell ref="J87:K87"/>
    <mergeCell ref="D88:E88"/>
    <mergeCell ref="J88:K88"/>
    <mergeCell ref="D89:E89"/>
    <mergeCell ref="J89:K89"/>
    <mergeCell ref="D90:E90"/>
    <mergeCell ref="J90:K90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D98:E98"/>
    <mergeCell ref="J98:K98"/>
    <mergeCell ref="D99:E99"/>
    <mergeCell ref="J99:K99"/>
    <mergeCell ref="D100:E100"/>
    <mergeCell ref="J100:K100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D110:E110"/>
    <mergeCell ref="J110:K110"/>
    <mergeCell ref="D111:E111"/>
    <mergeCell ref="J111:K111"/>
    <mergeCell ref="D112:E112"/>
    <mergeCell ref="J112:K112"/>
    <mergeCell ref="D113:E113"/>
    <mergeCell ref="J113:K113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D120:E120"/>
    <mergeCell ref="J120:K120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D129:E129"/>
    <mergeCell ref="J129:K129"/>
    <mergeCell ref="D130:E130"/>
    <mergeCell ref="J130:K130"/>
    <mergeCell ref="D131:E131"/>
    <mergeCell ref="J131:K131"/>
    <mergeCell ref="D132:E132"/>
    <mergeCell ref="J132:K132"/>
    <mergeCell ref="D133:E133"/>
    <mergeCell ref="J133:K133"/>
    <mergeCell ref="D134:E134"/>
    <mergeCell ref="J134:K134"/>
    <mergeCell ref="D135:E135"/>
    <mergeCell ref="J135:K135"/>
    <mergeCell ref="D136:E136"/>
    <mergeCell ref="J136:K136"/>
    <mergeCell ref="D137:E137"/>
    <mergeCell ref="J137:K137"/>
    <mergeCell ref="D138:E138"/>
    <mergeCell ref="J138:K138"/>
    <mergeCell ref="D139:E139"/>
    <mergeCell ref="J139:K139"/>
    <mergeCell ref="D140:E140"/>
    <mergeCell ref="J140:K140"/>
    <mergeCell ref="D141:E141"/>
    <mergeCell ref="J141:K141"/>
    <mergeCell ref="D142:E142"/>
    <mergeCell ref="J142:K142"/>
    <mergeCell ref="D143:E143"/>
    <mergeCell ref="J143:K143"/>
    <mergeCell ref="D144:E144"/>
    <mergeCell ref="J144:K144"/>
    <mergeCell ref="D145:E145"/>
    <mergeCell ref="J145:K145"/>
    <mergeCell ref="D146:E146"/>
    <mergeCell ref="J146:K146"/>
    <mergeCell ref="D147:E147"/>
    <mergeCell ref="J147:K147"/>
    <mergeCell ref="D148:E148"/>
    <mergeCell ref="J148:K148"/>
    <mergeCell ref="D149:E149"/>
    <mergeCell ref="J149:K149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D154:E154"/>
    <mergeCell ref="J154:K154"/>
    <mergeCell ref="D155:E155"/>
    <mergeCell ref="J155:K155"/>
    <mergeCell ref="D156:E156"/>
    <mergeCell ref="J156:K156"/>
    <mergeCell ref="D157:E157"/>
    <mergeCell ref="J157:K157"/>
    <mergeCell ref="D158:E158"/>
    <mergeCell ref="J158:K158"/>
    <mergeCell ref="D159:E159"/>
    <mergeCell ref="J159:K159"/>
    <mergeCell ref="D160:E160"/>
    <mergeCell ref="J160:K160"/>
    <mergeCell ref="D161:E161"/>
    <mergeCell ref="J161:K161"/>
    <mergeCell ref="D162:E162"/>
    <mergeCell ref="J162:K162"/>
    <mergeCell ref="D163:E163"/>
    <mergeCell ref="J163:K163"/>
    <mergeCell ref="D164:E164"/>
    <mergeCell ref="J164:K164"/>
    <mergeCell ref="D165:E165"/>
    <mergeCell ref="J165:K165"/>
    <mergeCell ref="D166:E166"/>
    <mergeCell ref="J166:K166"/>
    <mergeCell ref="C169:H169"/>
    <mergeCell ref="J169:K169"/>
    <mergeCell ref="C170:H170"/>
    <mergeCell ref="J170:K170"/>
    <mergeCell ref="C171:H171"/>
    <mergeCell ref="J171:K171"/>
    <mergeCell ref="C172:H172"/>
    <mergeCell ref="J172:K172"/>
  </mergeCells>
  <dataValidations count="59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decimal" operator="greaterThanOrEqual" allowBlank="1" showInputMessage="1" showErrorMessage="1" sqref="I81">
      <formula1>0</formula1>
    </dataValidation>
    <dataValidation type="decimal" operator="greaterThanOrEqual" allowBlank="1" showInputMessage="1" showErrorMessage="1" sqref="J81">
      <formula1>0</formula1>
    </dataValidation>
    <dataValidation type="decimal" allowBlank="1" showInputMessage="1" showErrorMessage="1" sqref="L81">
      <formula1>0</formula1>
      <formula2>100</formula2>
    </dataValidation>
    <dataValidation type="decimal" allowBlank="1" showInputMessage="1" showErrorMessage="1" sqref="M81">
      <formula1>0</formula1>
      <formula2>100</formula2>
    </dataValidation>
    <dataValidation type="decimal" operator="greaterThanOrEqual" allowBlank="1" showInputMessage="1" showErrorMessage="1" sqref="I82">
      <formula1>0</formula1>
    </dataValidation>
    <dataValidation type="decimal" operator="greaterThanOrEqual" allowBlank="1" showInputMessage="1" showErrorMessage="1" sqref="J82">
      <formula1>0</formula1>
    </dataValidation>
    <dataValidation type="decimal" allowBlank="1" showInputMessage="1" showErrorMessage="1" sqref="L82">
      <formula1>0</formula1>
      <formula2>100</formula2>
    </dataValidation>
    <dataValidation type="decimal" allowBlank="1" showInputMessage="1" showErrorMessage="1" sqref="M82">
      <formula1>0</formula1>
      <formula2>100</formula2>
    </dataValidation>
    <dataValidation type="decimal" operator="greaterThanOrEqual" allowBlank="1" showInputMessage="1" showErrorMessage="1" sqref="I83">
      <formula1>0</formula1>
    </dataValidation>
    <dataValidation type="decimal" operator="greaterThanOrEqual" allowBlank="1" showInputMessage="1" showErrorMessage="1" sqref="J83">
      <formula1>0</formula1>
    </dataValidation>
    <dataValidation type="decimal" allowBlank="1" showInputMessage="1" showErrorMessage="1" sqref="L83">
      <formula1>0</formula1>
      <formula2>100</formula2>
    </dataValidation>
    <dataValidation type="decimal" allowBlank="1" showInputMessage="1" showErrorMessage="1" sqref="M83">
      <formula1>0</formula1>
      <formula2>100</formula2>
    </dataValidation>
    <dataValidation type="decimal" operator="greaterThanOrEqual" allowBlank="1" showInputMessage="1" showErrorMessage="1" sqref="I84">
      <formula1>0</formula1>
    </dataValidation>
    <dataValidation type="decimal" operator="greaterThanOrEqual" allowBlank="1" showInputMessage="1" showErrorMessage="1" sqref="J84">
      <formula1>0</formula1>
    </dataValidation>
    <dataValidation type="decimal" allowBlank="1" showInputMessage="1" showErrorMessage="1" sqref="L84">
      <formula1>0</formula1>
      <formula2>100</formula2>
    </dataValidation>
    <dataValidation type="decimal" allowBlank="1" showInputMessage="1" showErrorMessage="1" sqref="M84">
      <formula1>0</formula1>
      <formula2>100</formula2>
    </dataValidation>
    <dataValidation type="decimal" operator="greaterThanOrEqual" allowBlank="1" showInputMessage="1" showErrorMessage="1" sqref="I85">
      <formula1>0</formula1>
    </dataValidation>
    <dataValidation type="decimal" operator="greaterThanOrEqual" allowBlank="1" showInputMessage="1" showErrorMessage="1" sqref="J85">
      <formula1>0</formula1>
    </dataValidation>
    <dataValidation type="decimal" allowBlank="1" showInputMessage="1" showErrorMessage="1" sqref="L85">
      <formula1>0</formula1>
      <formula2>100</formula2>
    </dataValidation>
    <dataValidation type="decimal" allowBlank="1" showInputMessage="1" showErrorMessage="1" sqref="M85">
      <formula1>0</formula1>
      <formula2>100</formula2>
    </dataValidation>
    <dataValidation type="decimal" operator="greaterThanOrEqual" allowBlank="1" showInputMessage="1" showErrorMessage="1" sqref="I86">
      <formula1>0</formula1>
    </dataValidation>
    <dataValidation type="decimal" operator="greaterThanOrEqual" allowBlank="1" showInputMessage="1" showErrorMessage="1" sqref="J86">
      <formula1>0</formula1>
    </dataValidation>
    <dataValidation type="decimal" allowBlank="1" showInputMessage="1" showErrorMessage="1" sqref="L86">
      <formula1>0</formula1>
      <formula2>100</formula2>
    </dataValidation>
    <dataValidation type="decimal" allowBlank="1" showInputMessage="1" showErrorMessage="1" sqref="M86">
      <formula1>0</formula1>
      <formula2>100</formula2>
    </dataValidation>
    <dataValidation type="decimal" operator="greaterThanOrEqual" allowBlank="1" showInputMessage="1" showErrorMessage="1" sqref="I87">
      <formula1>0</formula1>
    </dataValidation>
    <dataValidation type="decimal" operator="greaterThanOrEqual" allowBlank="1" showInputMessage="1" showErrorMessage="1" sqref="J87">
      <formula1>0</formula1>
    </dataValidation>
    <dataValidation type="decimal" allowBlank="1" showInputMessage="1" showErrorMessage="1" sqref="L87">
      <formula1>0</formula1>
      <formula2>100</formula2>
    </dataValidation>
    <dataValidation type="decimal" allowBlank="1" showInputMessage="1" showErrorMessage="1" sqref="M87">
      <formula1>0</formula1>
      <formula2>100</formula2>
    </dataValidation>
    <dataValidation type="decimal" operator="greaterThanOrEqual" allowBlank="1" showInputMessage="1" showErrorMessage="1" sqref="I88">
      <formula1>0</formula1>
    </dataValidation>
    <dataValidation type="decimal" operator="greaterThanOrEqual" allowBlank="1" showInputMessage="1" showErrorMessage="1" sqref="J88">
      <formula1>0</formula1>
    </dataValidation>
    <dataValidation type="decimal" allowBlank="1" showInputMessage="1" showErrorMessage="1" sqref="L88">
      <formula1>0</formula1>
      <formula2>100</formula2>
    </dataValidation>
    <dataValidation type="decimal" allowBlank="1" showInputMessage="1" showErrorMessage="1" sqref="M88">
      <formula1>0</formula1>
      <formula2>100</formula2>
    </dataValidation>
    <dataValidation type="decimal" operator="greaterThanOrEqual" allowBlank="1" showInputMessage="1" showErrorMessage="1" sqref="I89">
      <formula1>0</formula1>
    </dataValidation>
    <dataValidation type="decimal" operator="greaterThanOrEqual" allowBlank="1" showInputMessage="1" showErrorMessage="1" sqref="J89">
      <formula1>0</formula1>
    </dataValidation>
    <dataValidation type="decimal" allowBlank="1" showInputMessage="1" showErrorMessage="1" sqref="L89">
      <formula1>0</formula1>
      <formula2>100</formula2>
    </dataValidation>
    <dataValidation type="decimal" allowBlank="1" showInputMessage="1" showErrorMessage="1" sqref="M89">
      <formula1>0</formula1>
      <formula2>100</formula2>
    </dataValidation>
    <dataValidation type="decimal" operator="greaterThanOrEqual" allowBlank="1" showInputMessage="1" showErrorMessage="1" sqref="I90">
      <formula1>0</formula1>
    </dataValidation>
    <dataValidation type="decimal" operator="greaterThanOrEqual" allowBlank="1" showInputMessage="1" showErrorMessage="1" sqref="J90">
      <formula1>0</formula1>
    </dataValidation>
    <dataValidation type="decimal" allowBlank="1" showInputMessage="1" showErrorMessage="1" sqref="L90">
      <formula1>0</formula1>
      <formula2>100</formula2>
    </dataValidation>
    <dataValidation type="decimal" allowBlank="1" showInputMessage="1" showErrorMessage="1" sqref="M90">
      <formula1>0</formula1>
      <formula2>100</formula2>
    </dataValidation>
    <dataValidation type="decimal" operator="greaterThanOrEqual" allowBlank="1" showInputMessage="1" showErrorMessage="1" sqref="I91">
      <formula1>0</formula1>
    </dataValidation>
    <dataValidation type="decimal" operator="greaterThanOrEqual" allowBlank="1" showInputMessage="1" showErrorMessage="1" sqref="J91">
      <formula1>0</formula1>
    </dataValidation>
    <dataValidation type="decimal" allowBlank="1" showInputMessage="1" showErrorMessage="1" sqref="L91">
      <formula1>0</formula1>
      <formula2>100</formula2>
    </dataValidation>
    <dataValidation type="decimal" allowBlank="1" showInputMessage="1" showErrorMessage="1" sqref="M91">
      <formula1>0</formula1>
      <formula2>100</formula2>
    </dataValidation>
    <dataValidation type="decimal" operator="greaterThanOrEqual" allowBlank="1" showInputMessage="1" showErrorMessage="1" sqref="I92">
      <formula1>0</formula1>
    </dataValidation>
    <dataValidation type="decimal" operator="greaterThanOrEqual" allowBlank="1" showInputMessage="1" showErrorMessage="1" sqref="J92">
      <formula1>0</formula1>
    </dataValidation>
    <dataValidation type="decimal" allowBlank="1" showInputMessage="1" showErrorMessage="1" sqref="L92">
      <formula1>0</formula1>
      <formula2>100</formula2>
    </dataValidation>
    <dataValidation type="decimal" allowBlank="1" showInputMessage="1" showErrorMessage="1" sqref="M92">
      <formula1>0</formula1>
      <formula2>100</formula2>
    </dataValidation>
    <dataValidation type="decimal" operator="greaterThanOrEqual" allowBlank="1" showInputMessage="1" showErrorMessage="1" sqref="I93">
      <formula1>0</formula1>
    </dataValidation>
    <dataValidation type="decimal" operator="greaterThanOrEqual" allowBlank="1" showInputMessage="1" showErrorMessage="1" sqref="J93">
      <formula1>0</formula1>
    </dataValidation>
    <dataValidation type="decimal" allowBlank="1" showInputMessage="1" showErrorMessage="1" sqref="L93">
      <formula1>0</formula1>
      <formula2>100</formula2>
    </dataValidation>
    <dataValidation type="decimal" allowBlank="1" showInputMessage="1" showErrorMessage="1" sqref="M93">
      <formula1>0</formula1>
      <formula2>100</formula2>
    </dataValidation>
    <dataValidation type="decimal" operator="greaterThanOrEqual" allowBlank="1" showInputMessage="1" showErrorMessage="1" sqref="I94">
      <formula1>0</formula1>
    </dataValidation>
    <dataValidation type="decimal" operator="greaterThanOrEqual" allowBlank="1" showInputMessage="1" showErrorMessage="1" sqref="J94">
      <formula1>0</formula1>
    </dataValidation>
    <dataValidation type="decimal" allowBlank="1" showInputMessage="1" showErrorMessage="1" sqref="L94">
      <formula1>0</formula1>
      <formula2>100</formula2>
    </dataValidation>
    <dataValidation type="decimal" allowBlank="1" showInputMessage="1" showErrorMessage="1" sqref="M94">
      <formula1>0</formula1>
      <formula2>100</formula2>
    </dataValidation>
    <dataValidation type="decimal" operator="greaterThanOrEqual" allowBlank="1" showInputMessage="1" showErrorMessage="1" sqref="I95">
      <formula1>0</formula1>
    </dataValidation>
    <dataValidation type="decimal" operator="greaterThanOrEqual" allowBlank="1" showInputMessage="1" showErrorMessage="1" sqref="J95">
      <formula1>0</formula1>
    </dataValidation>
    <dataValidation type="decimal" allowBlank="1" showInputMessage="1" showErrorMessage="1" sqref="L95">
      <formula1>0</formula1>
      <formula2>100</formula2>
    </dataValidation>
    <dataValidation type="decimal" allowBlank="1" showInputMessage="1" showErrorMessage="1" sqref="M95">
      <formula1>0</formula1>
      <formula2>100</formula2>
    </dataValidation>
    <dataValidation type="decimal" operator="greaterThanOrEqual" allowBlank="1" showInputMessage="1" showErrorMessage="1" sqref="I96">
      <formula1>0</formula1>
    </dataValidation>
    <dataValidation type="decimal" operator="greaterThanOrEqual" allowBlank="1" showInputMessage="1" showErrorMessage="1" sqref="J96">
      <formula1>0</formula1>
    </dataValidation>
    <dataValidation type="decimal" allowBlank="1" showInputMessage="1" showErrorMessage="1" sqref="L96">
      <formula1>0</formula1>
      <formula2>100</formula2>
    </dataValidation>
    <dataValidation type="decimal" allowBlank="1" showInputMessage="1" showErrorMessage="1" sqref="M96">
      <formula1>0</formula1>
      <formula2>100</formula2>
    </dataValidation>
    <dataValidation type="decimal" operator="greaterThanOrEqual" allowBlank="1" showInputMessage="1" showErrorMessage="1" sqref="I97">
      <formula1>0</formula1>
    </dataValidation>
    <dataValidation type="decimal" operator="greaterThanOrEqual" allowBlank="1" showInputMessage="1" showErrorMessage="1" sqref="J97">
      <formula1>0</formula1>
    </dataValidation>
    <dataValidation type="decimal" allowBlank="1" showInputMessage="1" showErrorMessage="1" sqref="L97">
      <formula1>0</formula1>
      <formula2>100</formula2>
    </dataValidation>
    <dataValidation type="decimal" allowBlank="1" showInputMessage="1" showErrorMessage="1" sqref="M97">
      <formula1>0</formula1>
      <formula2>100</formula2>
    </dataValidation>
    <dataValidation type="decimal" operator="greaterThanOrEqual" allowBlank="1" showInputMessage="1" showErrorMessage="1" sqref="I98">
      <formula1>0</formula1>
    </dataValidation>
    <dataValidation type="decimal" operator="greaterThanOrEqual" allowBlank="1" showInputMessage="1" showErrorMessage="1" sqref="J98">
      <formula1>0</formula1>
    </dataValidation>
    <dataValidation type="decimal" allowBlank="1" showInputMessage="1" showErrorMessage="1" sqref="L98">
      <formula1>0</formula1>
      <formula2>100</formula2>
    </dataValidation>
    <dataValidation type="decimal" allowBlank="1" showInputMessage="1" showErrorMessage="1" sqref="M98">
      <formula1>0</formula1>
      <formula2>100</formula2>
    </dataValidation>
    <dataValidation type="decimal" operator="greaterThanOrEqual" allowBlank="1" showInputMessage="1" showErrorMessage="1" sqref="I99">
      <formula1>0</formula1>
    </dataValidation>
    <dataValidation type="decimal" operator="greaterThanOrEqual" allowBlank="1" showInputMessage="1" showErrorMessage="1" sqref="J99">
      <formula1>0</formula1>
    </dataValidation>
    <dataValidation type="decimal" allowBlank="1" showInputMessage="1" showErrorMessage="1" sqref="L99">
      <formula1>0</formula1>
      <formula2>100</formula2>
    </dataValidation>
    <dataValidation type="decimal" allowBlank="1" showInputMessage="1" showErrorMessage="1" sqref="M99">
      <formula1>0</formula1>
      <formula2>100</formula2>
    </dataValidation>
    <dataValidation type="decimal" operator="greaterThanOrEqual" allowBlank="1" showInputMessage="1" showErrorMessage="1" sqref="I100">
      <formula1>0</formula1>
    </dataValidation>
    <dataValidation type="decimal" operator="greaterThanOrEqual" allowBlank="1" showInputMessage="1" showErrorMessage="1" sqref="J100">
      <formula1>0</formula1>
    </dataValidation>
    <dataValidation type="decimal" allowBlank="1" showInputMessage="1" showErrorMessage="1" sqref="L100">
      <formula1>0</formula1>
      <formula2>100</formula2>
    </dataValidation>
    <dataValidation type="decimal" allowBlank="1" showInputMessage="1" showErrorMessage="1" sqref="M100">
      <formula1>0</formula1>
      <formula2>100</formula2>
    </dataValidation>
    <dataValidation type="decimal" operator="greaterThanOrEqual" allowBlank="1" showInputMessage="1" showErrorMessage="1" sqref="I101">
      <formula1>0</formula1>
    </dataValidation>
    <dataValidation type="decimal" operator="greaterThanOrEqual" allowBlank="1" showInputMessage="1" showErrorMessage="1" sqref="J101">
      <formula1>0</formula1>
    </dataValidation>
    <dataValidation type="decimal" allowBlank="1" showInputMessage="1" showErrorMessage="1" sqref="L101">
      <formula1>0</formula1>
      <formula2>100</formula2>
    </dataValidation>
    <dataValidation type="decimal" allowBlank="1" showInputMessage="1" showErrorMessage="1" sqref="M101">
      <formula1>0</formula1>
      <formula2>100</formula2>
    </dataValidation>
    <dataValidation type="decimal" operator="greaterThanOrEqual" allowBlank="1" showInputMessage="1" showErrorMessage="1" sqref="I102">
      <formula1>0</formula1>
    </dataValidation>
    <dataValidation type="decimal" operator="greaterThanOrEqual" allowBlank="1" showInputMessage="1" showErrorMessage="1" sqref="J102">
      <formula1>0</formula1>
    </dataValidation>
    <dataValidation type="decimal" allowBlank="1" showInputMessage="1" showErrorMessage="1" sqref="L102">
      <formula1>0</formula1>
      <formula2>100</formula2>
    </dataValidation>
    <dataValidation type="decimal" allowBlank="1" showInputMessage="1" showErrorMessage="1" sqref="M102">
      <formula1>0</formula1>
      <formula2>100</formula2>
    </dataValidation>
    <dataValidation type="decimal" operator="greaterThanOrEqual" allowBlank="1" showInputMessage="1" showErrorMessage="1" sqref="I103">
      <formula1>0</formula1>
    </dataValidation>
    <dataValidation type="decimal" operator="greaterThanOrEqual" allowBlank="1" showInputMessage="1" showErrorMessage="1" sqref="J103">
      <formula1>0</formula1>
    </dataValidation>
    <dataValidation type="decimal" allowBlank="1" showInputMessage="1" showErrorMessage="1" sqref="L103">
      <formula1>0</formula1>
      <formula2>100</formula2>
    </dataValidation>
    <dataValidation type="decimal" allowBlank="1" showInputMessage="1" showErrorMessage="1" sqref="M103">
      <formula1>0</formula1>
      <formula2>100</formula2>
    </dataValidation>
    <dataValidation type="decimal" operator="greaterThanOrEqual" allowBlank="1" showInputMessage="1" showErrorMessage="1" sqref="I104">
      <formula1>0</formula1>
    </dataValidation>
    <dataValidation type="decimal" operator="greaterThanOrEqual" allowBlank="1" showInputMessage="1" showErrorMessage="1" sqref="J104">
      <formula1>0</formula1>
    </dataValidation>
    <dataValidation type="decimal" allowBlank="1" showInputMessage="1" showErrorMessage="1" sqref="L104">
      <formula1>0</formula1>
      <formula2>100</formula2>
    </dataValidation>
    <dataValidation type="decimal" allowBlank="1" showInputMessage="1" showErrorMessage="1" sqref="M104">
      <formula1>0</formula1>
      <formula2>100</formula2>
    </dataValidation>
    <dataValidation type="decimal" operator="greaterThanOrEqual" allowBlank="1" showInputMessage="1" showErrorMessage="1" sqref="I105">
      <formula1>0</formula1>
    </dataValidation>
    <dataValidation type="decimal" operator="greaterThanOrEqual" allowBlank="1" showInputMessage="1" showErrorMessage="1" sqref="J105">
      <formula1>0</formula1>
    </dataValidation>
    <dataValidation type="decimal" allowBlank="1" showInputMessage="1" showErrorMessage="1" sqref="L105">
      <formula1>0</formula1>
      <formula2>100</formula2>
    </dataValidation>
    <dataValidation type="decimal" allowBlank="1" showInputMessage="1" showErrorMessage="1" sqref="M105">
      <formula1>0</formula1>
      <formula2>100</formula2>
    </dataValidation>
    <dataValidation type="decimal" operator="greaterThanOrEqual" allowBlank="1" showInputMessage="1" showErrorMessage="1" sqref="I106">
      <formula1>0</formula1>
    </dataValidation>
    <dataValidation type="decimal" operator="greaterThanOrEqual" allowBlank="1" showInputMessage="1" showErrorMessage="1" sqref="J106">
      <formula1>0</formula1>
    </dataValidation>
    <dataValidation type="decimal" allowBlank="1" showInputMessage="1" showErrorMessage="1" sqref="L106">
      <formula1>0</formula1>
      <formula2>100</formula2>
    </dataValidation>
    <dataValidation type="decimal" allowBlank="1" showInputMessage="1" showErrorMessage="1" sqref="M106">
      <formula1>0</formula1>
      <formula2>100</formula2>
    </dataValidation>
    <dataValidation type="decimal" operator="greaterThanOrEqual" allowBlank="1" showInputMessage="1" showErrorMessage="1" sqref="I107">
      <formula1>0</formula1>
    </dataValidation>
    <dataValidation type="decimal" operator="greaterThanOrEqual" allowBlank="1" showInputMessage="1" showErrorMessage="1" sqref="J107">
      <formula1>0</formula1>
    </dataValidation>
    <dataValidation type="decimal" allowBlank="1" showInputMessage="1" showErrorMessage="1" sqref="L107">
      <formula1>0</formula1>
      <formula2>100</formula2>
    </dataValidation>
    <dataValidation type="decimal" allowBlank="1" showInputMessage="1" showErrorMessage="1" sqref="M107">
      <formula1>0</formula1>
      <formula2>100</formula2>
    </dataValidation>
    <dataValidation type="decimal" operator="greaterThanOrEqual" allowBlank="1" showInputMessage="1" showErrorMessage="1" sqref="I108">
      <formula1>0</formula1>
    </dataValidation>
    <dataValidation type="decimal" operator="greaterThanOrEqual" allowBlank="1" showInputMessage="1" showErrorMessage="1" sqref="J108">
      <formula1>0</formula1>
    </dataValidation>
    <dataValidation type="decimal" allowBlank="1" showInputMessage="1" showErrorMessage="1" sqref="L108">
      <formula1>0</formula1>
      <formula2>100</formula2>
    </dataValidation>
    <dataValidation type="decimal" allowBlank="1" showInputMessage="1" showErrorMessage="1" sqref="M108">
      <formula1>0</formula1>
      <formula2>100</formula2>
    </dataValidation>
    <dataValidation type="decimal" operator="greaterThanOrEqual" allowBlank="1" showInputMessage="1" showErrorMessage="1" sqref="I109">
      <formula1>0</formula1>
    </dataValidation>
    <dataValidation type="decimal" operator="greaterThanOrEqual" allowBlank="1" showInputMessage="1" showErrorMessage="1" sqref="J109">
      <formula1>0</formula1>
    </dataValidation>
    <dataValidation type="decimal" allowBlank="1" showInputMessage="1" showErrorMessage="1" sqref="L109">
      <formula1>0</formula1>
      <formula2>100</formula2>
    </dataValidation>
    <dataValidation type="decimal" allowBlank="1" showInputMessage="1" showErrorMessage="1" sqref="M109">
      <formula1>0</formula1>
      <formula2>100</formula2>
    </dataValidation>
    <dataValidation type="decimal" operator="greaterThanOrEqual" allowBlank="1" showInputMessage="1" showErrorMessage="1" sqref="I110">
      <formula1>0</formula1>
    </dataValidation>
    <dataValidation type="decimal" operator="greaterThanOrEqual" allowBlank="1" showInputMessage="1" showErrorMessage="1" sqref="J110">
      <formula1>0</formula1>
    </dataValidation>
    <dataValidation type="decimal" allowBlank="1" showInputMessage="1" showErrorMessage="1" sqref="L110">
      <formula1>0</formula1>
      <formula2>100</formula2>
    </dataValidation>
    <dataValidation type="decimal" allowBlank="1" showInputMessage="1" showErrorMessage="1" sqref="M110">
      <formula1>0</formula1>
      <formula2>100</formula2>
    </dataValidation>
    <dataValidation type="decimal" operator="greaterThanOrEqual" allowBlank="1" showInputMessage="1" showErrorMessage="1" sqref="I111">
      <formula1>0</formula1>
    </dataValidation>
    <dataValidation type="decimal" operator="greaterThanOrEqual" allowBlank="1" showInputMessage="1" showErrorMessage="1" sqref="J111">
      <formula1>0</formula1>
    </dataValidation>
    <dataValidation type="decimal" allowBlank="1" showInputMessage="1" showErrorMessage="1" sqref="L111">
      <formula1>0</formula1>
      <formula2>100</formula2>
    </dataValidation>
    <dataValidation type="decimal" allowBlank="1" showInputMessage="1" showErrorMessage="1" sqref="M111">
      <formula1>0</formula1>
      <formula2>100</formula2>
    </dataValidation>
    <dataValidation type="decimal" operator="greaterThanOrEqual" allowBlank="1" showInputMessage="1" showErrorMessage="1" sqref="I112">
      <formula1>0</formula1>
    </dataValidation>
    <dataValidation type="decimal" operator="greaterThanOrEqual" allowBlank="1" showInputMessage="1" showErrorMessage="1" sqref="J112">
      <formula1>0</formula1>
    </dataValidation>
    <dataValidation type="decimal" allowBlank="1" showInputMessage="1" showErrorMessage="1" sqref="L112">
      <formula1>0</formula1>
      <formula2>100</formula2>
    </dataValidation>
    <dataValidation type="decimal" allowBlank="1" showInputMessage="1" showErrorMessage="1" sqref="M112">
      <formula1>0</formula1>
      <formula2>100</formula2>
    </dataValidation>
    <dataValidation type="decimal" operator="greaterThanOrEqual" allowBlank="1" showInputMessage="1" showErrorMessage="1" sqref="I113">
      <formula1>0</formula1>
    </dataValidation>
    <dataValidation type="decimal" operator="greaterThanOrEqual" allowBlank="1" showInputMessage="1" showErrorMessage="1" sqref="J113">
      <formula1>0</formula1>
    </dataValidation>
    <dataValidation type="decimal" allowBlank="1" showInputMessage="1" showErrorMessage="1" sqref="L113">
      <formula1>0</formula1>
      <formula2>100</formula2>
    </dataValidation>
    <dataValidation type="decimal" allowBlank="1" showInputMessage="1" showErrorMessage="1" sqref="M113">
      <formula1>0</formula1>
      <formula2>100</formula2>
    </dataValidation>
    <dataValidation type="decimal" operator="greaterThanOrEqual" allowBlank="1" showInputMessage="1" showErrorMessage="1" sqref="I114">
      <formula1>0</formula1>
    </dataValidation>
    <dataValidation type="decimal" operator="greaterThanOrEqual" allowBlank="1" showInputMessage="1" showErrorMessage="1" sqref="J114">
      <formula1>0</formula1>
    </dataValidation>
    <dataValidation type="decimal" allowBlank="1" showInputMessage="1" showErrorMessage="1" sqref="L114">
      <formula1>0</formula1>
      <formula2>100</formula2>
    </dataValidation>
    <dataValidation type="decimal" allowBlank="1" showInputMessage="1" showErrorMessage="1" sqref="M114">
      <formula1>0</formula1>
      <formula2>100</formula2>
    </dataValidation>
    <dataValidation type="decimal" operator="greaterThanOrEqual" allowBlank="1" showInputMessage="1" showErrorMessage="1" sqref="I115">
      <formula1>0</formula1>
    </dataValidation>
    <dataValidation type="decimal" operator="greaterThanOrEqual" allowBlank="1" showInputMessage="1" showErrorMessage="1" sqref="J115">
      <formula1>0</formula1>
    </dataValidation>
    <dataValidation type="decimal" allowBlank="1" showInputMessage="1" showErrorMessage="1" sqref="L115">
      <formula1>0</formula1>
      <formula2>100</formula2>
    </dataValidation>
    <dataValidation type="decimal" allowBlank="1" showInputMessage="1" showErrorMessage="1" sqref="M115">
      <formula1>0</formula1>
      <formula2>100</formula2>
    </dataValidation>
    <dataValidation type="decimal" operator="greaterThanOrEqual" allowBlank="1" showInputMessage="1" showErrorMessage="1" sqref="I116">
      <formula1>0</formula1>
    </dataValidation>
    <dataValidation type="decimal" operator="greaterThanOrEqual" allowBlank="1" showInputMessage="1" showErrorMessage="1" sqref="J116">
      <formula1>0</formula1>
    </dataValidation>
    <dataValidation type="decimal" allowBlank="1" showInputMessage="1" showErrorMessage="1" sqref="L116">
      <formula1>0</formula1>
      <formula2>100</formula2>
    </dataValidation>
    <dataValidation type="decimal" allowBlank="1" showInputMessage="1" showErrorMessage="1" sqref="M116">
      <formula1>0</formula1>
      <formula2>100</formula2>
    </dataValidation>
    <dataValidation type="decimal" operator="greaterThanOrEqual" allowBlank="1" showInputMessage="1" showErrorMessage="1" sqref="I117">
      <formula1>0</formula1>
    </dataValidation>
    <dataValidation type="decimal" operator="greaterThanOrEqual" allowBlank="1" showInputMessage="1" showErrorMessage="1" sqref="J117">
      <formula1>0</formula1>
    </dataValidation>
    <dataValidation type="decimal" allowBlank="1" showInputMessage="1" showErrorMessage="1" sqref="L117">
      <formula1>0</formula1>
      <formula2>100</formula2>
    </dataValidation>
    <dataValidation type="decimal" allowBlank="1" showInputMessage="1" showErrorMessage="1" sqref="M117">
      <formula1>0</formula1>
      <formula2>100</formula2>
    </dataValidation>
    <dataValidation type="decimal" operator="greaterThanOrEqual" allowBlank="1" showInputMessage="1" showErrorMessage="1" sqref="I118">
      <formula1>0</formula1>
    </dataValidation>
    <dataValidation type="decimal" operator="greaterThanOrEqual" allowBlank="1" showInputMessage="1" showErrorMessage="1" sqref="J118">
      <formula1>0</formula1>
    </dataValidation>
    <dataValidation type="decimal" allowBlank="1" showInputMessage="1" showErrorMessage="1" sqref="L118">
      <formula1>0</formula1>
      <formula2>100</formula2>
    </dataValidation>
    <dataValidation type="decimal" allowBlank="1" showInputMessage="1" showErrorMessage="1" sqref="M118">
      <formula1>0</formula1>
      <formula2>100</formula2>
    </dataValidation>
    <dataValidation type="decimal" operator="greaterThanOrEqual" allowBlank="1" showInputMessage="1" showErrorMessage="1" sqref="I119">
      <formula1>0</formula1>
    </dataValidation>
    <dataValidation type="decimal" operator="greaterThanOrEqual" allowBlank="1" showInputMessage="1" showErrorMessage="1" sqref="J119">
      <formula1>0</formula1>
    </dataValidation>
    <dataValidation type="decimal" allowBlank="1" showInputMessage="1" showErrorMessage="1" sqref="L119">
      <formula1>0</formula1>
      <formula2>100</formula2>
    </dataValidation>
    <dataValidation type="decimal" allowBlank="1" showInputMessage="1" showErrorMessage="1" sqref="M119">
      <formula1>0</formula1>
      <formula2>100</formula2>
    </dataValidation>
    <dataValidation type="decimal" operator="greaterThanOrEqual" allowBlank="1" showInputMessage="1" showErrorMessage="1" sqref="I120">
      <formula1>0</formula1>
    </dataValidation>
    <dataValidation type="decimal" operator="greaterThanOrEqual" allowBlank="1" showInputMessage="1" showErrorMessage="1" sqref="J120">
      <formula1>0</formula1>
    </dataValidation>
    <dataValidation type="decimal" allowBlank="1" showInputMessage="1" showErrorMessage="1" sqref="L120">
      <formula1>0</formula1>
      <formula2>100</formula2>
    </dataValidation>
    <dataValidation type="decimal" allowBlank="1" showInputMessage="1" showErrorMessage="1" sqref="M120">
      <formula1>0</formula1>
      <formula2>100</formula2>
    </dataValidation>
    <dataValidation type="decimal" operator="greaterThanOrEqual" allowBlank="1" showInputMessage="1" showErrorMessage="1" sqref="I121">
      <formula1>0</formula1>
    </dataValidation>
    <dataValidation type="decimal" operator="greaterThanOrEqual" allowBlank="1" showInputMessage="1" showErrorMessage="1" sqref="J121">
      <formula1>0</formula1>
    </dataValidation>
    <dataValidation type="decimal" allowBlank="1" showInputMessage="1" showErrorMessage="1" sqref="L121">
      <formula1>0</formula1>
      <formula2>100</formula2>
    </dataValidation>
    <dataValidation type="decimal" allowBlank="1" showInputMessage="1" showErrorMessage="1" sqref="M121">
      <formula1>0</formula1>
      <formula2>100</formula2>
    </dataValidation>
    <dataValidation type="decimal" operator="greaterThanOrEqual" allowBlank="1" showInputMessage="1" showErrorMessage="1" sqref="I122">
      <formula1>0</formula1>
    </dataValidation>
    <dataValidation type="decimal" operator="greaterThanOrEqual" allowBlank="1" showInputMessage="1" showErrorMessage="1" sqref="J122">
      <formula1>0</formula1>
    </dataValidation>
    <dataValidation type="decimal" allowBlank="1" showInputMessage="1" showErrorMessage="1" sqref="L122">
      <formula1>0</formula1>
      <formula2>100</formula2>
    </dataValidation>
    <dataValidation type="decimal" allowBlank="1" showInputMessage="1" showErrorMessage="1" sqref="M122">
      <formula1>0</formula1>
      <formula2>100</formula2>
    </dataValidation>
    <dataValidation type="decimal" operator="greaterThanOrEqual" allowBlank="1" showInputMessage="1" showErrorMessage="1" sqref="I123">
      <formula1>0</formula1>
    </dataValidation>
    <dataValidation type="decimal" operator="greaterThanOrEqual" allowBlank="1" showInputMessage="1" showErrorMessage="1" sqref="J123">
      <formula1>0</formula1>
    </dataValidation>
    <dataValidation type="decimal" allowBlank="1" showInputMessage="1" showErrorMessage="1" sqref="L123">
      <formula1>0</formula1>
      <formula2>100</formula2>
    </dataValidation>
    <dataValidation type="decimal" allowBlank="1" showInputMessage="1" showErrorMessage="1" sqref="M123">
      <formula1>0</formula1>
      <formula2>100</formula2>
    </dataValidation>
    <dataValidation type="decimal" operator="greaterThanOrEqual" allowBlank="1" showInputMessage="1" showErrorMessage="1" sqref="I124">
      <formula1>0</formula1>
    </dataValidation>
    <dataValidation type="decimal" operator="greaterThanOrEqual" allowBlank="1" showInputMessage="1" showErrorMessage="1" sqref="J124">
      <formula1>0</formula1>
    </dataValidation>
    <dataValidation type="decimal" allowBlank="1" showInputMessage="1" showErrorMessage="1" sqref="L124">
      <formula1>0</formula1>
      <formula2>100</formula2>
    </dataValidation>
    <dataValidation type="decimal" allowBlank="1" showInputMessage="1" showErrorMessage="1" sqref="M124">
      <formula1>0</formula1>
      <formula2>100</formula2>
    </dataValidation>
    <dataValidation type="decimal" operator="greaterThanOrEqual" allowBlank="1" showInputMessage="1" showErrorMessage="1" sqref="I125">
      <formula1>0</formula1>
    </dataValidation>
    <dataValidation type="decimal" operator="greaterThanOrEqual" allowBlank="1" showInputMessage="1" showErrorMessage="1" sqref="J125">
      <formula1>0</formula1>
    </dataValidation>
    <dataValidation type="decimal" allowBlank="1" showInputMessage="1" showErrorMessage="1" sqref="L125">
      <formula1>0</formula1>
      <formula2>100</formula2>
    </dataValidation>
    <dataValidation type="decimal" allowBlank="1" showInputMessage="1" showErrorMessage="1" sqref="M125">
      <formula1>0</formula1>
      <formula2>100</formula2>
    </dataValidation>
    <dataValidation type="decimal" operator="greaterThanOrEqual" allowBlank="1" showInputMessage="1" showErrorMessage="1" sqref="I126">
      <formula1>0</formula1>
    </dataValidation>
    <dataValidation type="decimal" operator="greaterThanOrEqual" allowBlank="1" showInputMessage="1" showErrorMessage="1" sqref="J126">
      <formula1>0</formula1>
    </dataValidation>
    <dataValidation type="decimal" allowBlank="1" showInputMessage="1" showErrorMessage="1" sqref="L126">
      <formula1>0</formula1>
      <formula2>100</formula2>
    </dataValidation>
    <dataValidation type="decimal" allowBlank="1" showInputMessage="1" showErrorMessage="1" sqref="M126">
      <formula1>0</formula1>
      <formula2>100</formula2>
    </dataValidation>
    <dataValidation type="decimal" operator="greaterThanOrEqual" allowBlank="1" showInputMessage="1" showErrorMessage="1" sqref="I127">
      <formula1>0</formula1>
    </dataValidation>
    <dataValidation type="decimal" operator="greaterThanOrEqual" allowBlank="1" showInputMessage="1" showErrorMessage="1" sqref="J127">
      <formula1>0</formula1>
    </dataValidation>
    <dataValidation type="decimal" allowBlank="1" showInputMessage="1" showErrorMessage="1" sqref="L127">
      <formula1>0</formula1>
      <formula2>100</formula2>
    </dataValidation>
    <dataValidation type="decimal" allowBlank="1" showInputMessage="1" showErrorMessage="1" sqref="M127">
      <formula1>0</formula1>
      <formula2>100</formula2>
    </dataValidation>
    <dataValidation type="decimal" operator="greaterThanOrEqual" allowBlank="1" showInputMessage="1" showErrorMessage="1" sqref="I128">
      <formula1>0</formula1>
    </dataValidation>
    <dataValidation type="decimal" operator="greaterThanOrEqual" allowBlank="1" showInputMessage="1" showErrorMessage="1" sqref="J128">
      <formula1>0</formula1>
    </dataValidation>
    <dataValidation type="decimal" allowBlank="1" showInputMessage="1" showErrorMessage="1" sqref="L128">
      <formula1>0</formula1>
      <formula2>100</formula2>
    </dataValidation>
    <dataValidation type="decimal" allowBlank="1" showInputMessage="1" showErrorMessage="1" sqref="M128">
      <formula1>0</formula1>
      <formula2>100</formula2>
    </dataValidation>
    <dataValidation type="decimal" operator="greaterThanOrEqual" allowBlank="1" showInputMessage="1" showErrorMessage="1" sqref="I129">
      <formula1>0</formula1>
    </dataValidation>
    <dataValidation type="decimal" operator="greaterThanOrEqual" allowBlank="1" showInputMessage="1" showErrorMessage="1" sqref="J129">
      <formula1>0</formula1>
    </dataValidation>
    <dataValidation type="decimal" allowBlank="1" showInputMessage="1" showErrorMessage="1" sqref="L129">
      <formula1>0</formula1>
      <formula2>100</formula2>
    </dataValidation>
    <dataValidation type="decimal" allowBlank="1" showInputMessage="1" showErrorMessage="1" sqref="M129">
      <formula1>0</formula1>
      <formula2>100</formula2>
    </dataValidation>
    <dataValidation type="decimal" operator="greaterThanOrEqual" allowBlank="1" showInputMessage="1" showErrorMessage="1" sqref="I130">
      <formula1>0</formula1>
    </dataValidation>
    <dataValidation type="decimal" operator="greaterThanOrEqual" allowBlank="1" showInputMessage="1" showErrorMessage="1" sqref="J130">
      <formula1>0</formula1>
    </dataValidation>
    <dataValidation type="decimal" allowBlank="1" showInputMessage="1" showErrorMessage="1" sqref="L130">
      <formula1>0</formula1>
      <formula2>100</formula2>
    </dataValidation>
    <dataValidation type="decimal" allowBlank="1" showInputMessage="1" showErrorMessage="1" sqref="M130">
      <formula1>0</formula1>
      <formula2>100</formula2>
    </dataValidation>
    <dataValidation type="decimal" operator="greaterThanOrEqual" allowBlank="1" showInputMessage="1" showErrorMessage="1" sqref="I131">
      <formula1>0</formula1>
    </dataValidation>
    <dataValidation type="decimal" operator="greaterThanOrEqual" allowBlank="1" showInputMessage="1" showErrorMessage="1" sqref="J131">
      <formula1>0</formula1>
    </dataValidation>
    <dataValidation type="decimal" allowBlank="1" showInputMessage="1" showErrorMessage="1" sqref="L131">
      <formula1>0</formula1>
      <formula2>100</formula2>
    </dataValidation>
    <dataValidation type="decimal" allowBlank="1" showInputMessage="1" showErrorMessage="1" sqref="M131">
      <formula1>0</formula1>
      <formula2>100</formula2>
    </dataValidation>
    <dataValidation type="decimal" operator="greaterThanOrEqual" allowBlank="1" showInputMessage="1" showErrorMessage="1" sqref="I132">
      <formula1>0</formula1>
    </dataValidation>
    <dataValidation type="decimal" operator="greaterThanOrEqual" allowBlank="1" showInputMessage="1" showErrorMessage="1" sqref="J132">
      <formula1>0</formula1>
    </dataValidation>
    <dataValidation type="decimal" allowBlank="1" showInputMessage="1" showErrorMessage="1" sqref="L132">
      <formula1>0</formula1>
      <formula2>100</formula2>
    </dataValidation>
    <dataValidation type="decimal" allowBlank="1" showInputMessage="1" showErrorMessage="1" sqref="M132">
      <formula1>0</formula1>
      <formula2>100</formula2>
    </dataValidation>
    <dataValidation type="decimal" operator="greaterThanOrEqual" allowBlank="1" showInputMessage="1" showErrorMessage="1" sqref="I133">
      <formula1>0</formula1>
    </dataValidation>
    <dataValidation type="decimal" operator="greaterThanOrEqual" allowBlank="1" showInputMessage="1" showErrorMessage="1" sqref="J133">
      <formula1>0</formula1>
    </dataValidation>
    <dataValidation type="decimal" allowBlank="1" showInputMessage="1" showErrorMessage="1" sqref="L133">
      <formula1>0</formula1>
      <formula2>100</formula2>
    </dataValidation>
    <dataValidation type="decimal" allowBlank="1" showInputMessage="1" showErrorMessage="1" sqref="M133">
      <formula1>0</formula1>
      <formula2>100</formula2>
    </dataValidation>
    <dataValidation type="decimal" operator="greaterThanOrEqual" allowBlank="1" showInputMessage="1" showErrorMessage="1" sqref="I134">
      <formula1>0</formula1>
    </dataValidation>
    <dataValidation type="decimal" operator="greaterThanOrEqual" allowBlank="1" showInputMessage="1" showErrorMessage="1" sqref="J134">
      <formula1>0</formula1>
    </dataValidation>
    <dataValidation type="decimal" allowBlank="1" showInputMessage="1" showErrorMessage="1" sqref="L134">
      <formula1>0</formula1>
      <formula2>100</formula2>
    </dataValidation>
    <dataValidation type="decimal" allowBlank="1" showInputMessage="1" showErrorMessage="1" sqref="M134">
      <formula1>0</formula1>
      <formula2>100</formula2>
    </dataValidation>
    <dataValidation type="decimal" operator="greaterThanOrEqual" allowBlank="1" showInputMessage="1" showErrorMessage="1" sqref="I135">
      <formula1>0</formula1>
    </dataValidation>
    <dataValidation type="decimal" operator="greaterThanOrEqual" allowBlank="1" showInputMessage="1" showErrorMessage="1" sqref="J135">
      <formula1>0</formula1>
    </dataValidation>
    <dataValidation type="decimal" allowBlank="1" showInputMessage="1" showErrorMessage="1" sqref="L135">
      <formula1>0</formula1>
      <formula2>100</formula2>
    </dataValidation>
    <dataValidation type="decimal" allowBlank="1" showInputMessage="1" showErrorMessage="1" sqref="M135">
      <formula1>0</formula1>
      <formula2>100</formula2>
    </dataValidation>
    <dataValidation type="decimal" operator="greaterThanOrEqual" allowBlank="1" showInputMessage="1" showErrorMessage="1" sqref="I136">
      <formula1>0</formula1>
    </dataValidation>
    <dataValidation type="decimal" operator="greaterThanOrEqual" allowBlank="1" showInputMessage="1" showErrorMessage="1" sqref="J136">
      <formula1>0</formula1>
    </dataValidation>
    <dataValidation type="decimal" allowBlank="1" showInputMessage="1" showErrorMessage="1" sqref="L136">
      <formula1>0</formula1>
      <formula2>100</formula2>
    </dataValidation>
    <dataValidation type="decimal" allowBlank="1" showInputMessage="1" showErrorMessage="1" sqref="M136">
      <formula1>0</formula1>
      <formula2>100</formula2>
    </dataValidation>
    <dataValidation type="decimal" operator="greaterThanOrEqual" allowBlank="1" showInputMessage="1" showErrorMessage="1" sqref="I137">
      <formula1>0</formula1>
    </dataValidation>
    <dataValidation type="decimal" operator="greaterThanOrEqual" allowBlank="1" showInputMessage="1" showErrorMessage="1" sqref="J137">
      <formula1>0</formula1>
    </dataValidation>
    <dataValidation type="decimal" allowBlank="1" showInputMessage="1" showErrorMessage="1" sqref="L137">
      <formula1>0</formula1>
      <formula2>100</formula2>
    </dataValidation>
    <dataValidation type="decimal" allowBlank="1" showInputMessage="1" showErrorMessage="1" sqref="M137">
      <formula1>0</formula1>
      <formula2>100</formula2>
    </dataValidation>
    <dataValidation type="decimal" operator="greaterThanOrEqual" allowBlank="1" showInputMessage="1" showErrorMessage="1" sqref="I138">
      <formula1>0</formula1>
    </dataValidation>
    <dataValidation type="decimal" operator="greaterThanOrEqual" allowBlank="1" showInputMessage="1" showErrorMessage="1" sqref="J138">
      <formula1>0</formula1>
    </dataValidation>
    <dataValidation type="decimal" allowBlank="1" showInputMessage="1" showErrorMessage="1" sqref="L138">
      <formula1>0</formula1>
      <formula2>100</formula2>
    </dataValidation>
    <dataValidation type="decimal" allowBlank="1" showInputMessage="1" showErrorMessage="1" sqref="M138">
      <formula1>0</formula1>
      <formula2>100</formula2>
    </dataValidation>
    <dataValidation type="decimal" operator="greaterThanOrEqual" allowBlank="1" showInputMessage="1" showErrorMessage="1" sqref="I139">
      <formula1>0</formula1>
    </dataValidation>
    <dataValidation type="decimal" operator="greaterThanOrEqual" allowBlank="1" showInputMessage="1" showErrorMessage="1" sqref="J139">
      <formula1>0</formula1>
    </dataValidation>
    <dataValidation type="decimal" allowBlank="1" showInputMessage="1" showErrorMessage="1" sqref="L139">
      <formula1>0</formula1>
      <formula2>100</formula2>
    </dataValidation>
    <dataValidation type="decimal" allowBlank="1" showInputMessage="1" showErrorMessage="1" sqref="M139">
      <formula1>0</formula1>
      <formula2>100</formula2>
    </dataValidation>
    <dataValidation type="decimal" operator="greaterThanOrEqual" allowBlank="1" showInputMessage="1" showErrorMessage="1" sqref="I140">
      <formula1>0</formula1>
    </dataValidation>
    <dataValidation type="decimal" operator="greaterThanOrEqual" allowBlank="1" showInputMessage="1" showErrorMessage="1" sqref="J140">
      <formula1>0</formula1>
    </dataValidation>
    <dataValidation type="decimal" allowBlank="1" showInputMessage="1" showErrorMessage="1" sqref="L140">
      <formula1>0</formula1>
      <formula2>100</formula2>
    </dataValidation>
    <dataValidation type="decimal" allowBlank="1" showInputMessage="1" showErrorMessage="1" sqref="M140">
      <formula1>0</formula1>
      <formula2>100</formula2>
    </dataValidation>
    <dataValidation type="decimal" operator="greaterThanOrEqual" allowBlank="1" showInputMessage="1" showErrorMessage="1" sqref="I141">
      <formula1>0</formula1>
    </dataValidation>
    <dataValidation type="decimal" operator="greaterThanOrEqual" allowBlank="1" showInputMessage="1" showErrorMessage="1" sqref="J141">
      <formula1>0</formula1>
    </dataValidation>
    <dataValidation type="decimal" allowBlank="1" showInputMessage="1" showErrorMessage="1" sqref="L141">
      <formula1>0</formula1>
      <formula2>100</formula2>
    </dataValidation>
    <dataValidation type="decimal" allowBlank="1" showInputMessage="1" showErrorMessage="1" sqref="M141">
      <formula1>0</formula1>
      <formula2>100</formula2>
    </dataValidation>
    <dataValidation type="decimal" operator="greaterThanOrEqual" allowBlank="1" showInputMessage="1" showErrorMessage="1" sqref="I142">
      <formula1>0</formula1>
    </dataValidation>
    <dataValidation type="decimal" operator="greaterThanOrEqual" allowBlank="1" showInputMessage="1" showErrorMessage="1" sqref="J142">
      <formula1>0</formula1>
    </dataValidation>
    <dataValidation type="decimal" allowBlank="1" showInputMessage="1" showErrorMessage="1" sqref="L142">
      <formula1>0</formula1>
      <formula2>100</formula2>
    </dataValidation>
    <dataValidation type="decimal" allowBlank="1" showInputMessage="1" showErrorMessage="1" sqref="M142">
      <formula1>0</formula1>
      <formula2>100</formula2>
    </dataValidation>
    <dataValidation type="decimal" operator="greaterThanOrEqual" allowBlank="1" showInputMessage="1" showErrorMessage="1" sqref="I143">
      <formula1>0</formula1>
    </dataValidation>
    <dataValidation type="decimal" operator="greaterThanOrEqual" allowBlank="1" showInputMessage="1" showErrorMessage="1" sqref="J143">
      <formula1>0</formula1>
    </dataValidation>
    <dataValidation type="decimal" allowBlank="1" showInputMessage="1" showErrorMessage="1" sqref="L143">
      <formula1>0</formula1>
      <formula2>100</formula2>
    </dataValidation>
    <dataValidation type="decimal" allowBlank="1" showInputMessage="1" showErrorMessage="1" sqref="M143">
      <formula1>0</formula1>
      <formula2>100</formula2>
    </dataValidation>
    <dataValidation type="decimal" operator="greaterThanOrEqual" allowBlank="1" showInputMessage="1" showErrorMessage="1" sqref="I144">
      <formula1>0</formula1>
    </dataValidation>
    <dataValidation type="decimal" operator="greaterThanOrEqual" allowBlank="1" showInputMessage="1" showErrorMessage="1" sqref="J144">
      <formula1>0</formula1>
    </dataValidation>
    <dataValidation type="decimal" allowBlank="1" showInputMessage="1" showErrorMessage="1" sqref="L144">
      <formula1>0</formula1>
      <formula2>100</formula2>
    </dataValidation>
    <dataValidation type="decimal" allowBlank="1" showInputMessage="1" showErrorMessage="1" sqref="M144">
      <formula1>0</formula1>
      <formula2>100</formula2>
    </dataValidation>
    <dataValidation type="decimal" operator="greaterThanOrEqual" allowBlank="1" showInputMessage="1" showErrorMessage="1" sqref="I145">
      <formula1>0</formula1>
    </dataValidation>
    <dataValidation type="decimal" operator="greaterThanOrEqual" allowBlank="1" showInputMessage="1" showErrorMessage="1" sqref="J145">
      <formula1>0</formula1>
    </dataValidation>
    <dataValidation type="decimal" allowBlank="1" showInputMessage="1" showErrorMessage="1" sqref="L145">
      <formula1>0</formula1>
      <formula2>100</formula2>
    </dataValidation>
    <dataValidation type="decimal" allowBlank="1" showInputMessage="1" showErrorMessage="1" sqref="M145">
      <formula1>0</formula1>
      <formula2>100</formula2>
    </dataValidation>
    <dataValidation type="decimal" operator="greaterThanOrEqual" allowBlank="1" showInputMessage="1" showErrorMessage="1" sqref="I146">
      <formula1>0</formula1>
    </dataValidation>
    <dataValidation type="decimal" operator="greaterThanOrEqual" allowBlank="1" showInputMessage="1" showErrorMessage="1" sqref="J146">
      <formula1>0</formula1>
    </dataValidation>
    <dataValidation type="decimal" allowBlank="1" showInputMessage="1" showErrorMessage="1" sqref="L146">
      <formula1>0</formula1>
      <formula2>100</formula2>
    </dataValidation>
    <dataValidation type="decimal" allowBlank="1" showInputMessage="1" showErrorMessage="1" sqref="M146">
      <formula1>0</formula1>
      <formula2>100</formula2>
    </dataValidation>
    <dataValidation type="decimal" operator="greaterThanOrEqual" allowBlank="1" showInputMessage="1" showErrorMessage="1" sqref="I147">
      <formula1>0</formula1>
    </dataValidation>
    <dataValidation type="decimal" operator="greaterThanOrEqual" allowBlank="1" showInputMessage="1" showErrorMessage="1" sqref="J147">
      <formula1>0</formula1>
    </dataValidation>
    <dataValidation type="decimal" allowBlank="1" showInputMessage="1" showErrorMessage="1" sqref="L147">
      <formula1>0</formula1>
      <formula2>100</formula2>
    </dataValidation>
    <dataValidation type="decimal" allowBlank="1" showInputMessage="1" showErrorMessage="1" sqref="M147">
      <formula1>0</formula1>
      <formula2>100</formula2>
    </dataValidation>
    <dataValidation type="decimal" operator="greaterThanOrEqual" allowBlank="1" showInputMessage="1" showErrorMessage="1" sqref="I148">
      <formula1>0</formula1>
    </dataValidation>
    <dataValidation type="decimal" operator="greaterThanOrEqual" allowBlank="1" showInputMessage="1" showErrorMessage="1" sqref="J148">
      <formula1>0</formula1>
    </dataValidation>
    <dataValidation type="decimal" allowBlank="1" showInputMessage="1" showErrorMessage="1" sqref="L148">
      <formula1>0</formula1>
      <formula2>100</formula2>
    </dataValidation>
    <dataValidation type="decimal" allowBlank="1" showInputMessage="1" showErrorMessage="1" sqref="M148">
      <formula1>0</formula1>
      <formula2>100</formula2>
    </dataValidation>
    <dataValidation type="decimal" operator="greaterThanOrEqual" allowBlank="1" showInputMessage="1" showErrorMessage="1" sqref="I149">
      <formula1>0</formula1>
    </dataValidation>
    <dataValidation type="decimal" operator="greaterThanOrEqual" allowBlank="1" showInputMessage="1" showErrorMessage="1" sqref="J149">
      <formula1>0</formula1>
    </dataValidation>
    <dataValidation type="decimal" allowBlank="1" showInputMessage="1" showErrorMessage="1" sqref="L149">
      <formula1>0</formula1>
      <formula2>100</formula2>
    </dataValidation>
    <dataValidation type="decimal" allowBlank="1" showInputMessage="1" showErrorMessage="1" sqref="M149">
      <formula1>0</formula1>
      <formula2>100</formula2>
    </dataValidation>
    <dataValidation type="decimal" operator="greaterThanOrEqual" allowBlank="1" showInputMessage="1" showErrorMessage="1" sqref="I150">
      <formula1>0</formula1>
    </dataValidation>
    <dataValidation type="decimal" operator="greaterThanOrEqual" allowBlank="1" showInputMessage="1" showErrorMessage="1" sqref="J150">
      <formula1>0</formula1>
    </dataValidation>
    <dataValidation type="decimal" allowBlank="1" showInputMessage="1" showErrorMessage="1" sqref="L150">
      <formula1>0</formula1>
      <formula2>100</formula2>
    </dataValidation>
    <dataValidation type="decimal" allowBlank="1" showInputMessage="1" showErrorMessage="1" sqref="M150">
      <formula1>0</formula1>
      <formula2>100</formula2>
    </dataValidation>
    <dataValidation type="decimal" operator="greaterThanOrEqual" allowBlank="1" showInputMessage="1" showErrorMessage="1" sqref="I151">
      <formula1>0</formula1>
    </dataValidation>
    <dataValidation type="decimal" operator="greaterThanOrEqual" allowBlank="1" showInputMessage="1" showErrorMessage="1" sqref="J151">
      <formula1>0</formula1>
    </dataValidation>
    <dataValidation type="decimal" allowBlank="1" showInputMessage="1" showErrorMessage="1" sqref="L151">
      <formula1>0</formula1>
      <formula2>100</formula2>
    </dataValidation>
    <dataValidation type="decimal" allowBlank="1" showInputMessage="1" showErrorMessage="1" sqref="M151">
      <formula1>0</formula1>
      <formula2>100</formula2>
    </dataValidation>
    <dataValidation type="decimal" operator="greaterThanOrEqual" allowBlank="1" showInputMessage="1" showErrorMessage="1" sqref="I152">
      <formula1>0</formula1>
    </dataValidation>
    <dataValidation type="decimal" operator="greaterThanOrEqual" allowBlank="1" showInputMessage="1" showErrorMessage="1" sqref="J152">
      <formula1>0</formula1>
    </dataValidation>
    <dataValidation type="decimal" allowBlank="1" showInputMessage="1" showErrorMessage="1" sqref="L152">
      <formula1>0</formula1>
      <formula2>100</formula2>
    </dataValidation>
    <dataValidation type="decimal" allowBlank="1" showInputMessage="1" showErrorMessage="1" sqref="M152">
      <formula1>0</formula1>
      <formula2>100</formula2>
    </dataValidation>
    <dataValidation type="decimal" operator="greaterThanOrEqual" allowBlank="1" showInputMessage="1" showErrorMessage="1" sqref="I153">
      <formula1>0</formula1>
    </dataValidation>
    <dataValidation type="decimal" operator="greaterThanOrEqual" allowBlank="1" showInputMessage="1" showErrorMessage="1" sqref="J153">
      <formula1>0</formula1>
    </dataValidation>
    <dataValidation type="decimal" allowBlank="1" showInputMessage="1" showErrorMessage="1" sqref="L153">
      <formula1>0</formula1>
      <formula2>100</formula2>
    </dataValidation>
    <dataValidation type="decimal" allowBlank="1" showInputMessage="1" showErrorMessage="1" sqref="M153">
      <formula1>0</formula1>
      <formula2>100</formula2>
    </dataValidation>
    <dataValidation type="decimal" operator="greaterThanOrEqual" allowBlank="1" showInputMessage="1" showErrorMessage="1" sqref="I154">
      <formula1>0</formula1>
    </dataValidation>
    <dataValidation type="decimal" operator="greaterThanOrEqual" allowBlank="1" showInputMessage="1" showErrorMessage="1" sqref="J154">
      <formula1>0</formula1>
    </dataValidation>
    <dataValidation type="decimal" allowBlank="1" showInputMessage="1" showErrorMessage="1" sqref="L154">
      <formula1>0</formula1>
      <formula2>100</formula2>
    </dataValidation>
    <dataValidation type="decimal" allowBlank="1" showInputMessage="1" showErrorMessage="1" sqref="M154">
      <formula1>0</formula1>
      <formula2>100</formula2>
    </dataValidation>
    <dataValidation type="decimal" operator="greaterThanOrEqual" allowBlank="1" showInputMessage="1" showErrorMessage="1" sqref="I155">
      <formula1>0</formula1>
    </dataValidation>
    <dataValidation type="decimal" operator="greaterThanOrEqual" allowBlank="1" showInputMessage="1" showErrorMessage="1" sqref="J155">
      <formula1>0</formula1>
    </dataValidation>
    <dataValidation type="decimal" allowBlank="1" showInputMessage="1" showErrorMessage="1" sqref="L155">
      <formula1>0</formula1>
      <formula2>100</formula2>
    </dataValidation>
    <dataValidation type="decimal" allowBlank="1" showInputMessage="1" showErrorMessage="1" sqref="M155">
      <formula1>0</formula1>
      <formula2>100</formula2>
    </dataValidation>
    <dataValidation type="decimal" operator="greaterThanOrEqual" allowBlank="1" showInputMessage="1" showErrorMessage="1" sqref="I156">
      <formula1>0</formula1>
    </dataValidation>
    <dataValidation type="decimal" operator="greaterThanOrEqual" allowBlank="1" showInputMessage="1" showErrorMessage="1" sqref="J156">
      <formula1>0</formula1>
    </dataValidation>
    <dataValidation type="decimal" allowBlank="1" showInputMessage="1" showErrorMessage="1" sqref="L156">
      <formula1>0</formula1>
      <formula2>100</formula2>
    </dataValidation>
    <dataValidation type="decimal" allowBlank="1" showInputMessage="1" showErrorMessage="1" sqref="M156">
      <formula1>0</formula1>
      <formula2>100</formula2>
    </dataValidation>
    <dataValidation type="decimal" operator="greaterThanOrEqual" allowBlank="1" showInputMessage="1" showErrorMessage="1" sqref="I157">
      <formula1>0</formula1>
    </dataValidation>
    <dataValidation type="decimal" operator="greaterThanOrEqual" allowBlank="1" showInputMessage="1" showErrorMessage="1" sqref="J157">
      <formula1>0</formula1>
    </dataValidation>
    <dataValidation type="decimal" allowBlank="1" showInputMessage="1" showErrorMessage="1" sqref="L157">
      <formula1>0</formula1>
      <formula2>100</formula2>
    </dataValidation>
    <dataValidation type="decimal" allowBlank="1" showInputMessage="1" showErrorMessage="1" sqref="M157">
      <formula1>0</formula1>
      <formula2>100</formula2>
    </dataValidation>
    <dataValidation type="decimal" operator="greaterThanOrEqual" allowBlank="1" showInputMessage="1" showErrorMessage="1" sqref="I158">
      <formula1>0</formula1>
    </dataValidation>
    <dataValidation type="decimal" operator="greaterThanOrEqual" allowBlank="1" showInputMessage="1" showErrorMessage="1" sqref="J158">
      <formula1>0</formula1>
    </dataValidation>
    <dataValidation type="decimal" allowBlank="1" showInputMessage="1" showErrorMessage="1" sqref="L158">
      <formula1>0</formula1>
      <formula2>100</formula2>
    </dataValidation>
    <dataValidation type="decimal" allowBlank="1" showInputMessage="1" showErrorMessage="1" sqref="M158">
      <formula1>0</formula1>
      <formula2>100</formula2>
    </dataValidation>
    <dataValidation type="decimal" operator="greaterThanOrEqual" allowBlank="1" showInputMessage="1" showErrorMessage="1" sqref="I159">
      <formula1>0</formula1>
    </dataValidation>
    <dataValidation type="decimal" operator="greaterThanOrEqual" allowBlank="1" showInputMessage="1" showErrorMessage="1" sqref="J159">
      <formula1>0</formula1>
    </dataValidation>
    <dataValidation type="decimal" allowBlank="1" showInputMessage="1" showErrorMessage="1" sqref="L159">
      <formula1>0</formula1>
      <formula2>100</formula2>
    </dataValidation>
    <dataValidation type="decimal" allowBlank="1" showInputMessage="1" showErrorMessage="1" sqref="M159">
      <formula1>0</formula1>
      <formula2>100</formula2>
    </dataValidation>
    <dataValidation type="decimal" operator="greaterThanOrEqual" allowBlank="1" showInputMessage="1" showErrorMessage="1" sqref="I160">
      <formula1>0</formula1>
    </dataValidation>
    <dataValidation type="decimal" operator="greaterThanOrEqual" allowBlank="1" showInputMessage="1" showErrorMessage="1" sqref="J160">
      <formula1>0</formula1>
    </dataValidation>
    <dataValidation type="decimal" allowBlank="1" showInputMessage="1" showErrorMessage="1" sqref="L160">
      <formula1>0</formula1>
      <formula2>100</formula2>
    </dataValidation>
    <dataValidation type="decimal" allowBlank="1" showInputMessage="1" showErrorMessage="1" sqref="M160">
      <formula1>0</formula1>
      <formula2>100</formula2>
    </dataValidation>
    <dataValidation type="decimal" operator="greaterThanOrEqual" allowBlank="1" showInputMessage="1" showErrorMessage="1" sqref="I161">
      <formula1>0</formula1>
    </dataValidation>
    <dataValidation type="decimal" operator="greaterThanOrEqual" allowBlank="1" showInputMessage="1" showErrorMessage="1" sqref="J161">
      <formula1>0</formula1>
    </dataValidation>
    <dataValidation type="decimal" allowBlank="1" showInputMessage="1" showErrorMessage="1" sqref="L161">
      <formula1>0</formula1>
      <formula2>100</formula2>
    </dataValidation>
    <dataValidation type="decimal" allowBlank="1" showInputMessage="1" showErrorMessage="1" sqref="M161">
      <formula1>0</formula1>
      <formula2>100</formula2>
    </dataValidation>
    <dataValidation type="decimal" operator="greaterThanOrEqual" allowBlank="1" showInputMessage="1" showErrorMessage="1" sqref="I162">
      <formula1>0</formula1>
    </dataValidation>
    <dataValidation type="decimal" operator="greaterThanOrEqual" allowBlank="1" showInputMessage="1" showErrorMessage="1" sqref="J162">
      <formula1>0</formula1>
    </dataValidation>
    <dataValidation type="decimal" allowBlank="1" showInputMessage="1" showErrorMessage="1" sqref="L162">
      <formula1>0</formula1>
      <formula2>100</formula2>
    </dataValidation>
    <dataValidation type="decimal" allowBlank="1" showInputMessage="1" showErrorMessage="1" sqref="M162">
      <formula1>0</formula1>
      <formula2>100</formula2>
    </dataValidation>
    <dataValidation type="decimal" operator="greaterThanOrEqual" allowBlank="1" showInputMessage="1" showErrorMessage="1" sqref="I163">
      <formula1>0</formula1>
    </dataValidation>
    <dataValidation type="decimal" operator="greaterThanOrEqual" allowBlank="1" showInputMessage="1" showErrorMessage="1" sqref="J163">
      <formula1>0</formula1>
    </dataValidation>
    <dataValidation type="decimal" allowBlank="1" showInputMessage="1" showErrorMessage="1" sqref="L163">
      <formula1>0</formula1>
      <formula2>100</formula2>
    </dataValidation>
    <dataValidation type="decimal" allowBlank="1" showInputMessage="1" showErrorMessage="1" sqref="M163">
      <formula1>0</formula1>
      <formula2>100</formula2>
    </dataValidation>
    <dataValidation type="decimal" operator="greaterThanOrEqual" allowBlank="1" showInputMessage="1" showErrorMessage="1" sqref="I164">
      <formula1>0</formula1>
    </dataValidation>
    <dataValidation type="decimal" operator="greaterThanOrEqual" allowBlank="1" showInputMessage="1" showErrorMessage="1" sqref="J164">
      <formula1>0</formula1>
    </dataValidation>
    <dataValidation type="decimal" allowBlank="1" showInputMessage="1" showErrorMessage="1" sqref="L164">
      <formula1>0</formula1>
      <formula2>100</formula2>
    </dataValidation>
    <dataValidation type="decimal" allowBlank="1" showInputMessage="1" showErrorMessage="1" sqref="M164">
      <formula1>0</formula1>
      <formula2>100</formula2>
    </dataValidation>
    <dataValidation type="decimal" operator="greaterThanOrEqual" allowBlank="1" showInputMessage="1" showErrorMessage="1" sqref="I165">
      <formula1>0</formula1>
    </dataValidation>
    <dataValidation type="decimal" operator="greaterThanOrEqual" allowBlank="1" showInputMessage="1" showErrorMessage="1" sqref="J165">
      <formula1>0</formula1>
    </dataValidation>
    <dataValidation type="decimal" allowBlank="1" showInputMessage="1" showErrorMessage="1" sqref="L165">
      <formula1>0</formula1>
      <formula2>100</formula2>
    </dataValidation>
    <dataValidation type="decimal" allowBlank="1" showInputMessage="1" showErrorMessage="1" sqref="M165">
      <formula1>0</formula1>
      <formula2>100</formula2>
    </dataValidation>
    <dataValidation type="decimal" operator="greaterThanOrEqual" allowBlank="1" showInputMessage="1" showErrorMessage="1" sqref="I166">
      <formula1>0</formula1>
    </dataValidation>
    <dataValidation type="decimal" operator="greaterThanOrEqual" allowBlank="1" showInputMessage="1" showErrorMessage="1" sqref="J166">
      <formula1>0</formula1>
    </dataValidation>
    <dataValidation type="decimal" allowBlank="1" showInputMessage="1" showErrorMessage="1" sqref="L166">
      <formula1>0</formula1>
      <formula2>100</formula2>
    </dataValidation>
    <dataValidation type="decimal" allowBlank="1" showInputMessage="1" showErrorMessage="1" sqref="M166">
      <formula1>0</formula1>
      <formula2>100</formula2>
    </dataValidation>
    <dataValidation type="list" allowBlank="1" showInputMessage="1" showErrorMessage="1" sqref="C169:H169">
      <formula1>'MasterData'!$H$1:$H$14</formula1>
    </dataValidation>
    <dataValidation type="list" allowBlank="1" showInputMessage="1" showErrorMessage="1" sqref="C170:H170">
      <formula1>'MasterData'!$H$1:$H$14</formula1>
    </dataValidation>
    <dataValidation type="list" allowBlank="1" showInputMessage="1" showErrorMessage="1" sqref="C171:H171">
      <formula1>'MasterData'!$H$1:$H$14</formula1>
    </dataValidation>
    <dataValidation type="list" allowBlank="1" showInputMessage="1" showErrorMessage="1" sqref="C172:H172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221</v>
      </c>
      <c r="M1" s="300" t="s">
        <v>231</v>
      </c>
      <c r="N1" s="301" t="s">
        <v>0</v>
      </c>
      <c r="O1" s="162" t="s">
        <v>232</v>
      </c>
    </row>
    <row r="2" spans="7:15" ht="12.75">
      <c r="G2" s="162">
        <v>1001310</v>
      </c>
      <c r="H2" s="162" t="s">
        <v>222</v>
      </c>
      <c r="M2" s="300" t="s">
        <v>233</v>
      </c>
      <c r="N2" s="301">
        <v>1020731369</v>
      </c>
      <c r="O2" s="162" t="s">
        <v>234</v>
      </c>
    </row>
    <row r="3" spans="7:15" ht="12.75">
      <c r="G3" s="162">
        <v>1012729</v>
      </c>
      <c r="H3" s="162" t="s">
        <v>235</v>
      </c>
      <c r="M3" s="300" t="s">
        <v>236</v>
      </c>
      <c r="N3" s="301">
        <v>99990000434276</v>
      </c>
      <c r="O3" s="162" t="s">
        <v>237</v>
      </c>
    </row>
    <row r="4" spans="7:15" ht="12.75">
      <c r="G4" s="162">
        <v>1012730</v>
      </c>
      <c r="H4" s="162" t="s">
        <v>238</v>
      </c>
      <c r="M4" s="300" t="s">
        <v>239</v>
      </c>
      <c r="N4" s="301">
        <v>1021842042</v>
      </c>
      <c r="O4" s="162" t="s">
        <v>240</v>
      </c>
    </row>
    <row r="5" spans="7:15" ht="12.75">
      <c r="G5" s="162">
        <v>1012731</v>
      </c>
      <c r="H5" s="162" t="s">
        <v>241</v>
      </c>
      <c r="M5" s="300" t="s">
        <v>242</v>
      </c>
      <c r="N5" s="301"/>
      <c r="O5" s="162" t="s">
        <v>243</v>
      </c>
    </row>
    <row r="6" spans="7:15" ht="12.75">
      <c r="G6" s="162">
        <v>1012732</v>
      </c>
      <c r="H6" s="162" t="s">
        <v>244</v>
      </c>
      <c r="M6" s="300" t="s">
        <v>245</v>
      </c>
      <c r="N6" s="301" t="s">
        <v>246</v>
      </c>
      <c r="O6" s="162" t="s">
        <v>247</v>
      </c>
    </row>
    <row r="7" spans="7:15" ht="12.75">
      <c r="G7" s="162">
        <v>1012733</v>
      </c>
      <c r="H7" s="162" t="s">
        <v>248</v>
      </c>
      <c r="M7" s="300" t="s">
        <v>249</v>
      </c>
      <c r="N7" s="301">
        <v>0</v>
      </c>
      <c r="O7" s="162" t="s">
        <v>250</v>
      </c>
    </row>
    <row r="8" spans="7:15" ht="12.75">
      <c r="G8" s="162">
        <v>1012735</v>
      </c>
      <c r="H8" s="162" t="s">
        <v>251</v>
      </c>
      <c r="O8" s="162" t="s">
        <v>252</v>
      </c>
    </row>
    <row r="9" spans="7:15" ht="12.75">
      <c r="G9" s="162">
        <v>1012736</v>
      </c>
      <c r="H9" s="162" t="s">
        <v>253</v>
      </c>
      <c r="O9" s="162" t="s">
        <v>254</v>
      </c>
    </row>
    <row r="10" spans="7:15" ht="12.75">
      <c r="G10" s="162">
        <v>1012737</v>
      </c>
      <c r="H10" s="162" t="s">
        <v>255</v>
      </c>
      <c r="O10" s="162" t="s">
        <v>256</v>
      </c>
    </row>
    <row r="11" spans="7:15" ht="12.75">
      <c r="G11" s="162">
        <v>1012741</v>
      </c>
      <c r="H11" s="162" t="s">
        <v>257</v>
      </c>
      <c r="O11" s="162" t="s">
        <v>258</v>
      </c>
    </row>
    <row r="12" spans="7:15" ht="12.75">
      <c r="G12" s="162">
        <v>1012742</v>
      </c>
      <c r="H12" s="162" t="s">
        <v>259</v>
      </c>
      <c r="O12" s="162" t="s">
        <v>260</v>
      </c>
    </row>
    <row r="13" spans="7:15" ht="12.75">
      <c r="G13" s="162">
        <v>1012743</v>
      </c>
      <c r="H13" s="162" t="s">
        <v>261</v>
      </c>
      <c r="O13" s="162" t="s">
        <v>262</v>
      </c>
    </row>
    <row r="14" spans="7:15" ht="12.75">
      <c r="G14" s="162">
        <v>1012744</v>
      </c>
      <c r="H14" s="162" t="s">
        <v>263</v>
      </c>
      <c r="O14" s="162" t="s">
        <v>264</v>
      </c>
    </row>
    <row r="15" ht="12.75">
      <c r="O15" s="162" t="s">
        <v>265</v>
      </c>
    </row>
    <row r="16" ht="12.75">
      <c r="O16" s="162" t="s">
        <v>266</v>
      </c>
    </row>
    <row r="17" ht="12.75">
      <c r="O17" s="162" t="s">
        <v>267</v>
      </c>
    </row>
    <row r="18" ht="12.75">
      <c r="O18" s="162" t="s">
        <v>268</v>
      </c>
    </row>
    <row r="19" ht="12.75">
      <c r="O19" s="162" t="s">
        <v>269</v>
      </c>
    </row>
    <row r="20" ht="12.75">
      <c r="O20" s="162" t="s">
        <v>270</v>
      </c>
    </row>
    <row r="21" ht="12.75">
      <c r="O21" s="162" t="s">
        <v>271</v>
      </c>
    </row>
    <row r="22" ht="12.75">
      <c r="O22" s="162" t="s">
        <v>272</v>
      </c>
    </row>
    <row r="23" ht="12.75">
      <c r="O23" s="162" t="s">
        <v>273</v>
      </c>
    </row>
    <row r="24" ht="12.75">
      <c r="O24" s="162" t="s">
        <v>274</v>
      </c>
    </row>
    <row r="25" ht="12.75">
      <c r="O25" s="162" t="s">
        <v>275</v>
      </c>
    </row>
    <row r="26" ht="12.75">
      <c r="O26" s="162" t="s">
        <v>276</v>
      </c>
    </row>
    <row r="27" ht="12.75">
      <c r="O27" s="162" t="s">
        <v>277</v>
      </c>
    </row>
    <row r="28" ht="12.75">
      <c r="O28" s="162" t="s">
        <v>278</v>
      </c>
    </row>
    <row r="29" ht="12.75">
      <c r="O29" s="162" t="s">
        <v>279</v>
      </c>
    </row>
    <row r="30" ht="12.75">
      <c r="O30" s="162" t="s">
        <v>280</v>
      </c>
    </row>
    <row r="31" ht="12.75">
      <c r="O31" s="162" t="s">
        <v>281</v>
      </c>
    </row>
    <row r="32" ht="12.75">
      <c r="O32" s="162" t="s">
        <v>282</v>
      </c>
    </row>
    <row r="33" ht="12.75">
      <c r="O33" s="162" t="s">
        <v>283</v>
      </c>
    </row>
    <row r="34" ht="12.75">
      <c r="O34" s="162" t="s">
        <v>284</v>
      </c>
    </row>
    <row r="35" ht="12.75">
      <c r="O35" s="162" t="s">
        <v>285</v>
      </c>
    </row>
    <row r="36" ht="12.75">
      <c r="O36" s="162" t="s">
        <v>286</v>
      </c>
    </row>
    <row r="37" ht="12.75">
      <c r="O37" s="162" t="s">
        <v>287</v>
      </c>
    </row>
    <row r="38" ht="12.75">
      <c r="O38" s="162" t="s">
        <v>288</v>
      </c>
    </row>
    <row r="39" ht="12.75">
      <c r="O39" s="162" t="s">
        <v>289</v>
      </c>
    </row>
    <row r="40" ht="12.75">
      <c r="O40" s="162" t="s">
        <v>290</v>
      </c>
    </row>
    <row r="41" ht="12.75">
      <c r="O41" s="162" t="s">
        <v>291</v>
      </c>
    </row>
    <row r="42" ht="12.75">
      <c r="O42" s="162" t="s">
        <v>292</v>
      </c>
    </row>
    <row r="43" ht="12.75">
      <c r="O43" s="162" t="s">
        <v>293</v>
      </c>
    </row>
    <row r="44" ht="12.75">
      <c r="O44" s="162" t="s">
        <v>294</v>
      </c>
    </row>
    <row r="45" ht="12.75">
      <c r="O45" s="162" t="s">
        <v>295</v>
      </c>
    </row>
    <row r="46" ht="12.75">
      <c r="O46" s="162" t="s">
        <v>296</v>
      </c>
    </row>
    <row r="47" ht="12.75">
      <c r="O47" s="162" t="s">
        <v>297</v>
      </c>
    </row>
    <row r="48" ht="12.75">
      <c r="O48" s="162" t="s">
        <v>298</v>
      </c>
    </row>
    <row r="49" ht="12.75">
      <c r="O49" s="162" t="s">
        <v>299</v>
      </c>
    </row>
    <row r="50" ht="12.75">
      <c r="O50" s="162" t="s">
        <v>300</v>
      </c>
    </row>
    <row r="51" ht="12.75">
      <c r="O51" s="162" t="s">
        <v>301</v>
      </c>
    </row>
    <row r="52" ht="12.75">
      <c r="O52" s="162" t="s">
        <v>302</v>
      </c>
    </row>
    <row r="53" ht="12.75">
      <c r="O53" s="162" t="s">
        <v>303</v>
      </c>
    </row>
    <row r="54" ht="12.75">
      <c r="O54" s="162" t="s">
        <v>304</v>
      </c>
    </row>
    <row r="55" ht="12.75">
      <c r="O55" s="162" t="s">
        <v>305</v>
      </c>
    </row>
    <row r="56" ht="12.75">
      <c r="O56" s="162" t="s">
        <v>306</v>
      </c>
    </row>
    <row r="57" ht="12.75">
      <c r="O57" s="162" t="s">
        <v>307</v>
      </c>
    </row>
    <row r="58" ht="12.75">
      <c r="O58" s="162" t="s">
        <v>308</v>
      </c>
    </row>
    <row r="59" ht="12.75">
      <c r="O59" s="162" t="s">
        <v>309</v>
      </c>
    </row>
    <row r="60" ht="12.75">
      <c r="O60" s="162" t="s">
        <v>310</v>
      </c>
    </row>
    <row r="61" ht="12.75">
      <c r="O61" s="162" t="s">
        <v>311</v>
      </c>
    </row>
    <row r="62" ht="12.75">
      <c r="O62" s="162" t="s">
        <v>312</v>
      </c>
    </row>
    <row r="63" ht="12.75">
      <c r="O63" s="162" t="s">
        <v>313</v>
      </c>
    </row>
    <row r="64" ht="12.75">
      <c r="O64" s="162" t="s">
        <v>314</v>
      </c>
    </row>
    <row r="65" ht="12.75">
      <c r="O65" s="162" t="s">
        <v>315</v>
      </c>
    </row>
    <row r="66" ht="12.75">
      <c r="O66" s="162" t="s">
        <v>316</v>
      </c>
    </row>
    <row r="67" ht="12.75">
      <c r="O67" s="162" t="s">
        <v>317</v>
      </c>
    </row>
    <row r="68" ht="12.75">
      <c r="O68" s="162" t="s">
        <v>318</v>
      </c>
    </row>
    <row r="69" ht="12.75">
      <c r="O69" s="162" t="s">
        <v>319</v>
      </c>
    </row>
    <row r="70" ht="12.75">
      <c r="O70" s="162" t="s">
        <v>320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