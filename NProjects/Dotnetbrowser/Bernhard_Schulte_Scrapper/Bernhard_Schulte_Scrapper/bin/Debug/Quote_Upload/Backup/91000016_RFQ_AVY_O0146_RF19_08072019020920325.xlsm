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Quote!$A$1:$R$89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Quote!$A$70</definedName>
    <definedName name="Enquiry_To_Vendor_ID" comment="Enquiry to Vendor ID">Quote!$C$70</definedName>
    <definedName name="GrandTotal">Quote!$N$69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Quote!$A$62</definedName>
    <definedName name="ItemListStartupRow" comment="Item List Start Up Row">Quote!$A$19</definedName>
    <definedName name="ItemSubTotal">Quote!$N$68</definedName>
    <definedName name="ItemSubTotalTitle">Quote!$J$68</definedName>
    <definedName name="LeadDay">Quote!$M$11</definedName>
    <definedName name="Lock">Quote!$M$70</definedName>
    <definedName name="LoggedInEmailID">Quote!$N$70</definedName>
    <definedName name="LoggedInPwd">Quote!$O$70</definedName>
    <definedName name="OtherCharges">Quote!$C$64</definedName>
    <definedName name="OtherChargesLastRow">Quote!$A$68</definedName>
    <definedName name="OtherChargesStartRow">Quote!$A$63</definedName>
    <definedName name="Port">Quote!$P$70</definedName>
    <definedName name="PortOfDelivery" comment="Port of Delivery">Quote!$M$9</definedName>
    <definedName name="PurchaserName">Quote!$J$70</definedName>
    <definedName name="QuoteBefore">Quote!$M$8</definedName>
    <definedName name="QuoteID">MasterData!$N$7</definedName>
    <definedName name="QuoteSubject">Quote!$E$70</definedName>
    <definedName name="Remarks">Quote!$E$72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Quote!$K$70</definedName>
    <definedName name="SentIndex">Quote!$L$70</definedName>
    <definedName name="Server">Quote!$Q$70</definedName>
    <definedName name="Terms">Quote!$A$76:$T$97</definedName>
    <definedName name="ToEmailID">Quote!$I$70</definedName>
    <definedName name="ToEmailPwd">Quote!$H$70</definedName>
    <definedName name="VAL">Quote!$F$70</definedName>
    <definedName name="VAT_All">Quote!$M$16</definedName>
    <definedName name="Vendor_ID" comment="Vendor ID">Quote!$B$70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Quote!$D$70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Quote!$E$73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</definedName>
  </definedNames>
  <calcPr fullCalcOnLoad="1"/>
</workbook>
</file>

<file path=xl/sharedStrings.xml><?xml version="1.0" encoding="utf-8"?>
<sst xmlns="http://schemas.openxmlformats.org/spreadsheetml/2006/main" count="338" uniqueCount="240">
  <si>
    <t>RFQ</t>
  </si>
  <si>
    <t>Request for Quote</t>
  </si>
  <si>
    <t>Invoice To</t>
  </si>
  <si>
    <t>Bernhard Schulte Shipmanagement (Hong Kong) Limited Partnership
Invoice To: MASTER &amp; OWNER OF INTERLINK ACTIVITY
REGD. OWNER : ACTIVITY MARITIME LLC.
BERNHARD SCHULTE SHIPMANGEMENT (HONG KONG) LTD. PARTNERSHIP
(AS AGENTS ONLY)
2602, K WAH CENTRE, 191 JAVA ROAD,
NORTH POINT, HONG KONG
TEL: +852 2561 8838
FAX: +852 2561 8803
E-mail : hk-smc-invoices@bs-shipmanagement.com</t>
  </si>
  <si>
    <t>Vessel</t>
  </si>
  <si>
    <t>Interlink Activity</t>
  </si>
  <si>
    <t>RFQ No.</t>
  </si>
  <si>
    <t>AVY/O0146/RF19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</si>
  <si>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</si>
  <si>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</si>
  <si>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</si>
  <si>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</si>
  <si>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</si>
  <si>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</si>
  <si>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</si>
  <si>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</si>
  <si>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</si>
  <si>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</si>
  <si>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</si>
  <si>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</si>
  <si>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</si>
  <si>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</si>
  <si>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</si>
  <si>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</si>
  <si>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</si>
  <si>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</si>
  <si>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</si>
  <si>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</si>
  <si>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</si>
  <si>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</si>
  <si>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</si>
  <si>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</si>
  <si>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</si>
  <si>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</si>
  <si>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</si>
  <si>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</si>
  <si>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</si>
  <si>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</si>
  <si>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</si>
  <si>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</si>
  <si>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ATHLETE'S FOOT OINTMENT 30GRM Used in treating fungal infections of the skin.  For external use only.</t>
  </si>
  <si>
    <t>TUB</t>
  </si>
  <si>
    <t>ONDANSETRON TABLET 4 MG To prevent vomiting.  To prevent seasickness
Caution : Scopolamine treatment causes sedation, See remarks on page 347</t>
  </si>
  <si>
    <t>BTL</t>
  </si>
  <si>
    <t>MICONAZOLE NITRATE 2% VAGINAL, CREAM IN 80GM CONTAINER To treat fungal skin infections.  If women on board, supply also Miconazole vaginal cream.</t>
  </si>
  <si>
    <t>PCS</t>
  </si>
  <si>
    <t>MEBENDAZOLE TABLET 100 MG To treat intestinal worm infections not effective for tapeworm infection or hydatid disease</t>
  </si>
  <si>
    <t>MISOPROSTOL TABLET 200 MICRO G To prevent post-partum haemorrhage.  If women on board</t>
  </si>
  <si>
    <t>METRONIDAZOLE TABLET 500 MG To treat infections responsive to antibiotics</t>
  </si>
  <si>
    <t>HYDROCORTISONE OINTMENT 1%, 30GRM TUBE To treat allergy and some other inflammatory skin conditions.</t>
  </si>
  <si>
    <t>ETHANOL 70% LIQUID 500ML To disinfect instruments and surfaces</t>
  </si>
  <si>
    <t>CONDOM (PROPHYLACTIC RUBBER), 12'S Condoms, assorted sizes</t>
  </si>
  <si>
    <t>PKT</t>
  </si>
  <si>
    <t>CHLORPYRIFOS-METHYL 7-10G/L, SPRAY  To use against cockroaches in other areas than food storage and preparation area.</t>
  </si>
  <si>
    <t>OXYMETAZOLINE 0.5%, (OR EQUIVALENT)  To treat nasal obstruction due to allergies or viral infection.  To improve sinus drainage in sinusitis</t>
  </si>
  <si>
    <t>DOCUSATE WITH SENNA TABLET, 50MG + 8MG To avoid straining in patients with anal fissure and haemorrhoids.  To prevent constipation caused by opioid use</t>
  </si>
  <si>
    <t>ACETYLSALICYLIC ACID TABLET, 300MG  High dose (600-900 mg); to reduce pain, fever, inflammation.  Low dose (100-150 mg); to inhibit formation of blood clots in angi</t>
  </si>
  <si>
    <t>SUTURE BUTTERFLY Butterfly sutures</t>
  </si>
  <si>
    <t>SYRINGE LUER CONNECTION 10 ML, STERILE DISPOSABLE Equipment for injection,</t>
  </si>
  <si>
    <t>GLOVES SURGICAL STERILE, SIZE 6.5 Gloves (sterile)</t>
  </si>
  <si>
    <t>SET</t>
  </si>
  <si>
    <t>AMOXICILLIN + CALVULANATE, TABLET 875 MG / 125 MG To treat infections responsive to this antibiotic</t>
  </si>
  <si>
    <t>COTTON TIP (APPLICATOR) 100PCS Sterilized long double-tip swabs.  Contains 75 tips per box.</t>
  </si>
  <si>
    <t>BAND-AID 150PCS 2X7.5CM Contains 50 pieces of three assorted sizes per tin.  Also available in a tin of 150 bandages of one size.  Specify when ordering</t>
  </si>
  <si>
    <t>BOX</t>
  </si>
  <si>
    <t>TETANUS IMMUNE HUMAN GLOBULIN, 250 UNITS VIAL Part of wound care if state of vaccination is unknown.</t>
  </si>
  <si>
    <t>SODIUM CHLORIDE 0.9% INFUSION, 10ML For sterile eye bathing and application of wet compresses.</t>
  </si>
  <si>
    <t>SALBUTAMOL AEROSOL INHALER, UNIT To treat asthma.  To treat chronic bronchitis.  To treat emphysema.  To treat other lung diseases</t>
  </si>
  <si>
    <t>SOFT PARAFFIN (VASELINE) 50GRM To treat chapped skin.  See page 212, 261 for lubricating rectal thermometer</t>
  </si>
  <si>
    <t>JAR</t>
  </si>
  <si>
    <t>PROVIDONE IODINE SOLUTION 10%, 30 TO 120ML To disinfect skin and wounds.</t>
  </si>
  <si>
    <t>PARACETAMOL TABLET 500MG  To reduce pain and fever (but not inflammation)</t>
  </si>
  <si>
    <t>SCOPOLAMIN TRANSDERMAL, PATCH To prevent vomiting.  To prevent seasickness
Caution : Scopolamine treatment causes sedation, See remarks on page 347</t>
  </si>
  <si>
    <t>CETRIZINE TABLET 10MG  To treat allergy symptoms in hay fever, hives, allergic dermatitis, etc.</t>
  </si>
  <si>
    <t>CEFTRIAXONE AMPOULE 1 G, POWDER FOR INJECTION  To treat infections responsive to this antibiotic</t>
  </si>
  <si>
    <t>AZITHROMYCIN TABLET 500 MG To treat infections responsive to this antibiotics</t>
  </si>
  <si>
    <t>VITAMIN K AMPOULE 1 ML = 10 MG To reverse excessive or unwanted effects of warfarin or related drugs.</t>
  </si>
  <si>
    <t>MIDAZOLAM AMPOULE 1 ML, (= 5 MG)  To terminate epileptic fits.</t>
  </si>
  <si>
    <t>LIGNOCAINE 1% (WITHOUT, ADRENALINE) AMPOULE 5ML  For local anaesthesia when suturing wounds or performing minor surgery.</t>
  </si>
  <si>
    <t>HALOPERIDOL AMPOULE, 1 ML = 5 MG  To treat psychotic hallucinations and delusions.  To treat severe agitation and aggressiveness</t>
  </si>
  <si>
    <t>DEXAMETHASONE AMPOULE 4 MG/ML To treat life-threatening and severe asthma.  To treat anaphylaxis.  To treat severe allergic reactions</t>
  </si>
  <si>
    <t>ATROPINE AMPOULE 1.2 MG/ML To treat slow heart rate in myocardial infarction.  To treat organophosphate insecticide poisoning</t>
  </si>
  <si>
    <t>ARTEMETHER + LUMEFANTRINE, TABLETS 20 MG + 120 MG Treatment of malaria.  Required only for voyages to areas where malaria transmission is a risk.</t>
  </si>
  <si>
    <t>CHLORPYRIFOS 5G/L IN BAIT, STATIONS OR GELS  To use against cockroaches in food storage and preparation area.</t>
  </si>
  <si>
    <t>DISINFECTANT SOL. F/MEDICAL, INST. 1000ML 3% AQUEOUS PHENOL For disinfection of used instruments* and thermometers.   *Caution: All items entering the skin or are in direct contact with mu</t>
  </si>
  <si>
    <t>WATER DISINFECTION SET INCL, MEASURE KIT To disinfect portable water tanks with chlorine effectively</t>
  </si>
  <si>
    <t>FIRST AID SATCHEL, D.T.I. SCALE 1A COMPLETE Furnishable in accordance with DTI requirements.</t>
  </si>
  <si>
    <t>COLD CAPSULE "CONTAC-600", 20CAP For common colds and acute rhinitis.</t>
  </si>
  <si>
    <t>DIARRHOEA TABLET 40TAB For the treatment and relief of diarrhoea.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</si>
  <si>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</si>
  <si>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</si>
  <si>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</si>
  <si>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</si>
  <si>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</si>
  <si>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</si>
  <si>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</si>
  <si>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</si>
  <si>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</si>
  <si>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</si>
  <si>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</si>
  <si>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</si>
  <si>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</si>
  <si>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</si>
  <si>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</si>
  <si>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</si>
  <si>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</si>
  <si>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</si>
  <si>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</si>
  <si>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</si>
  <si>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</si>
  <si>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</si>
  <si>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</si>
  <si>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</si>
  <si>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</si>
  <si>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</si>
  <si>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</si>
  <si>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</si>
  <si>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</si>
  <si>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</si>
  <si>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</si>
  <si>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</si>
  <si>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</si>
  <si>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</si>
  <si>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</si>
  <si>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</si>
  <si>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</si>
  <si>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</si>
  <si>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</si>
  <si>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</si>
  <si>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</si>
  <si>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</si>
  <si>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</si>
  <si>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</si>
  <si>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</si>
  <si>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</si>
  <si>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</si>
  <si>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</si>
  <si>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</si>
  <si>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</si>
  <si>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</si>
  <si>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</si>
  <si>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</si>
  <si>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</si>
  <si>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</si>
  <si>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</si>
  <si>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</si>
  <si>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</si>
  <si>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</si>
  <si>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</si>
  <si>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</si>
  <si>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</si>
  <si>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</si>
  <si>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</si>
  <si>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</si>
  <si>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</si>
  <si>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</si>
  <si>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</si>
  <si>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</si>
  <si>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</si>
  <si>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</si>
  <si>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</si>
  <si>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</si>
  <si>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</si>
  <si>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</si>
  <si>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</si>
  <si>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</si>
  <si>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</si>
  <si>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</si>
  <si>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</si>
  <si>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</si>
  <si>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</si>
  <si>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</si>
  <si>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</si>
  <si>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</si>
  <si>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</si>
  <si>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</si>
  <si>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</si>
  <si>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</si>
  <si>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</si>
  <si>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</si>
  <si>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</si>
  <si>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</si>
  <si>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</si>
  <si>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</si>
  <si>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</si>
  <si>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</si>
  <si>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</si>
  <si>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</si>
  <si>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</si>
  <si>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</si>
  <si>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</si>
  <si>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</si>
  <si>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</si>
  <si>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</si>
  <si>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</si>
  <si>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</si>
  <si>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T-SQ-190701861</t>
  </si>
  <si>
    <t>OFFER MICONAZOLE CREAM 2% 15GM</t>
  </si>
  <si>
    <t>OFFER ONDANSETRON TABLETS 4MG 5'S |  QTY : 2 | UOM : PKT</t>
  </si>
  <si>
    <t>OFFER CLOTRIMAZOLE 2% VAGINAL GEL 30G |  QTY : 4 | UOM : TUB</t>
  </si>
  <si>
    <t>OFFER MEBENDAZOLE TABLETS 100MG 6'S |  QTY : 8 | UOM : STRIP</t>
  </si>
  <si>
    <t>OFFER CYTOTEC 200MCG TABLET (MISOPROSTOL) |  QTY : 3 | UOM : TAB</t>
  </si>
  <si>
    <t>OFFER METRONIDAZOLE TABLET 200MG 30'S |  QTY : 3 | UOM : PKT</t>
  </si>
  <si>
    <t>OFFER BETAMETHASONE CREAM 0.1% 15G |  QTY : 2 | UOM : TUB</t>
  </si>
  <si>
    <t>OFFER RUBBING ALCOHOL 70% 500ML
~~DANGEROUS CARGO!</t>
  </si>
  <si>
    <t>OFFER CONDOM 12'S</t>
  </si>
  <si>
    <t>OFFER INSECTICIDE SPRAY 600ML
~~DANGEROUS CARGO |  QTY : 10 | UOM : CAN</t>
  </si>
  <si>
    <t>OFFER OXYMETAZOLINE NASAL SPRAY 0.05% 200DOSES</t>
  </si>
  <si>
    <t>OFFER SENNA TABLET 7.5MG 10'S |  QTY : 4 | UOM : PKT</t>
  </si>
  <si>
    <t>OFFER ASPIRIN TABLET 300MG 100'S</t>
  </si>
  <si>
    <t>OFFER 3M STERISTRIPS R1546 6MMX100MM 10'S |  QTY : 5 | UOM : PKT</t>
  </si>
  <si>
    <t>OFFER DISPOSABLE SYRINGE 10ML</t>
  </si>
  <si>
    <t>OFFER STERILE LATEX GLOVES SIZE 6.5 PER PAIR |  QTY : 6 | UOM : PKT</t>
  </si>
  <si>
    <t>OFFER AMOXYCILLIN 500MG + CLAVULANIC ACID 125MG TAB |  QTY : 80 | UOM : TAB</t>
  </si>
  <si>
    <t>OFFER COTTON TIP APPLICATOR 6" 100'S</t>
  </si>
  <si>
    <t>OFFER FIRST AID PLASTER 19MM X 72MM 100'S</t>
  </si>
  <si>
    <t>OFFER TETANUS HUMAN IMMUNO GLOBULIN 250IU/ML 1ML
~~COLD ITEM!!  STORAGE IN 2-8°C.</t>
  </si>
  <si>
    <t>OFFER SODIUM CHLORIDE INJECTION 0.9% 10ML |  QTY : 2 | UOM : PCS</t>
  </si>
  <si>
    <t>OFFER SALBUTAMOL INHALER 100MCG 200 DOSES
~~DANGEROUS CARGO!</t>
  </si>
  <si>
    <t>OFFER PETROLEUM JELLY 50G (SOFT PARAFFIN)</t>
  </si>
  <si>
    <t>OFFER IODINE SOLUTION 60ML |  QTY : 2 | UOM : BOX</t>
  </si>
  <si>
    <t xml:space="preserve"> QTY : 100 | UOM : TAB</t>
  </si>
  <si>
    <t>OFFER ONDANSETRON TABLETS 4MG 1'S |  QTY : 10 | UOM : TAB</t>
  </si>
  <si>
    <t>OFFER CETIRIZINE 10MG TABLET 30'S |  QTY : 2 | UOM : PKT</t>
  </si>
  <si>
    <t>OFFER CEFTRIAXONE INJECTION 1G WITH WATER FOR INJ |  QTY : 45 | UOM : PCS</t>
  </si>
  <si>
    <t>OFFER AZITHROMYCIN TABLETS 500MG 3'S |  QTY : 4 | UOM : BOX</t>
  </si>
  <si>
    <t>OFFER VITAMIN K INJECTION 10MG/ML  ??SO MANY?? |  QTY : 40 | UOM : PCS</t>
  </si>
  <si>
    <t>OFFER MIDAZOLAM 5MG/ML INJECTION
~~CONTROLLED / PSYCHOTROPIC DRUG! NOT PERMITTED TO SEND TO OTHER COUNTRIES.                                                
~~KEEP UNDER MASTER'S LOCK AND KEY! |  QTY : 10 | UOM : PCS</t>
  </si>
  <si>
    <t>OFFER LIGNOCAINE INJECTION 1% 2ML |  QTY : 10 | UOM : AMP</t>
  </si>
  <si>
    <t>OFFER HALOPERIDOL INJECTION 5MG/ML |  QTY : 10 | UOM : AMP</t>
  </si>
  <si>
    <t>OFFER DEXAMETHASONE INJECTION 5MG/ML |  QTY : 5 | UOM : PCS</t>
  </si>
  <si>
    <t>OFFER ATROPINE SULPHATE 0.6MG/ML INJECTION |  QTY : 10 | UOM : AMP</t>
  </si>
  <si>
    <t>OFFER ARTEMETHER 80MG + LUMEFANTRIN 480MG TAB 24'S |  QTY : 4 | UOM : BOX</t>
  </si>
  <si>
    <t>OFFER HOYHOY COCKROACH TRAP DISPOSABLE 5'S  ??SO MANY??</t>
  </si>
  <si>
    <t>OFFER CHLORHEXIDIEN 1.5% + CETRIMIDE 15% 500ML</t>
  </si>
  <si>
    <t>OFFER WATER DISINFECTANT SET</t>
  </si>
  <si>
    <t>OFFER FIRST AID SATCHEL</t>
  </si>
  <si>
    <t>OFFER BEAFLU-PLUS TABLET 20'S</t>
  </si>
  <si>
    <t>OFFER LOPERAMIDE CAPSULE 2MG 40'S |  QTY : 2 | UOM : PKT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</si>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</sst>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9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43661.50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196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99990010835243</v>
      </c>
      <c r="C20" s="227">
        <v>390196</v>
      </c>
      <c r="D20" s="228" t="s">
        <v>40</v>
      </c>
      <c r="E20" s="229"/>
      <c r="F20" s="229">
        <v>390196</v>
      </c>
      <c r="G20" s="229" t="s">
        <v>41</v>
      </c>
      <c r="H20" s="230">
        <v>0</v>
      </c>
      <c r="I20" s="231">
        <v>10</v>
      </c>
      <c r="J20" s="232">
        <v>2.5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197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99990010835040</v>
      </c>
      <c r="C21" s="227">
        <v>391740</v>
      </c>
      <c r="D21" s="228" t="s">
        <v>42</v>
      </c>
      <c r="E21" s="229"/>
      <c r="F21" s="229">
        <v>391740</v>
      </c>
      <c r="G21" s="229" t="s">
        <v>43</v>
      </c>
      <c r="H21" s="230">
        <v>0</v>
      </c>
      <c r="I21" s="231">
        <v>2</v>
      </c>
      <c r="J21" s="232">
        <v>4.25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198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99990010835033</v>
      </c>
      <c r="C22" s="227">
        <v>390652</v>
      </c>
      <c r="D22" s="228" t="s">
        <v>44</v>
      </c>
      <c r="E22" s="229"/>
      <c r="F22" s="229">
        <v>390652</v>
      </c>
      <c r="G22" s="229" t="s">
        <v>45</v>
      </c>
      <c r="H22" s="230">
        <v>0</v>
      </c>
      <c r="I22" s="231">
        <v>4</v>
      </c>
      <c r="J22" s="232">
        <v>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199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99990010835030</v>
      </c>
      <c r="C23" s="227">
        <v>391730</v>
      </c>
      <c r="D23" s="228" t="s">
        <v>46</v>
      </c>
      <c r="E23" s="229"/>
      <c r="F23" s="229">
        <v>391730</v>
      </c>
      <c r="G23" s="229" t="s">
        <v>43</v>
      </c>
      <c r="H23" s="230">
        <v>0</v>
      </c>
      <c r="I23" s="231">
        <v>8</v>
      </c>
      <c r="J23" s="232">
        <v>1.25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200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99990010835035</v>
      </c>
      <c r="C24" s="227">
        <v>391735</v>
      </c>
      <c r="D24" s="228" t="s">
        <v>47</v>
      </c>
      <c r="E24" s="229"/>
      <c r="F24" s="229">
        <v>391735</v>
      </c>
      <c r="G24" s="229" t="s">
        <v>43</v>
      </c>
      <c r="H24" s="230">
        <v>0</v>
      </c>
      <c r="I24" s="231">
        <v>3</v>
      </c>
      <c r="J24" s="232">
        <v>3.15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201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99990010835032</v>
      </c>
      <c r="C25" s="227">
        <v>391732</v>
      </c>
      <c r="D25" s="228" t="s">
        <v>48</v>
      </c>
      <c r="E25" s="229"/>
      <c r="F25" s="229">
        <v>391732</v>
      </c>
      <c r="G25" s="229" t="s">
        <v>43</v>
      </c>
      <c r="H25" s="230">
        <v>0</v>
      </c>
      <c r="I25" s="231">
        <v>3</v>
      </c>
      <c r="J25" s="232">
        <v>1.7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202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99990010835024</v>
      </c>
      <c r="C26" s="227">
        <v>390644</v>
      </c>
      <c r="D26" s="228" t="s">
        <v>49</v>
      </c>
      <c r="E26" s="229"/>
      <c r="F26" s="229">
        <v>390644</v>
      </c>
      <c r="G26" s="229" t="s">
        <v>45</v>
      </c>
      <c r="H26" s="230">
        <v>0</v>
      </c>
      <c r="I26" s="231">
        <v>2</v>
      </c>
      <c r="J26" s="232">
        <v>3.4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203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99990010835019</v>
      </c>
      <c r="C27" s="227">
        <v>391720</v>
      </c>
      <c r="D27" s="228" t="s">
        <v>50</v>
      </c>
      <c r="E27" s="229"/>
      <c r="F27" s="229">
        <v>391720</v>
      </c>
      <c r="G27" s="229" t="s">
        <v>43</v>
      </c>
      <c r="H27" s="230">
        <v>0</v>
      </c>
      <c r="I27" s="231">
        <v>2</v>
      </c>
      <c r="J27" s="232">
        <v>4.45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204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99990010835162</v>
      </c>
      <c r="C28" s="227">
        <v>391226</v>
      </c>
      <c r="D28" s="228" t="s">
        <v>51</v>
      </c>
      <c r="E28" s="229"/>
      <c r="F28" s="229">
        <v>391226</v>
      </c>
      <c r="G28" s="229" t="s">
        <v>52</v>
      </c>
      <c r="H28" s="230">
        <v>0</v>
      </c>
      <c r="I28" s="231">
        <v>12</v>
      </c>
      <c r="J28" s="232">
        <v>4.05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205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99990010835181</v>
      </c>
      <c r="C29" s="227">
        <v>391948</v>
      </c>
      <c r="D29" s="228" t="s">
        <v>53</v>
      </c>
      <c r="E29" s="229"/>
      <c r="F29" s="229">
        <v>391948</v>
      </c>
      <c r="G29" s="229" t="s">
        <v>45</v>
      </c>
      <c r="H29" s="230">
        <v>0</v>
      </c>
      <c r="I29" s="231">
        <v>10</v>
      </c>
      <c r="J29" s="232">
        <v>7.3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206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99990010835043</v>
      </c>
      <c r="C30" s="227">
        <v>391742</v>
      </c>
      <c r="D30" s="228" t="s">
        <v>54</v>
      </c>
      <c r="E30" s="229"/>
      <c r="F30" s="229">
        <v>391742</v>
      </c>
      <c r="G30" s="229" t="s">
        <v>43</v>
      </c>
      <c r="H30" s="230">
        <v>0</v>
      </c>
      <c r="I30" s="231">
        <v>6</v>
      </c>
      <c r="J30" s="232">
        <v>4.3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207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99990010835016</v>
      </c>
      <c r="C31" s="227">
        <v>391717</v>
      </c>
      <c r="D31" s="228" t="s">
        <v>55</v>
      </c>
      <c r="E31" s="229"/>
      <c r="F31" s="229">
        <v>391717</v>
      </c>
      <c r="G31" s="229" t="s">
        <v>43</v>
      </c>
      <c r="H31" s="230">
        <v>0</v>
      </c>
      <c r="I31" s="231">
        <v>4</v>
      </c>
      <c r="J31" s="232">
        <v>0.6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208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99990010834999</v>
      </c>
      <c r="C32" s="227">
        <v>391701</v>
      </c>
      <c r="D32" s="228" t="s">
        <v>56</v>
      </c>
      <c r="E32" s="229"/>
      <c r="F32" s="229">
        <v>391701</v>
      </c>
      <c r="G32" s="229" t="s">
        <v>43</v>
      </c>
      <c r="H32" s="230">
        <v>0</v>
      </c>
      <c r="I32" s="231">
        <v>2</v>
      </c>
      <c r="J32" s="232">
        <v>3.4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209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99990010835093</v>
      </c>
      <c r="C33" s="227">
        <v>391826</v>
      </c>
      <c r="D33" s="228" t="s">
        <v>57</v>
      </c>
      <c r="E33" s="229"/>
      <c r="F33" s="229">
        <v>391826</v>
      </c>
      <c r="G33" s="229" t="s">
        <v>45</v>
      </c>
      <c r="H33" s="230">
        <v>0</v>
      </c>
      <c r="I33" s="231">
        <v>50</v>
      </c>
      <c r="J33" s="232">
        <v>0.61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210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99990010835135</v>
      </c>
      <c r="C34" s="227">
        <v>391893</v>
      </c>
      <c r="D34" s="228" t="s">
        <v>58</v>
      </c>
      <c r="E34" s="229"/>
      <c r="F34" s="229">
        <v>391893</v>
      </c>
      <c r="G34" s="229" t="s">
        <v>45</v>
      </c>
      <c r="H34" s="230">
        <v>0</v>
      </c>
      <c r="I34" s="231">
        <v>20</v>
      </c>
      <c r="J34" s="232">
        <v>0.45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211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99990010835100</v>
      </c>
      <c r="C35" s="227">
        <v>391831</v>
      </c>
      <c r="D35" s="228" t="s">
        <v>59</v>
      </c>
      <c r="E35" s="229"/>
      <c r="F35" s="229">
        <v>391831</v>
      </c>
      <c r="G35" s="229" t="s">
        <v>60</v>
      </c>
      <c r="H35" s="230">
        <v>0</v>
      </c>
      <c r="I35" s="231">
        <v>6</v>
      </c>
      <c r="J35" s="232">
        <v>0.85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212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99990010835003</v>
      </c>
      <c r="C36" s="227">
        <v>391705</v>
      </c>
      <c r="D36" s="228" t="s">
        <v>61</v>
      </c>
      <c r="E36" s="229"/>
      <c r="F36" s="229">
        <v>391705</v>
      </c>
      <c r="G36" s="229" t="s">
        <v>43</v>
      </c>
      <c r="H36" s="230">
        <v>0</v>
      </c>
      <c r="I36" s="231">
        <v>8</v>
      </c>
      <c r="J36" s="232">
        <v>7.5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213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99990010835692</v>
      </c>
      <c r="C37" s="227">
        <v>391045</v>
      </c>
      <c r="D37" s="228" t="s">
        <v>62</v>
      </c>
      <c r="E37" s="229"/>
      <c r="F37" s="229">
        <v>391045</v>
      </c>
      <c r="G37" s="229" t="s">
        <v>52</v>
      </c>
      <c r="H37" s="230">
        <v>0</v>
      </c>
      <c r="I37" s="231">
        <v>3</v>
      </c>
      <c r="J37" s="232">
        <v>2.85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214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99990010835688</v>
      </c>
      <c r="C38" s="227">
        <v>391032</v>
      </c>
      <c r="D38" s="228" t="s">
        <v>63</v>
      </c>
      <c r="E38" s="229"/>
      <c r="F38" s="229">
        <v>391032</v>
      </c>
      <c r="G38" s="229" t="s">
        <v>64</v>
      </c>
      <c r="H38" s="230">
        <v>0</v>
      </c>
      <c r="I38" s="231">
        <v>1</v>
      </c>
      <c r="J38" s="232">
        <v>3.4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215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99990010835056</v>
      </c>
      <c r="C39" s="227">
        <v>390678</v>
      </c>
      <c r="D39" s="228" t="s">
        <v>65</v>
      </c>
      <c r="E39" s="229"/>
      <c r="F39" s="229">
        <v>390678</v>
      </c>
      <c r="G39" s="229" t="s">
        <v>45</v>
      </c>
      <c r="H39" s="230">
        <v>0</v>
      </c>
      <c r="I39" s="231">
        <v>1</v>
      </c>
      <c r="J39" s="232">
        <v>44.9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216</v>
      </c>
      <c r="Q39" s="236"/>
      <c r="R39" s="237"/>
      <c r="S39" s="238"/>
      <c r="T39" s="239"/>
    </row>
    <row r="40" spans="1:20" ht="24" customHeight="1">
      <c r="A40" s="226">
        <v>21</v>
      </c>
      <c r="B40" s="226">
        <v>99990010835054</v>
      </c>
      <c r="C40" s="227">
        <v>390674</v>
      </c>
      <c r="D40" s="228" t="s">
        <v>66</v>
      </c>
      <c r="E40" s="229"/>
      <c r="F40" s="229">
        <v>390674</v>
      </c>
      <c r="G40" s="229" t="s">
        <v>43</v>
      </c>
      <c r="H40" s="230">
        <v>0</v>
      </c>
      <c r="I40" s="231">
        <v>2</v>
      </c>
      <c r="J40" s="232">
        <v>0.45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217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99990010835051</v>
      </c>
      <c r="C41" s="227">
        <v>390672</v>
      </c>
      <c r="D41" s="228" t="s">
        <v>67</v>
      </c>
      <c r="E41" s="229"/>
      <c r="F41" s="229">
        <v>390672</v>
      </c>
      <c r="G41" s="229" t="s">
        <v>45</v>
      </c>
      <c r="H41" s="230">
        <v>0</v>
      </c>
      <c r="I41" s="231">
        <v>3</v>
      </c>
      <c r="J41" s="232">
        <v>4.5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218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99990010835050</v>
      </c>
      <c r="C42" s="227">
        <v>390472</v>
      </c>
      <c r="D42" s="228" t="s">
        <v>68</v>
      </c>
      <c r="E42" s="229"/>
      <c r="F42" s="229">
        <v>390472</v>
      </c>
      <c r="G42" s="229" t="s">
        <v>69</v>
      </c>
      <c r="H42" s="230">
        <v>0</v>
      </c>
      <c r="I42" s="231">
        <v>4</v>
      </c>
      <c r="J42" s="232">
        <v>1.7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219</v>
      </c>
      <c r="Q42" s="236"/>
      <c r="R42" s="237"/>
      <c r="S42" s="238"/>
      <c r="T42" s="239"/>
    </row>
    <row r="43" spans="1:20" ht="24" customHeight="1">
      <c r="A43" s="226">
        <v>24</v>
      </c>
      <c r="B43" s="226">
        <v>99990010835048</v>
      </c>
      <c r="C43" s="227">
        <v>391748</v>
      </c>
      <c r="D43" s="228" t="s">
        <v>70</v>
      </c>
      <c r="E43" s="229"/>
      <c r="F43" s="229">
        <v>391748</v>
      </c>
      <c r="G43" s="229" t="s">
        <v>43</v>
      </c>
      <c r="H43" s="230">
        <v>0</v>
      </c>
      <c r="I43" s="231">
        <v>2</v>
      </c>
      <c r="J43" s="232">
        <v>1.7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220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99990010835044</v>
      </c>
      <c r="C44" s="227">
        <v>390660</v>
      </c>
      <c r="D44" s="228" t="s">
        <v>71</v>
      </c>
      <c r="E44" s="229"/>
      <c r="F44" s="229">
        <v>390660</v>
      </c>
      <c r="G44" s="229" t="s">
        <v>45</v>
      </c>
      <c r="H44" s="230">
        <v>0</v>
      </c>
      <c r="I44" s="231">
        <v>100</v>
      </c>
      <c r="J44" s="232">
        <v>0.05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221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99990010835041</v>
      </c>
      <c r="C45" s="227">
        <v>391741</v>
      </c>
      <c r="D45" s="228" t="s">
        <v>72</v>
      </c>
      <c r="E45" s="229"/>
      <c r="F45" s="229">
        <v>391741</v>
      </c>
      <c r="G45" s="229" t="s">
        <v>45</v>
      </c>
      <c r="H45" s="230">
        <v>0</v>
      </c>
      <c r="I45" s="231">
        <v>10</v>
      </c>
      <c r="J45" s="232">
        <v>0.85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222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99990010835010</v>
      </c>
      <c r="C46" s="227">
        <v>391711</v>
      </c>
      <c r="D46" s="228" t="s">
        <v>73</v>
      </c>
      <c r="E46" s="229"/>
      <c r="F46" s="229">
        <v>391711</v>
      </c>
      <c r="G46" s="229" t="s">
        <v>43</v>
      </c>
      <c r="H46" s="230">
        <v>0</v>
      </c>
      <c r="I46" s="231">
        <v>2</v>
      </c>
      <c r="J46" s="232">
        <v>3.7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223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99990010835009</v>
      </c>
      <c r="C47" s="227">
        <v>391710</v>
      </c>
      <c r="D47" s="228" t="s">
        <v>74</v>
      </c>
      <c r="E47" s="229"/>
      <c r="F47" s="229">
        <v>391710</v>
      </c>
      <c r="G47" s="229" t="s">
        <v>43</v>
      </c>
      <c r="H47" s="230">
        <v>0</v>
      </c>
      <c r="I47" s="231">
        <v>45</v>
      </c>
      <c r="J47" s="232">
        <v>4.5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224</v>
      </c>
      <c r="Q47" s="236"/>
      <c r="R47" s="237"/>
      <c r="S47" s="238"/>
      <c r="T47" s="239"/>
    </row>
    <row r="48" spans="1:20" ht="24" customHeight="1">
      <c r="A48" s="226">
        <v>29</v>
      </c>
      <c r="B48" s="226">
        <v>99990010835008</v>
      </c>
      <c r="C48" s="227">
        <v>391709</v>
      </c>
      <c r="D48" s="228" t="s">
        <v>75</v>
      </c>
      <c r="E48" s="229"/>
      <c r="F48" s="229">
        <v>391709</v>
      </c>
      <c r="G48" s="229" t="s">
        <v>43</v>
      </c>
      <c r="H48" s="230">
        <v>0</v>
      </c>
      <c r="I48" s="231">
        <v>4</v>
      </c>
      <c r="J48" s="232">
        <v>3.05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225</v>
      </c>
      <c r="Q48" s="236"/>
      <c r="R48" s="237"/>
      <c r="S48" s="238"/>
      <c r="T48" s="239"/>
    </row>
    <row r="49" spans="1:20" ht="24" customHeight="1">
      <c r="A49" s="226">
        <v>30</v>
      </c>
      <c r="B49" s="226">
        <v>99990010835059</v>
      </c>
      <c r="C49" s="227">
        <v>391751</v>
      </c>
      <c r="D49" s="228" t="s">
        <v>76</v>
      </c>
      <c r="E49" s="229"/>
      <c r="F49" s="229">
        <v>391751</v>
      </c>
      <c r="G49" s="229" t="s">
        <v>43</v>
      </c>
      <c r="H49" s="230">
        <v>0</v>
      </c>
      <c r="I49" s="231">
        <v>40</v>
      </c>
      <c r="J49" s="232">
        <v>3.95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226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99990010835034</v>
      </c>
      <c r="C50" s="227">
        <v>391734</v>
      </c>
      <c r="D50" s="228" t="s">
        <v>77</v>
      </c>
      <c r="E50" s="229"/>
      <c r="F50" s="229">
        <v>391734</v>
      </c>
      <c r="G50" s="229" t="s">
        <v>43</v>
      </c>
      <c r="H50" s="230">
        <v>0</v>
      </c>
      <c r="I50" s="231">
        <v>10</v>
      </c>
      <c r="J50" s="232">
        <v>2.5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 t="s">
        <v>227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99990010835028</v>
      </c>
      <c r="C51" s="227">
        <v>391728</v>
      </c>
      <c r="D51" s="228" t="s">
        <v>78</v>
      </c>
      <c r="E51" s="229"/>
      <c r="F51" s="229">
        <v>391728</v>
      </c>
      <c r="G51" s="229" t="s">
        <v>43</v>
      </c>
      <c r="H51" s="230">
        <v>0</v>
      </c>
      <c r="I51" s="231">
        <v>10</v>
      </c>
      <c r="J51" s="232">
        <v>1.35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 t="s">
        <v>228</v>
      </c>
      <c r="Q51" s="236"/>
      <c r="R51" s="237"/>
      <c r="S51" s="238"/>
      <c r="T51" s="239"/>
    </row>
    <row r="52" spans="1:20" ht="24" customHeight="1">
      <c r="A52" s="226">
        <v>33</v>
      </c>
      <c r="B52" s="226">
        <v>99990010835023</v>
      </c>
      <c r="C52" s="227">
        <v>391724</v>
      </c>
      <c r="D52" s="228" t="s">
        <v>79</v>
      </c>
      <c r="E52" s="229"/>
      <c r="F52" s="229">
        <v>391724</v>
      </c>
      <c r="G52" s="229" t="s">
        <v>43</v>
      </c>
      <c r="H52" s="230">
        <v>0</v>
      </c>
      <c r="I52" s="231">
        <v>10</v>
      </c>
      <c r="J52" s="232">
        <v>1.85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229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99990010835014</v>
      </c>
      <c r="C53" s="227">
        <v>391715</v>
      </c>
      <c r="D53" s="228" t="s">
        <v>80</v>
      </c>
      <c r="E53" s="229"/>
      <c r="F53" s="229">
        <v>391715</v>
      </c>
      <c r="G53" s="229" t="s">
        <v>43</v>
      </c>
      <c r="H53" s="230">
        <v>0</v>
      </c>
      <c r="I53" s="231">
        <v>5</v>
      </c>
      <c r="J53" s="232">
        <v>1.8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 t="s">
        <v>230</v>
      </c>
      <c r="Q53" s="236"/>
      <c r="R53" s="237"/>
      <c r="S53" s="238"/>
      <c r="T53" s="239"/>
    </row>
    <row r="54" spans="1:20" ht="24" customHeight="1">
      <c r="A54" s="226">
        <v>35</v>
      </c>
      <c r="B54" s="226">
        <v>99990010835007</v>
      </c>
      <c r="C54" s="227">
        <v>391708</v>
      </c>
      <c r="D54" s="228" t="s">
        <v>81</v>
      </c>
      <c r="E54" s="229"/>
      <c r="F54" s="229">
        <v>391708</v>
      </c>
      <c r="G54" s="229" t="s">
        <v>43</v>
      </c>
      <c r="H54" s="230">
        <v>0</v>
      </c>
      <c r="I54" s="231">
        <v>10</v>
      </c>
      <c r="J54" s="232">
        <v>0.7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231</v>
      </c>
      <c r="Q54" s="236"/>
      <c r="R54" s="237"/>
      <c r="S54" s="238"/>
      <c r="T54" s="239"/>
    </row>
    <row r="55" spans="1:20" ht="24" customHeight="1">
      <c r="A55" s="226">
        <v>36</v>
      </c>
      <c r="B55" s="226">
        <v>99990010835006</v>
      </c>
      <c r="C55" s="227">
        <v>391707</v>
      </c>
      <c r="D55" s="228" t="s">
        <v>82</v>
      </c>
      <c r="E55" s="229"/>
      <c r="F55" s="229">
        <v>391707</v>
      </c>
      <c r="G55" s="229" t="s">
        <v>43</v>
      </c>
      <c r="H55" s="230">
        <v>0</v>
      </c>
      <c r="I55" s="231">
        <v>4</v>
      </c>
      <c r="J55" s="232">
        <v>16.2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 t="s">
        <v>232</v>
      </c>
      <c r="Q55" s="236"/>
      <c r="R55" s="237"/>
      <c r="S55" s="238"/>
      <c r="T55" s="239"/>
    </row>
    <row r="56" spans="1:20" ht="24" customHeight="1">
      <c r="A56" s="226">
        <v>37</v>
      </c>
      <c r="B56" s="226">
        <v>99990010835180</v>
      </c>
      <c r="C56" s="227">
        <v>391947</v>
      </c>
      <c r="D56" s="228" t="s">
        <v>83</v>
      </c>
      <c r="E56" s="229"/>
      <c r="F56" s="229">
        <v>391947</v>
      </c>
      <c r="G56" s="229" t="s">
        <v>45</v>
      </c>
      <c r="H56" s="230">
        <v>0</v>
      </c>
      <c r="I56" s="231">
        <v>20</v>
      </c>
      <c r="J56" s="232">
        <v>9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233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99990010835177</v>
      </c>
      <c r="C57" s="227">
        <v>391952</v>
      </c>
      <c r="D57" s="228" t="s">
        <v>84</v>
      </c>
      <c r="E57" s="229"/>
      <c r="F57" s="229">
        <v>391952</v>
      </c>
      <c r="G57" s="229" t="s">
        <v>43</v>
      </c>
      <c r="H57" s="230">
        <v>0</v>
      </c>
      <c r="I57" s="231">
        <v>1</v>
      </c>
      <c r="J57" s="232">
        <v>11.25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 t="s">
        <v>234</v>
      </c>
      <c r="Q57" s="236"/>
      <c r="R57" s="237"/>
      <c r="S57" s="238"/>
      <c r="T57" s="239"/>
    </row>
    <row r="58" spans="1:20" ht="24" customHeight="1">
      <c r="A58" s="226">
        <v>39</v>
      </c>
      <c r="B58" s="226">
        <v>99990010835176</v>
      </c>
      <c r="C58" s="227">
        <v>391930</v>
      </c>
      <c r="D58" s="228" t="s">
        <v>85</v>
      </c>
      <c r="E58" s="229"/>
      <c r="F58" s="229">
        <v>391930</v>
      </c>
      <c r="G58" s="229" t="s">
        <v>60</v>
      </c>
      <c r="H58" s="230">
        <v>0</v>
      </c>
      <c r="I58" s="231">
        <v>1</v>
      </c>
      <c r="J58" s="232">
        <v>134.7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 t="s">
        <v>235</v>
      </c>
      <c r="Q58" s="236"/>
      <c r="R58" s="237"/>
      <c r="S58" s="238"/>
      <c r="T58" s="239"/>
    </row>
    <row r="59" spans="1:20" ht="24" customHeight="1">
      <c r="A59" s="226">
        <v>40</v>
      </c>
      <c r="B59" s="226">
        <v>99990010835706</v>
      </c>
      <c r="C59" s="227">
        <v>391092</v>
      </c>
      <c r="D59" s="228" t="s">
        <v>86</v>
      </c>
      <c r="E59" s="229"/>
      <c r="F59" s="229">
        <v>391092</v>
      </c>
      <c r="G59" s="229" t="s">
        <v>60</v>
      </c>
      <c r="H59" s="230">
        <v>0</v>
      </c>
      <c r="I59" s="231">
        <v>1</v>
      </c>
      <c r="J59" s="232">
        <v>35.35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 t="s">
        <v>236</v>
      </c>
      <c r="Q59" s="236"/>
      <c r="R59" s="237"/>
      <c r="S59" s="238"/>
      <c r="T59" s="239"/>
    </row>
    <row r="60" spans="1:20" ht="24" customHeight="1">
      <c r="A60" s="226">
        <v>41</v>
      </c>
      <c r="B60" s="226">
        <v>99990010835585</v>
      </c>
      <c r="C60" s="227">
        <v>390243</v>
      </c>
      <c r="D60" s="228" t="s">
        <v>87</v>
      </c>
      <c r="E60" s="229"/>
      <c r="F60" s="229">
        <v>390243</v>
      </c>
      <c r="G60" s="229" t="s">
        <v>52</v>
      </c>
      <c r="H60" s="230">
        <v>0</v>
      </c>
      <c r="I60" s="231">
        <v>2</v>
      </c>
      <c r="J60" s="232">
        <v>1.35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 t="s">
        <v>237</v>
      </c>
      <c r="Q60" s="236"/>
      <c r="R60" s="237"/>
      <c r="S60" s="238"/>
      <c r="T60" s="239"/>
    </row>
    <row r="61" spans="1:20" ht="24" customHeight="1">
      <c r="A61" s="226">
        <v>42</v>
      </c>
      <c r="B61" s="226">
        <v>99990010835598</v>
      </c>
      <c r="C61" s="227">
        <v>390282</v>
      </c>
      <c r="D61" s="228" t="s">
        <v>88</v>
      </c>
      <c r="E61" s="229"/>
      <c r="F61" s="229">
        <v>390282</v>
      </c>
      <c r="G61" s="229" t="s">
        <v>43</v>
      </c>
      <c r="H61" s="230">
        <v>0</v>
      </c>
      <c r="I61" s="231">
        <v>2</v>
      </c>
      <c r="J61" s="232">
        <v>2.7</v>
      </c>
      <c r="K61" s="233"/>
      <c r="L61" s="231" t="s">
        <v>23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238</v>
      </c>
      <c r="Q61" s="236"/>
      <c r="R61" s="237"/>
      <c r="S61" s="238"/>
      <c r="T61" s="239"/>
    </row>
    <row r="62" spans="1:20" ht="15" customHeight="1">
      <c r="A62" s="32"/>
      <c r="B62" s="295"/>
      <c r="C62" s="296"/>
      <c r="D62" s="296"/>
      <c r="E62" s="296"/>
      <c r="F62" s="296"/>
      <c r="G62" s="296"/>
      <c r="H62" s="297"/>
      <c r="I62" s="297"/>
      <c r="J62" s="297"/>
      <c r="K62" s="297"/>
      <c r="L62" s="297"/>
      <c r="M62" s="297"/>
      <c r="N62" s="297"/>
      <c r="O62" s="297"/>
      <c r="P62" s="297"/>
      <c r="Q62" s="297"/>
      <c r="R62" s="297"/>
      <c r="S62" s="297"/>
      <c r="T62" s="298"/>
    </row>
    <row r="63" spans="1:20" ht="12.75" customHeight="1">
      <c r="A63" s="289" t="s">
        <v>28</v>
      </c>
      <c r="B63" s="289"/>
      <c r="C63" s="290" t="s">
        <v>89</v>
      </c>
      <c r="D63" s="291"/>
      <c r="E63" s="291"/>
      <c r="F63" s="291"/>
      <c r="G63" s="291"/>
      <c r="H63" s="291"/>
      <c r="I63" s="292"/>
      <c r="J63" s="292" t="s">
        <v>90</v>
      </c>
      <c r="K63" s="292"/>
      <c r="L63" s="292" t="s">
        <v>35</v>
      </c>
      <c r="M63" s="292" t="s">
        <v>36</v>
      </c>
      <c r="N63" s="293" t="s">
        <v>91</v>
      </c>
      <c r="O63" s="294" t="s">
        <v>38</v>
      </c>
      <c r="P63" s="294"/>
      <c r="Q63" s="294"/>
      <c r="R63" s="294"/>
      <c r="S63" s="294"/>
      <c r="T63" s="225"/>
    </row>
    <row r="64" spans="1:20" ht="15" customHeight="1">
      <c r="A64" s="269">
        <v>1</v>
      </c>
      <c r="B64" s="270"/>
      <c r="C64" s="271" t="s">
        <v>92</v>
      </c>
      <c r="D64" s="272" t="s">
        <v>92</v>
      </c>
      <c r="E64" s="272" t="s">
        <v>92</v>
      </c>
      <c r="F64" s="272" t="s">
        <v>92</v>
      </c>
      <c r="G64" s="272" t="s">
        <v>92</v>
      </c>
      <c r="H64" s="273" t="s">
        <v>92</v>
      </c>
      <c r="I64" s="274"/>
      <c r="J64" s="275">
        <v>0</v>
      </c>
      <c r="K64" s="276"/>
      <c r="L64" s="277">
        <v>0</v>
      </c>
      <c r="M64" s="277">
        <v>0</v>
      </c>
      <c r="N64" s="285">
        <f>(J64-(J64*L64/100)+((J64-(J64*L64/100))*M64/100))</f>
      </c>
      <c r="O64" s="286"/>
      <c r="P64" s="287"/>
      <c r="Q64" s="287"/>
      <c r="R64" s="287"/>
      <c r="S64" s="288"/>
      <c r="T64" s="283"/>
    </row>
    <row r="65" spans="1:20" ht="15" customHeight="1">
      <c r="A65" s="269">
        <v>2</v>
      </c>
      <c r="B65" s="270"/>
      <c r="C65" s="271" t="s">
        <v>93</v>
      </c>
      <c r="D65" s="272" t="s">
        <v>93</v>
      </c>
      <c r="E65" s="272" t="s">
        <v>93</v>
      </c>
      <c r="F65" s="272" t="s">
        <v>93</v>
      </c>
      <c r="G65" s="272" t="s">
        <v>93</v>
      </c>
      <c r="H65" s="273" t="s">
        <v>93</v>
      </c>
      <c r="I65" s="284"/>
      <c r="J65" s="275">
        <v>0</v>
      </c>
      <c r="K65" s="276"/>
      <c r="L65" s="277">
        <v>0</v>
      </c>
      <c r="M65" s="277">
        <v>0</v>
      </c>
      <c r="N65" s="279">
        <f>(J65-(J65*L65/100)+((J65-(J65*L65/100))*M65/100))</f>
      </c>
      <c r="O65" s="280"/>
      <c r="P65" s="281"/>
      <c r="Q65" s="281"/>
      <c r="R65" s="281"/>
      <c r="S65" s="282"/>
      <c r="T65" s="283"/>
    </row>
    <row r="66" spans="1:20" ht="15" customHeight="1">
      <c r="A66" s="269">
        <v>3</v>
      </c>
      <c r="B66" s="270"/>
      <c r="C66" s="271"/>
      <c r="D66" s="272"/>
      <c r="E66" s="272"/>
      <c r="F66" s="272"/>
      <c r="G66" s="272"/>
      <c r="H66" s="273"/>
      <c r="I66" s="274"/>
      <c r="J66" s="275">
        <v>0</v>
      </c>
      <c r="K66" s="276"/>
      <c r="L66" s="277">
        <v>0</v>
      </c>
      <c r="M66" s="277">
        <v>0</v>
      </c>
      <c r="N66" s="279">
        <f>(J66-(J66*L66/100)+((J66-(J66*L66/100))*M66/100))</f>
      </c>
      <c r="O66" s="280"/>
      <c r="P66" s="281"/>
      <c r="Q66" s="281"/>
      <c r="R66" s="281"/>
      <c r="S66" s="282"/>
      <c r="T66" s="283"/>
    </row>
    <row r="67" spans="1:20" ht="15.75" customHeight="1">
      <c r="A67" s="269">
        <v>4</v>
      </c>
      <c r="B67" s="270"/>
      <c r="C67" s="271"/>
      <c r="D67" s="272"/>
      <c r="E67" s="272"/>
      <c r="F67" s="272"/>
      <c r="G67" s="272"/>
      <c r="H67" s="273"/>
      <c r="I67" s="274"/>
      <c r="J67" s="275">
        <v>0</v>
      </c>
      <c r="K67" s="276"/>
      <c r="L67" s="277">
        <v>0</v>
      </c>
      <c r="M67" s="278">
        <v>0</v>
      </c>
      <c r="N67" s="279">
        <f>(J67-(J67*L67/100)+((J67-(J67*L67/100))*M67/100))</f>
      </c>
      <c r="O67" s="280"/>
      <c r="P67" s="281"/>
      <c r="Q67" s="281"/>
      <c r="R67" s="281"/>
      <c r="S67" s="282"/>
      <c r="T67" s="283"/>
    </row>
    <row r="68" spans="1:16" ht="15.95" customHeight="1">
      <c r="A68" s="247"/>
      <c r="B68" s="247"/>
      <c r="C68" s="248"/>
      <c r="D68" s="248"/>
      <c r="I68" s="163"/>
      <c r="J68" s="58" t="s">
        <v>94</v>
      </c>
      <c r="K68" s="59"/>
      <c r="L68" s="58"/>
      <c r="M68" s="59"/>
      <c r="N68" s="264">
        <f>SUM(ItmPrice)</f>
      </c>
      <c r="O68" s="267"/>
      <c r="P68" s="268"/>
    </row>
    <row r="69" spans="1:16" ht="15" customHeight="1">
      <c r="A69" s="247"/>
      <c r="B69" s="247"/>
      <c r="C69" s="248"/>
      <c r="D69" s="248"/>
      <c r="I69" s="163"/>
      <c r="J69" s="123" t="s">
        <v>95</v>
      </c>
      <c r="K69" s="124"/>
      <c r="L69" s="124"/>
      <c r="M69" s="125"/>
      <c r="N69" s="264">
        <f>SUM(N64:N68)</f>
      </c>
      <c r="O69" s="265"/>
      <c r="P69" s="266"/>
    </row>
    <row r="70" spans="1:19" ht="2.25" customHeight="1" hidden="1">
      <c r="A70" s="258">
        <v>0</v>
      </c>
      <c r="B70" s="258">
        <v>0</v>
      </c>
      <c r="C70" s="259">
        <v>0</v>
      </c>
      <c r="D70" s="248"/>
      <c r="E70" s="248"/>
      <c r="F70" s="260">
        <v>1</v>
      </c>
      <c r="G70" s="248"/>
      <c r="H70" s="248"/>
      <c r="I70" s="248"/>
      <c r="J70" s="248"/>
      <c r="K70" s="261"/>
      <c r="L70" s="262">
        <v>0</v>
      </c>
      <c r="M70" s="263">
        <v>0</v>
      </c>
      <c r="N70" s="162" t="s">
        <v>96</v>
      </c>
      <c r="O70" s="257"/>
      <c r="P70" s="263">
        <v>995</v>
      </c>
      <c r="Q70" s="248" t="s">
        <v>97</v>
      </c>
      <c r="R70" s="248"/>
      <c r="S70" s="248"/>
    </row>
    <row r="71" spans="1:19" ht="18.75" customHeight="1">
      <c r="A71" s="247"/>
      <c r="B71" s="247"/>
      <c r="C71" s="247"/>
      <c r="H71" s="257"/>
      <c r="I71" s="163"/>
      <c r="J71" s="248"/>
      <c r="K71" s="248"/>
      <c r="L71" s="248"/>
      <c r="M71" s="248"/>
      <c r="N71" s="248"/>
      <c r="O71" s="248"/>
      <c r="P71" s="248"/>
      <c r="R71" s="248"/>
      <c r="S71" s="248"/>
    </row>
    <row r="72" spans="1:20" ht="127.5" customHeight="1">
      <c r="A72" s="249" t="s">
        <v>98</v>
      </c>
      <c r="B72" s="249"/>
      <c r="C72" s="249"/>
      <c r="D72" s="250"/>
      <c r="E72" s="254"/>
      <c r="F72" s="255"/>
      <c r="G72" s="255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5"/>
      <c r="T72" s="256"/>
    </row>
    <row r="73" spans="1:20" ht="129.75" customHeight="1">
      <c r="A73" s="249" t="s">
        <v>38</v>
      </c>
      <c r="B73" s="249"/>
      <c r="C73" s="249"/>
      <c r="D73" s="250"/>
      <c r="E73" s="251" t="s">
        <v>239</v>
      </c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3"/>
    </row>
    <row r="74" spans="1:19" ht="15.95" customHeight="1">
      <c r="A74" s="247"/>
      <c r="B74" s="247"/>
      <c r="C74" s="247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8"/>
    </row>
    <row r="75" spans="1:20" ht="15.95" customHeight="1">
      <c r="A75" s="245" t="s">
        <v>99</v>
      </c>
      <c r="B75" s="245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6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7.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7.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12.7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7.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12.7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12.7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7.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12.7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2"/>
    </row>
    <row r="99" spans="1:9" ht="12.75">
      <c r="A99" s="240" t="s">
        <v>100</v>
      </c>
      <c r="B99" s="240"/>
      <c r="C99" s="240"/>
      <c r="D99" s="240"/>
      <c r="E99" s="240"/>
      <c r="F99" s="240"/>
      <c r="G99" s="240"/>
      <c r="I9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49">
    <mergeCell ref="E72:S72"/>
    <mergeCell ref="E73:S73"/>
    <mergeCell ref="E75:S75"/>
    <mergeCell ref="A76:S97"/>
    <mergeCell ref="A98:S98"/>
    <mergeCell ref="A72:D72"/>
    <mergeCell ref="A73:D73"/>
    <mergeCell ref="K1:R1"/>
    <mergeCell ref="R19:S19"/>
    <mergeCell ref="R20:S20"/>
    <mergeCell ref="O64:S64"/>
    <mergeCell ref="O65:S65"/>
    <mergeCell ref="O63:S63"/>
    <mergeCell ref="J63:K63"/>
    <mergeCell ref="K4:L4"/>
    <mergeCell ref="M4:P4"/>
    <mergeCell ref="K5:L5"/>
    <mergeCell ref="M5:P5"/>
    <mergeCell ref="M7:Q7"/>
    <mergeCell ref="P20:Q20"/>
    <mergeCell ref="M12:O12"/>
    <mergeCell ref="K12:L12"/>
    <mergeCell ref="O68:P68"/>
    <mergeCell ref="O69:P69"/>
    <mergeCell ref="J69:M69"/>
    <mergeCell ref="O66:S66"/>
    <mergeCell ref="O67:S6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63:H6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C64:H64"/>
    <mergeCell ref="J64:K64"/>
    <mergeCell ref="C65:H65"/>
    <mergeCell ref="J65:K65"/>
    <mergeCell ref="C66:H66"/>
    <mergeCell ref="J66:K66"/>
    <mergeCell ref="C67:H67"/>
    <mergeCell ref="J67:K67"/>
  </mergeCells>
  <dataValidations count="17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list" allowBlank="1" showInputMessage="1" showErrorMessage="1" sqref="C64:H64">
      <formula1>'MasterData'!$H$1:$H$20</formula1>
    </dataValidation>
    <dataValidation type="list" allowBlank="1" showInputMessage="1" showErrorMessage="1" sqref="C65:H65">
      <formula1>'MasterData'!$H$1:$H$20</formula1>
    </dataValidation>
    <dataValidation type="list" allowBlank="1" showInputMessage="1" showErrorMessage="1" sqref="C66:H66">
      <formula1>'MasterData'!$H$1:$H$20</formula1>
    </dataValidation>
    <dataValidation type="list" allowBlank="1" showInputMessage="1" showErrorMessage="1" sqref="C67:H6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92</v>
      </c>
      <c r="M1" s="300" t="s">
        <v>101</v>
      </c>
      <c r="N1" s="301" t="s">
        <v>0</v>
      </c>
      <c r="O1" s="162" t="s">
        <v>102</v>
      </c>
    </row>
    <row r="2" spans="7:15" ht="12.75">
      <c r="G2" s="162">
        <v>1001310</v>
      </c>
      <c r="H2" s="162" t="s">
        <v>93</v>
      </c>
      <c r="M2" s="300" t="s">
        <v>103</v>
      </c>
      <c r="N2" s="301">
        <v>1020641785</v>
      </c>
      <c r="O2" s="162" t="s">
        <v>104</v>
      </c>
    </row>
    <row r="3" spans="7:15" ht="12.75">
      <c r="G3" s="162">
        <v>1001352</v>
      </c>
      <c r="H3" s="162" t="s">
        <v>89</v>
      </c>
      <c r="M3" s="300" t="s">
        <v>105</v>
      </c>
      <c r="N3" s="301">
        <v>99990000410194</v>
      </c>
      <c r="O3" s="162" t="s">
        <v>106</v>
      </c>
    </row>
    <row r="4" spans="7:15" ht="12.75">
      <c r="G4" s="162">
        <v>1012729</v>
      </c>
      <c r="H4" s="162" t="s">
        <v>107</v>
      </c>
      <c r="M4" s="300" t="s">
        <v>108</v>
      </c>
      <c r="N4" s="301">
        <v>1021590962</v>
      </c>
      <c r="O4" s="162" t="s">
        <v>109</v>
      </c>
    </row>
    <row r="5" spans="7:15" ht="12.75">
      <c r="G5" s="162">
        <v>1012730</v>
      </c>
      <c r="H5" s="162" t="s">
        <v>110</v>
      </c>
      <c r="M5" s="300" t="s">
        <v>111</v>
      </c>
      <c r="N5" s="301"/>
      <c r="O5" s="162" t="s">
        <v>112</v>
      </c>
    </row>
    <row r="6" spans="7:15" ht="12.75">
      <c r="G6" s="162">
        <v>1012731</v>
      </c>
      <c r="H6" s="162" t="s">
        <v>113</v>
      </c>
      <c r="M6" s="300" t="s">
        <v>114</v>
      </c>
      <c r="N6" s="301" t="s">
        <v>115</v>
      </c>
      <c r="O6" s="162" t="s">
        <v>116</v>
      </c>
    </row>
    <row r="7" spans="7:15" ht="12.75">
      <c r="G7" s="162">
        <v>1012732</v>
      </c>
      <c r="H7" s="162" t="s">
        <v>117</v>
      </c>
      <c r="M7" s="300" t="s">
        <v>118</v>
      </c>
      <c r="N7" s="301">
        <v>0</v>
      </c>
      <c r="O7" s="162" t="s">
        <v>119</v>
      </c>
    </row>
    <row r="8" spans="7:15" ht="12.75">
      <c r="G8" s="162">
        <v>1012733</v>
      </c>
      <c r="H8" s="162" t="s">
        <v>120</v>
      </c>
      <c r="O8" s="162" t="s">
        <v>121</v>
      </c>
    </row>
    <row r="9" spans="7:15" ht="12.75">
      <c r="G9" s="162">
        <v>1012735</v>
      </c>
      <c r="H9" s="162" t="s">
        <v>122</v>
      </c>
      <c r="O9" s="162" t="s">
        <v>123</v>
      </c>
    </row>
    <row r="10" spans="7:15" ht="12.75">
      <c r="G10" s="162">
        <v>1012736</v>
      </c>
      <c r="H10" s="162" t="s">
        <v>124</v>
      </c>
      <c r="O10" s="162" t="s">
        <v>125</v>
      </c>
    </row>
    <row r="11" spans="7:15" ht="12.75">
      <c r="G11" s="162">
        <v>1012737</v>
      </c>
      <c r="H11" s="162" t="s">
        <v>126</v>
      </c>
      <c r="O11" s="162" t="s">
        <v>127</v>
      </c>
    </row>
    <row r="12" spans="7:15" ht="12.75">
      <c r="G12" s="162">
        <v>1012738</v>
      </c>
      <c r="H12" s="162" t="s">
        <v>128</v>
      </c>
      <c r="O12" s="162" t="s">
        <v>129</v>
      </c>
    </row>
    <row r="13" spans="7:15" ht="12.75">
      <c r="G13" s="162">
        <v>1012739</v>
      </c>
      <c r="H13" s="162" t="s">
        <v>130</v>
      </c>
      <c r="O13" s="162" t="s">
        <v>131</v>
      </c>
    </row>
    <row r="14" spans="7:15" ht="12.75">
      <c r="G14" s="162">
        <v>1012740</v>
      </c>
      <c r="H14" s="162" t="s">
        <v>132</v>
      </c>
      <c r="O14" s="162" t="s">
        <v>133</v>
      </c>
    </row>
    <row r="15" spans="7:15" ht="12.75">
      <c r="G15" s="162">
        <v>1012741</v>
      </c>
      <c r="H15" s="162" t="s">
        <v>134</v>
      </c>
      <c r="O15" s="162" t="s">
        <v>135</v>
      </c>
    </row>
    <row r="16" spans="7:15" ht="12.75">
      <c r="G16" s="162">
        <v>1012742</v>
      </c>
      <c r="H16" s="162" t="s">
        <v>136</v>
      </c>
      <c r="O16" s="162" t="s">
        <v>137</v>
      </c>
    </row>
    <row r="17" spans="7:15" ht="12.75">
      <c r="G17" s="162">
        <v>1012743</v>
      </c>
      <c r="H17" s="162" t="s">
        <v>138</v>
      </c>
      <c r="O17" s="162" t="s">
        <v>139</v>
      </c>
    </row>
    <row r="18" spans="7:15" ht="12.75">
      <c r="G18" s="162">
        <v>1012744</v>
      </c>
      <c r="H18" s="162" t="s">
        <v>140</v>
      </c>
      <c r="O18" s="162" t="s">
        <v>141</v>
      </c>
    </row>
    <row r="19" spans="7:15" ht="12.75">
      <c r="G19" s="162">
        <v>1020032</v>
      </c>
      <c r="H19" s="162" t="s">
        <v>142</v>
      </c>
      <c r="O19" s="162" t="s">
        <v>143</v>
      </c>
    </row>
    <row r="20" spans="7:15" ht="12.75">
      <c r="G20" s="162">
        <v>1020033</v>
      </c>
      <c r="H20" s="162" t="s">
        <v>144</v>
      </c>
      <c r="O20" s="162" t="s">
        <v>145</v>
      </c>
    </row>
    <row r="21" ht="12.75">
      <c r="O21" s="162" t="s">
        <v>146</v>
      </c>
    </row>
    <row r="22" ht="12.75">
      <c r="O22" s="162" t="s">
        <v>147</v>
      </c>
    </row>
    <row r="23" ht="12.75">
      <c r="O23" s="162" t="s">
        <v>148</v>
      </c>
    </row>
    <row r="24" ht="12.75">
      <c r="O24" s="162" t="s">
        <v>149</v>
      </c>
    </row>
    <row r="25" ht="12.75">
      <c r="O25" s="162" t="s">
        <v>150</v>
      </c>
    </row>
    <row r="26" ht="12.75">
      <c r="O26" s="162" t="s">
        <v>151</v>
      </c>
    </row>
    <row r="27" ht="12.75">
      <c r="O27" s="162" t="s">
        <v>152</v>
      </c>
    </row>
    <row r="28" ht="12.75">
      <c r="O28" s="162" t="s">
        <v>153</v>
      </c>
    </row>
    <row r="29" ht="12.75">
      <c r="O29" s="162" t="s">
        <v>154</v>
      </c>
    </row>
    <row r="30" ht="12.75">
      <c r="O30" s="162" t="s">
        <v>155</v>
      </c>
    </row>
    <row r="31" ht="12.75">
      <c r="O31" s="162" t="s">
        <v>156</v>
      </c>
    </row>
    <row r="32" ht="12.75">
      <c r="O32" s="162" t="s">
        <v>157</v>
      </c>
    </row>
    <row r="33" ht="12.75">
      <c r="O33" s="162" t="s">
        <v>158</v>
      </c>
    </row>
    <row r="34" ht="12.75">
      <c r="O34" s="162" t="s">
        <v>159</v>
      </c>
    </row>
    <row r="35" ht="12.75">
      <c r="O35" s="162" t="s">
        <v>160</v>
      </c>
    </row>
    <row r="36" ht="12.75">
      <c r="O36" s="162" t="s">
        <v>161</v>
      </c>
    </row>
    <row r="37" ht="12.75">
      <c r="O37" s="162" t="s">
        <v>162</v>
      </c>
    </row>
    <row r="38" ht="12.75">
      <c r="O38" s="162" t="s">
        <v>163</v>
      </c>
    </row>
    <row r="39" ht="12.75">
      <c r="O39" s="162" t="s">
        <v>164</v>
      </c>
    </row>
    <row r="40" ht="12.75">
      <c r="O40" s="162" t="s">
        <v>165</v>
      </c>
    </row>
    <row r="41" ht="12.75">
      <c r="O41" s="162" t="s">
        <v>166</v>
      </c>
    </row>
    <row r="42" ht="12.75">
      <c r="O42" s="162" t="s">
        <v>167</v>
      </c>
    </row>
    <row r="43" ht="12.75">
      <c r="O43" s="162" t="s">
        <v>168</v>
      </c>
    </row>
    <row r="44" ht="12.75">
      <c r="O44" s="162" t="s">
        <v>169</v>
      </c>
    </row>
    <row r="45" ht="12.75">
      <c r="O45" s="162" t="s">
        <v>170</v>
      </c>
    </row>
    <row r="46" ht="12.75">
      <c r="O46" s="162" t="s">
        <v>171</v>
      </c>
    </row>
    <row r="47" ht="12.75">
      <c r="O47" s="162" t="s">
        <v>172</v>
      </c>
    </row>
    <row r="48" ht="12.75">
      <c r="O48" s="162" t="s">
        <v>173</v>
      </c>
    </row>
    <row r="49" ht="12.75">
      <c r="O49" s="162" t="s">
        <v>174</v>
      </c>
    </row>
    <row r="50" ht="12.75">
      <c r="O50" s="162" t="s">
        <v>175</v>
      </c>
    </row>
    <row r="51" ht="12.75">
      <c r="O51" s="162" t="s">
        <v>176</v>
      </c>
    </row>
    <row r="52" ht="12.75">
      <c r="O52" s="162" t="s">
        <v>177</v>
      </c>
    </row>
    <row r="53" ht="12.75">
      <c r="O53" s="162" t="s">
        <v>178</v>
      </c>
    </row>
    <row r="54" ht="12.75">
      <c r="O54" s="162" t="s">
        <v>179</v>
      </c>
    </row>
    <row r="55" ht="12.75">
      <c r="O55" s="162" t="s">
        <v>180</v>
      </c>
    </row>
    <row r="56" ht="12.75">
      <c r="O56" s="162" t="s">
        <v>181</v>
      </c>
    </row>
    <row r="57" ht="12.75">
      <c r="O57" s="162" t="s">
        <v>182</v>
      </c>
    </row>
    <row r="58" ht="12.75">
      <c r="O58" s="162" t="s">
        <v>183</v>
      </c>
    </row>
    <row r="59" ht="12.75">
      <c r="O59" s="162" t="s">
        <v>184</v>
      </c>
    </row>
    <row r="60" ht="12.75">
      <c r="O60" s="162" t="s">
        <v>185</v>
      </c>
    </row>
    <row r="61" ht="12.75">
      <c r="O61" s="162" t="s">
        <v>186</v>
      </c>
    </row>
    <row r="62" ht="12.75">
      <c r="O62" s="162" t="s">
        <v>187</v>
      </c>
    </row>
    <row r="63" ht="12.75">
      <c r="O63" s="162" t="s">
        <v>188</v>
      </c>
    </row>
    <row r="64" ht="12.75">
      <c r="O64" s="162" t="s">
        <v>189</v>
      </c>
    </row>
    <row r="65" ht="12.75">
      <c r="O65" s="162" t="s">
        <v>190</v>
      </c>
    </row>
    <row r="66" ht="12.75">
      <c r="O66" s="162" t="s">
        <v>191</v>
      </c>
    </row>
    <row r="67" ht="12.75">
      <c r="O67" s="162" t="s">
        <v>192</v>
      </c>
    </row>
    <row r="68" ht="12.75">
      <c r="O68" s="162" t="s">
        <v>193</v>
      </c>
    </row>
    <row r="69" ht="12.75">
      <c r="O69" s="162" t="s">
        <v>194</v>
      </c>
    </row>
    <row r="70" ht="12.75">
      <c r="O70" s="162" t="s">
        <v>195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