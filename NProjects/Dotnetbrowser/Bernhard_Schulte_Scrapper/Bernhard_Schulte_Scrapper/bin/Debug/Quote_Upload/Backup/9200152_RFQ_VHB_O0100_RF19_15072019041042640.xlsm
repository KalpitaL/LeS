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Quote!$A$1:$R$95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Quote!$A$76</definedName>
    <definedName name="Enquiry_To_Vendor_ID" comment="Enquiry to Vendor ID">Quote!$C$76</definedName>
    <definedName name="GrandTotal">Quote!$N$75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Quote!$A$68</definedName>
    <definedName name="ItemListStartupRow" comment="Item List Start Up Row">Quote!$A$19</definedName>
    <definedName name="ItemSubTotal">Quote!$N$74</definedName>
    <definedName name="ItemSubTotalTitle">Quote!$J$74</definedName>
    <definedName name="LeadDay">Quote!$M$11</definedName>
    <definedName name="Lock">Quote!$M$76</definedName>
    <definedName name="LoggedInEmailID">Quote!$N$76</definedName>
    <definedName name="LoggedInPwd">Quote!$O$76</definedName>
    <definedName name="OtherCharges">Quote!$C$70</definedName>
    <definedName name="OtherChargesLastRow">Quote!$A$74</definedName>
    <definedName name="OtherChargesStartRow">Quote!$A$69</definedName>
    <definedName name="Port">Quote!$P$76</definedName>
    <definedName name="PortOfDelivery" comment="Port of Delivery">Quote!$M$9</definedName>
    <definedName name="PurchaserName">Quote!$J$76</definedName>
    <definedName name="QuoteBefore">Quote!$M$8</definedName>
    <definedName name="QuoteID">MasterData!$N$7</definedName>
    <definedName name="QuoteSubject">Quote!$E$76</definedName>
    <definedName name="Remarks">Quote!$E$78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Quote!$K$76</definedName>
    <definedName name="SentIndex">Quote!$L$76</definedName>
    <definedName name="Server">Quote!$Q$76</definedName>
    <definedName name="Terms">Quote!$A$82:$T$103</definedName>
    <definedName name="ToEmailID">Quote!$I$76</definedName>
    <definedName name="ToEmailPwd">Quote!$H$76</definedName>
    <definedName name="VAL">Quote!$F$76</definedName>
    <definedName name="VAT_All">Quote!$M$16</definedName>
    <definedName name="Vendor_ID" comment="Vendor ID">Quote!$B$76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Quote!$D$76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Quote!$E$79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,Quote!$N$38:$N$38,Quote!$N$39:$N$39,Quote!$N$40:$N$40,Quote!$N$41:$N$41,Quote!$N$42:$N$42,Quote!$N$43:$N$43,Quote!$N$44:$N$44,Quote!$N$45:$N$45,Quote!$N$46:$N$46,Quote!$N$47:$N$47,Quote!$N$48:$N$48,Quote!$N$49:$N$49,Quote!$N$50:$N$50,Quote!$N$51:$N$51,Quote!$N$52:$N$52,Quote!$N$53:$N$53,Quote!$N$54:$N$54,Quote!$N$55:$N$55,Quote!$N$56:$N$56,Quote!$N$57:$N$57,Quote!$N$58:$N$58,Quote!$N$59:$N$59,Quote!$N$60:$N$60,Quote!$N$61:$N$61,Quote!$N$62:$N$62,Quote!$N$63:$N$63,Quote!$N$64:$N$64,Quote!$N$65:$N$65,Quote!$N$66:$N$66,Quote!$N$67:$N$67</definedName>
  </definedNames>
  <calcPr fullCalcOnLoad="1"/>
</workbook>
</file>

<file path=xl/sharedStrings.xml><?xml version="1.0" encoding="utf-8"?>
<sst xmlns="http://schemas.openxmlformats.org/spreadsheetml/2006/main" count="388" uniqueCount="259">
  <si>
    <t>RFQ</t>
  </si>
  <si>
    <t>Request for Quote</t>
  </si>
  <si>
    <t>Invoice To</t>
  </si>
  <si>
    <t xml:space="preserve">Bernhard Schulte Shipmanagement (India) Private Ltd.
MASTER &amp; OWNER OF ORE HEBEI
REGD. OWNER:  ORE HEBEI HK LTD.
C/O BERNHARD SCHULTE SHIPMANGEMENT (L) LTD. (AS AGENTS ONLY)
401, OLYMPIA, HIRANANDANI GARDENS
POWAI, MUMBAI – 4000076.
TEL:  +91 22 40017300
FAX:  +91 22 40017333
NOTE - PLEASE NOTE INVOICES WILL BE ACCEPTED ONLY IN SOFT COPIES.
EMAIL ; in-smc-invoices@bs-shipmanagement.com
</t>
  </si>
  <si>
    <t>Vessel</t>
  </si>
  <si>
    <t>Ore Hebei</t>
  </si>
  <si>
    <t>RFQ No.</t>
  </si>
  <si>
    <t>VHB/O0100/RF19</t>
  </si>
  <si>
    <t>RFQ Date</t>
  </si>
  <si>
    <t>Submit Quote Before:</t>
  </si>
  <si>
    <t>Port of Delivery</t>
  </si>
  <si>
    <t>Dalian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</si>
  <si>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</si>
  <si>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</si>
  <si>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</si>
  <si>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</si>
  <si>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</si>
  <si>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</si>
  <si>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</si>
  <si>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</si>
  <si>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</si>
  <si>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</si>
  <si>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</si>
  <si>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</si>
  <si>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</si>
  <si>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</si>
  <si>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</si>
  <si>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</si>
  <si>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</si>
  <si>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</si>
  <si>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</si>
  <si>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</si>
  <si>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</si>
  <si>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</si>
  <si>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</si>
  <si>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</si>
  <si>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</si>
  <si>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</si>
  <si>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</si>
  <si>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</si>
  <si>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ADRENALINE INJECTION 1MG/ML - 10'S MPA - 3</t>
  </si>
  <si>
    <t>BOX</t>
  </si>
  <si>
    <t>BENZYL PENICILLIN INJECTION, 600 MG VIAL</t>
  </si>
  <si>
    <t>PCS</t>
  </si>
  <si>
    <t>AMINOPHYLLINE SUPPOSITORY, RECTAL 500MG 12'S To facilitate breathing in patients who have bronchial asthma, asthmatic bronchitis, pulmonary emphysema, and certain types of h</t>
  </si>
  <si>
    <t>ORAL REHYDRATION SALT - 10'S APPE14-19</t>
  </si>
  <si>
    <t>BENZATHINE BENZYLPENICILLIN INJ. 2,4 MIO. I.U.</t>
  </si>
  <si>
    <t>TETRACYCLINE OINTMENT 5GRM For the treatment of superficial wounds, burns, minor skin irritation and minor cuts.  Furnished in 5 grm or 25grm tubes.</t>
  </si>
  <si>
    <t>TUB</t>
  </si>
  <si>
    <t>MED0215</t>
  </si>
  <si>
    <t>MENTHOL AND BENZOIN 50 ML. BTL.</t>
  </si>
  <si>
    <t>BTL</t>
  </si>
  <si>
    <t>AMITRIPTYLINE TABLET, 25MG 100'S A psychotherapuetic drug used in the treatment of depression and anxiety.  To be prescribed only after obtaining radio medical a</t>
  </si>
  <si>
    <t>MED0119</t>
  </si>
  <si>
    <t>CHLOROQUINE PHOSPHATE 250MG TABLET</t>
  </si>
  <si>
    <t>9A6</t>
  </si>
  <si>
    <t>DICLOFENAC OINTMENT (50 G)</t>
  </si>
  <si>
    <t>MED0130</t>
  </si>
  <si>
    <t>CO-TRIMAXAZOLE TAB 480MG,</t>
  </si>
  <si>
    <t>DIARRHOEA TABLET 40TAB For the treatment and relief of diarrhoea.</t>
  </si>
  <si>
    <t>HYDROGEN PEROXIDE 6 % SOL.</t>
  </si>
  <si>
    <t>REQUIRE 200ML BOTTLE</t>
  </si>
  <si>
    <t>MED0203</t>
  </si>
  <si>
    <t>LIGNOCAINE GEL ,LIGNOCAINE HCL 2%, 30GM TUBE</t>
  </si>
  <si>
    <t>VITAMIN K1 INJECTION 10MG/ML - 10'S APPE14-21</t>
  </si>
  <si>
    <t>MED0505</t>
  </si>
  <si>
    <t>VITAMIN C 250 MG TABLETS (ASCORBIC ACID),WHO-A LIST</t>
  </si>
  <si>
    <t>REQUIRE 100 TAB</t>
  </si>
  <si>
    <t>SODIUM CHLORIDE TABL. WITH DEXTROSE</t>
  </si>
  <si>
    <t>REQUIRE-900 TAB</t>
  </si>
  <si>
    <t>CHLORPHENIRAMINE INJECTION 10 MG/ML, AMPOULES</t>
  </si>
  <si>
    <t>REQUIRE 10 AMPS</t>
  </si>
  <si>
    <t>MED0126</t>
  </si>
  <si>
    <t>CODEINE COUGH LINCTUS</t>
  </si>
  <si>
    <t>CHLORAMPHENICOL EAR DROPS 0.5%-5ML</t>
  </si>
  <si>
    <t>PROGUANIL TALBET 100MG 100'S For the prevention of malaria.  Given either alone or in association with chloroquine.</t>
  </si>
  <si>
    <t>ANTISEPTIC CLEANSING WIPES</t>
  </si>
  <si>
    <t>MEDICINE</t>
  </si>
  <si>
    <t>Hyoscine butylbromide 20mg/ml ampoules</t>
  </si>
  <si>
    <t>.</t>
  </si>
  <si>
    <t>REQUIRE 20 AMP</t>
  </si>
  <si>
    <t>MED0180</t>
  </si>
  <si>
    <t>FRUSEMIDE 40 MG TABLET</t>
  </si>
  <si>
    <t>SCOPOLAMINE TRANSDERMAL PATCHES</t>
  </si>
  <si>
    <t>COLD TABLET 90TAB For common colds and headaches caused by colds.</t>
  </si>
  <si>
    <t>COLD REMEDY "VICKS VAPORUB", 40GRM For the relief of congestion and coughs due to colds.</t>
  </si>
  <si>
    <t>JAR</t>
  </si>
  <si>
    <t>CREPE BANDAGE 5.0 CM</t>
  </si>
  <si>
    <t>ABSORBENT GAUZE FIRST-AID, COVERES COTTON PAD SMALL Sterile compression bandages</t>
  </si>
  <si>
    <t>ABSORBENT GAUZE FIRST-AID, COVERES COTTON PAD MEDIUM Sterile compression bandages</t>
  </si>
  <si>
    <t>ABSORBENT GAUZE FIRST-AID, COVERES COTTON PAD LARGE Sterile compression bandages</t>
  </si>
  <si>
    <t>MED0159</t>
  </si>
  <si>
    <t>EXTRA LARGE ABSORBENT GAUZE 90CMS X 18M</t>
  </si>
  <si>
    <t>MANUKA HONEY UMF12+ FOR BURN - 1KG MPA - 2.12</t>
  </si>
  <si>
    <t>MED0188</t>
  </si>
  <si>
    <t>GLYCERYL TRINITRATE TABLET,50S</t>
  </si>
  <si>
    <t>tramadol 50 mg 30 tabl</t>
  </si>
  <si>
    <t>DISINFECTANT F/SURFACES&amp;FLOOR, 1000ML SODIUM HYPOCHLO. 100MG For disinfection of food-handling area: cutlery, dishes, plates, glasses</t>
  </si>
  <si>
    <t>MED0229</t>
  </si>
  <si>
    <t>PAIN RELIEF SPRAY 80GM</t>
  </si>
  <si>
    <t>CAN</t>
  </si>
  <si>
    <t>STANDARD DRESSING NO. 16 (EYE DRESSING)</t>
  </si>
  <si>
    <t>ACICLOVIR TABLET 400MG Treatment of primary or recurrent herpes simplex virus infection; May be useful for severe varicella and herpes zoster  infectio</t>
  </si>
  <si>
    <t>REQUIRE 30 TABS</t>
  </si>
  <si>
    <t>Misoprostol 200mcg Tablets 4's (1 pck)</t>
  </si>
  <si>
    <t>LIGNOCAINE 1% (WITHOUT, ADRENALINE) AMPOULE 5ML  For local anaesthesia when suturing wounds or performing minor surgery.</t>
  </si>
  <si>
    <t>REQUIRE 5 AMPS</t>
  </si>
  <si>
    <t>MED0240</t>
  </si>
  <si>
    <t>POTASSIUM PERMANGANATE CRYSTALS 10GM</t>
  </si>
  <si>
    <t>PKT</t>
  </si>
  <si>
    <t>MED0341</t>
  </si>
  <si>
    <t>CHLORPROMAZINE 25 MG TABLETS (THORAZINE),WHO-A LIST</t>
  </si>
  <si>
    <t>REQUIRE 200 TABLETS</t>
  </si>
  <si>
    <t>ANTISEPTIC CREAM</t>
  </si>
  <si>
    <t>MOUTH ULCER GEL 10 GM</t>
  </si>
  <si>
    <t>CPS 0055</t>
  </si>
  <si>
    <t>CIMETIDINE TABLETS 200 MG</t>
  </si>
  <si>
    <t>REQUIRE 50 TAB</t>
  </si>
  <si>
    <t>MED0093</t>
  </si>
  <si>
    <t>ALUMINIUM ACETATE EAR DROPS 20ML</t>
  </si>
  <si>
    <t>EYE WASH 150ML For irrigating or flushing the eye to wash away foreign particles, mucous secretions, and fluorescein die used in diagnosis.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</si>
  <si>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</si>
  <si>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</si>
  <si>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</si>
  <si>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</si>
  <si>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</si>
  <si>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</si>
  <si>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</si>
  <si>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</si>
  <si>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</si>
  <si>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</si>
  <si>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</si>
  <si>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</si>
  <si>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</si>
  <si>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</si>
  <si>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</si>
  <si>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</si>
  <si>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</si>
  <si>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</si>
  <si>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</si>
  <si>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</si>
  <si>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</si>
  <si>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</si>
  <si>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</si>
  <si>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</si>
  <si>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</si>
  <si>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</si>
  <si>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CP - SS : MEDICAL STORES &amp; EQUIPMENT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</si>
  <si>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</si>
  <si>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</si>
  <si>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</si>
  <si>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</si>
  <si>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</si>
  <si>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</si>
  <si>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</si>
  <si>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</si>
  <si>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</si>
  <si>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</si>
  <si>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</si>
  <si>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</si>
  <si>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</si>
  <si>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</si>
  <si>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</si>
  <si>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</si>
  <si>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</si>
  <si>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</si>
  <si>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</si>
  <si>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</si>
  <si>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</si>
  <si>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</si>
  <si>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</si>
  <si>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</si>
  <si>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</si>
  <si>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</si>
  <si>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</si>
  <si>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</si>
  <si>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</si>
  <si>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</si>
  <si>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</si>
  <si>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</si>
  <si>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</si>
  <si>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</si>
  <si>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</si>
  <si>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</si>
  <si>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</si>
  <si>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</si>
  <si>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</si>
  <si>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</si>
  <si>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</si>
  <si>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</si>
  <si>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</si>
  <si>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</si>
  <si>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</si>
  <si>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</si>
  <si>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</si>
  <si>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</si>
  <si>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</si>
  <si>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</si>
  <si>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</si>
  <si>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</si>
  <si>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</si>
  <si>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</si>
  <si>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</si>
  <si>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</si>
  <si>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</si>
  <si>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</si>
  <si>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</si>
  <si>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</si>
  <si>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</si>
  <si>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</si>
  <si>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</si>
  <si>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</si>
  <si>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</si>
  <si>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</si>
  <si>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</si>
  <si>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</si>
  <si>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</si>
  <si>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</si>
  <si>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</si>
  <si>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</si>
  <si>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</si>
  <si>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</si>
  <si>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</si>
  <si>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</si>
  <si>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</si>
  <si>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</si>
  <si>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</si>
  <si>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</si>
  <si>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BJD1907151635478LET</t>
  </si>
  <si>
    <t>480mg</t>
  </si>
  <si>
    <t>oral 100mg*100s</t>
  </si>
  <si>
    <t>10g</t>
  </si>
  <si>
    <t>ORAL ULCER SPRAY 35ML</t>
  </si>
  <si>
    <t>Doxepin Hydrochloride Tablets  25mg*100s</t>
  </si>
  <si>
    <t>20g</t>
  </si>
  <si>
    <t>huangliansu tab 24s</t>
  </si>
  <si>
    <t>100ml</t>
  </si>
  <si>
    <t>100mg</t>
  </si>
  <si>
    <t>total  14.75g*61s</t>
  </si>
  <si>
    <t>qianglipipalu  100ml</t>
  </si>
  <si>
    <t>Boric  Acid  Ear   Drops  8g</t>
  </si>
  <si>
    <t>Chloroquine Phosphate Tablets,250mg*100's</t>
  </si>
  <si>
    <t>1ml:10mg</t>
  </si>
  <si>
    <t>20mg</t>
  </si>
  <si>
    <t>Raceanisodamine Tablets 5mg</t>
  </si>
  <si>
    <t>Coumpound Diclofenac Sodium and Chlorphenamine Maleate 48s</t>
  </si>
  <si>
    <t>qingliangyou 10g</t>
  </si>
  <si>
    <t>80cm*10m</t>
  </si>
  <si>
    <t>36s</t>
  </si>
  <si>
    <t>30s total 3btl/Nefopam  Tablets    20mg*100s</t>
  </si>
  <si>
    <t>500ml</t>
  </si>
  <si>
    <t>Bone pain spray 60ml</t>
  </si>
  <si>
    <t>no.15</t>
  </si>
  <si>
    <t>100mg*24s</t>
  </si>
  <si>
    <t>0.2ug*3s</t>
  </si>
  <si>
    <t>local  10g</t>
  </si>
  <si>
    <t>Ofloxacin Ear Drops 5ml</t>
  </si>
  <si>
    <t>500ml+1cup,DELIVERY TIME 3-4 WORKING DAYS FOR ABV ALL ITEMS</t>
  </si>
  <si>
    <t xml:space="preserve">
Date promised : 2019-07-19
Quote validity : 2019-08-15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</si>
</sst>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105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43661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43661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43664.50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376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228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221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99990009873393</v>
      </c>
      <c r="C20" s="227">
        <v>2045932</v>
      </c>
      <c r="D20" s="228" t="s">
        <v>40</v>
      </c>
      <c r="E20" s="229"/>
      <c r="F20" s="229">
        <v>2045932</v>
      </c>
      <c r="G20" s="229" t="s">
        <v>41</v>
      </c>
      <c r="H20" s="230">
        <v>0</v>
      </c>
      <c r="I20" s="231">
        <v>1</v>
      </c>
      <c r="J20" s="232">
        <v>14.82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99990009873587</v>
      </c>
      <c r="C21" s="227">
        <v>13</v>
      </c>
      <c r="D21" s="228" t="s">
        <v>42</v>
      </c>
      <c r="E21" s="229"/>
      <c r="F21" s="229">
        <v>13</v>
      </c>
      <c r="G21" s="229" t="s">
        <v>43</v>
      </c>
      <c r="H21" s="230">
        <v>0</v>
      </c>
      <c r="I21" s="231">
        <v>30</v>
      </c>
      <c r="J21" s="232">
        <v>0.15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229</v>
      </c>
      <c r="Q21" s="236"/>
      <c r="R21" s="237"/>
      <c r="S21" s="238"/>
      <c r="T21" s="239"/>
    </row>
    <row r="22" spans="1:20" ht="24" customHeight="1">
      <c r="A22" s="226">
        <v>3</v>
      </c>
      <c r="B22" s="226">
        <v>99990010835236</v>
      </c>
      <c r="C22" s="227">
        <v>390607</v>
      </c>
      <c r="D22" s="228" t="s">
        <v>44</v>
      </c>
      <c r="E22" s="229"/>
      <c r="F22" s="229">
        <v>390607</v>
      </c>
      <c r="G22" s="229" t="s">
        <v>41</v>
      </c>
      <c r="H22" s="230">
        <v>0</v>
      </c>
      <c r="I22" s="231">
        <v>1</v>
      </c>
      <c r="J22" s="232">
        <v>1.94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230</v>
      </c>
      <c r="Q22" s="236"/>
      <c r="R22" s="237"/>
      <c r="S22" s="238"/>
      <c r="T22" s="239"/>
    </row>
    <row r="23" spans="1:20" ht="24" customHeight="1">
      <c r="A23" s="226">
        <v>4</v>
      </c>
      <c r="B23" s="226">
        <v>99990009874596</v>
      </c>
      <c r="C23" s="227">
        <v>2045907</v>
      </c>
      <c r="D23" s="228" t="s">
        <v>45</v>
      </c>
      <c r="E23" s="229"/>
      <c r="F23" s="229">
        <v>2045907</v>
      </c>
      <c r="G23" s="229" t="s">
        <v>41</v>
      </c>
      <c r="H23" s="230">
        <v>0</v>
      </c>
      <c r="I23" s="231">
        <v>10</v>
      </c>
      <c r="J23" s="232">
        <v>1.37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/>
      <c r="S23" s="238"/>
      <c r="T23" s="239"/>
    </row>
    <row r="24" spans="1:20" ht="24" customHeight="1">
      <c r="A24" s="226">
        <v>5</v>
      </c>
      <c r="B24" s="226">
        <v>99990009873579</v>
      </c>
      <c r="C24" s="227">
        <v>13</v>
      </c>
      <c r="D24" s="228" t="s">
        <v>46</v>
      </c>
      <c r="E24" s="229"/>
      <c r="F24" s="229">
        <v>13</v>
      </c>
      <c r="G24" s="229" t="s">
        <v>43</v>
      </c>
      <c r="H24" s="230">
        <v>0</v>
      </c>
      <c r="I24" s="231">
        <v>30</v>
      </c>
      <c r="J24" s="232">
        <v>0.15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 t="s">
        <v>229</v>
      </c>
      <c r="Q24" s="236"/>
      <c r="R24" s="237"/>
      <c r="S24" s="238"/>
      <c r="T24" s="239"/>
    </row>
    <row r="25" spans="1:20" ht="24" customHeight="1">
      <c r="A25" s="226">
        <v>6</v>
      </c>
      <c r="B25" s="226">
        <v>99990010835658</v>
      </c>
      <c r="C25" s="227">
        <v>390504</v>
      </c>
      <c r="D25" s="228" t="s">
        <v>47</v>
      </c>
      <c r="E25" s="229"/>
      <c r="F25" s="229">
        <v>390504</v>
      </c>
      <c r="G25" s="229" t="s">
        <v>48</v>
      </c>
      <c r="H25" s="230">
        <v>0</v>
      </c>
      <c r="I25" s="231">
        <v>10</v>
      </c>
      <c r="J25" s="232">
        <v>0.46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 t="s">
        <v>231</v>
      </c>
      <c r="Q25" s="236"/>
      <c r="R25" s="237"/>
      <c r="S25" s="238"/>
      <c r="T25" s="239"/>
    </row>
    <row r="26" spans="1:20" ht="24" customHeight="1">
      <c r="A26" s="226">
        <v>7</v>
      </c>
      <c r="B26" s="226">
        <v>99990009874464</v>
      </c>
      <c r="C26" s="227" t="s">
        <v>49</v>
      </c>
      <c r="D26" s="228" t="s">
        <v>50</v>
      </c>
      <c r="E26" s="229"/>
      <c r="F26" s="229" t="s">
        <v>49</v>
      </c>
      <c r="G26" s="229" t="s">
        <v>51</v>
      </c>
      <c r="H26" s="230">
        <v>0</v>
      </c>
      <c r="I26" s="231">
        <v>2</v>
      </c>
      <c r="J26" s="232">
        <v>1.48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 t="s">
        <v>232</v>
      </c>
      <c r="Q26" s="236"/>
      <c r="R26" s="237"/>
      <c r="S26" s="238"/>
      <c r="T26" s="239"/>
    </row>
    <row r="27" spans="1:20" ht="24" customHeight="1">
      <c r="A27" s="226">
        <v>8</v>
      </c>
      <c r="B27" s="226">
        <v>99990010835237</v>
      </c>
      <c r="C27" s="227">
        <v>390608</v>
      </c>
      <c r="D27" s="228" t="s">
        <v>52</v>
      </c>
      <c r="E27" s="229"/>
      <c r="F27" s="229">
        <v>390608</v>
      </c>
      <c r="G27" s="229" t="s">
        <v>51</v>
      </c>
      <c r="H27" s="230">
        <v>0</v>
      </c>
      <c r="I27" s="231">
        <v>1</v>
      </c>
      <c r="J27" s="232">
        <v>3.42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 t="s">
        <v>233</v>
      </c>
      <c r="Q27" s="236"/>
      <c r="R27" s="237"/>
      <c r="S27" s="238"/>
      <c r="T27" s="239"/>
    </row>
    <row r="28" spans="1:20" ht="24" customHeight="1">
      <c r="A28" s="226">
        <v>9</v>
      </c>
      <c r="B28" s="226">
        <v>99990009873701</v>
      </c>
      <c r="C28" s="227" t="s">
        <v>53</v>
      </c>
      <c r="D28" s="228" t="s">
        <v>54</v>
      </c>
      <c r="E28" s="229"/>
      <c r="F28" s="229" t="s">
        <v>53</v>
      </c>
      <c r="G28" s="229" t="s">
        <v>43</v>
      </c>
      <c r="H28" s="230">
        <v>0</v>
      </c>
      <c r="I28" s="231">
        <v>250</v>
      </c>
      <c r="J28" s="232">
        <v>0.15</v>
      </c>
      <c r="K28" s="233"/>
      <c r="L28" s="231" t="s">
        <v>23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/>
      <c r="Q28" s="236"/>
      <c r="R28" s="237"/>
      <c r="S28" s="238"/>
      <c r="T28" s="239"/>
    </row>
    <row r="29" spans="1:20" ht="24" customHeight="1">
      <c r="A29" s="226">
        <v>10</v>
      </c>
      <c r="B29" s="226">
        <v>99990009873865</v>
      </c>
      <c r="C29" s="227" t="s">
        <v>55</v>
      </c>
      <c r="D29" s="228" t="s">
        <v>56</v>
      </c>
      <c r="E29" s="229"/>
      <c r="F29" s="229" t="s">
        <v>55</v>
      </c>
      <c r="G29" s="229" t="s">
        <v>43</v>
      </c>
      <c r="H29" s="230">
        <v>0</v>
      </c>
      <c r="I29" s="231">
        <v>10</v>
      </c>
      <c r="J29" s="232">
        <v>1.94</v>
      </c>
      <c r="K29" s="233"/>
      <c r="L29" s="231" t="s">
        <v>23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 t="s">
        <v>234</v>
      </c>
      <c r="Q29" s="236"/>
      <c r="R29" s="237"/>
      <c r="S29" s="238"/>
      <c r="T29" s="239"/>
    </row>
    <row r="30" spans="1:20" ht="24" customHeight="1">
      <c r="A30" s="226">
        <v>11</v>
      </c>
      <c r="B30" s="226">
        <v>99990009873785</v>
      </c>
      <c r="C30" s="227" t="s">
        <v>57</v>
      </c>
      <c r="D30" s="228" t="s">
        <v>58</v>
      </c>
      <c r="E30" s="229"/>
      <c r="F30" s="229" t="s">
        <v>57</v>
      </c>
      <c r="G30" s="229" t="s">
        <v>43</v>
      </c>
      <c r="H30" s="230">
        <v>0</v>
      </c>
      <c r="I30" s="231">
        <v>100</v>
      </c>
      <c r="J30" s="232">
        <v>0.03</v>
      </c>
      <c r="K30" s="233"/>
      <c r="L30" s="231" t="s">
        <v>23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/>
      <c r="Q30" s="236"/>
      <c r="R30" s="237"/>
      <c r="S30" s="238"/>
      <c r="T30" s="239"/>
    </row>
    <row r="31" spans="1:20" ht="24" customHeight="1">
      <c r="A31" s="226">
        <v>12</v>
      </c>
      <c r="B31" s="226">
        <v>99990010835598</v>
      </c>
      <c r="C31" s="227">
        <v>390282</v>
      </c>
      <c r="D31" s="228" t="s">
        <v>59</v>
      </c>
      <c r="E31" s="229"/>
      <c r="F31" s="229">
        <v>390282</v>
      </c>
      <c r="G31" s="229" t="s">
        <v>51</v>
      </c>
      <c r="H31" s="230">
        <v>0</v>
      </c>
      <c r="I31" s="231">
        <v>2</v>
      </c>
      <c r="J31" s="232">
        <v>1.48</v>
      </c>
      <c r="K31" s="233"/>
      <c r="L31" s="231" t="s">
        <v>23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 t="s">
        <v>235</v>
      </c>
      <c r="Q31" s="236"/>
      <c r="R31" s="237"/>
      <c r="S31" s="238"/>
      <c r="T31" s="239"/>
    </row>
    <row r="32" spans="1:20" ht="24" customHeight="1">
      <c r="A32" s="226">
        <v>13</v>
      </c>
      <c r="B32" s="226">
        <v>99990009874286</v>
      </c>
      <c r="C32" s="227">
        <v>41</v>
      </c>
      <c r="D32" s="228" t="s">
        <v>60</v>
      </c>
      <c r="E32" s="229"/>
      <c r="F32" s="229">
        <v>41</v>
      </c>
      <c r="G32" s="229" t="s">
        <v>43</v>
      </c>
      <c r="H32" s="230">
        <v>0</v>
      </c>
      <c r="I32" s="231">
        <v>1</v>
      </c>
      <c r="J32" s="232">
        <v>0.23</v>
      </c>
      <c r="K32" s="233"/>
      <c r="L32" s="231" t="s">
        <v>23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 t="s">
        <v>236</v>
      </c>
      <c r="Q32" s="236"/>
      <c r="R32" s="237" t="s">
        <v>61</v>
      </c>
      <c r="S32" s="238"/>
      <c r="T32" s="239"/>
    </row>
    <row r="33" spans="1:20" ht="24" customHeight="1">
      <c r="A33" s="226">
        <v>14</v>
      </c>
      <c r="B33" s="226">
        <v>99990009874387</v>
      </c>
      <c r="C33" s="227" t="s">
        <v>62</v>
      </c>
      <c r="D33" s="228" t="s">
        <v>63</v>
      </c>
      <c r="E33" s="229"/>
      <c r="F33" s="229" t="s">
        <v>62</v>
      </c>
      <c r="G33" s="229" t="s">
        <v>48</v>
      </c>
      <c r="H33" s="230">
        <v>0</v>
      </c>
      <c r="I33" s="231">
        <v>2</v>
      </c>
      <c r="J33" s="232">
        <v>1.03</v>
      </c>
      <c r="K33" s="233"/>
      <c r="L33" s="231" t="s">
        <v>23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 t="s">
        <v>231</v>
      </c>
      <c r="Q33" s="236"/>
      <c r="R33" s="237"/>
      <c r="S33" s="238"/>
      <c r="T33" s="239"/>
    </row>
    <row r="34" spans="1:20" ht="24" customHeight="1">
      <c r="A34" s="226">
        <v>15</v>
      </c>
      <c r="B34" s="226">
        <v>99990009875173</v>
      </c>
      <c r="C34" s="227">
        <v>2045909</v>
      </c>
      <c r="D34" s="228" t="s">
        <v>64</v>
      </c>
      <c r="E34" s="229"/>
      <c r="F34" s="229">
        <v>2045909</v>
      </c>
      <c r="G34" s="229" t="s">
        <v>41</v>
      </c>
      <c r="H34" s="230">
        <v>0</v>
      </c>
      <c r="I34" s="231">
        <v>4</v>
      </c>
      <c r="J34" s="232">
        <v>45.59</v>
      </c>
      <c r="K34" s="233"/>
      <c r="L34" s="231" t="s">
        <v>23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/>
      <c r="Q34" s="236"/>
      <c r="R34" s="237"/>
      <c r="S34" s="238"/>
      <c r="T34" s="239"/>
    </row>
    <row r="35" spans="1:20" ht="24" customHeight="1">
      <c r="A35" s="226">
        <v>16</v>
      </c>
      <c r="B35" s="226">
        <v>99990009875171</v>
      </c>
      <c r="C35" s="227" t="s">
        <v>65</v>
      </c>
      <c r="D35" s="228" t="s">
        <v>66</v>
      </c>
      <c r="E35" s="229"/>
      <c r="F35" s="229" t="s">
        <v>65</v>
      </c>
      <c r="G35" s="229" t="s">
        <v>43</v>
      </c>
      <c r="H35" s="230">
        <v>0</v>
      </c>
      <c r="I35" s="231">
        <v>100</v>
      </c>
      <c r="J35" s="232">
        <v>0.01</v>
      </c>
      <c r="K35" s="233"/>
      <c r="L35" s="231" t="s">
        <v>23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 t="s">
        <v>237</v>
      </c>
      <c r="Q35" s="236"/>
      <c r="R35" s="237" t="s">
        <v>67</v>
      </c>
      <c r="S35" s="238"/>
      <c r="T35" s="239"/>
    </row>
    <row r="36" spans="1:20" ht="24" customHeight="1">
      <c r="A36" s="226">
        <v>17</v>
      </c>
      <c r="B36" s="226">
        <v>99990009874860</v>
      </c>
      <c r="C36" s="227">
        <v>65</v>
      </c>
      <c r="D36" s="228" t="s">
        <v>68</v>
      </c>
      <c r="E36" s="229"/>
      <c r="F36" s="229">
        <v>65</v>
      </c>
      <c r="G36" s="229" t="s">
        <v>43</v>
      </c>
      <c r="H36" s="230">
        <v>0</v>
      </c>
      <c r="I36" s="231">
        <v>900</v>
      </c>
      <c r="J36" s="232">
        <v>0.01</v>
      </c>
      <c r="K36" s="233"/>
      <c r="L36" s="231" t="s">
        <v>23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 t="s">
        <v>238</v>
      </c>
      <c r="Q36" s="236"/>
      <c r="R36" s="237" t="s">
        <v>69</v>
      </c>
      <c r="S36" s="238"/>
      <c r="T36" s="239"/>
    </row>
    <row r="37" spans="1:20" ht="24" customHeight="1">
      <c r="A37" s="226">
        <v>18</v>
      </c>
      <c r="B37" s="226">
        <v>99990009873706</v>
      </c>
      <c r="C37" s="227">
        <v>21</v>
      </c>
      <c r="D37" s="228" t="s">
        <v>70</v>
      </c>
      <c r="E37" s="229"/>
      <c r="F37" s="229">
        <v>21</v>
      </c>
      <c r="G37" s="229" t="s">
        <v>43</v>
      </c>
      <c r="H37" s="230">
        <v>0</v>
      </c>
      <c r="I37" s="231">
        <v>10</v>
      </c>
      <c r="J37" s="232">
        <v>0.15</v>
      </c>
      <c r="K37" s="233"/>
      <c r="L37" s="231" t="s">
        <v>23</v>
      </c>
      <c r="M37" s="231">
        <v>0</v>
      </c>
      <c r="N37" s="234">
        <f>ROUND(((I37*J37)-((I37*J37)*L37/100))+(((I37*J37)-((I37*J37)*L37/100))*M37/100),2)</f>
      </c>
      <c r="O37" s="230">
        <f>M11</f>
      </c>
      <c r="P37" s="235"/>
      <c r="Q37" s="236"/>
      <c r="R37" s="237" t="s">
        <v>71</v>
      </c>
      <c r="S37" s="238"/>
      <c r="T37" s="239"/>
    </row>
    <row r="38" spans="1:20" ht="24" customHeight="1">
      <c r="A38" s="226">
        <v>19</v>
      </c>
      <c r="B38" s="226">
        <v>99990009873749</v>
      </c>
      <c r="C38" s="227" t="s">
        <v>72</v>
      </c>
      <c r="D38" s="228" t="s">
        <v>73</v>
      </c>
      <c r="E38" s="229"/>
      <c r="F38" s="229" t="s">
        <v>72</v>
      </c>
      <c r="G38" s="229" t="s">
        <v>51</v>
      </c>
      <c r="H38" s="230">
        <v>0</v>
      </c>
      <c r="I38" s="231">
        <v>1</v>
      </c>
      <c r="J38" s="232">
        <v>1.03</v>
      </c>
      <c r="K38" s="233"/>
      <c r="L38" s="231" t="s">
        <v>23</v>
      </c>
      <c r="M38" s="231">
        <v>0</v>
      </c>
      <c r="N38" s="234">
        <f>ROUND(((I38*J38)-((I38*J38)*L38/100))+(((I38*J38)-((I38*J38)*L38/100))*M38/100),2)</f>
      </c>
      <c r="O38" s="230">
        <f>M11</f>
      </c>
      <c r="P38" s="235" t="s">
        <v>239</v>
      </c>
      <c r="Q38" s="236"/>
      <c r="R38" s="237"/>
      <c r="S38" s="238"/>
      <c r="T38" s="239"/>
    </row>
    <row r="39" spans="1:20" ht="24" customHeight="1">
      <c r="A39" s="226">
        <v>20</v>
      </c>
      <c r="B39" s="226">
        <v>99990010101091</v>
      </c>
      <c r="C39" s="227">
        <v>2318677</v>
      </c>
      <c r="D39" s="228" t="s">
        <v>74</v>
      </c>
      <c r="E39" s="229"/>
      <c r="F39" s="229">
        <v>2318677</v>
      </c>
      <c r="G39" s="229" t="s">
        <v>51</v>
      </c>
      <c r="H39" s="230">
        <v>0</v>
      </c>
      <c r="I39" s="231">
        <v>6</v>
      </c>
      <c r="J39" s="232">
        <v>0.57</v>
      </c>
      <c r="K39" s="233"/>
      <c r="L39" s="231" t="s">
        <v>23</v>
      </c>
      <c r="M39" s="231">
        <v>0</v>
      </c>
      <c r="N39" s="234">
        <f>ROUND(((I39*J39)-((I39*J39)*L39/100))+(((I39*J39)-((I39*J39)*L39/100))*M39/100),2)</f>
      </c>
      <c r="O39" s="230">
        <f>M11</f>
      </c>
      <c r="P39" s="235" t="s">
        <v>240</v>
      </c>
      <c r="Q39" s="236"/>
      <c r="R39" s="237"/>
      <c r="S39" s="238"/>
      <c r="T39" s="239"/>
    </row>
    <row r="40" spans="1:20" ht="24" customHeight="1">
      <c r="A40" s="226">
        <v>21</v>
      </c>
      <c r="B40" s="226">
        <v>99990010835287</v>
      </c>
      <c r="C40" s="227">
        <v>390668</v>
      </c>
      <c r="D40" s="228" t="s">
        <v>75</v>
      </c>
      <c r="E40" s="229"/>
      <c r="F40" s="229">
        <v>390668</v>
      </c>
      <c r="G40" s="229" t="s">
        <v>51</v>
      </c>
      <c r="H40" s="230">
        <v>0</v>
      </c>
      <c r="I40" s="231">
        <v>10</v>
      </c>
      <c r="J40" s="232">
        <v>14.82</v>
      </c>
      <c r="K40" s="233"/>
      <c r="L40" s="231" t="s">
        <v>23</v>
      </c>
      <c r="M40" s="231">
        <v>0</v>
      </c>
      <c r="N40" s="234">
        <f>ROUND(((I40*J40)-((I40*J40)*L40/100))+(((I40*J40)-((I40*J40)*L40/100))*M40/100),2)</f>
      </c>
      <c r="O40" s="230">
        <f>M11</f>
      </c>
      <c r="P40" s="235" t="s">
        <v>241</v>
      </c>
      <c r="Q40" s="236"/>
      <c r="R40" s="237"/>
      <c r="S40" s="238"/>
      <c r="T40" s="239"/>
    </row>
    <row r="41" spans="1:20" ht="24" customHeight="1">
      <c r="A41" s="226">
        <v>22</v>
      </c>
      <c r="B41" s="226">
        <v>99990009873484</v>
      </c>
      <c r="C41" s="227">
        <v>2080382</v>
      </c>
      <c r="D41" s="228" t="s">
        <v>76</v>
      </c>
      <c r="E41" s="229"/>
      <c r="F41" s="229">
        <v>2080382</v>
      </c>
      <c r="G41" s="229" t="s">
        <v>43</v>
      </c>
      <c r="H41" s="230">
        <v>0</v>
      </c>
      <c r="I41" s="231">
        <v>50</v>
      </c>
      <c r="J41" s="232">
        <v>0.02</v>
      </c>
      <c r="K41" s="233"/>
      <c r="L41" s="231" t="s">
        <v>23</v>
      </c>
      <c r="M41" s="231">
        <v>0</v>
      </c>
      <c r="N41" s="234">
        <f>ROUND(((I41*J41)-((I41*J41)*L41/100))+(((I41*J41)-((I41*J41)*L41/100))*M41/100),2)</f>
      </c>
      <c r="O41" s="230">
        <f>M11</f>
      </c>
      <c r="P41" s="235"/>
      <c r="Q41" s="236"/>
      <c r="R41" s="237"/>
      <c r="S41" s="238"/>
      <c r="T41" s="239"/>
    </row>
    <row r="42" spans="1:20" ht="24" customHeight="1">
      <c r="A42" s="226">
        <v>23</v>
      </c>
      <c r="B42" s="226">
        <v>99990012029364</v>
      </c>
      <c r="C42" s="227" t="s">
        <v>77</v>
      </c>
      <c r="D42" s="228" t="s">
        <v>78</v>
      </c>
      <c r="E42" s="229"/>
      <c r="F42" s="229" t="s">
        <v>79</v>
      </c>
      <c r="G42" s="229" t="s">
        <v>43</v>
      </c>
      <c r="H42" s="230">
        <v>0</v>
      </c>
      <c r="I42" s="231">
        <v>20</v>
      </c>
      <c r="J42" s="232">
        <v>0.68</v>
      </c>
      <c r="K42" s="233"/>
      <c r="L42" s="231" t="s">
        <v>23</v>
      </c>
      <c r="M42" s="231">
        <v>0</v>
      </c>
      <c r="N42" s="234">
        <f>ROUND(((I42*J42)-((I42*J42)*L42/100))+(((I42*J42)-((I42*J42)*L42/100))*M42/100),2)</f>
      </c>
      <c r="O42" s="230">
        <f>M11</f>
      </c>
      <c r="P42" s="235" t="s">
        <v>242</v>
      </c>
      <c r="Q42" s="236"/>
      <c r="R42" s="237" t="s">
        <v>80</v>
      </c>
      <c r="S42" s="238"/>
      <c r="T42" s="239"/>
    </row>
    <row r="43" spans="1:20" ht="24" customHeight="1">
      <c r="A43" s="226">
        <v>24</v>
      </c>
      <c r="B43" s="226">
        <v>99990009874149</v>
      </c>
      <c r="C43" s="227" t="s">
        <v>81</v>
      </c>
      <c r="D43" s="228" t="s">
        <v>82</v>
      </c>
      <c r="E43" s="229"/>
      <c r="F43" s="229" t="s">
        <v>81</v>
      </c>
      <c r="G43" s="229" t="s">
        <v>43</v>
      </c>
      <c r="H43" s="230">
        <v>0</v>
      </c>
      <c r="I43" s="231">
        <v>10</v>
      </c>
      <c r="J43" s="232">
        <v>0.27</v>
      </c>
      <c r="K43" s="233"/>
      <c r="L43" s="231" t="s">
        <v>23</v>
      </c>
      <c r="M43" s="231">
        <v>0</v>
      </c>
      <c r="N43" s="234">
        <f>ROUND(((I43*J43)-((I43*J43)*L43/100))+(((I43*J43)-((I43*J43)*L43/100))*M43/100),2)</f>
      </c>
      <c r="O43" s="230">
        <f>M11</f>
      </c>
      <c r="P43" s="235" t="s">
        <v>243</v>
      </c>
      <c r="Q43" s="236"/>
      <c r="R43" s="237"/>
      <c r="S43" s="238"/>
      <c r="T43" s="239"/>
    </row>
    <row r="44" spans="1:20" ht="24" customHeight="1">
      <c r="A44" s="226">
        <v>25</v>
      </c>
      <c r="B44" s="226">
        <v>99990009874819</v>
      </c>
      <c r="C44" s="227">
        <v>2068518</v>
      </c>
      <c r="D44" s="228" t="s">
        <v>83</v>
      </c>
      <c r="E44" s="229"/>
      <c r="F44" s="229">
        <v>2068518</v>
      </c>
      <c r="G44" s="229" t="s">
        <v>43</v>
      </c>
      <c r="H44" s="230">
        <v>0</v>
      </c>
      <c r="I44" s="231">
        <v>50</v>
      </c>
      <c r="J44" s="232">
        <v>0.07</v>
      </c>
      <c r="K44" s="233"/>
      <c r="L44" s="231" t="s">
        <v>23</v>
      </c>
      <c r="M44" s="231">
        <v>0</v>
      </c>
      <c r="N44" s="234">
        <f>ROUND(((I44*J44)-((I44*J44)*L44/100))+(((I44*J44)-((I44*J44)*L44/100))*M44/100),2)</f>
      </c>
      <c r="O44" s="230">
        <f>M11</f>
      </c>
      <c r="P44" s="235" t="s">
        <v>244</v>
      </c>
      <c r="Q44" s="236"/>
      <c r="R44" s="237" t="s">
        <v>67</v>
      </c>
      <c r="S44" s="238"/>
      <c r="T44" s="239"/>
    </row>
    <row r="45" spans="1:20" ht="24" customHeight="1">
      <c r="A45" s="226">
        <v>26</v>
      </c>
      <c r="B45" s="226">
        <v>99990010835586</v>
      </c>
      <c r="C45" s="227">
        <v>390246</v>
      </c>
      <c r="D45" s="228" t="s">
        <v>84</v>
      </c>
      <c r="E45" s="229"/>
      <c r="F45" s="229">
        <v>390246</v>
      </c>
      <c r="G45" s="229" t="s">
        <v>51</v>
      </c>
      <c r="H45" s="230">
        <v>0</v>
      </c>
      <c r="I45" s="231">
        <v>1</v>
      </c>
      <c r="J45" s="232">
        <v>1.03</v>
      </c>
      <c r="K45" s="233"/>
      <c r="L45" s="231" t="s">
        <v>23</v>
      </c>
      <c r="M45" s="231">
        <v>0</v>
      </c>
      <c r="N45" s="234">
        <f>ROUND(((I45*J45)-((I45*J45)*L45/100))+(((I45*J45)-((I45*J45)*L45/100))*M45/100),2)</f>
      </c>
      <c r="O45" s="230">
        <f>M11</f>
      </c>
      <c r="P45" s="235" t="s">
        <v>245</v>
      </c>
      <c r="Q45" s="236"/>
      <c r="R45" s="237"/>
      <c r="S45" s="238"/>
      <c r="T45" s="239"/>
    </row>
    <row r="46" spans="1:20" ht="24" customHeight="1">
      <c r="A46" s="226">
        <v>27</v>
      </c>
      <c r="B46" s="226">
        <v>99990010835581</v>
      </c>
      <c r="C46" s="227">
        <v>390238</v>
      </c>
      <c r="D46" s="228" t="s">
        <v>85</v>
      </c>
      <c r="E46" s="229"/>
      <c r="F46" s="229">
        <v>390238</v>
      </c>
      <c r="G46" s="229" t="s">
        <v>86</v>
      </c>
      <c r="H46" s="230">
        <v>0</v>
      </c>
      <c r="I46" s="231">
        <v>10</v>
      </c>
      <c r="J46" s="232">
        <v>0.8</v>
      </c>
      <c r="K46" s="233"/>
      <c r="L46" s="231" t="s">
        <v>23</v>
      </c>
      <c r="M46" s="231">
        <v>0</v>
      </c>
      <c r="N46" s="234">
        <f>ROUND(((I46*J46)-((I46*J46)*L46/100))+(((I46*J46)-((I46*J46)*L46/100))*M46/100),2)</f>
      </c>
      <c r="O46" s="230">
        <f>M11</f>
      </c>
      <c r="P46" s="235" t="s">
        <v>246</v>
      </c>
      <c r="Q46" s="236"/>
      <c r="R46" s="237"/>
      <c r="S46" s="238"/>
      <c r="T46" s="239"/>
    </row>
    <row r="47" spans="1:20" ht="24" customHeight="1">
      <c r="A47" s="226">
        <v>28</v>
      </c>
      <c r="B47" s="226">
        <v>99990009873813</v>
      </c>
      <c r="C47" s="227">
        <v>2080389</v>
      </c>
      <c r="D47" s="228" t="s">
        <v>87</v>
      </c>
      <c r="E47" s="229"/>
      <c r="F47" s="229">
        <v>2080389</v>
      </c>
      <c r="G47" s="229" t="s">
        <v>43</v>
      </c>
      <c r="H47" s="230">
        <v>0</v>
      </c>
      <c r="I47" s="231">
        <v>10</v>
      </c>
      <c r="J47" s="232">
        <v>0.91</v>
      </c>
      <c r="K47" s="233"/>
      <c r="L47" s="231" t="s">
        <v>23</v>
      </c>
      <c r="M47" s="231">
        <v>0</v>
      </c>
      <c r="N47" s="234">
        <f>ROUND(((I47*J47)-((I47*J47)*L47/100))+(((I47*J47)-((I47*J47)*L47/100))*M47/100),2)</f>
      </c>
      <c r="O47" s="230">
        <f>M11</f>
      </c>
      <c r="P47" s="235"/>
      <c r="Q47" s="236"/>
      <c r="R47" s="237"/>
      <c r="S47" s="238"/>
      <c r="T47" s="239"/>
    </row>
    <row r="48" spans="1:20" ht="24" customHeight="1">
      <c r="A48" s="226">
        <v>29</v>
      </c>
      <c r="B48" s="226">
        <v>99990010835081</v>
      </c>
      <c r="C48" s="227">
        <v>391817</v>
      </c>
      <c r="D48" s="228" t="s">
        <v>88</v>
      </c>
      <c r="E48" s="229"/>
      <c r="F48" s="229">
        <v>391817</v>
      </c>
      <c r="G48" s="229" t="s">
        <v>43</v>
      </c>
      <c r="H48" s="230">
        <v>0</v>
      </c>
      <c r="I48" s="231">
        <v>12</v>
      </c>
      <c r="J48" s="232">
        <v>0.41</v>
      </c>
      <c r="K48" s="233"/>
      <c r="L48" s="231" t="s">
        <v>23</v>
      </c>
      <c r="M48" s="231">
        <v>0</v>
      </c>
      <c r="N48" s="234">
        <f>ROUND(((I48*J48)-((I48*J48)*L48/100))+(((I48*J48)-((I48*J48)*L48/100))*M48/100),2)</f>
      </c>
      <c r="O48" s="230">
        <f>M11</f>
      </c>
      <c r="P48" s="235"/>
      <c r="Q48" s="236"/>
      <c r="R48" s="237"/>
      <c r="S48" s="238"/>
      <c r="T48" s="239"/>
    </row>
    <row r="49" spans="1:20" ht="24" customHeight="1">
      <c r="A49" s="226">
        <v>30</v>
      </c>
      <c r="B49" s="226">
        <v>99990010835082</v>
      </c>
      <c r="C49" s="227">
        <v>391836</v>
      </c>
      <c r="D49" s="228" t="s">
        <v>89</v>
      </c>
      <c r="E49" s="229"/>
      <c r="F49" s="229">
        <v>391836</v>
      </c>
      <c r="G49" s="229" t="s">
        <v>43</v>
      </c>
      <c r="H49" s="230">
        <v>0</v>
      </c>
      <c r="I49" s="231">
        <v>12</v>
      </c>
      <c r="J49" s="232">
        <v>0.46</v>
      </c>
      <c r="K49" s="233"/>
      <c r="L49" s="231" t="s">
        <v>23</v>
      </c>
      <c r="M49" s="231">
        <v>0</v>
      </c>
      <c r="N49" s="234">
        <f>ROUND(((I49*J49)-((I49*J49)*L49/100))+(((I49*J49)-((I49*J49)*L49/100))*M49/100),2)</f>
      </c>
      <c r="O49" s="230">
        <f>M11</f>
      </c>
      <c r="P49" s="235"/>
      <c r="Q49" s="236"/>
      <c r="R49" s="237"/>
      <c r="S49" s="238"/>
      <c r="T49" s="239"/>
    </row>
    <row r="50" spans="1:20" ht="24" customHeight="1">
      <c r="A50" s="226">
        <v>31</v>
      </c>
      <c r="B50" s="226">
        <v>99990010835083</v>
      </c>
      <c r="C50" s="227">
        <v>391843</v>
      </c>
      <c r="D50" s="228" t="s">
        <v>90</v>
      </c>
      <c r="E50" s="229"/>
      <c r="F50" s="229">
        <v>391843</v>
      </c>
      <c r="G50" s="229" t="s">
        <v>43</v>
      </c>
      <c r="H50" s="230">
        <v>0</v>
      </c>
      <c r="I50" s="231">
        <v>12</v>
      </c>
      <c r="J50" s="232">
        <v>0.52</v>
      </c>
      <c r="K50" s="233"/>
      <c r="L50" s="231" t="s">
        <v>23</v>
      </c>
      <c r="M50" s="231">
        <v>0</v>
      </c>
      <c r="N50" s="234">
        <f>ROUND(((I50*J50)-((I50*J50)*L50/100))+(((I50*J50)-((I50*J50)*L50/100))*M50/100),2)</f>
      </c>
      <c r="O50" s="230">
        <f>M11</f>
      </c>
      <c r="P50" s="235"/>
      <c r="Q50" s="236"/>
      <c r="R50" s="237"/>
      <c r="S50" s="238"/>
      <c r="T50" s="239"/>
    </row>
    <row r="51" spans="1:20" ht="24" customHeight="1">
      <c r="A51" s="226">
        <v>32</v>
      </c>
      <c r="B51" s="226">
        <v>99990009874022</v>
      </c>
      <c r="C51" s="227" t="s">
        <v>91</v>
      </c>
      <c r="D51" s="228" t="s">
        <v>92</v>
      </c>
      <c r="E51" s="229"/>
      <c r="F51" s="229" t="s">
        <v>91</v>
      </c>
      <c r="G51" s="229" t="s">
        <v>43</v>
      </c>
      <c r="H51" s="230">
        <v>0</v>
      </c>
      <c r="I51" s="231">
        <v>1</v>
      </c>
      <c r="J51" s="232">
        <v>5.7</v>
      </c>
      <c r="K51" s="233"/>
      <c r="L51" s="231" t="s">
        <v>23</v>
      </c>
      <c r="M51" s="231">
        <v>0</v>
      </c>
      <c r="N51" s="234">
        <f>ROUND(((I51*J51)-((I51*J51)*L51/100))+(((I51*J51)-((I51*J51)*L51/100))*M51/100),2)</f>
      </c>
      <c r="O51" s="230">
        <f>M11</f>
      </c>
      <c r="P51" s="235" t="s">
        <v>247</v>
      </c>
      <c r="Q51" s="236"/>
      <c r="R51" s="237"/>
      <c r="S51" s="238"/>
      <c r="T51" s="239"/>
    </row>
    <row r="52" spans="1:20" ht="24" customHeight="1">
      <c r="A52" s="226">
        <v>33</v>
      </c>
      <c r="B52" s="226">
        <v>99990009874427</v>
      </c>
      <c r="C52" s="227">
        <v>2046035</v>
      </c>
      <c r="D52" s="228" t="s">
        <v>93</v>
      </c>
      <c r="E52" s="229"/>
      <c r="F52" s="229">
        <v>2046035</v>
      </c>
      <c r="G52" s="229" t="s">
        <v>51</v>
      </c>
      <c r="H52" s="230">
        <v>0</v>
      </c>
      <c r="I52" s="231">
        <v>1</v>
      </c>
      <c r="J52" s="232">
        <v>6.04</v>
      </c>
      <c r="K52" s="233"/>
      <c r="L52" s="231" t="s">
        <v>23</v>
      </c>
      <c r="M52" s="231">
        <v>0</v>
      </c>
      <c r="N52" s="234">
        <f>ROUND(((I52*J52)-((I52*J52)*L52/100))+(((I52*J52)-((I52*J52)*L52/100))*M52/100),2)</f>
      </c>
      <c r="O52" s="230">
        <f>M11</f>
      </c>
      <c r="P52" s="235"/>
      <c r="Q52" s="236"/>
      <c r="R52" s="237"/>
      <c r="S52" s="238"/>
      <c r="T52" s="239"/>
    </row>
    <row r="53" spans="1:20" ht="24" customHeight="1">
      <c r="A53" s="226">
        <v>34</v>
      </c>
      <c r="B53" s="226">
        <v>99990009874216</v>
      </c>
      <c r="C53" s="227" t="s">
        <v>94</v>
      </c>
      <c r="D53" s="228" t="s">
        <v>95</v>
      </c>
      <c r="E53" s="229"/>
      <c r="F53" s="229" t="s">
        <v>94</v>
      </c>
      <c r="G53" s="229" t="s">
        <v>51</v>
      </c>
      <c r="H53" s="230">
        <v>0</v>
      </c>
      <c r="I53" s="231">
        <v>4</v>
      </c>
      <c r="J53" s="232">
        <v>4.56</v>
      </c>
      <c r="K53" s="233"/>
      <c r="L53" s="231" t="s">
        <v>23</v>
      </c>
      <c r="M53" s="231">
        <v>0</v>
      </c>
      <c r="N53" s="234">
        <f>ROUND(((I53*J53)-((I53*J53)*L53/100))+(((I53*J53)-((I53*J53)*L53/100))*M53/100),2)</f>
      </c>
      <c r="O53" s="230">
        <f>M11</f>
      </c>
      <c r="P53" s="235" t="s">
        <v>248</v>
      </c>
      <c r="Q53" s="236"/>
      <c r="R53" s="237"/>
      <c r="S53" s="238"/>
      <c r="T53" s="239"/>
    </row>
    <row r="54" spans="1:20" ht="24" customHeight="1">
      <c r="A54" s="226">
        <v>35</v>
      </c>
      <c r="B54" s="226">
        <v>99990011606269</v>
      </c>
      <c r="C54" s="227">
        <v>2584360</v>
      </c>
      <c r="D54" s="228" t="s">
        <v>96</v>
      </c>
      <c r="E54" s="229"/>
      <c r="F54" s="229">
        <v>2584360</v>
      </c>
      <c r="G54" s="229" t="s">
        <v>43</v>
      </c>
      <c r="H54" s="230">
        <v>0</v>
      </c>
      <c r="I54" s="231">
        <v>9</v>
      </c>
      <c r="J54" s="232">
        <v>0.8</v>
      </c>
      <c r="K54" s="233"/>
      <c r="L54" s="231" t="s">
        <v>23</v>
      </c>
      <c r="M54" s="231">
        <v>0</v>
      </c>
      <c r="N54" s="234">
        <f>ROUND(((I54*J54)-((I54*J54)*L54/100))+(((I54*J54)-((I54*J54)*L54/100))*M54/100),2)</f>
      </c>
      <c r="O54" s="230">
        <f>M11</f>
      </c>
      <c r="P54" s="235" t="s">
        <v>249</v>
      </c>
      <c r="Q54" s="236"/>
      <c r="R54" s="237"/>
      <c r="S54" s="238"/>
      <c r="T54" s="239"/>
    </row>
    <row r="55" spans="1:20" ht="24" customHeight="1">
      <c r="A55" s="226">
        <v>36</v>
      </c>
      <c r="B55" s="226">
        <v>99990010835179</v>
      </c>
      <c r="C55" s="227">
        <v>391946</v>
      </c>
      <c r="D55" s="228" t="s">
        <v>97</v>
      </c>
      <c r="E55" s="229"/>
      <c r="F55" s="229">
        <v>391946</v>
      </c>
      <c r="G55" s="229" t="s">
        <v>51</v>
      </c>
      <c r="H55" s="230">
        <v>0</v>
      </c>
      <c r="I55" s="231">
        <v>5</v>
      </c>
      <c r="J55" s="232">
        <v>1.14</v>
      </c>
      <c r="K55" s="233"/>
      <c r="L55" s="231" t="s">
        <v>23</v>
      </c>
      <c r="M55" s="231">
        <v>0</v>
      </c>
      <c r="N55" s="234">
        <f>ROUND(((I55*J55)-((I55*J55)*L55/100))+(((I55*J55)-((I55*J55)*L55/100))*M55/100),2)</f>
      </c>
      <c r="O55" s="230">
        <f>M11</f>
      </c>
      <c r="P55" s="235" t="s">
        <v>250</v>
      </c>
      <c r="Q55" s="236"/>
      <c r="R55" s="237"/>
      <c r="S55" s="238"/>
      <c r="T55" s="239"/>
    </row>
    <row r="56" spans="1:20" ht="24" customHeight="1">
      <c r="A56" s="226">
        <v>37</v>
      </c>
      <c r="B56" s="226">
        <v>99990009874632</v>
      </c>
      <c r="C56" s="227" t="s">
        <v>98</v>
      </c>
      <c r="D56" s="228" t="s">
        <v>99</v>
      </c>
      <c r="E56" s="229"/>
      <c r="F56" s="229" t="s">
        <v>98</v>
      </c>
      <c r="G56" s="229" t="s">
        <v>100</v>
      </c>
      <c r="H56" s="230">
        <v>0</v>
      </c>
      <c r="I56" s="231">
        <v>18</v>
      </c>
      <c r="J56" s="232">
        <v>1.94</v>
      </c>
      <c r="K56" s="233"/>
      <c r="L56" s="231" t="s">
        <v>23</v>
      </c>
      <c r="M56" s="231">
        <v>0</v>
      </c>
      <c r="N56" s="234">
        <f>ROUND(((I56*J56)-((I56*J56)*L56/100))+(((I56*J56)-((I56*J56)*L56/100))*M56/100),2)</f>
      </c>
      <c r="O56" s="230">
        <f>M11</f>
      </c>
      <c r="P56" s="235" t="s">
        <v>251</v>
      </c>
      <c r="Q56" s="236"/>
      <c r="R56" s="237"/>
      <c r="S56" s="238"/>
      <c r="T56" s="239"/>
    </row>
    <row r="57" spans="1:20" ht="24" customHeight="1">
      <c r="A57" s="226">
        <v>38</v>
      </c>
      <c r="B57" s="226">
        <v>99990009874904</v>
      </c>
      <c r="C57" s="227">
        <v>2080386</v>
      </c>
      <c r="D57" s="228" t="s">
        <v>101</v>
      </c>
      <c r="E57" s="229"/>
      <c r="F57" s="229">
        <v>2080386</v>
      </c>
      <c r="G57" s="229" t="s">
        <v>43</v>
      </c>
      <c r="H57" s="230">
        <v>0</v>
      </c>
      <c r="I57" s="231">
        <v>24</v>
      </c>
      <c r="J57" s="232">
        <v>0.52</v>
      </c>
      <c r="K57" s="233"/>
      <c r="L57" s="231" t="s">
        <v>23</v>
      </c>
      <c r="M57" s="231">
        <v>0</v>
      </c>
      <c r="N57" s="234">
        <f>ROUND(((I57*J57)-((I57*J57)*L57/100))+(((I57*J57)-((I57*J57)*L57/100))*M57/100),2)</f>
      </c>
      <c r="O57" s="230">
        <f>M11</f>
      </c>
      <c r="P57" s="235" t="s">
        <v>252</v>
      </c>
      <c r="Q57" s="236"/>
      <c r="R57" s="237"/>
      <c r="S57" s="238"/>
      <c r="T57" s="239"/>
    </row>
    <row r="58" spans="1:20" ht="24" customHeight="1">
      <c r="A58" s="226">
        <v>39</v>
      </c>
      <c r="B58" s="226">
        <v>99990010835000</v>
      </c>
      <c r="C58" s="227">
        <v>391702</v>
      </c>
      <c r="D58" s="228" t="s">
        <v>102</v>
      </c>
      <c r="E58" s="229"/>
      <c r="F58" s="229">
        <v>391702</v>
      </c>
      <c r="G58" s="229" t="s">
        <v>51</v>
      </c>
      <c r="H58" s="230">
        <v>0</v>
      </c>
      <c r="I58" s="231">
        <v>1</v>
      </c>
      <c r="J58" s="232">
        <v>1.03</v>
      </c>
      <c r="K58" s="233"/>
      <c r="L58" s="231" t="s">
        <v>23</v>
      </c>
      <c r="M58" s="231">
        <v>0</v>
      </c>
      <c r="N58" s="234">
        <f>ROUND(((I58*J58)-((I58*J58)*L58/100))+(((I58*J58)-((I58*J58)*L58/100))*M58/100),2)</f>
      </c>
      <c r="O58" s="230">
        <f>M11</f>
      </c>
      <c r="P58" s="235" t="s">
        <v>253</v>
      </c>
      <c r="Q58" s="236"/>
      <c r="R58" s="237" t="s">
        <v>103</v>
      </c>
      <c r="S58" s="238"/>
      <c r="T58" s="239"/>
    </row>
    <row r="59" spans="1:20" ht="24" customHeight="1">
      <c r="A59" s="226">
        <v>40</v>
      </c>
      <c r="B59" s="226">
        <v>99990011512501</v>
      </c>
      <c r="C59" s="227">
        <v>2564342</v>
      </c>
      <c r="D59" s="228" t="s">
        <v>104</v>
      </c>
      <c r="E59" s="229"/>
      <c r="F59" s="229">
        <v>2564342</v>
      </c>
      <c r="G59" s="229" t="s">
        <v>51</v>
      </c>
      <c r="H59" s="230">
        <v>0</v>
      </c>
      <c r="I59" s="231">
        <v>5</v>
      </c>
      <c r="J59" s="232">
        <v>4.79</v>
      </c>
      <c r="K59" s="233"/>
      <c r="L59" s="231" t="s">
        <v>23</v>
      </c>
      <c r="M59" s="231">
        <v>0</v>
      </c>
      <c r="N59" s="234">
        <f>ROUND(((I59*J59)-((I59*J59)*L59/100))+(((I59*J59)-((I59*J59)*L59/100))*M59/100),2)</f>
      </c>
      <c r="O59" s="230">
        <f>M11</f>
      </c>
      <c r="P59" s="235" t="s">
        <v>254</v>
      </c>
      <c r="Q59" s="236"/>
      <c r="R59" s="237"/>
      <c r="S59" s="238"/>
      <c r="T59" s="239"/>
    </row>
    <row r="60" spans="1:20" ht="24" customHeight="1">
      <c r="A60" s="226">
        <v>41</v>
      </c>
      <c r="B60" s="226">
        <v>99990010835028</v>
      </c>
      <c r="C60" s="227">
        <v>391728</v>
      </c>
      <c r="D60" s="228" t="s">
        <v>105</v>
      </c>
      <c r="E60" s="229"/>
      <c r="F60" s="229">
        <v>391728</v>
      </c>
      <c r="G60" s="229" t="s">
        <v>51</v>
      </c>
      <c r="H60" s="230">
        <v>0</v>
      </c>
      <c r="I60" s="231">
        <v>1</v>
      </c>
      <c r="J60" s="232">
        <v>0.57</v>
      </c>
      <c r="K60" s="233"/>
      <c r="L60" s="231" t="s">
        <v>23</v>
      </c>
      <c r="M60" s="231">
        <v>0</v>
      </c>
      <c r="N60" s="234">
        <f>ROUND(((I60*J60)-((I60*J60)*L60/100))+(((I60*J60)-((I60*J60)*L60/100))*M60/100),2)</f>
      </c>
      <c r="O60" s="230">
        <f>M11</f>
      </c>
      <c r="P60" s="235"/>
      <c r="Q60" s="236"/>
      <c r="R60" s="237" t="s">
        <v>106</v>
      </c>
      <c r="S60" s="238"/>
      <c r="T60" s="239"/>
    </row>
    <row r="61" spans="1:20" ht="24" customHeight="1">
      <c r="A61" s="226">
        <v>42</v>
      </c>
      <c r="B61" s="226">
        <v>99990009874705</v>
      </c>
      <c r="C61" s="227" t="s">
        <v>107</v>
      </c>
      <c r="D61" s="228" t="s">
        <v>108</v>
      </c>
      <c r="E61" s="229"/>
      <c r="F61" s="229" t="s">
        <v>107</v>
      </c>
      <c r="G61" s="229" t="s">
        <v>109</v>
      </c>
      <c r="H61" s="230">
        <v>0</v>
      </c>
      <c r="I61" s="231">
        <v>3</v>
      </c>
      <c r="J61" s="232">
        <v>0.57</v>
      </c>
      <c r="K61" s="233"/>
      <c r="L61" s="231" t="s">
        <v>23</v>
      </c>
      <c r="M61" s="231">
        <v>0</v>
      </c>
      <c r="N61" s="234">
        <f>ROUND(((I61*J61)-((I61*J61)*L61/100))+(((I61*J61)-((I61*J61)*L61/100))*M61/100),2)</f>
      </c>
      <c r="O61" s="230">
        <f>M11</f>
      </c>
      <c r="P61" s="235" t="s">
        <v>234</v>
      </c>
      <c r="Q61" s="236"/>
      <c r="R61" s="237"/>
      <c r="S61" s="238"/>
      <c r="T61" s="239"/>
    </row>
    <row r="62" spans="1:20" ht="24" customHeight="1">
      <c r="A62" s="226">
        <v>43</v>
      </c>
      <c r="B62" s="226">
        <v>99990009873707</v>
      </c>
      <c r="C62" s="227" t="s">
        <v>110</v>
      </c>
      <c r="D62" s="228" t="s">
        <v>111</v>
      </c>
      <c r="E62" s="229"/>
      <c r="F62" s="229" t="s">
        <v>110</v>
      </c>
      <c r="G62" s="229" t="s">
        <v>43</v>
      </c>
      <c r="H62" s="230">
        <v>0</v>
      </c>
      <c r="I62" s="231">
        <v>200</v>
      </c>
      <c r="J62" s="232">
        <v>0.03</v>
      </c>
      <c r="K62" s="233"/>
      <c r="L62" s="231" t="s">
        <v>23</v>
      </c>
      <c r="M62" s="231">
        <v>0</v>
      </c>
      <c r="N62" s="234">
        <f>ROUND(((I62*J62)-((I62*J62)*L62/100))+(((I62*J62)-((I62*J62)*L62/100))*M62/100),2)</f>
      </c>
      <c r="O62" s="230">
        <f>M11</f>
      </c>
      <c r="P62" s="235"/>
      <c r="Q62" s="236"/>
      <c r="R62" s="237" t="s">
        <v>112</v>
      </c>
      <c r="S62" s="238"/>
      <c r="T62" s="239"/>
    </row>
    <row r="63" spans="1:20" ht="24" customHeight="1">
      <c r="A63" s="226">
        <v>44</v>
      </c>
      <c r="B63" s="226">
        <v>99990009873486</v>
      </c>
      <c r="C63" s="227">
        <v>2080380</v>
      </c>
      <c r="D63" s="228" t="s">
        <v>113</v>
      </c>
      <c r="E63" s="229"/>
      <c r="F63" s="229">
        <v>2080380</v>
      </c>
      <c r="G63" s="229" t="s">
        <v>48</v>
      </c>
      <c r="H63" s="230">
        <v>0</v>
      </c>
      <c r="I63" s="231">
        <v>10</v>
      </c>
      <c r="J63" s="232">
        <v>0.46</v>
      </c>
      <c r="K63" s="233"/>
      <c r="L63" s="231" t="s">
        <v>23</v>
      </c>
      <c r="M63" s="231">
        <v>0</v>
      </c>
      <c r="N63" s="234">
        <f>ROUND(((I63*J63)-((I63*J63)*L63/100))+(((I63*J63)-((I63*J63)*L63/100))*M63/100),2)</f>
      </c>
      <c r="O63" s="230">
        <f>M11</f>
      </c>
      <c r="P63" s="235" t="s">
        <v>255</v>
      </c>
      <c r="Q63" s="236"/>
      <c r="R63" s="237"/>
      <c r="S63" s="238"/>
      <c r="T63" s="239"/>
    </row>
    <row r="64" spans="1:20" ht="24" customHeight="1">
      <c r="A64" s="226">
        <v>45</v>
      </c>
      <c r="B64" s="226">
        <v>99990010625980</v>
      </c>
      <c r="C64" s="227">
        <v>2379672</v>
      </c>
      <c r="D64" s="228" t="s">
        <v>114</v>
      </c>
      <c r="E64" s="229"/>
      <c r="F64" s="229" t="s">
        <v>115</v>
      </c>
      <c r="G64" s="229" t="s">
        <v>48</v>
      </c>
      <c r="H64" s="230">
        <v>0</v>
      </c>
      <c r="I64" s="231">
        <v>10</v>
      </c>
      <c r="J64" s="232">
        <v>1.48</v>
      </c>
      <c r="K64" s="233"/>
      <c r="L64" s="231" t="s">
        <v>23</v>
      </c>
      <c r="M64" s="231">
        <v>0</v>
      </c>
      <c r="N64" s="234">
        <f>ROUND(((I64*J64)-((I64*J64)*L64/100))+(((I64*J64)-((I64*J64)*L64/100))*M64/100),2)</f>
      </c>
      <c r="O64" s="230">
        <f>M11</f>
      </c>
      <c r="P64" s="235" t="s">
        <v>232</v>
      </c>
      <c r="Q64" s="236"/>
      <c r="R64" s="237"/>
      <c r="S64" s="238"/>
      <c r="T64" s="239"/>
    </row>
    <row r="65" spans="1:20" ht="24" customHeight="1">
      <c r="A65" s="226">
        <v>46</v>
      </c>
      <c r="B65" s="226">
        <v>99990009873720</v>
      </c>
      <c r="C65" s="227">
        <v>24</v>
      </c>
      <c r="D65" s="228" t="s">
        <v>116</v>
      </c>
      <c r="E65" s="229"/>
      <c r="F65" s="229">
        <v>24</v>
      </c>
      <c r="G65" s="229" t="s">
        <v>43</v>
      </c>
      <c r="H65" s="230">
        <v>0</v>
      </c>
      <c r="I65" s="231">
        <v>50</v>
      </c>
      <c r="J65" s="232">
        <v>0.06</v>
      </c>
      <c r="K65" s="233"/>
      <c r="L65" s="231" t="s">
        <v>23</v>
      </c>
      <c r="M65" s="231">
        <v>0</v>
      </c>
      <c r="N65" s="234">
        <f>ROUND(((I65*J65)-((I65*J65)*L65/100))+(((I65*J65)-((I65*J65)*L65/100))*M65/100),2)</f>
      </c>
      <c r="O65" s="230">
        <f>M11</f>
      </c>
      <c r="P65" s="235"/>
      <c r="Q65" s="236"/>
      <c r="R65" s="237" t="s">
        <v>117</v>
      </c>
      <c r="S65" s="238"/>
      <c r="T65" s="239"/>
    </row>
    <row r="66" spans="1:20" ht="24" customHeight="1">
      <c r="A66" s="226">
        <v>47</v>
      </c>
      <c r="B66" s="226">
        <v>99990009873423</v>
      </c>
      <c r="C66" s="227" t="s">
        <v>118</v>
      </c>
      <c r="D66" s="228" t="s">
        <v>119</v>
      </c>
      <c r="E66" s="229"/>
      <c r="F66" s="229" t="s">
        <v>118</v>
      </c>
      <c r="G66" s="229" t="s">
        <v>51</v>
      </c>
      <c r="H66" s="230">
        <v>0</v>
      </c>
      <c r="I66" s="231">
        <v>2</v>
      </c>
      <c r="J66" s="232">
        <v>0.57</v>
      </c>
      <c r="K66" s="233"/>
      <c r="L66" s="231" t="s">
        <v>23</v>
      </c>
      <c r="M66" s="231">
        <v>0</v>
      </c>
      <c r="N66" s="234">
        <f>ROUND(((I66*J66)-((I66*J66)*L66/100))+(((I66*J66)-((I66*J66)*L66/100))*M66/100),2)</f>
      </c>
      <c r="O66" s="230">
        <f>M11</f>
      </c>
      <c r="P66" s="235" t="s">
        <v>256</v>
      </c>
      <c r="Q66" s="236"/>
      <c r="R66" s="237"/>
      <c r="S66" s="238"/>
      <c r="T66" s="239"/>
    </row>
    <row r="67" spans="1:20" ht="24" customHeight="1">
      <c r="A67" s="226">
        <v>48</v>
      </c>
      <c r="B67" s="226">
        <v>99990010835266</v>
      </c>
      <c r="C67" s="227">
        <v>390316</v>
      </c>
      <c r="D67" s="228" t="s">
        <v>120</v>
      </c>
      <c r="E67" s="229"/>
      <c r="F67" s="229">
        <v>390316</v>
      </c>
      <c r="G67" s="229" t="s">
        <v>51</v>
      </c>
      <c r="H67" s="230">
        <v>0</v>
      </c>
      <c r="I67" s="231">
        <v>12</v>
      </c>
      <c r="J67" s="232">
        <v>2.28</v>
      </c>
      <c r="K67" s="233"/>
      <c r="L67" s="231" t="s">
        <v>23</v>
      </c>
      <c r="M67" s="231">
        <v>0</v>
      </c>
      <c r="N67" s="234">
        <f>ROUND(((I67*J67)-((I67*J67)*L67/100))+(((I67*J67)-((I67*J67)*L67/100))*M67/100),2)</f>
      </c>
      <c r="O67" s="230">
        <f>M11</f>
      </c>
      <c r="P67" s="235" t="s">
        <v>257</v>
      </c>
      <c r="Q67" s="236"/>
      <c r="R67" s="237"/>
      <c r="S67" s="238"/>
      <c r="T67" s="239"/>
    </row>
    <row r="68" spans="1:20" ht="15" customHeight="1">
      <c r="A68" s="32"/>
      <c r="B68" s="295"/>
      <c r="C68" s="296"/>
      <c r="D68" s="296"/>
      <c r="E68" s="296"/>
      <c r="F68" s="296"/>
      <c r="G68" s="296"/>
      <c r="H68" s="297"/>
      <c r="I68" s="297"/>
      <c r="J68" s="297"/>
      <c r="K68" s="297"/>
      <c r="L68" s="297"/>
      <c r="M68" s="297"/>
      <c r="N68" s="297"/>
      <c r="O68" s="297"/>
      <c r="P68" s="297"/>
      <c r="Q68" s="297"/>
      <c r="R68" s="297"/>
      <c r="S68" s="297"/>
      <c r="T68" s="298"/>
    </row>
    <row r="69" spans="1:20" ht="12.75" customHeight="1">
      <c r="A69" s="289" t="s">
        <v>28</v>
      </c>
      <c r="B69" s="289"/>
      <c r="C69" s="290" t="s">
        <v>121</v>
      </c>
      <c r="D69" s="291"/>
      <c r="E69" s="291"/>
      <c r="F69" s="291"/>
      <c r="G69" s="291"/>
      <c r="H69" s="291"/>
      <c r="I69" s="292"/>
      <c r="J69" s="292" t="s">
        <v>122</v>
      </c>
      <c r="K69" s="292"/>
      <c r="L69" s="292" t="s">
        <v>35</v>
      </c>
      <c r="M69" s="292" t="s">
        <v>36</v>
      </c>
      <c r="N69" s="293" t="s">
        <v>123</v>
      </c>
      <c r="O69" s="294" t="s">
        <v>38</v>
      </c>
      <c r="P69" s="294"/>
      <c r="Q69" s="294"/>
      <c r="R69" s="294"/>
      <c r="S69" s="294"/>
      <c r="T69" s="225"/>
    </row>
    <row r="70" spans="1:20" ht="15" customHeight="1">
      <c r="A70" s="269">
        <v>1</v>
      </c>
      <c r="B70" s="270"/>
      <c r="C70" s="271" t="s">
        <v>124</v>
      </c>
      <c r="D70" s="272" t="s">
        <v>124</v>
      </c>
      <c r="E70" s="272" t="s">
        <v>124</v>
      </c>
      <c r="F70" s="272" t="s">
        <v>124</v>
      </c>
      <c r="G70" s="272" t="s">
        <v>124</v>
      </c>
      <c r="H70" s="273" t="s">
        <v>124</v>
      </c>
      <c r="I70" s="274"/>
      <c r="J70" s="275">
        <v>0</v>
      </c>
      <c r="K70" s="276"/>
      <c r="L70" s="277">
        <v>0</v>
      </c>
      <c r="M70" s="277">
        <v>0</v>
      </c>
      <c r="N70" s="285">
        <f>(J70-(J70*L70/100)+((J70-(J70*L70/100))*M70/100))</f>
      </c>
      <c r="O70" s="286"/>
      <c r="P70" s="287"/>
      <c r="Q70" s="287"/>
      <c r="R70" s="287"/>
      <c r="S70" s="288"/>
      <c r="T70" s="283"/>
    </row>
    <row r="71" spans="1:20" ht="15" customHeight="1">
      <c r="A71" s="269">
        <v>2</v>
      </c>
      <c r="B71" s="270"/>
      <c r="C71" s="271" t="s">
        <v>125</v>
      </c>
      <c r="D71" s="272" t="s">
        <v>125</v>
      </c>
      <c r="E71" s="272" t="s">
        <v>125</v>
      </c>
      <c r="F71" s="272" t="s">
        <v>125</v>
      </c>
      <c r="G71" s="272" t="s">
        <v>125</v>
      </c>
      <c r="H71" s="273" t="s">
        <v>125</v>
      </c>
      <c r="I71" s="284"/>
      <c r="J71" s="275">
        <v>0</v>
      </c>
      <c r="K71" s="276"/>
      <c r="L71" s="277">
        <v>0</v>
      </c>
      <c r="M71" s="277">
        <v>0</v>
      </c>
      <c r="N71" s="279">
        <f>(J71-(J71*L71/100)+((J71-(J71*L71/100))*M71/100))</f>
      </c>
      <c r="O71" s="280"/>
      <c r="P71" s="281"/>
      <c r="Q71" s="281"/>
      <c r="R71" s="281"/>
      <c r="S71" s="282"/>
      <c r="T71" s="283"/>
    </row>
    <row r="72" spans="1:20" ht="15" customHeight="1">
      <c r="A72" s="269">
        <v>3</v>
      </c>
      <c r="B72" s="270"/>
      <c r="C72" s="271"/>
      <c r="D72" s="272"/>
      <c r="E72" s="272"/>
      <c r="F72" s="272"/>
      <c r="G72" s="272"/>
      <c r="H72" s="273"/>
      <c r="I72" s="274"/>
      <c r="J72" s="275">
        <v>0</v>
      </c>
      <c r="K72" s="276"/>
      <c r="L72" s="277">
        <v>0</v>
      </c>
      <c r="M72" s="277">
        <v>0</v>
      </c>
      <c r="N72" s="279">
        <f>(J72-(J72*L72/100)+((J72-(J72*L72/100))*M72/100))</f>
      </c>
      <c r="O72" s="280"/>
      <c r="P72" s="281"/>
      <c r="Q72" s="281"/>
      <c r="R72" s="281"/>
      <c r="S72" s="282"/>
      <c r="T72" s="283"/>
    </row>
    <row r="73" spans="1:20" ht="15.75" customHeight="1">
      <c r="A73" s="269">
        <v>4</v>
      </c>
      <c r="B73" s="270"/>
      <c r="C73" s="271"/>
      <c r="D73" s="272"/>
      <c r="E73" s="272"/>
      <c r="F73" s="272"/>
      <c r="G73" s="272"/>
      <c r="H73" s="273"/>
      <c r="I73" s="274"/>
      <c r="J73" s="275">
        <v>0</v>
      </c>
      <c r="K73" s="276"/>
      <c r="L73" s="277">
        <v>0</v>
      </c>
      <c r="M73" s="278">
        <v>0</v>
      </c>
      <c r="N73" s="279">
        <f>(J73-(J73*L73/100)+((J73-(J73*L73/100))*M73/100))</f>
      </c>
      <c r="O73" s="280"/>
      <c r="P73" s="281"/>
      <c r="Q73" s="281"/>
      <c r="R73" s="281"/>
      <c r="S73" s="282"/>
      <c r="T73" s="283"/>
    </row>
    <row r="74" spans="1:16" ht="15.95" customHeight="1">
      <c r="A74" s="247"/>
      <c r="B74" s="247"/>
      <c r="C74" s="248"/>
      <c r="D74" s="248"/>
      <c r="I74" s="163"/>
      <c r="J74" s="58" t="s">
        <v>126</v>
      </c>
      <c r="K74" s="59"/>
      <c r="L74" s="58"/>
      <c r="M74" s="59"/>
      <c r="N74" s="264">
        <f>SUM(ItmPrice)</f>
      </c>
      <c r="O74" s="267"/>
      <c r="P74" s="268"/>
    </row>
    <row r="75" spans="1:16" ht="15" customHeight="1">
      <c r="A75" s="247"/>
      <c r="B75" s="247"/>
      <c r="C75" s="248"/>
      <c r="D75" s="248"/>
      <c r="I75" s="163"/>
      <c r="J75" s="123" t="s">
        <v>127</v>
      </c>
      <c r="K75" s="124"/>
      <c r="L75" s="124"/>
      <c r="M75" s="125"/>
      <c r="N75" s="264">
        <f>SUM(N70:N74)</f>
      </c>
      <c r="O75" s="265"/>
      <c r="P75" s="266"/>
    </row>
    <row r="76" spans="1:19" ht="2.25" customHeight="1" hidden="1">
      <c r="A76" s="258">
        <v>0</v>
      </c>
      <c r="B76" s="258">
        <v>0</v>
      </c>
      <c r="C76" s="259">
        <v>0</v>
      </c>
      <c r="D76" s="248"/>
      <c r="E76" s="248"/>
      <c r="F76" s="260">
        <v>1</v>
      </c>
      <c r="G76" s="248"/>
      <c r="H76" s="248"/>
      <c r="I76" s="248"/>
      <c r="J76" s="248"/>
      <c r="K76" s="261"/>
      <c r="L76" s="262">
        <v>0</v>
      </c>
      <c r="M76" s="263">
        <v>0</v>
      </c>
      <c r="N76" s="162" t="s">
        <v>128</v>
      </c>
      <c r="O76" s="257"/>
      <c r="P76" s="263">
        <v>995</v>
      </c>
      <c r="Q76" s="248" t="s">
        <v>129</v>
      </c>
      <c r="R76" s="248"/>
      <c r="S76" s="248"/>
    </row>
    <row r="77" spans="1:19" ht="18.75" customHeight="1">
      <c r="A77" s="247"/>
      <c r="B77" s="247"/>
      <c r="C77" s="247"/>
      <c r="H77" s="257"/>
      <c r="I77" s="163"/>
      <c r="J77" s="248"/>
      <c r="K77" s="248"/>
      <c r="L77" s="248"/>
      <c r="M77" s="248"/>
      <c r="N77" s="248"/>
      <c r="O77" s="248"/>
      <c r="P77" s="248"/>
      <c r="R77" s="248"/>
      <c r="S77" s="248"/>
    </row>
    <row r="78" spans="1:20" ht="127.5" customHeight="1">
      <c r="A78" s="249" t="s">
        <v>130</v>
      </c>
      <c r="B78" s="249"/>
      <c r="C78" s="249"/>
      <c r="D78" s="250"/>
      <c r="E78" s="254"/>
      <c r="F78" s="255"/>
      <c r="G78" s="255"/>
      <c r="H78" s="255"/>
      <c r="I78" s="255"/>
      <c r="J78" s="255"/>
      <c r="K78" s="255"/>
      <c r="L78" s="255"/>
      <c r="M78" s="255"/>
      <c r="N78" s="255"/>
      <c r="O78" s="255"/>
      <c r="P78" s="255"/>
      <c r="Q78" s="255"/>
      <c r="R78" s="255"/>
      <c r="S78" s="255"/>
      <c r="T78" s="256"/>
    </row>
    <row r="79" spans="1:20" ht="129.75" customHeight="1">
      <c r="A79" s="249" t="s">
        <v>38</v>
      </c>
      <c r="B79" s="249"/>
      <c r="C79" s="249"/>
      <c r="D79" s="250"/>
      <c r="E79" s="251" t="s">
        <v>258</v>
      </c>
      <c r="F79" s="252"/>
      <c r="G79" s="252"/>
      <c r="H79" s="252"/>
      <c r="I79" s="252"/>
      <c r="J79" s="252"/>
      <c r="K79" s="252"/>
      <c r="L79" s="252"/>
      <c r="M79" s="252"/>
      <c r="N79" s="252"/>
      <c r="O79" s="252"/>
      <c r="P79" s="252"/>
      <c r="Q79" s="252"/>
      <c r="R79" s="252"/>
      <c r="S79" s="252"/>
      <c r="T79" s="253"/>
    </row>
    <row r="80" spans="1:19" ht="15.95" customHeight="1">
      <c r="A80" s="247"/>
      <c r="B80" s="247"/>
      <c r="C80" s="247"/>
      <c r="H80" s="248"/>
      <c r="I80" s="248"/>
      <c r="J80" s="248"/>
      <c r="K80" s="248"/>
      <c r="L80" s="248"/>
      <c r="M80" s="248"/>
      <c r="N80" s="248"/>
      <c r="O80" s="248"/>
      <c r="P80" s="248"/>
      <c r="Q80" s="248"/>
      <c r="R80" s="248"/>
      <c r="S80" s="248"/>
    </row>
    <row r="81" spans="1:20" ht="15.95" customHeight="1">
      <c r="A81" s="245" t="s">
        <v>131</v>
      </c>
      <c r="B81" s="245"/>
      <c r="C81" s="245"/>
      <c r="D81" s="245"/>
      <c r="E81" s="245"/>
      <c r="F81" s="245"/>
      <c r="G81" s="245"/>
      <c r="H81" s="245"/>
      <c r="I81" s="245"/>
      <c r="J81" s="245"/>
      <c r="K81" s="245"/>
      <c r="L81" s="245"/>
      <c r="M81" s="245"/>
      <c r="N81" s="245"/>
      <c r="O81" s="245"/>
      <c r="P81" s="245"/>
      <c r="Q81" s="245"/>
      <c r="R81" s="245"/>
      <c r="S81" s="245"/>
      <c r="T81" s="246"/>
    </row>
    <row r="82" spans="1:20" ht="12.75" customHeight="1">
      <c r="A82" s="243"/>
      <c r="B82" s="243"/>
      <c r="C82" s="243"/>
      <c r="D82" s="243"/>
      <c r="E82" s="243"/>
      <c r="F82" s="243"/>
      <c r="G82" s="243"/>
      <c r="H82" s="243"/>
      <c r="I82" s="243"/>
      <c r="J82" s="243"/>
      <c r="K82" s="243"/>
      <c r="L82" s="243"/>
      <c r="M82" s="243"/>
      <c r="N82" s="243"/>
      <c r="O82" s="243"/>
      <c r="P82" s="243"/>
      <c r="Q82" s="243"/>
      <c r="R82" s="243"/>
      <c r="S82" s="243"/>
      <c r="T82" s="244"/>
    </row>
    <row r="83" spans="1:20" ht="12.75" customHeight="1">
      <c r="A83" s="243"/>
      <c r="B83" s="243"/>
      <c r="C83" s="243"/>
      <c r="D83" s="243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  <c r="P83" s="243"/>
      <c r="Q83" s="243"/>
      <c r="R83" s="243"/>
      <c r="S83" s="243"/>
      <c r="T83" s="244"/>
    </row>
    <row r="84" spans="1:20" ht="7.5" customHeight="1">
      <c r="A84" s="243"/>
      <c r="B84" s="243"/>
      <c r="C84" s="243"/>
      <c r="D84" s="243"/>
      <c r="E84" s="243"/>
      <c r="F84" s="243"/>
      <c r="G84" s="243"/>
      <c r="H84" s="243"/>
      <c r="I84" s="243"/>
      <c r="J84" s="243"/>
      <c r="K84" s="243"/>
      <c r="L84" s="243"/>
      <c r="M84" s="243"/>
      <c r="N84" s="243"/>
      <c r="O84" s="243"/>
      <c r="P84" s="243"/>
      <c r="Q84" s="243"/>
      <c r="R84" s="243"/>
      <c r="S84" s="243"/>
      <c r="T84" s="244"/>
    </row>
    <row r="85" spans="1:20" ht="12.75" customHeight="1">
      <c r="A85" s="243"/>
      <c r="B85" s="243"/>
      <c r="C85" s="243"/>
      <c r="D85" s="243"/>
      <c r="E85" s="243"/>
      <c r="F85" s="243"/>
      <c r="G85" s="243"/>
      <c r="H85" s="243"/>
      <c r="I85" s="243"/>
      <c r="J85" s="243"/>
      <c r="K85" s="243"/>
      <c r="L85" s="243"/>
      <c r="M85" s="243"/>
      <c r="N85" s="243"/>
      <c r="O85" s="243"/>
      <c r="P85" s="243"/>
      <c r="Q85" s="243"/>
      <c r="R85" s="243"/>
      <c r="S85" s="243"/>
      <c r="T85" s="244"/>
    </row>
    <row r="86" spans="1:20" ht="12.75" customHeight="1">
      <c r="A86" s="243"/>
      <c r="B86" s="243"/>
      <c r="C86" s="243"/>
      <c r="D86" s="243"/>
      <c r="E86" s="243"/>
      <c r="F86" s="243"/>
      <c r="G86" s="243"/>
      <c r="H86" s="243"/>
      <c r="I86" s="243"/>
      <c r="J86" s="243"/>
      <c r="K86" s="243"/>
      <c r="L86" s="243"/>
      <c r="M86" s="243"/>
      <c r="N86" s="243"/>
      <c r="O86" s="243"/>
      <c r="P86" s="243"/>
      <c r="Q86" s="243"/>
      <c r="R86" s="243"/>
      <c r="S86" s="243"/>
      <c r="T86" s="244"/>
    </row>
    <row r="87" spans="1:20" ht="12.75" customHeight="1">
      <c r="A87" s="243"/>
      <c r="B87" s="243"/>
      <c r="C87" s="243"/>
      <c r="D87" s="243"/>
      <c r="E87" s="243"/>
      <c r="F87" s="243"/>
      <c r="G87" s="243"/>
      <c r="H87" s="243"/>
      <c r="I87" s="243"/>
      <c r="J87" s="243"/>
      <c r="K87" s="243"/>
      <c r="L87" s="243"/>
      <c r="M87" s="243"/>
      <c r="N87" s="243"/>
      <c r="O87" s="243"/>
      <c r="P87" s="243"/>
      <c r="Q87" s="243"/>
      <c r="R87" s="243"/>
      <c r="S87" s="243"/>
      <c r="T87" s="244"/>
    </row>
    <row r="88" spans="1:20" ht="7.5" customHeight="1">
      <c r="A88" s="243"/>
      <c r="B88" s="243"/>
      <c r="C88" s="243"/>
      <c r="D88" s="243"/>
      <c r="E88" s="243"/>
      <c r="F88" s="243"/>
      <c r="G88" s="243"/>
      <c r="H88" s="243"/>
      <c r="I88" s="243"/>
      <c r="J88" s="243"/>
      <c r="K88" s="243"/>
      <c r="L88" s="243"/>
      <c r="M88" s="243"/>
      <c r="N88" s="243"/>
      <c r="O88" s="243"/>
      <c r="P88" s="243"/>
      <c r="Q88" s="243"/>
      <c r="R88" s="243"/>
      <c r="S88" s="243"/>
      <c r="T88" s="244"/>
    </row>
    <row r="89" spans="1:20" ht="12.75" customHeight="1">
      <c r="A89" s="243"/>
      <c r="B89" s="243"/>
      <c r="C89" s="243"/>
      <c r="D89" s="243"/>
      <c r="E89" s="243"/>
      <c r="F89" s="243"/>
      <c r="G89" s="243"/>
      <c r="H89" s="243"/>
      <c r="I89" s="243"/>
      <c r="J89" s="243"/>
      <c r="K89" s="243"/>
      <c r="L89" s="243"/>
      <c r="M89" s="243"/>
      <c r="N89" s="243"/>
      <c r="O89" s="243"/>
      <c r="P89" s="243"/>
      <c r="Q89" s="243"/>
      <c r="R89" s="243"/>
      <c r="S89" s="243"/>
      <c r="T89" s="244"/>
    </row>
    <row r="90" spans="1:20" ht="12.75" customHeight="1">
      <c r="A90" s="243"/>
      <c r="B90" s="243"/>
      <c r="C90" s="243"/>
      <c r="D90" s="243"/>
      <c r="E90" s="243"/>
      <c r="F90" s="243"/>
      <c r="G90" s="243"/>
      <c r="H90" s="243"/>
      <c r="I90" s="243"/>
      <c r="J90" s="243"/>
      <c r="K90" s="243"/>
      <c r="L90" s="243"/>
      <c r="M90" s="243"/>
      <c r="N90" s="243"/>
      <c r="O90" s="243"/>
      <c r="P90" s="243"/>
      <c r="Q90" s="243"/>
      <c r="R90" s="243"/>
      <c r="S90" s="243"/>
      <c r="T90" s="244"/>
    </row>
    <row r="91" spans="1:20" ht="12.75" customHeight="1">
      <c r="A91" s="243"/>
      <c r="B91" s="243"/>
      <c r="C91" s="243"/>
      <c r="D91" s="243"/>
      <c r="E91" s="243"/>
      <c r="F91" s="243"/>
      <c r="G91" s="243"/>
      <c r="H91" s="243"/>
      <c r="I91" s="243"/>
      <c r="J91" s="243"/>
      <c r="K91" s="243"/>
      <c r="L91" s="243"/>
      <c r="M91" s="243"/>
      <c r="N91" s="243"/>
      <c r="O91" s="243"/>
      <c r="P91" s="243"/>
      <c r="Q91" s="243"/>
      <c r="R91" s="243"/>
      <c r="S91" s="243"/>
      <c r="T91" s="244"/>
    </row>
    <row r="92" spans="1:20" ht="12.75" customHeight="1">
      <c r="A92" s="243"/>
      <c r="B92" s="243"/>
      <c r="C92" s="243"/>
      <c r="D92" s="243"/>
      <c r="E92" s="243"/>
      <c r="F92" s="243"/>
      <c r="G92" s="243"/>
      <c r="H92" s="243"/>
      <c r="I92" s="243"/>
      <c r="J92" s="243"/>
      <c r="K92" s="243"/>
      <c r="L92" s="243"/>
      <c r="M92" s="243"/>
      <c r="N92" s="243"/>
      <c r="O92" s="243"/>
      <c r="P92" s="243"/>
      <c r="Q92" s="243"/>
      <c r="R92" s="243"/>
      <c r="S92" s="243"/>
      <c r="T92" s="244"/>
    </row>
    <row r="93" spans="1:20" ht="12.75" customHeight="1">
      <c r="A93" s="243"/>
      <c r="B93" s="243"/>
      <c r="C93" s="243"/>
      <c r="D93" s="243"/>
      <c r="E93" s="243"/>
      <c r="F93" s="243"/>
      <c r="G93" s="243"/>
      <c r="H93" s="243"/>
      <c r="I93" s="243"/>
      <c r="J93" s="243"/>
      <c r="K93" s="243"/>
      <c r="L93" s="243"/>
      <c r="M93" s="243"/>
      <c r="N93" s="243"/>
      <c r="O93" s="243"/>
      <c r="P93" s="243"/>
      <c r="Q93" s="243"/>
      <c r="R93" s="243"/>
      <c r="S93" s="243"/>
      <c r="T93" s="244"/>
    </row>
    <row r="94" spans="1:20" ht="12.75" customHeight="1">
      <c r="A94" s="243"/>
      <c r="B94" s="243"/>
      <c r="C94" s="243"/>
      <c r="D94" s="243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3"/>
      <c r="P94" s="243"/>
      <c r="Q94" s="243"/>
      <c r="R94" s="243"/>
      <c r="S94" s="243"/>
      <c r="T94" s="244"/>
    </row>
    <row r="95" spans="1:20" ht="7.5" customHeight="1">
      <c r="A95" s="243"/>
      <c r="B95" s="243"/>
      <c r="C95" s="243"/>
      <c r="D95" s="243"/>
      <c r="E95" s="243"/>
      <c r="F95" s="243"/>
      <c r="G95" s="243"/>
      <c r="H95" s="243"/>
      <c r="I95" s="243"/>
      <c r="J95" s="243"/>
      <c r="K95" s="243"/>
      <c r="L95" s="243"/>
      <c r="M95" s="243"/>
      <c r="N95" s="243"/>
      <c r="O95" s="243"/>
      <c r="P95" s="243"/>
      <c r="Q95" s="243"/>
      <c r="R95" s="243"/>
      <c r="S95" s="243"/>
      <c r="T95" s="244"/>
    </row>
    <row r="96" spans="1:20" ht="12.75" customHeight="1">
      <c r="A96" s="243"/>
      <c r="B96" s="243"/>
      <c r="C96" s="243"/>
      <c r="D96" s="243"/>
      <c r="E96" s="243"/>
      <c r="F96" s="243"/>
      <c r="G96" s="243"/>
      <c r="H96" s="243"/>
      <c r="I96" s="243"/>
      <c r="J96" s="243"/>
      <c r="K96" s="243"/>
      <c r="L96" s="243"/>
      <c r="M96" s="243"/>
      <c r="N96" s="243"/>
      <c r="O96" s="243"/>
      <c r="P96" s="243"/>
      <c r="Q96" s="243"/>
      <c r="R96" s="243"/>
      <c r="S96" s="243"/>
      <c r="T96" s="244"/>
    </row>
    <row r="97" spans="1:20" ht="12.75" customHeight="1">
      <c r="A97" s="243"/>
      <c r="B97" s="243"/>
      <c r="C97" s="243"/>
      <c r="D97" s="243"/>
      <c r="E97" s="243"/>
      <c r="F97" s="243"/>
      <c r="G97" s="243"/>
      <c r="H97" s="243"/>
      <c r="I97" s="243"/>
      <c r="J97" s="243"/>
      <c r="K97" s="243"/>
      <c r="L97" s="243"/>
      <c r="M97" s="243"/>
      <c r="N97" s="243"/>
      <c r="O97" s="243"/>
      <c r="P97" s="243"/>
      <c r="Q97" s="243"/>
      <c r="R97" s="243"/>
      <c r="S97" s="243"/>
      <c r="T97" s="244"/>
    </row>
    <row r="98" spans="1:20" ht="12.75" customHeight="1">
      <c r="A98" s="243"/>
      <c r="B98" s="243"/>
      <c r="C98" s="243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3"/>
      <c r="P98" s="243"/>
      <c r="Q98" s="243"/>
      <c r="R98" s="243"/>
      <c r="S98" s="243"/>
      <c r="T98" s="244"/>
    </row>
    <row r="99" spans="1:20" ht="12.75" customHeight="1">
      <c r="A99" s="243"/>
      <c r="B99" s="243"/>
      <c r="C99" s="243"/>
      <c r="D99" s="243"/>
      <c r="E99" s="243"/>
      <c r="F99" s="243"/>
      <c r="G99" s="243"/>
      <c r="H99" s="243"/>
      <c r="I99" s="243"/>
      <c r="J99" s="243"/>
      <c r="K99" s="243"/>
      <c r="L99" s="243"/>
      <c r="M99" s="243"/>
      <c r="N99" s="243"/>
      <c r="O99" s="243"/>
      <c r="P99" s="243"/>
      <c r="Q99" s="243"/>
      <c r="R99" s="243"/>
      <c r="S99" s="243"/>
      <c r="T99" s="244"/>
    </row>
    <row r="100" spans="1:20" ht="12.75" customHeight="1">
      <c r="A100" s="243"/>
      <c r="B100" s="243"/>
      <c r="C100" s="243"/>
      <c r="D100" s="243"/>
      <c r="E100" s="243"/>
      <c r="F100" s="243"/>
      <c r="G100" s="243"/>
      <c r="H100" s="243"/>
      <c r="I100" s="243"/>
      <c r="J100" s="243"/>
      <c r="K100" s="243"/>
      <c r="L100" s="243"/>
      <c r="M100" s="243"/>
      <c r="N100" s="243"/>
      <c r="O100" s="243"/>
      <c r="P100" s="243"/>
      <c r="Q100" s="243"/>
      <c r="R100" s="243"/>
      <c r="S100" s="243"/>
      <c r="T100" s="244"/>
    </row>
    <row r="101" spans="1:20" ht="7.5" customHeight="1">
      <c r="A101" s="243"/>
      <c r="B101" s="243"/>
      <c r="C101" s="243"/>
      <c r="D101" s="243"/>
      <c r="E101" s="243"/>
      <c r="F101" s="243"/>
      <c r="G101" s="243"/>
      <c r="H101" s="243"/>
      <c r="I101" s="243"/>
      <c r="J101" s="243"/>
      <c r="K101" s="243"/>
      <c r="L101" s="243"/>
      <c r="M101" s="243"/>
      <c r="N101" s="243"/>
      <c r="O101" s="243"/>
      <c r="P101" s="243"/>
      <c r="Q101" s="243"/>
      <c r="R101" s="243"/>
      <c r="S101" s="243"/>
      <c r="T101" s="244"/>
    </row>
    <row r="102" spans="1:20" ht="12.75" customHeight="1">
      <c r="A102" s="243"/>
      <c r="B102" s="243"/>
      <c r="C102" s="243"/>
      <c r="D102" s="243"/>
      <c r="E102" s="243"/>
      <c r="F102" s="243"/>
      <c r="G102" s="243"/>
      <c r="H102" s="243"/>
      <c r="I102" s="243"/>
      <c r="J102" s="243"/>
      <c r="K102" s="243"/>
      <c r="L102" s="243"/>
      <c r="M102" s="243"/>
      <c r="N102" s="243"/>
      <c r="O102" s="243"/>
      <c r="P102" s="243"/>
      <c r="Q102" s="243"/>
      <c r="R102" s="243"/>
      <c r="S102" s="243"/>
      <c r="T102" s="244"/>
    </row>
    <row r="103" spans="1:20" ht="12.75" customHeight="1">
      <c r="A103" s="243"/>
      <c r="B103" s="243"/>
      <c r="C103" s="243"/>
      <c r="D103" s="243"/>
      <c r="E103" s="243"/>
      <c r="F103" s="243"/>
      <c r="G103" s="243"/>
      <c r="H103" s="243"/>
      <c r="I103" s="243"/>
      <c r="J103" s="243"/>
      <c r="K103" s="243"/>
      <c r="L103" s="243"/>
      <c r="M103" s="243"/>
      <c r="N103" s="243"/>
      <c r="O103" s="243"/>
      <c r="P103" s="243"/>
      <c r="Q103" s="243"/>
      <c r="R103" s="243"/>
      <c r="S103" s="243"/>
      <c r="T103" s="244"/>
    </row>
    <row r="104" spans="1:20" ht="12.75" customHeight="1">
      <c r="A104" s="241"/>
      <c r="B104" s="241"/>
      <c r="C104" s="241"/>
      <c r="D104" s="241"/>
      <c r="E104" s="241"/>
      <c r="F104" s="241"/>
      <c r="G104" s="241"/>
      <c r="H104" s="241"/>
      <c r="I104" s="241"/>
      <c r="J104" s="241"/>
      <c r="K104" s="241"/>
      <c r="L104" s="241"/>
      <c r="M104" s="241"/>
      <c r="N104" s="241"/>
      <c r="O104" s="241"/>
      <c r="P104" s="241"/>
      <c r="Q104" s="241"/>
      <c r="R104" s="241"/>
      <c r="S104" s="241"/>
      <c r="T104" s="242"/>
    </row>
    <row r="105" spans="1:9" ht="12.75">
      <c r="A105" s="240" t="s">
        <v>132</v>
      </c>
      <c r="B105" s="240"/>
      <c r="C105" s="240"/>
      <c r="D105" s="240"/>
      <c r="E105" s="240"/>
      <c r="F105" s="240"/>
      <c r="G105" s="240"/>
      <c r="I105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161">
    <mergeCell ref="E78:S78"/>
    <mergeCell ref="E79:S79"/>
    <mergeCell ref="E81:S81"/>
    <mergeCell ref="A82:S103"/>
    <mergeCell ref="A104:S104"/>
    <mergeCell ref="A78:D78"/>
    <mergeCell ref="A79:D79"/>
    <mergeCell ref="K1:R1"/>
    <mergeCell ref="R19:S19"/>
    <mergeCell ref="R20:S20"/>
    <mergeCell ref="O70:S70"/>
    <mergeCell ref="O71:S71"/>
    <mergeCell ref="O69:S69"/>
    <mergeCell ref="J69:K69"/>
    <mergeCell ref="K4:L4"/>
    <mergeCell ref="M4:P4"/>
    <mergeCell ref="K5:L5"/>
    <mergeCell ref="M5:P5"/>
    <mergeCell ref="M7:Q7"/>
    <mergeCell ref="P20:Q20"/>
    <mergeCell ref="M12:O12"/>
    <mergeCell ref="K12:L12"/>
    <mergeCell ref="O74:P74"/>
    <mergeCell ref="O75:P75"/>
    <mergeCell ref="J75:M75"/>
    <mergeCell ref="O72:S72"/>
    <mergeCell ref="O73:S73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69:H69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D37:E37"/>
    <mergeCell ref="J37:K37"/>
    <mergeCell ref="D38:E38"/>
    <mergeCell ref="J38:K38"/>
    <mergeCell ref="D39:E39"/>
    <mergeCell ref="J39:K39"/>
    <mergeCell ref="D40:E40"/>
    <mergeCell ref="J40:K40"/>
    <mergeCell ref="D41:E41"/>
    <mergeCell ref="J41:K41"/>
    <mergeCell ref="D42:E42"/>
    <mergeCell ref="J42:K42"/>
    <mergeCell ref="D43:E43"/>
    <mergeCell ref="J43:K43"/>
    <mergeCell ref="D44:E44"/>
    <mergeCell ref="J44:K44"/>
    <mergeCell ref="D45:E45"/>
    <mergeCell ref="J45:K45"/>
    <mergeCell ref="D46:E46"/>
    <mergeCell ref="J46:K46"/>
    <mergeCell ref="D47:E47"/>
    <mergeCell ref="J47:K47"/>
    <mergeCell ref="D48:E48"/>
    <mergeCell ref="J48:K48"/>
    <mergeCell ref="D49:E49"/>
    <mergeCell ref="J49:K49"/>
    <mergeCell ref="D50:E50"/>
    <mergeCell ref="J50:K50"/>
    <mergeCell ref="D51:E51"/>
    <mergeCell ref="J51:K51"/>
    <mergeCell ref="D52:E52"/>
    <mergeCell ref="J52:K52"/>
    <mergeCell ref="D53:E53"/>
    <mergeCell ref="J53:K53"/>
    <mergeCell ref="D54:E54"/>
    <mergeCell ref="J54:K54"/>
    <mergeCell ref="D55:E55"/>
    <mergeCell ref="J55:K55"/>
    <mergeCell ref="D56:E56"/>
    <mergeCell ref="J56:K56"/>
    <mergeCell ref="D57:E57"/>
    <mergeCell ref="J57:K57"/>
    <mergeCell ref="D58:E58"/>
    <mergeCell ref="J58:K58"/>
    <mergeCell ref="D59:E59"/>
    <mergeCell ref="J59:K59"/>
    <mergeCell ref="D60:E60"/>
    <mergeCell ref="J60:K60"/>
    <mergeCell ref="D61:E61"/>
    <mergeCell ref="J61:K61"/>
    <mergeCell ref="D62:E62"/>
    <mergeCell ref="J62:K62"/>
    <mergeCell ref="D63:E63"/>
    <mergeCell ref="J63:K63"/>
    <mergeCell ref="D64:E64"/>
    <mergeCell ref="J64:K64"/>
    <mergeCell ref="D65:E65"/>
    <mergeCell ref="J65:K65"/>
    <mergeCell ref="D66:E66"/>
    <mergeCell ref="J66:K66"/>
    <mergeCell ref="D67:E67"/>
    <mergeCell ref="J67:K67"/>
    <mergeCell ref="C70:H70"/>
    <mergeCell ref="J70:K70"/>
    <mergeCell ref="C71:H71"/>
    <mergeCell ref="J71:K71"/>
    <mergeCell ref="C72:H72"/>
    <mergeCell ref="J72:K72"/>
    <mergeCell ref="C73:H73"/>
    <mergeCell ref="J73:K73"/>
  </mergeCells>
  <dataValidations count="202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decimal" operator="greaterThanOrEqual" allowBlank="1" showInputMessage="1" showErrorMessage="1" sqref="I38">
      <formula1>0</formula1>
    </dataValidation>
    <dataValidation type="decimal" operator="greaterThanOrEqual" allowBlank="1" showInputMessage="1" showErrorMessage="1" sqref="J38">
      <formula1>0</formula1>
    </dataValidation>
    <dataValidation type="decimal" allowBlank="1" showInputMessage="1" showErrorMessage="1" sqref="L38">
      <formula1>0</formula1>
      <formula2>100</formula2>
    </dataValidation>
    <dataValidation type="decimal" allowBlank="1" showInputMessage="1" showErrorMessage="1" sqref="M38">
      <formula1>0</formula1>
      <formula2>100</formula2>
    </dataValidation>
    <dataValidation type="decimal" operator="greaterThanOrEqual" allowBlank="1" showInputMessage="1" showErrorMessage="1" sqref="I39">
      <formula1>0</formula1>
    </dataValidation>
    <dataValidation type="decimal" operator="greaterThanOrEqual" allowBlank="1" showInputMessage="1" showErrorMessage="1" sqref="J39">
      <formula1>0</formula1>
    </dataValidation>
    <dataValidation type="decimal" allowBlank="1" showInputMessage="1" showErrorMessage="1" sqref="L39">
      <formula1>0</formula1>
      <formula2>100</formula2>
    </dataValidation>
    <dataValidation type="decimal" allowBlank="1" showInputMessage="1" showErrorMessage="1" sqref="M39">
      <formula1>0</formula1>
      <formula2>100</formula2>
    </dataValidation>
    <dataValidation type="decimal" operator="greaterThanOrEqual" allowBlank="1" showInputMessage="1" showErrorMessage="1" sqref="I40">
      <formula1>0</formula1>
    </dataValidation>
    <dataValidation type="decimal" operator="greaterThanOrEqual" allowBlank="1" showInputMessage="1" showErrorMessage="1" sqref="J40">
      <formula1>0</formula1>
    </dataValidation>
    <dataValidation type="decimal" allowBlank="1" showInputMessage="1" showErrorMessage="1" sqref="L40">
      <formula1>0</formula1>
      <formula2>100</formula2>
    </dataValidation>
    <dataValidation type="decimal" allowBlank="1" showInputMessage="1" showErrorMessage="1" sqref="M40">
      <formula1>0</formula1>
      <formula2>100</formula2>
    </dataValidation>
    <dataValidation type="decimal" operator="greaterThanOrEqual" allowBlank="1" showInputMessage="1" showErrorMessage="1" sqref="I41">
      <formula1>0</formula1>
    </dataValidation>
    <dataValidation type="decimal" operator="greaterThanOrEqual" allowBlank="1" showInputMessage="1" showErrorMessage="1" sqref="J41">
      <formula1>0</formula1>
    </dataValidation>
    <dataValidation type="decimal" allowBlank="1" showInputMessage="1" showErrorMessage="1" sqref="L41">
      <formula1>0</formula1>
      <formula2>100</formula2>
    </dataValidation>
    <dataValidation type="decimal" allowBlank="1" showInputMessage="1" showErrorMessage="1" sqref="M41">
      <formula1>0</formula1>
      <formula2>100</formula2>
    </dataValidation>
    <dataValidation type="decimal" operator="greaterThanOrEqual" allowBlank="1" showInputMessage="1" showErrorMessage="1" sqref="I42">
      <formula1>0</formula1>
    </dataValidation>
    <dataValidation type="decimal" operator="greaterThanOrEqual" allowBlank="1" showInputMessage="1" showErrorMessage="1" sqref="J42">
      <formula1>0</formula1>
    </dataValidation>
    <dataValidation type="decimal" allowBlank="1" showInputMessage="1" showErrorMessage="1" sqref="L42">
      <formula1>0</formula1>
      <formula2>100</formula2>
    </dataValidation>
    <dataValidation type="decimal" allowBlank="1" showInputMessage="1" showErrorMessage="1" sqref="M42">
      <formula1>0</formula1>
      <formula2>100</formula2>
    </dataValidation>
    <dataValidation type="decimal" operator="greaterThanOrEqual" allowBlank="1" showInputMessage="1" showErrorMessage="1" sqref="I43">
      <formula1>0</formula1>
    </dataValidation>
    <dataValidation type="decimal" operator="greaterThanOrEqual" allowBlank="1" showInputMessage="1" showErrorMessage="1" sqref="J43">
      <formula1>0</formula1>
    </dataValidation>
    <dataValidation type="decimal" allowBlank="1" showInputMessage="1" showErrorMessage="1" sqref="L43">
      <formula1>0</formula1>
      <formula2>100</formula2>
    </dataValidation>
    <dataValidation type="decimal" allowBlank="1" showInputMessage="1" showErrorMessage="1" sqref="M43">
      <formula1>0</formula1>
      <formula2>100</formula2>
    </dataValidation>
    <dataValidation type="decimal" operator="greaterThanOrEqual" allowBlank="1" showInputMessage="1" showErrorMessage="1" sqref="I44">
      <formula1>0</formula1>
    </dataValidation>
    <dataValidation type="decimal" operator="greaterThanOrEqual" allowBlank="1" showInputMessage="1" showErrorMessage="1" sqref="J44">
      <formula1>0</formula1>
    </dataValidation>
    <dataValidation type="decimal" allowBlank="1" showInputMessage="1" showErrorMessage="1" sqref="L44">
      <formula1>0</formula1>
      <formula2>100</formula2>
    </dataValidation>
    <dataValidation type="decimal" allowBlank="1" showInputMessage="1" showErrorMessage="1" sqref="M44">
      <formula1>0</formula1>
      <formula2>100</formula2>
    </dataValidation>
    <dataValidation type="decimal" operator="greaterThanOrEqual" allowBlank="1" showInputMessage="1" showErrorMessage="1" sqref="I45">
      <formula1>0</formula1>
    </dataValidation>
    <dataValidation type="decimal" operator="greaterThanOrEqual" allowBlank="1" showInputMessage="1" showErrorMessage="1" sqref="J45">
      <formula1>0</formula1>
    </dataValidation>
    <dataValidation type="decimal" allowBlank="1" showInputMessage="1" showErrorMessage="1" sqref="L45">
      <formula1>0</formula1>
      <formula2>100</formula2>
    </dataValidation>
    <dataValidation type="decimal" allowBlank="1" showInputMessage="1" showErrorMessage="1" sqref="M45">
      <formula1>0</formula1>
      <formula2>100</formula2>
    </dataValidation>
    <dataValidation type="decimal" operator="greaterThanOrEqual" allowBlank="1" showInputMessage="1" showErrorMessage="1" sqref="I46">
      <formula1>0</formula1>
    </dataValidation>
    <dataValidation type="decimal" operator="greaterThanOrEqual" allowBlank="1" showInputMessage="1" showErrorMessage="1" sqref="J46">
      <formula1>0</formula1>
    </dataValidation>
    <dataValidation type="decimal" allowBlank="1" showInputMessage="1" showErrorMessage="1" sqref="L46">
      <formula1>0</formula1>
      <formula2>100</formula2>
    </dataValidation>
    <dataValidation type="decimal" allowBlank="1" showInputMessage="1" showErrorMessage="1" sqref="M46">
      <formula1>0</formula1>
      <formula2>100</formula2>
    </dataValidation>
    <dataValidation type="decimal" operator="greaterThanOrEqual" allowBlank="1" showInputMessage="1" showErrorMessage="1" sqref="I47">
      <formula1>0</formula1>
    </dataValidation>
    <dataValidation type="decimal" operator="greaterThanOrEqual" allowBlank="1" showInputMessage="1" showErrorMessage="1" sqref="J47">
      <formula1>0</formula1>
    </dataValidation>
    <dataValidation type="decimal" allowBlank="1" showInputMessage="1" showErrorMessage="1" sqref="L47">
      <formula1>0</formula1>
      <formula2>100</formula2>
    </dataValidation>
    <dataValidation type="decimal" allowBlank="1" showInputMessage="1" showErrorMessage="1" sqref="M47">
      <formula1>0</formula1>
      <formula2>100</formula2>
    </dataValidation>
    <dataValidation type="decimal" operator="greaterThanOrEqual" allowBlank="1" showInputMessage="1" showErrorMessage="1" sqref="I48">
      <formula1>0</formula1>
    </dataValidation>
    <dataValidation type="decimal" operator="greaterThanOrEqual" allowBlank="1" showInputMessage="1" showErrorMessage="1" sqref="J48">
      <formula1>0</formula1>
    </dataValidation>
    <dataValidation type="decimal" allowBlank="1" showInputMessage="1" showErrorMessage="1" sqref="L48">
      <formula1>0</formula1>
      <formula2>100</formula2>
    </dataValidation>
    <dataValidation type="decimal" allowBlank="1" showInputMessage="1" showErrorMessage="1" sqref="M48">
      <formula1>0</formula1>
      <formula2>100</formula2>
    </dataValidation>
    <dataValidation type="decimal" operator="greaterThanOrEqual" allowBlank="1" showInputMessage="1" showErrorMessage="1" sqref="I49">
      <formula1>0</formula1>
    </dataValidation>
    <dataValidation type="decimal" operator="greaterThanOrEqual" allowBlank="1" showInputMessage="1" showErrorMessage="1" sqref="J49">
      <formula1>0</formula1>
    </dataValidation>
    <dataValidation type="decimal" allowBlank="1" showInputMessage="1" showErrorMessage="1" sqref="L49">
      <formula1>0</formula1>
      <formula2>100</formula2>
    </dataValidation>
    <dataValidation type="decimal" allowBlank="1" showInputMessage="1" showErrorMessage="1" sqref="M49">
      <formula1>0</formula1>
      <formula2>100</formula2>
    </dataValidation>
    <dataValidation type="decimal" operator="greaterThanOrEqual" allowBlank="1" showInputMessage="1" showErrorMessage="1" sqref="I50">
      <formula1>0</formula1>
    </dataValidation>
    <dataValidation type="decimal" operator="greaterThanOrEqual" allowBlank="1" showInputMessage="1" showErrorMessage="1" sqref="J50">
      <formula1>0</formula1>
    </dataValidation>
    <dataValidation type="decimal" allowBlank="1" showInputMessage="1" showErrorMessage="1" sqref="L50">
      <formula1>0</formula1>
      <formula2>100</formula2>
    </dataValidation>
    <dataValidation type="decimal" allowBlank="1" showInputMessage="1" showErrorMessage="1" sqref="M50">
      <formula1>0</formula1>
      <formula2>100</formula2>
    </dataValidation>
    <dataValidation type="decimal" operator="greaterThanOrEqual" allowBlank="1" showInputMessage="1" showErrorMessage="1" sqref="I51">
      <formula1>0</formula1>
    </dataValidation>
    <dataValidation type="decimal" operator="greaterThanOrEqual" allowBlank="1" showInputMessage="1" showErrorMessage="1" sqref="J51">
      <formula1>0</formula1>
    </dataValidation>
    <dataValidation type="decimal" allowBlank="1" showInputMessage="1" showErrorMessage="1" sqref="L51">
      <formula1>0</formula1>
      <formula2>100</formula2>
    </dataValidation>
    <dataValidation type="decimal" allowBlank="1" showInputMessage="1" showErrorMessage="1" sqref="M51">
      <formula1>0</formula1>
      <formula2>100</formula2>
    </dataValidation>
    <dataValidation type="decimal" operator="greaterThanOrEqual" allowBlank="1" showInputMessage="1" showErrorMessage="1" sqref="I52">
      <formula1>0</formula1>
    </dataValidation>
    <dataValidation type="decimal" operator="greaterThanOrEqual" allowBlank="1" showInputMessage="1" showErrorMessage="1" sqref="J52">
      <formula1>0</formula1>
    </dataValidation>
    <dataValidation type="decimal" allowBlank="1" showInputMessage="1" showErrorMessage="1" sqref="L52">
      <formula1>0</formula1>
      <formula2>100</formula2>
    </dataValidation>
    <dataValidation type="decimal" allowBlank="1" showInputMessage="1" showErrorMessage="1" sqref="M52">
      <formula1>0</formula1>
      <formula2>100</formula2>
    </dataValidation>
    <dataValidation type="decimal" operator="greaterThanOrEqual" allowBlank="1" showInputMessage="1" showErrorMessage="1" sqref="I53">
      <formula1>0</formula1>
    </dataValidation>
    <dataValidation type="decimal" operator="greaterThanOrEqual" allowBlank="1" showInputMessage="1" showErrorMessage="1" sqref="J53">
      <formula1>0</formula1>
    </dataValidation>
    <dataValidation type="decimal" allowBlank="1" showInputMessage="1" showErrorMessage="1" sqref="L53">
      <formula1>0</formula1>
      <formula2>100</formula2>
    </dataValidation>
    <dataValidation type="decimal" allowBlank="1" showInputMessage="1" showErrorMessage="1" sqref="M53">
      <formula1>0</formula1>
      <formula2>100</formula2>
    </dataValidation>
    <dataValidation type="decimal" operator="greaterThanOrEqual" allowBlank="1" showInputMessage="1" showErrorMessage="1" sqref="I54">
      <formula1>0</formula1>
    </dataValidation>
    <dataValidation type="decimal" operator="greaterThanOrEqual" allowBlank="1" showInputMessage="1" showErrorMessage="1" sqref="J54">
      <formula1>0</formula1>
    </dataValidation>
    <dataValidation type="decimal" allowBlank="1" showInputMessage="1" showErrorMessage="1" sqref="L54">
      <formula1>0</formula1>
      <formula2>100</formula2>
    </dataValidation>
    <dataValidation type="decimal" allowBlank="1" showInputMessage="1" showErrorMessage="1" sqref="M54">
      <formula1>0</formula1>
      <formula2>100</formula2>
    </dataValidation>
    <dataValidation type="decimal" operator="greaterThanOrEqual" allowBlank="1" showInputMessage="1" showErrorMessage="1" sqref="I55">
      <formula1>0</formula1>
    </dataValidation>
    <dataValidation type="decimal" operator="greaterThanOrEqual" allowBlank="1" showInputMessage="1" showErrorMessage="1" sqref="J55">
      <formula1>0</formula1>
    </dataValidation>
    <dataValidation type="decimal" allowBlank="1" showInputMessage="1" showErrorMessage="1" sqref="L55">
      <formula1>0</formula1>
      <formula2>100</formula2>
    </dataValidation>
    <dataValidation type="decimal" allowBlank="1" showInputMessage="1" showErrorMessage="1" sqref="M55">
      <formula1>0</formula1>
      <formula2>100</formula2>
    </dataValidation>
    <dataValidation type="decimal" operator="greaterThanOrEqual" allowBlank="1" showInputMessage="1" showErrorMessage="1" sqref="I56">
      <formula1>0</formula1>
    </dataValidation>
    <dataValidation type="decimal" operator="greaterThanOrEqual" allowBlank="1" showInputMessage="1" showErrorMessage="1" sqref="J56">
      <formula1>0</formula1>
    </dataValidation>
    <dataValidation type="decimal" allowBlank="1" showInputMessage="1" showErrorMessage="1" sqref="L56">
      <formula1>0</formula1>
      <formula2>100</formula2>
    </dataValidation>
    <dataValidation type="decimal" allowBlank="1" showInputMessage="1" showErrorMessage="1" sqref="M56">
      <formula1>0</formula1>
      <formula2>100</formula2>
    </dataValidation>
    <dataValidation type="decimal" operator="greaterThanOrEqual" allowBlank="1" showInputMessage="1" showErrorMessage="1" sqref="I57">
      <formula1>0</formula1>
    </dataValidation>
    <dataValidation type="decimal" operator="greaterThanOrEqual" allowBlank="1" showInputMessage="1" showErrorMessage="1" sqref="J57">
      <formula1>0</formula1>
    </dataValidation>
    <dataValidation type="decimal" allowBlank="1" showInputMessage="1" showErrorMessage="1" sqref="L57">
      <formula1>0</formula1>
      <formula2>100</formula2>
    </dataValidation>
    <dataValidation type="decimal" allowBlank="1" showInputMessage="1" showErrorMessage="1" sqref="M57">
      <formula1>0</formula1>
      <formula2>100</formula2>
    </dataValidation>
    <dataValidation type="decimal" operator="greaterThanOrEqual" allowBlank="1" showInputMessage="1" showErrorMessage="1" sqref="I58">
      <formula1>0</formula1>
    </dataValidation>
    <dataValidation type="decimal" operator="greaterThanOrEqual" allowBlank="1" showInputMessage="1" showErrorMessage="1" sqref="J58">
      <formula1>0</formula1>
    </dataValidation>
    <dataValidation type="decimal" allowBlank="1" showInputMessage="1" showErrorMessage="1" sqref="L58">
      <formula1>0</formula1>
      <formula2>100</formula2>
    </dataValidation>
    <dataValidation type="decimal" allowBlank="1" showInputMessage="1" showErrorMessage="1" sqref="M58">
      <formula1>0</formula1>
      <formula2>100</formula2>
    </dataValidation>
    <dataValidation type="decimal" operator="greaterThanOrEqual" allowBlank="1" showInputMessage="1" showErrorMessage="1" sqref="I59">
      <formula1>0</formula1>
    </dataValidation>
    <dataValidation type="decimal" operator="greaterThanOrEqual" allowBlank="1" showInputMessage="1" showErrorMessage="1" sqref="J59">
      <formula1>0</formula1>
    </dataValidation>
    <dataValidation type="decimal" allowBlank="1" showInputMessage="1" showErrorMessage="1" sqref="L59">
      <formula1>0</formula1>
      <formula2>100</formula2>
    </dataValidation>
    <dataValidation type="decimal" allowBlank="1" showInputMessage="1" showErrorMessage="1" sqref="M59">
      <formula1>0</formula1>
      <formula2>100</formula2>
    </dataValidation>
    <dataValidation type="decimal" operator="greaterThanOrEqual" allowBlank="1" showInputMessage="1" showErrorMessage="1" sqref="I60">
      <formula1>0</formula1>
    </dataValidation>
    <dataValidation type="decimal" operator="greaterThanOrEqual" allowBlank="1" showInputMessage="1" showErrorMessage="1" sqref="J60">
      <formula1>0</formula1>
    </dataValidation>
    <dataValidation type="decimal" allowBlank="1" showInputMessage="1" showErrorMessage="1" sqref="L60">
      <formula1>0</formula1>
      <formula2>100</formula2>
    </dataValidation>
    <dataValidation type="decimal" allowBlank="1" showInputMessage="1" showErrorMessage="1" sqref="M60">
      <formula1>0</formula1>
      <formula2>100</formula2>
    </dataValidation>
    <dataValidation type="decimal" operator="greaterThanOrEqual" allowBlank="1" showInputMessage="1" showErrorMessage="1" sqref="I61">
      <formula1>0</formula1>
    </dataValidation>
    <dataValidation type="decimal" operator="greaterThanOrEqual" allowBlank="1" showInputMessage="1" showErrorMessage="1" sqref="J61">
      <formula1>0</formula1>
    </dataValidation>
    <dataValidation type="decimal" allowBlank="1" showInputMessage="1" showErrorMessage="1" sqref="L61">
      <formula1>0</formula1>
      <formula2>100</formula2>
    </dataValidation>
    <dataValidation type="decimal" allowBlank="1" showInputMessage="1" showErrorMessage="1" sqref="M61">
      <formula1>0</formula1>
      <formula2>100</formula2>
    </dataValidation>
    <dataValidation type="decimal" operator="greaterThanOrEqual" allowBlank="1" showInputMessage="1" showErrorMessage="1" sqref="I62">
      <formula1>0</formula1>
    </dataValidation>
    <dataValidation type="decimal" operator="greaterThanOrEqual" allowBlank="1" showInputMessage="1" showErrorMessage="1" sqref="J62">
      <formula1>0</formula1>
    </dataValidation>
    <dataValidation type="decimal" allowBlank="1" showInputMessage="1" showErrorMessage="1" sqref="L62">
      <formula1>0</formula1>
      <formula2>100</formula2>
    </dataValidation>
    <dataValidation type="decimal" allowBlank="1" showInputMessage="1" showErrorMessage="1" sqref="M62">
      <formula1>0</formula1>
      <formula2>100</formula2>
    </dataValidation>
    <dataValidation type="decimal" operator="greaterThanOrEqual" allowBlank="1" showInputMessage="1" showErrorMessage="1" sqref="I63">
      <formula1>0</formula1>
    </dataValidation>
    <dataValidation type="decimal" operator="greaterThanOrEqual" allowBlank="1" showInputMessage="1" showErrorMessage="1" sqref="J63">
      <formula1>0</formula1>
    </dataValidation>
    <dataValidation type="decimal" allowBlank="1" showInputMessage="1" showErrorMessage="1" sqref="L63">
      <formula1>0</formula1>
      <formula2>100</formula2>
    </dataValidation>
    <dataValidation type="decimal" allowBlank="1" showInputMessage="1" showErrorMessage="1" sqref="M63">
      <formula1>0</formula1>
      <formula2>100</formula2>
    </dataValidation>
    <dataValidation type="decimal" operator="greaterThanOrEqual" allowBlank="1" showInputMessage="1" showErrorMessage="1" sqref="I64">
      <formula1>0</formula1>
    </dataValidation>
    <dataValidation type="decimal" operator="greaterThanOrEqual" allowBlank="1" showInputMessage="1" showErrorMessage="1" sqref="J64">
      <formula1>0</formula1>
    </dataValidation>
    <dataValidation type="decimal" allowBlank="1" showInputMessage="1" showErrorMessage="1" sqref="L64">
      <formula1>0</formula1>
      <formula2>100</formula2>
    </dataValidation>
    <dataValidation type="decimal" allowBlank="1" showInputMessage="1" showErrorMessage="1" sqref="M64">
      <formula1>0</formula1>
      <formula2>100</formula2>
    </dataValidation>
    <dataValidation type="decimal" operator="greaterThanOrEqual" allowBlank="1" showInputMessage="1" showErrorMessage="1" sqref="I65">
      <formula1>0</formula1>
    </dataValidation>
    <dataValidation type="decimal" operator="greaterThanOrEqual" allowBlank="1" showInputMessage="1" showErrorMessage="1" sqref="J65">
      <formula1>0</formula1>
    </dataValidation>
    <dataValidation type="decimal" allowBlank="1" showInputMessage="1" showErrorMessage="1" sqref="L65">
      <formula1>0</formula1>
      <formula2>100</formula2>
    </dataValidation>
    <dataValidation type="decimal" allowBlank="1" showInputMessage="1" showErrorMessage="1" sqref="M65">
      <formula1>0</formula1>
      <formula2>100</formula2>
    </dataValidation>
    <dataValidation type="decimal" operator="greaterThanOrEqual" allowBlank="1" showInputMessage="1" showErrorMessage="1" sqref="I66">
      <formula1>0</formula1>
    </dataValidation>
    <dataValidation type="decimal" operator="greaterThanOrEqual" allowBlank="1" showInputMessage="1" showErrorMessage="1" sqref="J66">
      <formula1>0</formula1>
    </dataValidation>
    <dataValidation type="decimal" allowBlank="1" showInputMessage="1" showErrorMessage="1" sqref="L66">
      <formula1>0</formula1>
      <formula2>100</formula2>
    </dataValidation>
    <dataValidation type="decimal" allowBlank="1" showInputMessage="1" showErrorMessage="1" sqref="M66">
      <formula1>0</formula1>
      <formula2>100</formula2>
    </dataValidation>
    <dataValidation type="decimal" operator="greaterThanOrEqual" allowBlank="1" showInputMessage="1" showErrorMessage="1" sqref="I67">
      <formula1>0</formula1>
    </dataValidation>
    <dataValidation type="decimal" operator="greaterThanOrEqual" allowBlank="1" showInputMessage="1" showErrorMessage="1" sqref="J67">
      <formula1>0</formula1>
    </dataValidation>
    <dataValidation type="decimal" allowBlank="1" showInputMessage="1" showErrorMessage="1" sqref="L67">
      <formula1>0</formula1>
      <formula2>100</formula2>
    </dataValidation>
    <dataValidation type="decimal" allowBlank="1" showInputMessage="1" showErrorMessage="1" sqref="M67">
      <formula1>0</formula1>
      <formula2>100</formula2>
    </dataValidation>
    <dataValidation type="list" allowBlank="1" showInputMessage="1" showErrorMessage="1" sqref="C70:H70">
      <formula1>'MasterData'!$H$1:$H$20</formula1>
    </dataValidation>
    <dataValidation type="list" allowBlank="1" showInputMessage="1" showErrorMessage="1" sqref="C71:H71">
      <formula1>'MasterData'!$H$1:$H$20</formula1>
    </dataValidation>
    <dataValidation type="list" allowBlank="1" showInputMessage="1" showErrorMessage="1" sqref="C72:H72">
      <formula1>'MasterData'!$H$1:$H$20</formula1>
    </dataValidation>
    <dataValidation type="list" allowBlank="1" showInputMessage="1" showErrorMessage="1" sqref="C73:H73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124</v>
      </c>
      <c r="M1" s="300" t="s">
        <v>133</v>
      </c>
      <c r="N1" s="301" t="s">
        <v>0</v>
      </c>
      <c r="O1" s="162" t="s">
        <v>134</v>
      </c>
    </row>
    <row r="2" spans="7:15" ht="12.75">
      <c r="G2" s="162">
        <v>1001310</v>
      </c>
      <c r="H2" s="162" t="s">
        <v>125</v>
      </c>
      <c r="M2" s="300" t="s">
        <v>135</v>
      </c>
      <c r="N2" s="301">
        <v>1020645645</v>
      </c>
      <c r="O2" s="162" t="s">
        <v>136</v>
      </c>
    </row>
    <row r="3" spans="7:15" ht="12.75">
      <c r="G3" s="162">
        <v>1001352</v>
      </c>
      <c r="H3" s="162" t="s">
        <v>121</v>
      </c>
      <c r="M3" s="300" t="s">
        <v>137</v>
      </c>
      <c r="N3" s="301">
        <v>99990000411642</v>
      </c>
      <c r="O3" s="162" t="s">
        <v>138</v>
      </c>
    </row>
    <row r="4" spans="7:15" ht="12.75">
      <c r="G4" s="162">
        <v>1012729</v>
      </c>
      <c r="H4" s="162" t="s">
        <v>139</v>
      </c>
      <c r="M4" s="300" t="s">
        <v>140</v>
      </c>
      <c r="N4" s="301">
        <v>1021600641</v>
      </c>
      <c r="O4" s="162" t="s">
        <v>141</v>
      </c>
    </row>
    <row r="5" spans="7:15" ht="12.75">
      <c r="G5" s="162">
        <v>1012730</v>
      </c>
      <c r="H5" s="162" t="s">
        <v>142</v>
      </c>
      <c r="M5" s="300" t="s">
        <v>143</v>
      </c>
      <c r="N5" s="301"/>
      <c r="O5" s="162" t="s">
        <v>144</v>
      </c>
    </row>
    <row r="6" spans="7:15" ht="12.75">
      <c r="G6" s="162">
        <v>1012731</v>
      </c>
      <c r="H6" s="162" t="s">
        <v>145</v>
      </c>
      <c r="M6" s="300" t="s">
        <v>146</v>
      </c>
      <c r="N6" s="301" t="s">
        <v>147</v>
      </c>
      <c r="O6" s="162" t="s">
        <v>148</v>
      </c>
    </row>
    <row r="7" spans="7:15" ht="12.75">
      <c r="G7" s="162">
        <v>1012732</v>
      </c>
      <c r="H7" s="162" t="s">
        <v>149</v>
      </c>
      <c r="M7" s="300" t="s">
        <v>150</v>
      </c>
      <c r="N7" s="301">
        <v>0</v>
      </c>
      <c r="O7" s="162" t="s">
        <v>151</v>
      </c>
    </row>
    <row r="8" spans="7:15" ht="12.75">
      <c r="G8" s="162">
        <v>1012733</v>
      </c>
      <c r="H8" s="162" t="s">
        <v>152</v>
      </c>
      <c r="O8" s="162" t="s">
        <v>153</v>
      </c>
    </row>
    <row r="9" spans="7:15" ht="12.75">
      <c r="G9" s="162">
        <v>1012735</v>
      </c>
      <c r="H9" s="162" t="s">
        <v>154</v>
      </c>
      <c r="O9" s="162" t="s">
        <v>155</v>
      </c>
    </row>
    <row r="10" spans="7:15" ht="12.75">
      <c r="G10" s="162">
        <v>1012736</v>
      </c>
      <c r="H10" s="162" t="s">
        <v>156</v>
      </c>
      <c r="O10" s="162" t="s">
        <v>157</v>
      </c>
    </row>
    <row r="11" spans="7:15" ht="12.75">
      <c r="G11" s="162">
        <v>1012737</v>
      </c>
      <c r="H11" s="162" t="s">
        <v>158</v>
      </c>
      <c r="O11" s="162" t="s">
        <v>159</v>
      </c>
    </row>
    <row r="12" spans="7:15" ht="12.75">
      <c r="G12" s="162">
        <v>1012738</v>
      </c>
      <c r="H12" s="162" t="s">
        <v>160</v>
      </c>
      <c r="O12" s="162" t="s">
        <v>161</v>
      </c>
    </row>
    <row r="13" spans="7:15" ht="12.75">
      <c r="G13" s="162">
        <v>1012739</v>
      </c>
      <c r="H13" s="162" t="s">
        <v>162</v>
      </c>
      <c r="O13" s="162" t="s">
        <v>163</v>
      </c>
    </row>
    <row r="14" spans="7:15" ht="12.75">
      <c r="G14" s="162">
        <v>1012740</v>
      </c>
      <c r="H14" s="162" t="s">
        <v>164</v>
      </c>
      <c r="O14" s="162" t="s">
        <v>165</v>
      </c>
    </row>
    <row r="15" spans="7:15" ht="12.75">
      <c r="G15" s="162">
        <v>1012741</v>
      </c>
      <c r="H15" s="162" t="s">
        <v>166</v>
      </c>
      <c r="O15" s="162" t="s">
        <v>167</v>
      </c>
    </row>
    <row r="16" spans="7:15" ht="12.75">
      <c r="G16" s="162">
        <v>1012742</v>
      </c>
      <c r="H16" s="162" t="s">
        <v>168</v>
      </c>
      <c r="O16" s="162" t="s">
        <v>169</v>
      </c>
    </row>
    <row r="17" spans="7:15" ht="12.75">
      <c r="G17" s="162">
        <v>1012743</v>
      </c>
      <c r="H17" s="162" t="s">
        <v>170</v>
      </c>
      <c r="O17" s="162" t="s">
        <v>171</v>
      </c>
    </row>
    <row r="18" spans="7:15" ht="12.75">
      <c r="G18" s="162">
        <v>1012744</v>
      </c>
      <c r="H18" s="162" t="s">
        <v>172</v>
      </c>
      <c r="O18" s="162" t="s">
        <v>173</v>
      </c>
    </row>
    <row r="19" spans="7:15" ht="12.75">
      <c r="G19" s="162">
        <v>1020032</v>
      </c>
      <c r="H19" s="162" t="s">
        <v>174</v>
      </c>
      <c r="O19" s="162" t="s">
        <v>175</v>
      </c>
    </row>
    <row r="20" spans="7:15" ht="12.75">
      <c r="G20" s="162">
        <v>1020033</v>
      </c>
      <c r="H20" s="162" t="s">
        <v>176</v>
      </c>
      <c r="O20" s="162" t="s">
        <v>177</v>
      </c>
    </row>
    <row r="21" ht="12.75">
      <c r="O21" s="162" t="s">
        <v>178</v>
      </c>
    </row>
    <row r="22" ht="12.75">
      <c r="O22" s="162" t="s">
        <v>179</v>
      </c>
    </row>
    <row r="23" ht="12.75">
      <c r="O23" s="162" t="s">
        <v>180</v>
      </c>
    </row>
    <row r="24" ht="12.75">
      <c r="O24" s="162" t="s">
        <v>181</v>
      </c>
    </row>
    <row r="25" ht="12.75">
      <c r="O25" s="162" t="s">
        <v>182</v>
      </c>
    </row>
    <row r="26" ht="12.75">
      <c r="O26" s="162" t="s">
        <v>183</v>
      </c>
    </row>
    <row r="27" ht="12.75">
      <c r="O27" s="162" t="s">
        <v>184</v>
      </c>
    </row>
    <row r="28" ht="12.75">
      <c r="O28" s="162" t="s">
        <v>185</v>
      </c>
    </row>
    <row r="29" ht="12.75">
      <c r="O29" s="162" t="s">
        <v>186</v>
      </c>
    </row>
    <row r="30" ht="12.75">
      <c r="O30" s="162" t="s">
        <v>187</v>
      </c>
    </row>
    <row r="31" ht="12.75">
      <c r="O31" s="162" t="s">
        <v>188</v>
      </c>
    </row>
    <row r="32" ht="12.75">
      <c r="O32" s="162" t="s">
        <v>189</v>
      </c>
    </row>
    <row r="33" ht="12.75">
      <c r="O33" s="162" t="s">
        <v>190</v>
      </c>
    </row>
    <row r="34" ht="12.75">
      <c r="O34" s="162" t="s">
        <v>191</v>
      </c>
    </row>
    <row r="35" ht="12.75">
      <c r="O35" s="162" t="s">
        <v>192</v>
      </c>
    </row>
    <row r="36" ht="12.75">
      <c r="O36" s="162" t="s">
        <v>193</v>
      </c>
    </row>
    <row r="37" ht="12.75">
      <c r="O37" s="162" t="s">
        <v>194</v>
      </c>
    </row>
    <row r="38" ht="12.75">
      <c r="O38" s="162" t="s">
        <v>195</v>
      </c>
    </row>
    <row r="39" ht="12.75">
      <c r="O39" s="162" t="s">
        <v>196</v>
      </c>
    </row>
    <row r="40" ht="12.75">
      <c r="O40" s="162" t="s">
        <v>197</v>
      </c>
    </row>
    <row r="41" ht="12.75">
      <c r="O41" s="162" t="s">
        <v>198</v>
      </c>
    </row>
    <row r="42" ht="12.75">
      <c r="O42" s="162" t="s">
        <v>199</v>
      </c>
    </row>
    <row r="43" ht="12.75">
      <c r="O43" s="162" t="s">
        <v>200</v>
      </c>
    </row>
    <row r="44" ht="12.75">
      <c r="O44" s="162" t="s">
        <v>201</v>
      </c>
    </row>
    <row r="45" ht="12.75">
      <c r="O45" s="162" t="s">
        <v>202</v>
      </c>
    </row>
    <row r="46" ht="12.75">
      <c r="O46" s="162" t="s">
        <v>203</v>
      </c>
    </row>
    <row r="47" ht="12.75">
      <c r="O47" s="162" t="s">
        <v>204</v>
      </c>
    </row>
    <row r="48" ht="12.75">
      <c r="O48" s="162" t="s">
        <v>205</v>
      </c>
    </row>
    <row r="49" ht="12.75">
      <c r="O49" s="162" t="s">
        <v>206</v>
      </c>
    </row>
    <row r="50" ht="12.75">
      <c r="O50" s="162" t="s">
        <v>207</v>
      </c>
    </row>
    <row r="51" ht="12.75">
      <c r="O51" s="162" t="s">
        <v>208</v>
      </c>
    </row>
    <row r="52" ht="12.75">
      <c r="O52" s="162" t="s">
        <v>209</v>
      </c>
    </row>
    <row r="53" ht="12.75">
      <c r="O53" s="162" t="s">
        <v>210</v>
      </c>
    </row>
    <row r="54" ht="12.75">
      <c r="O54" s="162" t="s">
        <v>211</v>
      </c>
    </row>
    <row r="55" ht="12.75">
      <c r="O55" s="162" t="s">
        <v>212</v>
      </c>
    </row>
    <row r="56" ht="12.75">
      <c r="O56" s="162" t="s">
        <v>213</v>
      </c>
    </row>
    <row r="57" ht="12.75">
      <c r="O57" s="162" t="s">
        <v>214</v>
      </c>
    </row>
    <row r="58" ht="12.75">
      <c r="O58" s="162" t="s">
        <v>215</v>
      </c>
    </row>
    <row r="59" ht="12.75">
      <c r="O59" s="162" t="s">
        <v>216</v>
      </c>
    </row>
    <row r="60" ht="12.75">
      <c r="O60" s="162" t="s">
        <v>217</v>
      </c>
    </row>
    <row r="61" ht="12.75">
      <c r="O61" s="162" t="s">
        <v>218</v>
      </c>
    </row>
    <row r="62" ht="12.75">
      <c r="O62" s="162" t="s">
        <v>219</v>
      </c>
    </row>
    <row r="63" ht="12.75">
      <c r="O63" s="162" t="s">
        <v>220</v>
      </c>
    </row>
    <row r="64" ht="12.75">
      <c r="O64" s="162" t="s">
        <v>221</v>
      </c>
    </row>
    <row r="65" ht="12.75">
      <c r="O65" s="162" t="s">
        <v>222</v>
      </c>
    </row>
    <row r="66" ht="12.75">
      <c r="O66" s="162" t="s">
        <v>223</v>
      </c>
    </row>
    <row r="67" ht="12.75">
      <c r="O67" s="162" t="s">
        <v>224</v>
      </c>
    </row>
    <row r="68" ht="12.75">
      <c r="O68" s="162" t="s">
        <v>225</v>
      </c>
    </row>
    <row r="69" ht="12.75">
      <c r="O69" s="162" t="s">
        <v>226</v>
      </c>
    </row>
    <row r="70" ht="12.75">
      <c r="O70" s="162" t="s">
        <v>227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