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Quote!$A$1:$R$135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Quote!$A$116</definedName>
    <definedName name="Enquiry_To_Vendor_ID" comment="Enquiry to Vendor ID">Quote!$C$116</definedName>
    <definedName name="GrandTotal">Quote!$N$115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Quote!$A$108</definedName>
    <definedName name="ItemListStartupRow" comment="Item List Start Up Row">Quote!$A$19</definedName>
    <definedName name="ItemSubTotal">Quote!$N$114</definedName>
    <definedName name="ItemSubTotalTitle">Quote!$J$114</definedName>
    <definedName name="LeadDay">Quote!$M$11</definedName>
    <definedName name="Lock">Quote!$M$116</definedName>
    <definedName name="LoggedInEmailID">Quote!$N$116</definedName>
    <definedName name="LoggedInPwd">Quote!$O$116</definedName>
    <definedName name="OtherCharges">Quote!$C$110</definedName>
    <definedName name="OtherChargesLastRow">Quote!$A$114</definedName>
    <definedName name="OtherChargesStartRow">Quote!$A$109</definedName>
    <definedName name="Port">Quote!$P$116</definedName>
    <definedName name="PortOfDelivery" comment="Port of Delivery">Quote!$M$9</definedName>
    <definedName name="PurchaserName">Quote!$J$116</definedName>
    <definedName name="QuoteBefore">Quote!$M$8</definedName>
    <definedName name="QuoteID">MasterData!$N$7</definedName>
    <definedName name="QuoteSubject">Quote!$E$116</definedName>
    <definedName name="Remarks">Quote!$E$118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Quote!$K$116</definedName>
    <definedName name="SentIndex">Quote!$L$116</definedName>
    <definedName name="Server">Quote!$Q$116</definedName>
    <definedName name="Terms">Quote!$A$122:$T$143</definedName>
    <definedName name="ToEmailID">Quote!$I$116</definedName>
    <definedName name="ToEmailPwd">Quote!$H$116</definedName>
    <definedName name="VAL">Quote!$F$116</definedName>
    <definedName name="VAT_All">Quote!$M$16</definedName>
    <definedName name="Vendor_ID" comment="Vendor ID">Quote!$B$116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Quote!$D$116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Quote!$E$119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,Quote!$N$64:$N$64,Quote!$N$65:$N$65,Quote!$N$66:$N$66,Quote!$N$67:$N$67,Quote!$N$68:$N$68,Quote!$N$69:$N$69,Quote!$N$70:$N$70,Quote!$N$71:$N$71,Quote!$N$72:$N$72,Quote!$N$73:$N$73,Quote!$N$74:$N$74,Quote!$N$75:$N$75,Quote!$N$76:$N$76,Quote!$N$77:$N$77,Quote!$N$78:$N$78,Quote!$N$79:$N$79,Quote!$N$80:$N$80,Quote!$N$81:$N$81,Quote!$N$82:$N$82,Quote!$N$83:$N$83,Quote!$N$84:$N$84,Quote!$N$85:$N$85,Quote!$N$86:$N$86,Quote!$N$87:$N$87,Quote!$N$88:$N$88,Quote!$N$89:$N$89,Quote!$N$90:$N$90,Quote!$N$91:$N$91,Quote!$N$92:$N$92,Quote!$N$93:$N$93,Quote!$N$94:$N$94,Quote!$N$95:$N$95,Quote!$N$96:$N$96,Quote!$N$97:$N$97,Quote!$N$98:$N$98,Quote!$N$99:$N$99,Quote!$N$100:$N$100,Quote!$N$101:$N$101,Quote!$N$102:$N$102,Quote!$N$103:$N$103,Quote!$N$104:$N$104,Quote!$N$105:$N$105,Quote!$N$106:$N$106,Quote!$N$107:$N$107</definedName>
  </definedNames>
  <calcPr fullCalcOnLoad="1"/>
</workbook>
</file>

<file path=xl/sharedStrings.xml><?xml version="1.0" encoding="utf-8"?>
<sst xmlns="http://schemas.openxmlformats.org/spreadsheetml/2006/main" count="464" uniqueCount="279">
  <si>
    <t>RFQ</t>
  </si>
  <si>
    <t>Request for Quote</t>
  </si>
  <si>
    <t>Invoice To</t>
  </si>
  <si>
    <t xml:space="preserve">Bernhard Schulte Shipmanagement (Deutschland) GmbH &amp; Co. KG
MS „Zambesi“ Schiffahrtsgesellschaft mbH &amp; Co. KG
c/o Bernhard Schulte Shipmanagement (Deutschland) GmbH &amp; Co KG
Vorsetzen 54
20459 Hamburg
VAT no: DE264543044
EORI number: DE31 401695 0650578
PLEASE SEND YOUR INVOICE ELECTRONICALLY TO FOLLOWING EMAIL
ADDRESS
============================================================
de-smc-invoices@bs-shipmanagement.com
</t>
  </si>
  <si>
    <t>Vessel</t>
  </si>
  <si>
    <t>Zambesi</t>
  </si>
  <si>
    <t>RFQ No.</t>
  </si>
  <si>
    <t>ZAM/O0166/RF19</t>
  </si>
  <si>
    <t>RFQ Date</t>
  </si>
  <si>
    <t>Submit Quote Before:</t>
  </si>
  <si>
    <t>Port of Delivery</t>
  </si>
  <si>
    <t>At Sea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</si>
  <si>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</si>
  <si>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</si>
  <si>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</si>
  <si>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</si>
  <si>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</si>
  <si>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</si>
  <si>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</si>
  <si>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</si>
  <si>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</si>
  <si>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</si>
  <si>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</si>
  <si>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</si>
  <si>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</si>
  <si>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</si>
  <si>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</si>
  <si>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</si>
  <si>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</si>
  <si>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</si>
  <si>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</si>
  <si>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</si>
  <si>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</si>
  <si>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</si>
  <si>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</si>
  <si>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</si>
  <si>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</si>
  <si>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</si>
  <si>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</si>
  <si>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</si>
  <si>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SMALL KNIVES</t>
  </si>
  <si>
    <t>PCS</t>
  </si>
  <si>
    <t>1x set of knives with multi colour handles: 1x blue, 1x yellow, 1x red, 1x white, 1x green, 1x brown</t>
  </si>
  <si>
    <t>RACK PLATE &amp; TRAY DISH WASHER, PLASTIC 500X500X115MM</t>
  </si>
  <si>
    <t>We need size 380 x 380</t>
  </si>
  <si>
    <t>DISHWASHING BRUSHES</t>
  </si>
  <si>
    <t>MEASURING SPOON SET S. STEEL, 2.5/5/15CC</t>
  </si>
  <si>
    <t>SET</t>
  </si>
  <si>
    <t>POTATO PEELERS FRAME</t>
  </si>
  <si>
    <t>COLANDER STAINLESS STEEL, 450MM DIAM</t>
  </si>
  <si>
    <t>TOOTH PICK HOLDER GLASS</t>
  </si>
  <si>
    <t>ASH STAND STAINLESS STEEL, PEDESTAL TYPE 260X535MM</t>
  </si>
  <si>
    <t>HOLDER PLASTIC FOR PAPER TOWEL, ROLLED 280MM</t>
  </si>
  <si>
    <t>PEDAL FLIP WASTE BASKET; STAINLESS STEEL; 250MM X 395MM (DIAXHT); 12 LTRS</t>
  </si>
  <si>
    <t>PAPER TOWEL ROLLED 280MMX14MTR</t>
  </si>
  <si>
    <t>RLS</t>
  </si>
  <si>
    <t>PAPER PLATE ROUND 222MM</t>
  </si>
  <si>
    <t>SALAD SERVING TONGS, STAINLESS STEEL 240MM</t>
  </si>
  <si>
    <t>PRS</t>
  </si>
  <si>
    <t>SALT &amp; PEPPER CASTER SET</t>
  </si>
  <si>
    <t>with stainless steel stand</t>
  </si>
  <si>
    <t>BUTCHER'S STEEL MAGNETIZED, BLADE 290MM</t>
  </si>
  <si>
    <t>RACK DISH DRAINER STEEL WIRE, W/PLASTIC COATED 420X340X125MM</t>
  </si>
  <si>
    <t>VEGETABLE SLICE CUTTER, "BENLINER"</t>
  </si>
  <si>
    <t>ASH TRAY STAINLESS STEEL, DIVIDE &amp; DROP 120MM DIAM</t>
  </si>
  <si>
    <t>MEAT CARVING KNIFE 18-CR 8-NI, STAINLESS STEEL STANDARD GRADE</t>
  </si>
  <si>
    <t>PAPER CUP DISPOSABLE 270CC</t>
  </si>
  <si>
    <t>BOX</t>
  </si>
  <si>
    <t>GARLIC PRESS STAINLESS STEEL, OVERALL 150MM</t>
  </si>
  <si>
    <t>SAUCE PAN ALUM STANDARD 1.5LTR</t>
  </si>
  <si>
    <t>SAUCE PAN ALUM STANDARD 2.7LTR</t>
  </si>
  <si>
    <t>Pan in 180 x 100</t>
  </si>
  <si>
    <t>SAUCE PAN ALUM STANDARD 6.0LTR</t>
  </si>
  <si>
    <t>Pan in 240 x 130</t>
  </si>
  <si>
    <t>PAN RECTANGULAR STAINLESS, 320X260X50MM</t>
  </si>
  <si>
    <t>BRUSH TOILET NYLON W/HOLDER</t>
  </si>
  <si>
    <t>SOAP TOILET LUX 100GRMX72'S</t>
  </si>
  <si>
    <t>CTN</t>
  </si>
  <si>
    <t>HAND SOAP IN PUM DISPENSER - JELL TYPE</t>
  </si>
  <si>
    <t>We need anti bacterial type only</t>
  </si>
  <si>
    <t>METAL POLISH LIQUID 300GRM</t>
  </si>
  <si>
    <t>TIN</t>
  </si>
  <si>
    <t>FLOOR WAX FAST STRIPPER, NEW SUPER ALL-GO 18LTR</t>
  </si>
  <si>
    <t>CAN</t>
  </si>
  <si>
    <t>We need Brand Johnson &amp; Johnson</t>
  </si>
  <si>
    <t>FLOOR CLEANER JOHNSON NEUTRA FRESH 18LTR</t>
  </si>
  <si>
    <t>COCKROACH TRAP DISPOSABLE WITH SPECIAL FOOD BAIT</t>
  </si>
  <si>
    <t>We need sticky type trap</t>
  </si>
  <si>
    <t>PEDAL FLIP  WASTE BASKET 290MM X 445MM; 20 LTR CAPACITY</t>
  </si>
  <si>
    <t>TISSUE PAPER ECONOMY SIZE</t>
  </si>
  <si>
    <t>REPLACEABLE HEAD FOR YACHT MOP</t>
  </si>
  <si>
    <t>PAN RECTANGULAR STAINLESS, 300X230X45MM</t>
  </si>
  <si>
    <t>TOASTER AUTO 2-SLICES 220V</t>
  </si>
  <si>
    <t>SOAP POWDER, LAUNDRY, 500 GRM</t>
  </si>
  <si>
    <t>PKT</t>
  </si>
  <si>
    <t>BLEACHING WATER FOR LAUNDRY, 1500ML  (1 LTR)</t>
  </si>
  <si>
    <t>BTL</t>
  </si>
  <si>
    <t>LAUNDRY SOFTENER 1.65LTR (1 LTR )</t>
  </si>
  <si>
    <t>SOAP LIQUID 800CC FOR GALLEY (1 LTR ).</t>
  </si>
  <si>
    <t>Dish Washing liquid for MANUAL washing</t>
  </si>
  <si>
    <t>DISHWASHING DETERGENT(LIQUID), 25KGS</t>
  </si>
  <si>
    <t>Deck/ 50 ltrl for manual washing</t>
  </si>
  <si>
    <t>BASKET BOIL W/HANDLE S. STEEL, DIAM200MMXDEPTH107MM</t>
  </si>
  <si>
    <t>DETERGENT LAUNDRY MACHINE, 25KGS Low Sud</t>
  </si>
  <si>
    <t>BAG</t>
  </si>
  <si>
    <t>BLEACHING WATER FOR KITCHEN, 600ML</t>
  </si>
  <si>
    <t>STEAK PAN CAST ALUM OVAL, 320X240MM</t>
  </si>
  <si>
    <t>BRAZIER ALUM HEAVY DUTY 6.8LTR</t>
  </si>
  <si>
    <t>KNIFE RACK STAINLESS STEEL, DOUBLE ROW 325X105X365MM</t>
  </si>
  <si>
    <t>PILLOW POLYURETHAN FOAM 400X600MM</t>
  </si>
  <si>
    <t>BATH TOWEL COTTON WHITE, 700-800 X 1300-1400MM (300grm )</t>
  </si>
  <si>
    <t>SHT</t>
  </si>
  <si>
    <t>BATH TOWEL COTTON BLUE, 700-800 X 1300-1400MM (300grm )</t>
  </si>
  <si>
    <t>FACE TOWEL COTTON WHITE 330 X 750MM, 80GRM</t>
  </si>
  <si>
    <t>FACE TOWEL COTTON BLUE 330 X 750MM, 80GRM</t>
  </si>
  <si>
    <t>NON SKID SHEET MESH, WIDTH 800MM</t>
  </si>
  <si>
    <t>MTR</t>
  </si>
  <si>
    <t>CURTAIN SHOWER, 1,000X1,900MM, LIGHT COLOR</t>
  </si>
  <si>
    <t>PLASTIC GARBAGE BAG (CABIN USE) 450x450MM</t>
  </si>
  <si>
    <t>PLASTICS BAGS FOR GARBAGE DISPOSAL (10SHTS PER PKT) 650x850MM</t>
  </si>
  <si>
    <t>Large from Hard Plastic 250 ltrs</t>
  </si>
  <si>
    <t>MARINE REFUSE SACK "MAXI", 70X110CM 50'S/PKT</t>
  </si>
  <si>
    <t>RIM SOUP PLATE CHINA, STANDARD QUALITY 233MM</t>
  </si>
  <si>
    <t>TEA CUP CHINA, MARINE QUALITY 210CC</t>
  </si>
  <si>
    <t>COFFEE MUG CHINA, MARINE QUALITY 290CC</t>
  </si>
  <si>
    <t>COFFEE CUP STANDARD WITH BLUE LINE 150CC</t>
  </si>
  <si>
    <t>TUMBLER STRAIGHT HARDSTRONG 180CC</t>
  </si>
  <si>
    <t>SERVING TONGS MULTI PURPOSE STAINLESS STEEL 240MM</t>
  </si>
  <si>
    <t>TOOTH PICK ROUND 150'S</t>
  </si>
  <si>
    <t>COFFEE MAKER FILTER PAPER MELITA 1X4 100'S</t>
  </si>
  <si>
    <t>FRYING PAN STEEL TEFLON COATED DIAM 220MM</t>
  </si>
  <si>
    <t>SHARPENING STONE CARBORUNDUM, FINE 70X60X209MM</t>
  </si>
  <si>
    <t>SPONGE  CLEANERS - HAND SCOURER STEEL</t>
  </si>
  <si>
    <t>SPONGE CLEANER 150X100X50MM</t>
  </si>
  <si>
    <t>SCOTCH BRITE 3M SCRUBBING, SPONGE SMALL SPONGE ACE S</t>
  </si>
  <si>
    <t>COOKING FOIL ALUMINIUM, 450MMX30MTR</t>
  </si>
  <si>
    <t>WRAPPING FOIL, CELOPHANE 300MM X 50 MTRS</t>
  </si>
  <si>
    <t>WAX PAPER 363MMX20MTR</t>
  </si>
  <si>
    <t>KETTLE ELECTRIC CORDLESS, AC220V 1.5LTR</t>
  </si>
  <si>
    <t>BLENDER ELECTRIC 1.0LTR 220V</t>
  </si>
  <si>
    <t>BLANKET WOOL 100% 1500X2000MM, BLUE</t>
  </si>
  <si>
    <t>NAPKIN PAPER TABLE 2-PLY, 330MM/SQUARE 2000'S</t>
  </si>
  <si>
    <t>COFFEE MAKER FILTER PAPER, MELITA 1X6 100'S</t>
  </si>
  <si>
    <t>TABLE CLOTHING PLASTIC COTTON, LINED WIDTH 1200MM</t>
  </si>
  <si>
    <t>PLASTIC BAG 260X380MM 100'S, FOR FOOD RESERVATION</t>
  </si>
  <si>
    <t>DISH WASHING MACHINE 220V</t>
  </si>
  <si>
    <t>SCF-S-CAB136</t>
  </si>
  <si>
    <t>DETTOL ANTIBACTERIAL LIQUID HAND  WASH FOR CABINS</t>
  </si>
  <si>
    <t>MISC 152</t>
  </si>
  <si>
    <t>MATTRESS TOPPER WITH FURTHER DETAILS MENTION SIZE REQUIREMENT IN "REMARKS (FOR SUPPLIER)" &amp; AND DETAILS OF ANY OTHER REQUIREMENT.</t>
  </si>
  <si>
    <t>Size in cm: L x 200 ,W x 140 , H x 10</t>
  </si>
  <si>
    <t>PILLOW CASE 500MM X 750MM</t>
  </si>
  <si>
    <t>Bed sheet, L2740mm X W1600mm</t>
  </si>
  <si>
    <t>BED SHEET - WHITE 1800 X 2500</t>
  </si>
  <si>
    <t>GLOVES RUBBER NATURAL LONG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</si>
  <si>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</si>
  <si>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</si>
  <si>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</si>
  <si>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</si>
  <si>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</si>
  <si>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</si>
  <si>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</si>
  <si>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</si>
  <si>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</si>
  <si>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</si>
  <si>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Q3  STORES AND CONSUMABLES ARE REQUIRED TO FULFILL OUR DEMANDS IN 3RD QUARTER.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</si>
  <si>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</si>
  <si>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</si>
  <si>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</si>
  <si>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</si>
  <si>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</si>
  <si>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</si>
  <si>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</si>
  <si>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</si>
  <si>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</si>
  <si>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</si>
  <si>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</si>
  <si>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</si>
  <si>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</si>
  <si>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</si>
  <si>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</si>
  <si>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</si>
  <si>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</si>
  <si>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</si>
  <si>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</si>
  <si>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</si>
  <si>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</si>
  <si>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</si>
  <si>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</si>
  <si>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</si>
  <si>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</si>
  <si>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</si>
  <si>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</si>
  <si>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</si>
  <si>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</si>
  <si>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</si>
  <si>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</si>
  <si>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</si>
  <si>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</si>
  <si>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</si>
  <si>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</si>
  <si>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</si>
  <si>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</si>
  <si>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</si>
  <si>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</si>
  <si>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</si>
  <si>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</si>
  <si>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</si>
  <si>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</si>
  <si>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</si>
  <si>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</si>
  <si>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</si>
  <si>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</si>
  <si>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</si>
  <si>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</si>
  <si>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</si>
  <si>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</si>
  <si>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</si>
  <si>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</si>
  <si>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</si>
  <si>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</si>
  <si>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</si>
  <si>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</si>
  <si>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</si>
  <si>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</si>
  <si>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</si>
  <si>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</si>
  <si>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</si>
  <si>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</si>
  <si>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</si>
  <si>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</si>
  <si>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</si>
  <si>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</si>
  <si>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</si>
  <si>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</si>
  <si>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</si>
  <si>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</si>
  <si>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</si>
  <si>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</si>
  <si>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</si>
  <si>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</si>
  <si>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</si>
  <si>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</si>
  <si>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</si>
  <si>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</si>
  <si>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</si>
  <si>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</si>
  <si>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</si>
  <si>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</si>
  <si>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</si>
  <si>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</si>
  <si>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</si>
  <si>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</si>
  <si>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</si>
  <si>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</si>
  <si>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</si>
  <si>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</si>
  <si>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</si>
  <si>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BJD1909042225795LET</t>
  </si>
  <si>
    <t>175MM</t>
  </si>
  <si>
    <t>SMOOTHSEAS,4L
30.10 DIVERSEY,5L | Price-35.38</t>
  </si>
  <si>
    <t>SMOOTHSEAS,4L</t>
  </si>
  <si>
    <t>TOTAL PRICE FOR 300PKT,PLS CHECK QTY</t>
  </si>
  <si>
    <t>220V/60HZ 750W 240*120*160MM</t>
  </si>
  <si>
    <t>600ML/PKT</t>
  </si>
  <si>
    <t>500G/PKT</t>
  </si>
  <si>
    <t>20KG/BTL</t>
  </si>
  <si>
    <t>10KG/PKT</t>
  </si>
  <si>
    <t>TOTAL PRICE FOR 200PCS,PLS CHECK QTY</t>
  </si>
  <si>
    <t>100S/PKT</t>
  </si>
  <si>
    <t>300MM*20MTR/ROLL</t>
  </si>
  <si>
    <t>W:300*20MTR</t>
  </si>
  <si>
    <t>220V/60HZ 2L 270*180MM</t>
  </si>
  <si>
    <t>220V/60HZ/1.5L 400W180*380MM</t>
  </si>
  <si>
    <t>1370MM*30MTR</t>
  </si>
  <si>
    <t>220V/60Hz 12PLACE</t>
  </si>
  <si>
    <t>SMOOTHSEAS,500ML/BTL</t>
  </si>
  <si>
    <t>1500*2000MM</t>
  </si>
  <si>
    <t xml:space="preserve">
Date promised : 2019-09-09
Quote validity : 2019-10-06
Item Added - 30.10 : FLOOR WAX FAST STRIPPER, NEW SUPER ALL-GO 18LTR | Ref.No.:550502 | QTY : 0 | UOM : CAN | Price : 35.38 USD | Remarks : DIVERSEY,5L
 Item Total : 3027.58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</si>
</sst>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145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258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251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99990008657231</v>
      </c>
      <c r="C20" s="227">
        <v>172347</v>
      </c>
      <c r="D20" s="228" t="s">
        <v>40</v>
      </c>
      <c r="E20" s="229"/>
      <c r="F20" s="229">
        <v>172347</v>
      </c>
      <c r="G20" s="229" t="s">
        <v>41</v>
      </c>
      <c r="H20" s="230">
        <v>0</v>
      </c>
      <c r="I20" s="231">
        <v>1</v>
      </c>
      <c r="J20" s="232">
        <v>18.24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259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99990009669863</v>
      </c>
      <c r="C21" s="227">
        <v>172986</v>
      </c>
      <c r="D21" s="228" t="s">
        <v>43</v>
      </c>
      <c r="E21" s="229"/>
      <c r="F21" s="229">
        <v>172986</v>
      </c>
      <c r="G21" s="229" t="s">
        <v>41</v>
      </c>
      <c r="H21" s="230">
        <v>0</v>
      </c>
      <c r="I21" s="231">
        <v>3</v>
      </c>
      <c r="J21" s="232">
        <v>6.35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 t="s">
        <v>44</v>
      </c>
      <c r="S21" s="238"/>
      <c r="T21" s="239"/>
    </row>
    <row r="22" spans="1:20" ht="24" customHeight="1">
      <c r="A22" s="226">
        <v>3</v>
      </c>
      <c r="B22" s="226">
        <v>99990008655425</v>
      </c>
      <c r="C22" s="227">
        <v>174101</v>
      </c>
      <c r="D22" s="228" t="s">
        <v>45</v>
      </c>
      <c r="E22" s="229"/>
      <c r="F22" s="229">
        <v>174101</v>
      </c>
      <c r="G22" s="229" t="s">
        <v>41</v>
      </c>
      <c r="H22" s="230">
        <v>0</v>
      </c>
      <c r="I22" s="231">
        <v>5</v>
      </c>
      <c r="J22" s="232">
        <v>0.21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99990010272001</v>
      </c>
      <c r="C23" s="227">
        <v>174024</v>
      </c>
      <c r="D23" s="228" t="s">
        <v>46</v>
      </c>
      <c r="E23" s="229"/>
      <c r="F23" s="229">
        <v>174024</v>
      </c>
      <c r="G23" s="229" t="s">
        <v>47</v>
      </c>
      <c r="H23" s="230">
        <v>0</v>
      </c>
      <c r="I23" s="231">
        <v>2</v>
      </c>
      <c r="J23" s="232">
        <v>2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99990008657235</v>
      </c>
      <c r="C24" s="227">
        <v>172362</v>
      </c>
      <c r="D24" s="228" t="s">
        <v>48</v>
      </c>
      <c r="E24" s="229"/>
      <c r="F24" s="229">
        <v>172362</v>
      </c>
      <c r="G24" s="229" t="s">
        <v>41</v>
      </c>
      <c r="H24" s="230">
        <v>0</v>
      </c>
      <c r="I24" s="231">
        <v>3</v>
      </c>
      <c r="J24" s="232">
        <v>0.53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99990011442935</v>
      </c>
      <c r="C25" s="227">
        <v>172198</v>
      </c>
      <c r="D25" s="228" t="s">
        <v>49</v>
      </c>
      <c r="E25" s="229"/>
      <c r="F25" s="229">
        <v>172198</v>
      </c>
      <c r="G25" s="229" t="s">
        <v>41</v>
      </c>
      <c r="H25" s="230">
        <v>0</v>
      </c>
      <c r="I25" s="231">
        <v>3</v>
      </c>
      <c r="J25" s="232">
        <v>3.99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99990008170008</v>
      </c>
      <c r="C26" s="227">
        <v>171096</v>
      </c>
      <c r="D26" s="228" t="s">
        <v>50</v>
      </c>
      <c r="E26" s="229"/>
      <c r="F26" s="229">
        <v>171096</v>
      </c>
      <c r="G26" s="229" t="s">
        <v>41</v>
      </c>
      <c r="H26" s="230">
        <v>0</v>
      </c>
      <c r="I26" s="231">
        <v>5</v>
      </c>
      <c r="J26" s="232">
        <v>0.36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99990008171616</v>
      </c>
      <c r="C27" s="227">
        <v>174325</v>
      </c>
      <c r="D27" s="228" t="s">
        <v>51</v>
      </c>
      <c r="E27" s="229"/>
      <c r="F27" s="229">
        <v>174325</v>
      </c>
      <c r="G27" s="229" t="s">
        <v>41</v>
      </c>
      <c r="H27" s="230">
        <v>0</v>
      </c>
      <c r="I27" s="231">
        <v>1</v>
      </c>
      <c r="J27" s="232">
        <v>7.54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99990008655263</v>
      </c>
      <c r="C28" s="227">
        <v>174237</v>
      </c>
      <c r="D28" s="228" t="s">
        <v>52</v>
      </c>
      <c r="E28" s="229"/>
      <c r="F28" s="229">
        <v>174237</v>
      </c>
      <c r="G28" s="229" t="s">
        <v>41</v>
      </c>
      <c r="H28" s="230">
        <v>0</v>
      </c>
      <c r="I28" s="231">
        <v>10</v>
      </c>
      <c r="J28" s="232">
        <v>2.89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99990008655434</v>
      </c>
      <c r="C29" s="227">
        <v>174153</v>
      </c>
      <c r="D29" s="228" t="s">
        <v>53</v>
      </c>
      <c r="E29" s="229"/>
      <c r="F29" s="229">
        <v>174153</v>
      </c>
      <c r="G29" s="229" t="s">
        <v>41</v>
      </c>
      <c r="H29" s="230">
        <v>0</v>
      </c>
      <c r="I29" s="231">
        <v>8</v>
      </c>
      <c r="J29" s="232">
        <v>6.59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99990008655452</v>
      </c>
      <c r="C30" s="227">
        <v>174232</v>
      </c>
      <c r="D30" s="228" t="s">
        <v>54</v>
      </c>
      <c r="E30" s="229"/>
      <c r="F30" s="229">
        <v>174232</v>
      </c>
      <c r="G30" s="229" t="s">
        <v>55</v>
      </c>
      <c r="H30" s="230">
        <v>0</v>
      </c>
      <c r="I30" s="231">
        <v>100</v>
      </c>
      <c r="J30" s="232">
        <v>0.48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99990008657054</v>
      </c>
      <c r="C31" s="227">
        <v>170487</v>
      </c>
      <c r="D31" s="228" t="s">
        <v>56</v>
      </c>
      <c r="E31" s="229"/>
      <c r="F31" s="229">
        <v>170487</v>
      </c>
      <c r="G31" s="229" t="s">
        <v>41</v>
      </c>
      <c r="H31" s="230">
        <v>0</v>
      </c>
      <c r="I31" s="231">
        <v>100</v>
      </c>
      <c r="J31" s="232">
        <v>0.08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99990008657092</v>
      </c>
      <c r="C32" s="227">
        <v>170792</v>
      </c>
      <c r="D32" s="228" t="s">
        <v>57</v>
      </c>
      <c r="E32" s="229"/>
      <c r="F32" s="229">
        <v>170792</v>
      </c>
      <c r="G32" s="229" t="s">
        <v>58</v>
      </c>
      <c r="H32" s="230">
        <v>0</v>
      </c>
      <c r="I32" s="231">
        <v>3</v>
      </c>
      <c r="J32" s="232">
        <v>0.52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99990008657110</v>
      </c>
      <c r="C33" s="227">
        <v>171016</v>
      </c>
      <c r="D33" s="228" t="s">
        <v>59</v>
      </c>
      <c r="E33" s="229"/>
      <c r="F33" s="229">
        <v>171016</v>
      </c>
      <c r="G33" s="229" t="s">
        <v>47</v>
      </c>
      <c r="H33" s="230">
        <v>0</v>
      </c>
      <c r="I33" s="231">
        <v>6</v>
      </c>
      <c r="J33" s="232">
        <v>1.1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 t="s">
        <v>60</v>
      </c>
      <c r="S33" s="238"/>
      <c r="T33" s="239"/>
    </row>
    <row r="34" spans="1:20" ht="24" customHeight="1">
      <c r="A34" s="226">
        <v>15</v>
      </c>
      <c r="B34" s="226">
        <v>99990008657245</v>
      </c>
      <c r="C34" s="227">
        <v>172401</v>
      </c>
      <c r="D34" s="228" t="s">
        <v>61</v>
      </c>
      <c r="E34" s="229"/>
      <c r="F34" s="229">
        <v>172401</v>
      </c>
      <c r="G34" s="229" t="s">
        <v>41</v>
      </c>
      <c r="H34" s="230">
        <v>0</v>
      </c>
      <c r="I34" s="231">
        <v>1</v>
      </c>
      <c r="J34" s="232">
        <v>1.27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99990008657303</v>
      </c>
      <c r="C35" s="227">
        <v>172971</v>
      </c>
      <c r="D35" s="228" t="s">
        <v>62</v>
      </c>
      <c r="E35" s="229"/>
      <c r="F35" s="229">
        <v>172971</v>
      </c>
      <c r="G35" s="229" t="s">
        <v>41</v>
      </c>
      <c r="H35" s="230">
        <v>0</v>
      </c>
      <c r="I35" s="231">
        <v>4</v>
      </c>
      <c r="J35" s="232">
        <v>3.73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99990008657316</v>
      </c>
      <c r="C36" s="227">
        <v>173367</v>
      </c>
      <c r="D36" s="228" t="s">
        <v>63</v>
      </c>
      <c r="E36" s="229"/>
      <c r="F36" s="229">
        <v>173367</v>
      </c>
      <c r="G36" s="229" t="s">
        <v>41</v>
      </c>
      <c r="H36" s="230">
        <v>0</v>
      </c>
      <c r="I36" s="231">
        <v>1</v>
      </c>
      <c r="J36" s="232">
        <v>1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99990008657375</v>
      </c>
      <c r="C37" s="227">
        <v>174319</v>
      </c>
      <c r="D37" s="228" t="s">
        <v>64</v>
      </c>
      <c r="E37" s="229"/>
      <c r="F37" s="229">
        <v>174319</v>
      </c>
      <c r="G37" s="229" t="s">
        <v>41</v>
      </c>
      <c r="H37" s="230">
        <v>0</v>
      </c>
      <c r="I37" s="231">
        <v>7</v>
      </c>
      <c r="J37" s="232">
        <v>0.87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99990009374746</v>
      </c>
      <c r="C38" s="227">
        <v>2096651</v>
      </c>
      <c r="D38" s="228" t="s">
        <v>65</v>
      </c>
      <c r="E38" s="229"/>
      <c r="F38" s="229">
        <v>170208</v>
      </c>
      <c r="G38" s="229" t="s">
        <v>41</v>
      </c>
      <c r="H38" s="230">
        <v>0</v>
      </c>
      <c r="I38" s="231">
        <v>20</v>
      </c>
      <c r="J38" s="232">
        <v>0.64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99990010163198</v>
      </c>
      <c r="C39" s="227">
        <v>170688</v>
      </c>
      <c r="D39" s="228" t="s">
        <v>66</v>
      </c>
      <c r="E39" s="229"/>
      <c r="F39" s="229">
        <v>170688</v>
      </c>
      <c r="G39" s="229" t="s">
        <v>67</v>
      </c>
      <c r="H39" s="230">
        <v>0</v>
      </c>
      <c r="I39" s="231">
        <v>2</v>
      </c>
      <c r="J39" s="232">
        <v>2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99990010309997</v>
      </c>
      <c r="C40" s="227">
        <v>172831</v>
      </c>
      <c r="D40" s="228" t="s">
        <v>68</v>
      </c>
      <c r="E40" s="229"/>
      <c r="F40" s="229">
        <v>172831</v>
      </c>
      <c r="G40" s="229" t="s">
        <v>41</v>
      </c>
      <c r="H40" s="230">
        <v>0</v>
      </c>
      <c r="I40" s="231">
        <v>1</v>
      </c>
      <c r="J40" s="232">
        <v>1.63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99990008170305</v>
      </c>
      <c r="C41" s="227">
        <v>171821</v>
      </c>
      <c r="D41" s="228" t="s">
        <v>69</v>
      </c>
      <c r="E41" s="229"/>
      <c r="F41" s="229">
        <v>171821</v>
      </c>
      <c r="G41" s="229" t="s">
        <v>41</v>
      </c>
      <c r="H41" s="230">
        <v>0</v>
      </c>
      <c r="I41" s="231">
        <v>3</v>
      </c>
      <c r="J41" s="232">
        <v>5.91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99990008170306</v>
      </c>
      <c r="C42" s="227">
        <v>171822</v>
      </c>
      <c r="D42" s="228" t="s">
        <v>70</v>
      </c>
      <c r="E42" s="229"/>
      <c r="F42" s="229">
        <v>171822</v>
      </c>
      <c r="G42" s="229" t="s">
        <v>41</v>
      </c>
      <c r="H42" s="230">
        <v>0</v>
      </c>
      <c r="I42" s="231">
        <v>2</v>
      </c>
      <c r="J42" s="232">
        <v>6.59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 t="s">
        <v>71</v>
      </c>
      <c r="S42" s="238"/>
      <c r="T42" s="239"/>
    </row>
    <row r="43" spans="1:20" ht="24" customHeight="1">
      <c r="A43" s="226">
        <v>24</v>
      </c>
      <c r="B43" s="226">
        <v>99990008170308</v>
      </c>
      <c r="C43" s="227">
        <v>171824</v>
      </c>
      <c r="D43" s="228" t="s">
        <v>72</v>
      </c>
      <c r="E43" s="229"/>
      <c r="F43" s="229">
        <v>171824</v>
      </c>
      <c r="G43" s="229" t="s">
        <v>41</v>
      </c>
      <c r="H43" s="230">
        <v>0</v>
      </c>
      <c r="I43" s="231">
        <v>1</v>
      </c>
      <c r="J43" s="232">
        <v>9.23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 t="s">
        <v>73</v>
      </c>
      <c r="S43" s="238"/>
      <c r="T43" s="239"/>
    </row>
    <row r="44" spans="1:20" ht="24" customHeight="1">
      <c r="A44" s="226">
        <v>25</v>
      </c>
      <c r="B44" s="226">
        <v>99990008170501</v>
      </c>
      <c r="C44" s="227">
        <v>172122</v>
      </c>
      <c r="D44" s="228" t="s">
        <v>74</v>
      </c>
      <c r="E44" s="229"/>
      <c r="F44" s="229">
        <v>172122</v>
      </c>
      <c r="G44" s="229" t="s">
        <v>41</v>
      </c>
      <c r="H44" s="230">
        <v>0</v>
      </c>
      <c r="I44" s="231">
        <v>3</v>
      </c>
      <c r="J44" s="232">
        <v>4.8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99990008655266</v>
      </c>
      <c r="C45" s="227">
        <v>174253</v>
      </c>
      <c r="D45" s="228" t="s">
        <v>75</v>
      </c>
      <c r="E45" s="229"/>
      <c r="F45" s="229">
        <v>174253</v>
      </c>
      <c r="G45" s="229" t="s">
        <v>47</v>
      </c>
      <c r="H45" s="230">
        <v>0</v>
      </c>
      <c r="I45" s="231">
        <v>10</v>
      </c>
      <c r="J45" s="232">
        <v>0.66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99990008655292</v>
      </c>
      <c r="C46" s="227">
        <v>550253</v>
      </c>
      <c r="D46" s="228" t="s">
        <v>76</v>
      </c>
      <c r="E46" s="229"/>
      <c r="F46" s="229">
        <v>550253</v>
      </c>
      <c r="G46" s="229" t="s">
        <v>77</v>
      </c>
      <c r="H46" s="230">
        <v>0</v>
      </c>
      <c r="I46" s="231">
        <v>3</v>
      </c>
      <c r="J46" s="232">
        <v>32.4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99990008655297</v>
      </c>
      <c r="C47" s="227">
        <v>550291</v>
      </c>
      <c r="D47" s="228" t="s">
        <v>78</v>
      </c>
      <c r="E47" s="229"/>
      <c r="F47" s="229">
        <v>550291</v>
      </c>
      <c r="G47" s="229" t="s">
        <v>41</v>
      </c>
      <c r="H47" s="230">
        <v>0</v>
      </c>
      <c r="I47" s="231">
        <v>24</v>
      </c>
      <c r="J47" s="232">
        <v>0.68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 t="s">
        <v>79</v>
      </c>
      <c r="S47" s="238"/>
      <c r="T47" s="239"/>
    </row>
    <row r="48" spans="1:20" ht="24" customHeight="1">
      <c r="A48" s="226">
        <v>29</v>
      </c>
      <c r="B48" s="226">
        <v>99990008655306</v>
      </c>
      <c r="C48" s="227">
        <v>550351</v>
      </c>
      <c r="D48" s="228" t="s">
        <v>80</v>
      </c>
      <c r="E48" s="229"/>
      <c r="F48" s="229">
        <v>550351</v>
      </c>
      <c r="G48" s="229" t="s">
        <v>81</v>
      </c>
      <c r="H48" s="230">
        <v>0</v>
      </c>
      <c r="I48" s="231">
        <v>6</v>
      </c>
      <c r="J48" s="232">
        <v>2.8</v>
      </c>
      <c r="K48" s="233"/>
      <c r="L48" s="231" t="s">
        <v>23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/>
      <c r="Q48" s="236"/>
      <c r="R48" s="237"/>
      <c r="S48" s="238"/>
      <c r="T48" s="239"/>
    </row>
    <row r="49" spans="1:20" ht="24" customHeight="1">
      <c r="A49" s="226">
        <v>30</v>
      </c>
      <c r="B49" s="226">
        <v>99990008655329</v>
      </c>
      <c r="C49" s="227">
        <v>550502</v>
      </c>
      <c r="D49" s="228" t="s">
        <v>82</v>
      </c>
      <c r="E49" s="229"/>
      <c r="F49" s="229">
        <v>550502</v>
      </c>
      <c r="G49" s="229" t="s">
        <v>83</v>
      </c>
      <c r="H49" s="230">
        <v>0</v>
      </c>
      <c r="I49" s="231">
        <v>2</v>
      </c>
      <c r="J49" s="232">
        <v>2.72</v>
      </c>
      <c r="K49" s="233"/>
      <c r="L49" s="231" t="s">
        <v>23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 t="s">
        <v>260</v>
      </c>
      <c r="Q49" s="236"/>
      <c r="R49" s="237" t="s">
        <v>84</v>
      </c>
      <c r="S49" s="238"/>
      <c r="T49" s="239"/>
    </row>
    <row r="50" spans="1:20" ht="24" customHeight="1">
      <c r="A50" s="226">
        <v>31</v>
      </c>
      <c r="B50" s="226">
        <v>99990008655330</v>
      </c>
      <c r="C50" s="227">
        <v>550512</v>
      </c>
      <c r="D50" s="228" t="s">
        <v>85</v>
      </c>
      <c r="E50" s="229"/>
      <c r="F50" s="229">
        <v>550512</v>
      </c>
      <c r="G50" s="229" t="s">
        <v>83</v>
      </c>
      <c r="H50" s="230">
        <v>0</v>
      </c>
      <c r="I50" s="231">
        <v>2</v>
      </c>
      <c r="J50" s="232">
        <v>2.72</v>
      </c>
      <c r="K50" s="233"/>
      <c r="L50" s="231" t="s">
        <v>23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 t="s">
        <v>261</v>
      </c>
      <c r="Q50" s="236"/>
      <c r="R50" s="237"/>
      <c r="S50" s="238"/>
      <c r="T50" s="239"/>
    </row>
    <row r="51" spans="1:20" ht="24" customHeight="1">
      <c r="A51" s="226">
        <v>32</v>
      </c>
      <c r="B51" s="226">
        <v>99990008655335</v>
      </c>
      <c r="C51" s="227">
        <v>550640</v>
      </c>
      <c r="D51" s="228" t="s">
        <v>86</v>
      </c>
      <c r="E51" s="229"/>
      <c r="F51" s="229">
        <v>550640</v>
      </c>
      <c r="G51" s="229" t="s">
        <v>41</v>
      </c>
      <c r="H51" s="230">
        <v>0</v>
      </c>
      <c r="I51" s="231">
        <v>50</v>
      </c>
      <c r="J51" s="232">
        <v>0.2</v>
      </c>
      <c r="K51" s="233"/>
      <c r="L51" s="231" t="s">
        <v>23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 t="s">
        <v>87</v>
      </c>
      <c r="S51" s="238"/>
      <c r="T51" s="239"/>
    </row>
    <row r="52" spans="1:20" ht="24" customHeight="1">
      <c r="A52" s="226">
        <v>33</v>
      </c>
      <c r="B52" s="226">
        <v>99990008655435</v>
      </c>
      <c r="C52" s="227">
        <v>174154</v>
      </c>
      <c r="D52" s="228" t="s">
        <v>88</v>
      </c>
      <c r="E52" s="229"/>
      <c r="F52" s="229">
        <v>174154</v>
      </c>
      <c r="G52" s="229" t="s">
        <v>41</v>
      </c>
      <c r="H52" s="230">
        <v>0</v>
      </c>
      <c r="I52" s="231">
        <v>3</v>
      </c>
      <c r="J52" s="232">
        <v>8.98</v>
      </c>
      <c r="K52" s="233"/>
      <c r="L52" s="231" t="s">
        <v>23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/>
      <c r="Q52" s="236"/>
      <c r="R52" s="237"/>
      <c r="S52" s="238"/>
      <c r="T52" s="239"/>
    </row>
    <row r="53" spans="1:20" ht="24" customHeight="1">
      <c r="A53" s="226">
        <v>34</v>
      </c>
      <c r="B53" s="226">
        <v>99990008655450</v>
      </c>
      <c r="C53" s="227">
        <v>174220</v>
      </c>
      <c r="D53" s="228" t="s">
        <v>89</v>
      </c>
      <c r="E53" s="229"/>
      <c r="F53" s="229">
        <v>174220</v>
      </c>
      <c r="G53" s="229" t="s">
        <v>67</v>
      </c>
      <c r="H53" s="230">
        <v>0</v>
      </c>
      <c r="I53" s="231">
        <v>3</v>
      </c>
      <c r="J53" s="232">
        <v>37</v>
      </c>
      <c r="K53" s="233"/>
      <c r="L53" s="231" t="s">
        <v>23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 t="s">
        <v>262</v>
      </c>
      <c r="Q53" s="236"/>
      <c r="R53" s="237"/>
      <c r="S53" s="238"/>
      <c r="T53" s="239"/>
    </row>
    <row r="54" spans="1:20" ht="24" customHeight="1">
      <c r="A54" s="226">
        <v>35</v>
      </c>
      <c r="B54" s="226">
        <v>99990008655455</v>
      </c>
      <c r="C54" s="227">
        <v>174272</v>
      </c>
      <c r="D54" s="228" t="s">
        <v>90</v>
      </c>
      <c r="E54" s="229"/>
      <c r="F54" s="229">
        <v>174272</v>
      </c>
      <c r="G54" s="229" t="s">
        <v>41</v>
      </c>
      <c r="H54" s="230">
        <v>0</v>
      </c>
      <c r="I54" s="231">
        <v>10</v>
      </c>
      <c r="J54" s="232">
        <v>0.83</v>
      </c>
      <c r="K54" s="233"/>
      <c r="L54" s="231" t="s">
        <v>23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/>
      <c r="Q54" s="236"/>
      <c r="R54" s="237"/>
      <c r="S54" s="238"/>
      <c r="T54" s="239"/>
    </row>
    <row r="55" spans="1:20" ht="24" customHeight="1">
      <c r="A55" s="226">
        <v>36</v>
      </c>
      <c r="B55" s="226">
        <v>99990008657184</v>
      </c>
      <c r="C55" s="227">
        <v>172121</v>
      </c>
      <c r="D55" s="228" t="s">
        <v>91</v>
      </c>
      <c r="E55" s="229"/>
      <c r="F55" s="229">
        <v>172121</v>
      </c>
      <c r="G55" s="229" t="s">
        <v>41</v>
      </c>
      <c r="H55" s="230">
        <v>0</v>
      </c>
      <c r="I55" s="231">
        <v>3</v>
      </c>
      <c r="J55" s="232">
        <v>1.3</v>
      </c>
      <c r="K55" s="233"/>
      <c r="L55" s="231" t="s">
        <v>23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/>
      <c r="Q55" s="236"/>
      <c r="R55" s="237"/>
      <c r="S55" s="238"/>
      <c r="T55" s="239"/>
    </row>
    <row r="56" spans="1:20" ht="24" customHeight="1">
      <c r="A56" s="226">
        <v>37</v>
      </c>
      <c r="B56" s="226">
        <v>99990008657383</v>
      </c>
      <c r="C56" s="227">
        <v>174553</v>
      </c>
      <c r="D56" s="228" t="s">
        <v>92</v>
      </c>
      <c r="E56" s="229"/>
      <c r="F56" s="229">
        <v>174553</v>
      </c>
      <c r="G56" s="229" t="s">
        <v>41</v>
      </c>
      <c r="H56" s="230">
        <v>0</v>
      </c>
      <c r="I56" s="231">
        <v>2</v>
      </c>
      <c r="J56" s="232">
        <v>6.59</v>
      </c>
      <c r="K56" s="233"/>
      <c r="L56" s="231" t="s">
        <v>23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 t="s">
        <v>263</v>
      </c>
      <c r="Q56" s="236"/>
      <c r="R56" s="237"/>
      <c r="S56" s="238"/>
      <c r="T56" s="239"/>
    </row>
    <row r="57" spans="1:20" ht="24" customHeight="1">
      <c r="A57" s="226">
        <v>38</v>
      </c>
      <c r="B57" s="226">
        <v>99990008657406</v>
      </c>
      <c r="C57" s="227">
        <v>550107</v>
      </c>
      <c r="D57" s="228" t="s">
        <v>93</v>
      </c>
      <c r="E57" s="229"/>
      <c r="F57" s="229">
        <v>550107</v>
      </c>
      <c r="G57" s="229" t="s">
        <v>94</v>
      </c>
      <c r="H57" s="230">
        <v>0</v>
      </c>
      <c r="I57" s="231">
        <v>120</v>
      </c>
      <c r="J57" s="232">
        <v>0.45</v>
      </c>
      <c r="K57" s="233"/>
      <c r="L57" s="231" t="s">
        <v>23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/>
      <c r="Q57" s="236"/>
      <c r="R57" s="237"/>
      <c r="S57" s="238"/>
      <c r="T57" s="239"/>
    </row>
    <row r="58" spans="1:20" ht="24" customHeight="1">
      <c r="A58" s="226">
        <v>39</v>
      </c>
      <c r="B58" s="226">
        <v>99990008657411</v>
      </c>
      <c r="C58" s="227">
        <v>550121</v>
      </c>
      <c r="D58" s="228" t="s">
        <v>95</v>
      </c>
      <c r="E58" s="229"/>
      <c r="F58" s="229">
        <v>550121</v>
      </c>
      <c r="G58" s="229" t="s">
        <v>96</v>
      </c>
      <c r="H58" s="230">
        <v>0</v>
      </c>
      <c r="I58" s="231">
        <v>30</v>
      </c>
      <c r="J58" s="232">
        <v>0.64</v>
      </c>
      <c r="K58" s="233"/>
      <c r="L58" s="231" t="s">
        <v>23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 t="s">
        <v>264</v>
      </c>
      <c r="Q58" s="236"/>
      <c r="R58" s="237"/>
      <c r="S58" s="238"/>
      <c r="T58" s="239"/>
    </row>
    <row r="59" spans="1:20" ht="24" customHeight="1">
      <c r="A59" s="226">
        <v>40</v>
      </c>
      <c r="B59" s="226">
        <v>99990008657412</v>
      </c>
      <c r="C59" s="227">
        <v>550124</v>
      </c>
      <c r="D59" s="228" t="s">
        <v>97</v>
      </c>
      <c r="E59" s="229"/>
      <c r="F59" s="229">
        <v>550124</v>
      </c>
      <c r="G59" s="229" t="s">
        <v>96</v>
      </c>
      <c r="H59" s="230">
        <v>0</v>
      </c>
      <c r="I59" s="231">
        <v>30</v>
      </c>
      <c r="J59" s="232">
        <v>1.65</v>
      </c>
      <c r="K59" s="233"/>
      <c r="L59" s="231" t="s">
        <v>23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/>
      <c r="Q59" s="236"/>
      <c r="R59" s="237"/>
      <c r="S59" s="238"/>
      <c r="T59" s="239"/>
    </row>
    <row r="60" spans="1:20" ht="24" customHeight="1">
      <c r="A60" s="226">
        <v>41</v>
      </c>
      <c r="B60" s="226">
        <v>99990008657416</v>
      </c>
      <c r="C60" s="227">
        <v>550141</v>
      </c>
      <c r="D60" s="228" t="s">
        <v>98</v>
      </c>
      <c r="E60" s="229"/>
      <c r="F60" s="229">
        <v>550141</v>
      </c>
      <c r="G60" s="229" t="s">
        <v>96</v>
      </c>
      <c r="H60" s="230">
        <v>0</v>
      </c>
      <c r="I60" s="231">
        <v>60</v>
      </c>
      <c r="J60" s="232">
        <v>0.84</v>
      </c>
      <c r="K60" s="233"/>
      <c r="L60" s="231" t="s">
        <v>23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 t="s">
        <v>265</v>
      </c>
      <c r="Q60" s="236"/>
      <c r="R60" s="237" t="s">
        <v>99</v>
      </c>
      <c r="S60" s="238"/>
      <c r="T60" s="239"/>
    </row>
    <row r="61" spans="1:20" ht="24" customHeight="1">
      <c r="A61" s="226">
        <v>42</v>
      </c>
      <c r="B61" s="226">
        <v>99990008657422</v>
      </c>
      <c r="C61" s="227">
        <v>550182</v>
      </c>
      <c r="D61" s="228" t="s">
        <v>100</v>
      </c>
      <c r="E61" s="229"/>
      <c r="F61" s="229">
        <v>550182</v>
      </c>
      <c r="G61" s="229" t="s">
        <v>96</v>
      </c>
      <c r="H61" s="230">
        <v>0</v>
      </c>
      <c r="I61" s="231">
        <v>4</v>
      </c>
      <c r="J61" s="232">
        <v>19.97</v>
      </c>
      <c r="K61" s="233"/>
      <c r="L61" s="231" t="s">
        <v>23</v>
      </c>
      <c r="M61" s="231">
        <v>0</v>
      </c>
      <c r="N61" s="234">
        <f>ROUND(((I61*J61)-((I61*J61)*L61/100))+(((I61*J61)-((I61*J61)*L61/100))*M61/100),2)</f>
      </c>
      <c r="O61" s="230">
        <f>M11</f>
      </c>
      <c r="P61" s="235" t="s">
        <v>266</v>
      </c>
      <c r="Q61" s="236"/>
      <c r="R61" s="237" t="s">
        <v>101</v>
      </c>
      <c r="S61" s="238"/>
      <c r="T61" s="239"/>
    </row>
    <row r="62" spans="1:20" ht="24" customHeight="1">
      <c r="A62" s="226">
        <v>43</v>
      </c>
      <c r="B62" s="226">
        <v>99990009374749</v>
      </c>
      <c r="C62" s="227">
        <v>2096654</v>
      </c>
      <c r="D62" s="228" t="s">
        <v>102</v>
      </c>
      <c r="E62" s="229"/>
      <c r="F62" s="229">
        <v>171783</v>
      </c>
      <c r="G62" s="229" t="s">
        <v>41</v>
      </c>
      <c r="H62" s="230">
        <v>0</v>
      </c>
      <c r="I62" s="231">
        <v>1</v>
      </c>
      <c r="J62" s="232">
        <v>1.82</v>
      </c>
      <c r="K62" s="233"/>
      <c r="L62" s="231" t="s">
        <v>23</v>
      </c>
      <c r="M62" s="231">
        <v>0</v>
      </c>
      <c r="N62" s="234">
        <f>ROUND(((I62*J62)-((I62*J62)*L62/100))+(((I62*J62)-((I62*J62)*L62/100))*M62/100),2)</f>
      </c>
      <c r="O62" s="230">
        <f>M11</f>
      </c>
      <c r="P62" s="235"/>
      <c r="Q62" s="236"/>
      <c r="R62" s="237"/>
      <c r="S62" s="238"/>
      <c r="T62" s="239"/>
    </row>
    <row r="63" spans="1:20" ht="24" customHeight="1">
      <c r="A63" s="226">
        <v>44</v>
      </c>
      <c r="B63" s="226">
        <v>99990009374754</v>
      </c>
      <c r="C63" s="227">
        <v>2096659</v>
      </c>
      <c r="D63" s="228" t="s">
        <v>103</v>
      </c>
      <c r="E63" s="229"/>
      <c r="F63" s="229">
        <v>550134</v>
      </c>
      <c r="G63" s="229" t="s">
        <v>104</v>
      </c>
      <c r="H63" s="230">
        <v>0</v>
      </c>
      <c r="I63" s="231">
        <v>5</v>
      </c>
      <c r="J63" s="232">
        <v>4.43</v>
      </c>
      <c r="K63" s="233"/>
      <c r="L63" s="231" t="s">
        <v>23</v>
      </c>
      <c r="M63" s="231">
        <v>0</v>
      </c>
      <c r="N63" s="234">
        <f>ROUND(((I63*J63)-((I63*J63)*L63/100))+(((I63*J63)-((I63*J63)*L63/100))*M63/100),2)</f>
      </c>
      <c r="O63" s="230">
        <f>M11</f>
      </c>
      <c r="P63" s="235" t="s">
        <v>267</v>
      </c>
      <c r="Q63" s="236"/>
      <c r="R63" s="237"/>
      <c r="S63" s="238"/>
      <c r="T63" s="239"/>
    </row>
    <row r="64" spans="1:20" ht="24" customHeight="1">
      <c r="A64" s="226">
        <v>45</v>
      </c>
      <c r="B64" s="226">
        <v>99990009566254</v>
      </c>
      <c r="C64" s="227">
        <v>2131191</v>
      </c>
      <c r="D64" s="228" t="s">
        <v>105</v>
      </c>
      <c r="E64" s="229"/>
      <c r="F64" s="229">
        <v>550148</v>
      </c>
      <c r="G64" s="229" t="s">
        <v>96</v>
      </c>
      <c r="H64" s="230">
        <v>0</v>
      </c>
      <c r="I64" s="231">
        <v>12</v>
      </c>
      <c r="J64" s="232">
        <v>0.87</v>
      </c>
      <c r="K64" s="233"/>
      <c r="L64" s="231" t="s">
        <v>23</v>
      </c>
      <c r="M64" s="231">
        <v>0</v>
      </c>
      <c r="N64" s="234">
        <f>ROUND(((I64*J64)-((I64*J64)*L64/100))+(((I64*J64)-((I64*J64)*L64/100))*M64/100),2)</f>
      </c>
      <c r="O64" s="230">
        <f>M11</f>
      </c>
      <c r="P64" s="235"/>
      <c r="Q64" s="236"/>
      <c r="R64" s="237"/>
      <c r="S64" s="238"/>
      <c r="T64" s="239"/>
    </row>
    <row r="65" spans="1:20" ht="24" customHeight="1">
      <c r="A65" s="226">
        <v>46</v>
      </c>
      <c r="B65" s="226">
        <v>99990009574784</v>
      </c>
      <c r="C65" s="227">
        <v>2137650</v>
      </c>
      <c r="D65" s="228" t="s">
        <v>106</v>
      </c>
      <c r="E65" s="229"/>
      <c r="F65" s="229">
        <v>171737</v>
      </c>
      <c r="G65" s="229" t="s">
        <v>41</v>
      </c>
      <c r="H65" s="230">
        <v>0</v>
      </c>
      <c r="I65" s="231">
        <v>2</v>
      </c>
      <c r="J65" s="232">
        <v>9.98</v>
      </c>
      <c r="K65" s="233"/>
      <c r="L65" s="231" t="s">
        <v>23</v>
      </c>
      <c r="M65" s="231">
        <v>0</v>
      </c>
      <c r="N65" s="234">
        <f>ROUND(((I65*J65)-((I65*J65)*L65/100))+(((I65*J65)-((I65*J65)*L65/100))*M65/100),2)</f>
      </c>
      <c r="O65" s="230">
        <f>M11</f>
      </c>
      <c r="P65" s="235"/>
      <c r="Q65" s="236"/>
      <c r="R65" s="237"/>
      <c r="S65" s="238"/>
      <c r="T65" s="239"/>
    </row>
    <row r="66" spans="1:20" ht="24" customHeight="1">
      <c r="A66" s="226">
        <v>47</v>
      </c>
      <c r="B66" s="226">
        <v>99990009574785</v>
      </c>
      <c r="C66" s="227">
        <v>2137651</v>
      </c>
      <c r="D66" s="228" t="s">
        <v>107</v>
      </c>
      <c r="E66" s="229"/>
      <c r="F66" s="229">
        <v>171857</v>
      </c>
      <c r="G66" s="229" t="s">
        <v>41</v>
      </c>
      <c r="H66" s="230">
        <v>0</v>
      </c>
      <c r="I66" s="231">
        <v>1</v>
      </c>
      <c r="J66" s="232">
        <v>15.38</v>
      </c>
      <c r="K66" s="233"/>
      <c r="L66" s="231" t="s">
        <v>23</v>
      </c>
      <c r="M66" s="231">
        <v>0</v>
      </c>
      <c r="N66" s="234">
        <f>ROUND(((I66*J66)-((I66*J66)*L66/100))+(((I66*J66)-((I66*J66)*L66/100))*M66/100),2)</f>
      </c>
      <c r="O66" s="230">
        <f>M11</f>
      </c>
      <c r="P66" s="235"/>
      <c r="Q66" s="236"/>
      <c r="R66" s="237"/>
      <c r="S66" s="238"/>
      <c r="T66" s="239"/>
    </row>
    <row r="67" spans="1:20" ht="24" customHeight="1">
      <c r="A67" s="226">
        <v>48</v>
      </c>
      <c r="B67" s="226">
        <v>99990010270462</v>
      </c>
      <c r="C67" s="227">
        <v>172457</v>
      </c>
      <c r="D67" s="228" t="s">
        <v>108</v>
      </c>
      <c r="E67" s="229"/>
      <c r="F67" s="229">
        <v>172457</v>
      </c>
      <c r="G67" s="229" t="s">
        <v>41</v>
      </c>
      <c r="H67" s="230">
        <v>0</v>
      </c>
      <c r="I67" s="231">
        <v>1</v>
      </c>
      <c r="J67" s="232">
        <v>17.54</v>
      </c>
      <c r="K67" s="233"/>
      <c r="L67" s="231" t="s">
        <v>23</v>
      </c>
      <c r="M67" s="231">
        <v>0</v>
      </c>
      <c r="N67" s="234">
        <f>ROUND(((I67*J67)-((I67*J67)*L67/100))+(((I67*J67)-((I67*J67)*L67/100))*M67/100),2)</f>
      </c>
      <c r="O67" s="230">
        <f>M11</f>
      </c>
      <c r="P67" s="235"/>
      <c r="Q67" s="236"/>
      <c r="R67" s="237"/>
      <c r="S67" s="238"/>
      <c r="T67" s="239"/>
    </row>
    <row r="68" spans="1:20" ht="24" customHeight="1">
      <c r="A68" s="226">
        <v>49</v>
      </c>
      <c r="B68" s="226">
        <v>99990008655228</v>
      </c>
      <c r="C68" s="227">
        <v>150281</v>
      </c>
      <c r="D68" s="228" t="s">
        <v>109</v>
      </c>
      <c r="E68" s="229"/>
      <c r="F68" s="229">
        <v>150281</v>
      </c>
      <c r="G68" s="229" t="s">
        <v>41</v>
      </c>
      <c r="H68" s="230">
        <v>0</v>
      </c>
      <c r="I68" s="231">
        <v>20</v>
      </c>
      <c r="J68" s="232">
        <v>2.56</v>
      </c>
      <c r="K68" s="233"/>
      <c r="L68" s="231" t="s">
        <v>23</v>
      </c>
      <c r="M68" s="231">
        <v>0</v>
      </c>
      <c r="N68" s="234">
        <f>ROUND(((I68*J68)-((I68*J68)*L68/100))+(((I68*J68)-((I68*J68)*L68/100))*M68/100),2)</f>
      </c>
      <c r="O68" s="230">
        <f>M11</f>
      </c>
      <c r="P68" s="235"/>
      <c r="Q68" s="236"/>
      <c r="R68" s="237"/>
      <c r="S68" s="238"/>
      <c r="T68" s="239"/>
    </row>
    <row r="69" spans="1:20" ht="24" customHeight="1">
      <c r="A69" s="226">
        <v>50</v>
      </c>
      <c r="B69" s="226">
        <v>99990008655248</v>
      </c>
      <c r="C69" s="227">
        <v>150601</v>
      </c>
      <c r="D69" s="228" t="s">
        <v>110</v>
      </c>
      <c r="E69" s="229"/>
      <c r="F69" s="229">
        <v>150601</v>
      </c>
      <c r="G69" s="229" t="s">
        <v>111</v>
      </c>
      <c r="H69" s="230">
        <v>0</v>
      </c>
      <c r="I69" s="231">
        <v>15</v>
      </c>
      <c r="J69" s="232">
        <v>3.3</v>
      </c>
      <c r="K69" s="233"/>
      <c r="L69" s="231" t="s">
        <v>23</v>
      </c>
      <c r="M69" s="231">
        <v>0</v>
      </c>
      <c r="N69" s="234">
        <f>ROUND(((I69*J69)-((I69*J69)*L69/100))+(((I69*J69)-((I69*J69)*L69/100))*M69/100),2)</f>
      </c>
      <c r="O69" s="230">
        <f>M11</f>
      </c>
      <c r="P69" s="235"/>
      <c r="Q69" s="236"/>
      <c r="R69" s="237"/>
      <c r="S69" s="238"/>
      <c r="T69" s="239"/>
    </row>
    <row r="70" spans="1:20" ht="24" customHeight="1">
      <c r="A70" s="226">
        <v>51</v>
      </c>
      <c r="B70" s="226">
        <v>99990008655249</v>
      </c>
      <c r="C70" s="227">
        <v>150602</v>
      </c>
      <c r="D70" s="228" t="s">
        <v>112</v>
      </c>
      <c r="E70" s="229"/>
      <c r="F70" s="229">
        <v>150602</v>
      </c>
      <c r="G70" s="229" t="s">
        <v>111</v>
      </c>
      <c r="H70" s="230">
        <v>0</v>
      </c>
      <c r="I70" s="231">
        <v>15</v>
      </c>
      <c r="J70" s="232">
        <v>3.69</v>
      </c>
      <c r="K70" s="233"/>
      <c r="L70" s="231" t="s">
        <v>23</v>
      </c>
      <c r="M70" s="231">
        <v>0</v>
      </c>
      <c r="N70" s="234">
        <f>ROUND(((I70*J70)-((I70*J70)*L70/100))+(((I70*J70)-((I70*J70)*L70/100))*M70/100),2)</f>
      </c>
      <c r="O70" s="230">
        <f>M11</f>
      </c>
      <c r="P70" s="235"/>
      <c r="Q70" s="236"/>
      <c r="R70" s="237"/>
      <c r="S70" s="238"/>
      <c r="T70" s="239"/>
    </row>
    <row r="71" spans="1:20" ht="24" customHeight="1">
      <c r="A71" s="226">
        <v>52</v>
      </c>
      <c r="B71" s="226">
        <v>99990008655252</v>
      </c>
      <c r="C71" s="227">
        <v>150606</v>
      </c>
      <c r="D71" s="228" t="s">
        <v>113</v>
      </c>
      <c r="E71" s="229"/>
      <c r="F71" s="229">
        <v>150606</v>
      </c>
      <c r="G71" s="229" t="s">
        <v>41</v>
      </c>
      <c r="H71" s="230">
        <v>0</v>
      </c>
      <c r="I71" s="231">
        <v>15</v>
      </c>
      <c r="J71" s="232">
        <v>0.97</v>
      </c>
      <c r="K71" s="233"/>
      <c r="L71" s="231" t="s">
        <v>23</v>
      </c>
      <c r="M71" s="231">
        <v>0</v>
      </c>
      <c r="N71" s="234">
        <f>ROUND(((I71*J71)-((I71*J71)*L71/100))+(((I71*J71)-((I71*J71)*L71/100))*M71/100),2)</f>
      </c>
      <c r="O71" s="230">
        <f>M11</f>
      </c>
      <c r="P71" s="235"/>
      <c r="Q71" s="236"/>
      <c r="R71" s="237"/>
      <c r="S71" s="238"/>
      <c r="T71" s="239"/>
    </row>
    <row r="72" spans="1:20" ht="24" customHeight="1">
      <c r="A72" s="226">
        <v>53</v>
      </c>
      <c r="B72" s="226">
        <v>99990008655253</v>
      </c>
      <c r="C72" s="227">
        <v>150607</v>
      </c>
      <c r="D72" s="228" t="s">
        <v>114</v>
      </c>
      <c r="E72" s="229"/>
      <c r="F72" s="229">
        <v>150607</v>
      </c>
      <c r="G72" s="229" t="s">
        <v>41</v>
      </c>
      <c r="H72" s="230">
        <v>0</v>
      </c>
      <c r="I72" s="231">
        <v>15</v>
      </c>
      <c r="J72" s="232">
        <v>1.08</v>
      </c>
      <c r="K72" s="233"/>
      <c r="L72" s="231" t="s">
        <v>23</v>
      </c>
      <c r="M72" s="231">
        <v>0</v>
      </c>
      <c r="N72" s="234">
        <f>ROUND(((I72*J72)-((I72*J72)*L72/100))+(((I72*J72)-((I72*J72)*L72/100))*M72/100),2)</f>
      </c>
      <c r="O72" s="230">
        <f>M11</f>
      </c>
      <c r="P72" s="235"/>
      <c r="Q72" s="236"/>
      <c r="R72" s="237"/>
      <c r="S72" s="238"/>
      <c r="T72" s="239"/>
    </row>
    <row r="73" spans="1:20" ht="24" customHeight="1">
      <c r="A73" s="226">
        <v>54</v>
      </c>
      <c r="B73" s="226">
        <v>99990008655260</v>
      </c>
      <c r="C73" s="227">
        <v>150691</v>
      </c>
      <c r="D73" s="228" t="s">
        <v>115</v>
      </c>
      <c r="E73" s="229"/>
      <c r="F73" s="229">
        <v>150691</v>
      </c>
      <c r="G73" s="229" t="s">
        <v>116</v>
      </c>
      <c r="H73" s="230">
        <v>0</v>
      </c>
      <c r="I73" s="231">
        <v>30</v>
      </c>
      <c r="J73" s="232">
        <v>0.57</v>
      </c>
      <c r="K73" s="233"/>
      <c r="L73" s="231" t="s">
        <v>23</v>
      </c>
      <c r="M73" s="231">
        <v>0</v>
      </c>
      <c r="N73" s="234">
        <f>ROUND(((I73*J73)-((I73*J73)*L73/100))+(((I73*J73)-((I73*J73)*L73/100))*M73/100),2)</f>
      </c>
      <c r="O73" s="230">
        <f>M11</f>
      </c>
      <c r="P73" s="235"/>
      <c r="Q73" s="236"/>
      <c r="R73" s="237"/>
      <c r="S73" s="238"/>
      <c r="T73" s="239"/>
    </row>
    <row r="74" spans="1:20" ht="24" customHeight="1">
      <c r="A74" s="226">
        <v>55</v>
      </c>
      <c r="B74" s="226">
        <v>99990008655261</v>
      </c>
      <c r="C74" s="227">
        <v>150714</v>
      </c>
      <c r="D74" s="228" t="s">
        <v>117</v>
      </c>
      <c r="E74" s="229"/>
      <c r="F74" s="229">
        <v>150714</v>
      </c>
      <c r="G74" s="229" t="s">
        <v>41</v>
      </c>
      <c r="H74" s="230">
        <v>0</v>
      </c>
      <c r="I74" s="231">
        <v>40</v>
      </c>
      <c r="J74" s="232">
        <v>3.53</v>
      </c>
      <c r="K74" s="233"/>
      <c r="L74" s="231" t="s">
        <v>23</v>
      </c>
      <c r="M74" s="231">
        <v>0</v>
      </c>
      <c r="N74" s="234">
        <f>ROUND(((I74*J74)-((I74*J74)*L74/100))+(((I74*J74)-((I74*J74)*L74/100))*M74/100),2)</f>
      </c>
      <c r="O74" s="230">
        <f>M11</f>
      </c>
      <c r="P74" s="235"/>
      <c r="Q74" s="236"/>
      <c r="R74" s="237"/>
      <c r="S74" s="238"/>
      <c r="T74" s="239"/>
    </row>
    <row r="75" spans="1:20" ht="24" customHeight="1">
      <c r="A75" s="226">
        <v>56</v>
      </c>
      <c r="B75" s="226">
        <v>99990008655442</v>
      </c>
      <c r="C75" s="227">
        <v>174173</v>
      </c>
      <c r="D75" s="228" t="s">
        <v>118</v>
      </c>
      <c r="E75" s="229"/>
      <c r="F75" s="229">
        <v>174173</v>
      </c>
      <c r="G75" s="229" t="s">
        <v>94</v>
      </c>
      <c r="H75" s="230">
        <v>0</v>
      </c>
      <c r="I75" s="231">
        <v>50</v>
      </c>
      <c r="J75" s="232">
        <v>0.77</v>
      </c>
      <c r="K75" s="233"/>
      <c r="L75" s="231" t="s">
        <v>23</v>
      </c>
      <c r="M75" s="231">
        <v>0</v>
      </c>
      <c r="N75" s="234">
        <f>ROUND(((I75*J75)-((I75*J75)*L75/100))+(((I75*J75)-((I75*J75)*L75/100))*M75/100),2)</f>
      </c>
      <c r="O75" s="230">
        <f>M11</f>
      </c>
      <c r="P75" s="235"/>
      <c r="Q75" s="236"/>
      <c r="R75" s="237"/>
      <c r="S75" s="238"/>
      <c r="T75" s="239"/>
    </row>
    <row r="76" spans="1:20" ht="24" customHeight="1">
      <c r="A76" s="226">
        <v>57</v>
      </c>
      <c r="B76" s="226">
        <v>99990008655443</v>
      </c>
      <c r="C76" s="227">
        <v>174174</v>
      </c>
      <c r="D76" s="228" t="s">
        <v>119</v>
      </c>
      <c r="E76" s="229"/>
      <c r="F76" s="229">
        <v>174174</v>
      </c>
      <c r="G76" s="229" t="s">
        <v>94</v>
      </c>
      <c r="H76" s="230">
        <v>0</v>
      </c>
      <c r="I76" s="231">
        <v>30</v>
      </c>
      <c r="J76" s="232">
        <v>0.6</v>
      </c>
      <c r="K76" s="233"/>
      <c r="L76" s="231" t="s">
        <v>23</v>
      </c>
      <c r="M76" s="231">
        <v>0</v>
      </c>
      <c r="N76" s="234">
        <f>ROUND(((I76*J76)-((I76*J76)*L76/100))+(((I76*J76)-((I76*J76)*L76/100))*M76/100),2)</f>
      </c>
      <c r="O76" s="230">
        <f>M11</f>
      </c>
      <c r="P76" s="235"/>
      <c r="Q76" s="236"/>
      <c r="R76" s="237" t="s">
        <v>120</v>
      </c>
      <c r="S76" s="238"/>
      <c r="T76" s="239"/>
    </row>
    <row r="77" spans="1:20" ht="24" customHeight="1">
      <c r="A77" s="226">
        <v>58</v>
      </c>
      <c r="B77" s="226">
        <v>99990008655447</v>
      </c>
      <c r="C77" s="227">
        <v>174180</v>
      </c>
      <c r="D77" s="228" t="s">
        <v>121</v>
      </c>
      <c r="E77" s="229"/>
      <c r="F77" s="229">
        <v>174180</v>
      </c>
      <c r="G77" s="229" t="s">
        <v>94</v>
      </c>
      <c r="H77" s="230">
        <v>0</v>
      </c>
      <c r="I77" s="231">
        <v>200</v>
      </c>
      <c r="J77" s="232">
        <v>0.35</v>
      </c>
      <c r="K77" s="233"/>
      <c r="L77" s="231" t="s">
        <v>23</v>
      </c>
      <c r="M77" s="231">
        <v>0</v>
      </c>
      <c r="N77" s="234">
        <f>ROUND(((I77*J77)-((I77*J77)*L77/100))+(((I77*J77)-((I77*J77)*L77/100))*M77/100),2)</f>
      </c>
      <c r="O77" s="230">
        <f>M11</f>
      </c>
      <c r="P77" s="235" t="s">
        <v>268</v>
      </c>
      <c r="Q77" s="236"/>
      <c r="R77" s="237"/>
      <c r="S77" s="238"/>
      <c r="T77" s="239"/>
    </row>
    <row r="78" spans="1:20" ht="24" customHeight="1">
      <c r="A78" s="226">
        <v>59</v>
      </c>
      <c r="B78" s="226">
        <v>99990008657027</v>
      </c>
      <c r="C78" s="227">
        <v>170313</v>
      </c>
      <c r="D78" s="228" t="s">
        <v>122</v>
      </c>
      <c r="E78" s="229"/>
      <c r="F78" s="229">
        <v>170313</v>
      </c>
      <c r="G78" s="229" t="s">
        <v>41</v>
      </c>
      <c r="H78" s="230">
        <v>0</v>
      </c>
      <c r="I78" s="231">
        <v>10</v>
      </c>
      <c r="J78" s="232">
        <v>0.7</v>
      </c>
      <c r="K78" s="233"/>
      <c r="L78" s="231" t="s">
        <v>23</v>
      </c>
      <c r="M78" s="231">
        <v>0</v>
      </c>
      <c r="N78" s="234">
        <f>ROUND(((I78*J78)-((I78*J78)*L78/100))+(((I78*J78)-((I78*J78)*L78/100))*M78/100),2)</f>
      </c>
      <c r="O78" s="230">
        <f>M11</f>
      </c>
      <c r="P78" s="235"/>
      <c r="Q78" s="236"/>
      <c r="R78" s="237"/>
      <c r="S78" s="238"/>
      <c r="T78" s="239"/>
    </row>
    <row r="79" spans="1:20" ht="24" customHeight="1">
      <c r="A79" s="226">
        <v>60</v>
      </c>
      <c r="B79" s="226">
        <v>99990008657035</v>
      </c>
      <c r="C79" s="227">
        <v>170329</v>
      </c>
      <c r="D79" s="228" t="s">
        <v>123</v>
      </c>
      <c r="E79" s="229"/>
      <c r="F79" s="229">
        <v>170329</v>
      </c>
      <c r="G79" s="229" t="s">
        <v>41</v>
      </c>
      <c r="H79" s="230">
        <v>0</v>
      </c>
      <c r="I79" s="231">
        <v>20</v>
      </c>
      <c r="J79" s="232">
        <v>0.8</v>
      </c>
      <c r="K79" s="233"/>
      <c r="L79" s="231" t="s">
        <v>23</v>
      </c>
      <c r="M79" s="231">
        <v>0</v>
      </c>
      <c r="N79" s="234">
        <f>ROUND(((I79*J79)-((I79*J79)*L79/100))+(((I79*J79)-((I79*J79)*L79/100))*M79/100),2)</f>
      </c>
      <c r="O79" s="230">
        <f>M11</f>
      </c>
      <c r="P79" s="235"/>
      <c r="Q79" s="236"/>
      <c r="R79" s="237"/>
      <c r="S79" s="238"/>
      <c r="T79" s="239"/>
    </row>
    <row r="80" spans="1:20" ht="24" customHeight="1">
      <c r="A80" s="226">
        <v>61</v>
      </c>
      <c r="B80" s="226">
        <v>99990008657041</v>
      </c>
      <c r="C80" s="227">
        <v>170337</v>
      </c>
      <c r="D80" s="228" t="s">
        <v>124</v>
      </c>
      <c r="E80" s="229"/>
      <c r="F80" s="229">
        <v>170337</v>
      </c>
      <c r="G80" s="229" t="s">
        <v>41</v>
      </c>
      <c r="H80" s="230">
        <v>0</v>
      </c>
      <c r="I80" s="231">
        <v>20</v>
      </c>
      <c r="J80" s="232">
        <v>0.62</v>
      </c>
      <c r="K80" s="233"/>
      <c r="L80" s="231" t="s">
        <v>23</v>
      </c>
      <c r="M80" s="231">
        <v>0</v>
      </c>
      <c r="N80" s="234">
        <f>ROUND(((I80*J80)-((I80*J80)*L80/100))+(((I80*J80)-((I80*J80)*L80/100))*M80/100),2)</f>
      </c>
      <c r="O80" s="230">
        <f>M11</f>
      </c>
      <c r="P80" s="235"/>
      <c r="Q80" s="236"/>
      <c r="R80" s="237"/>
      <c r="S80" s="238"/>
      <c r="T80" s="239"/>
    </row>
    <row r="81" spans="1:20" ht="24" customHeight="1">
      <c r="A81" s="226">
        <v>62</v>
      </c>
      <c r="B81" s="226">
        <v>99990008657043</v>
      </c>
      <c r="C81" s="227">
        <v>170362</v>
      </c>
      <c r="D81" s="228" t="s">
        <v>125</v>
      </c>
      <c r="E81" s="229"/>
      <c r="F81" s="229">
        <v>170362</v>
      </c>
      <c r="G81" s="229" t="s">
        <v>41</v>
      </c>
      <c r="H81" s="230">
        <v>0</v>
      </c>
      <c r="I81" s="231">
        <v>20</v>
      </c>
      <c r="J81" s="232">
        <v>0.7</v>
      </c>
      <c r="K81" s="233"/>
      <c r="L81" s="231" t="s">
        <v>23</v>
      </c>
      <c r="M81" s="231">
        <v>0</v>
      </c>
      <c r="N81" s="234">
        <f>ROUND(((I81*J81)-((I81*J81)*L81/100))+(((I81*J81)-((I81*J81)*L81/100))*M81/100),2)</f>
      </c>
      <c r="O81" s="230">
        <f>M11</f>
      </c>
      <c r="P81" s="235"/>
      <c r="Q81" s="236"/>
      <c r="R81" s="237"/>
      <c r="S81" s="238"/>
      <c r="T81" s="239"/>
    </row>
    <row r="82" spans="1:20" ht="24" customHeight="1">
      <c r="A82" s="226">
        <v>63</v>
      </c>
      <c r="B82" s="226">
        <v>99990008657065</v>
      </c>
      <c r="C82" s="227">
        <v>170641</v>
      </c>
      <c r="D82" s="228" t="s">
        <v>126</v>
      </c>
      <c r="E82" s="229"/>
      <c r="F82" s="229">
        <v>170641</v>
      </c>
      <c r="G82" s="229" t="s">
        <v>41</v>
      </c>
      <c r="H82" s="230">
        <v>0</v>
      </c>
      <c r="I82" s="231">
        <v>10</v>
      </c>
      <c r="J82" s="232">
        <v>0.3</v>
      </c>
      <c r="K82" s="233"/>
      <c r="L82" s="231" t="s">
        <v>23</v>
      </c>
      <c r="M82" s="231">
        <v>0</v>
      </c>
      <c r="N82" s="234">
        <f>ROUND(((I82*J82)-((I82*J82)*L82/100))+(((I82*J82)-((I82*J82)*L82/100))*M82/100),2)</f>
      </c>
      <c r="O82" s="230">
        <f>M11</f>
      </c>
      <c r="P82" s="235"/>
      <c r="Q82" s="236"/>
      <c r="R82" s="237"/>
      <c r="S82" s="238"/>
      <c r="T82" s="239"/>
    </row>
    <row r="83" spans="1:20" ht="24" customHeight="1">
      <c r="A83" s="226">
        <v>64</v>
      </c>
      <c r="B83" s="226">
        <v>99990008657094</v>
      </c>
      <c r="C83" s="227">
        <v>170794</v>
      </c>
      <c r="D83" s="228" t="s">
        <v>127</v>
      </c>
      <c r="E83" s="229"/>
      <c r="F83" s="229">
        <v>170794</v>
      </c>
      <c r="G83" s="229" t="s">
        <v>58</v>
      </c>
      <c r="H83" s="230">
        <v>0</v>
      </c>
      <c r="I83" s="231">
        <v>6</v>
      </c>
      <c r="J83" s="232">
        <v>0.54</v>
      </c>
      <c r="K83" s="233"/>
      <c r="L83" s="231" t="s">
        <v>23</v>
      </c>
      <c r="M83" s="231">
        <v>0</v>
      </c>
      <c r="N83" s="234">
        <f>ROUND(((I83*J83)-((I83*J83)*L83/100))+(((I83*J83)-((I83*J83)*L83/100))*M83/100),2)</f>
      </c>
      <c r="O83" s="230">
        <f>M11</f>
      </c>
      <c r="P83" s="235"/>
      <c r="Q83" s="236"/>
      <c r="R83" s="237"/>
      <c r="S83" s="238"/>
      <c r="T83" s="239"/>
    </row>
    <row r="84" spans="1:20" ht="24" customHeight="1">
      <c r="A84" s="226">
        <v>65</v>
      </c>
      <c r="B84" s="226">
        <v>99990008657116</v>
      </c>
      <c r="C84" s="227">
        <v>171090</v>
      </c>
      <c r="D84" s="228" t="s">
        <v>128</v>
      </c>
      <c r="E84" s="229"/>
      <c r="F84" s="229">
        <v>171090</v>
      </c>
      <c r="G84" s="229" t="s">
        <v>94</v>
      </c>
      <c r="H84" s="230">
        <v>0</v>
      </c>
      <c r="I84" s="231">
        <v>20</v>
      </c>
      <c r="J84" s="232">
        <v>0.18</v>
      </c>
      <c r="K84" s="233"/>
      <c r="L84" s="231" t="s">
        <v>23</v>
      </c>
      <c r="M84" s="231">
        <v>0</v>
      </c>
      <c r="N84" s="234">
        <f>ROUND(((I84*J84)-((I84*J84)*L84/100))+(((I84*J84)-((I84*J84)*L84/100))*M84/100),2)</f>
      </c>
      <c r="O84" s="230">
        <f>M11</f>
      </c>
      <c r="P84" s="235" t="s">
        <v>269</v>
      </c>
      <c r="Q84" s="236"/>
      <c r="R84" s="237"/>
      <c r="S84" s="238"/>
      <c r="T84" s="239"/>
    </row>
    <row r="85" spans="1:20" ht="24" customHeight="1">
      <c r="A85" s="226">
        <v>66</v>
      </c>
      <c r="B85" s="226">
        <v>99990008657128</v>
      </c>
      <c r="C85" s="227">
        <v>171192</v>
      </c>
      <c r="D85" s="228" t="s">
        <v>129</v>
      </c>
      <c r="E85" s="229"/>
      <c r="F85" s="229">
        <v>171192</v>
      </c>
      <c r="G85" s="229" t="s">
        <v>94</v>
      </c>
      <c r="H85" s="230">
        <v>0</v>
      </c>
      <c r="I85" s="231">
        <v>3</v>
      </c>
      <c r="J85" s="232">
        <v>1.18</v>
      </c>
      <c r="K85" s="233"/>
      <c r="L85" s="231" t="s">
        <v>23</v>
      </c>
      <c r="M85" s="231">
        <v>0</v>
      </c>
      <c r="N85" s="234">
        <f>ROUND(((I85*J85)-((I85*J85)*L85/100))+(((I85*J85)-((I85*J85)*L85/100))*M85/100),2)</f>
      </c>
      <c r="O85" s="230">
        <f>M11</f>
      </c>
      <c r="P85" s="235"/>
      <c r="Q85" s="236"/>
      <c r="R85" s="237"/>
      <c r="S85" s="238"/>
      <c r="T85" s="239"/>
    </row>
    <row r="86" spans="1:20" ht="24" customHeight="1">
      <c r="A86" s="226">
        <v>67</v>
      </c>
      <c r="B86" s="226">
        <v>99990008657155</v>
      </c>
      <c r="C86" s="227">
        <v>171730</v>
      </c>
      <c r="D86" s="228" t="s">
        <v>130</v>
      </c>
      <c r="E86" s="229"/>
      <c r="F86" s="229">
        <v>171730</v>
      </c>
      <c r="G86" s="229" t="s">
        <v>41</v>
      </c>
      <c r="H86" s="230">
        <v>0</v>
      </c>
      <c r="I86" s="231">
        <v>2</v>
      </c>
      <c r="J86" s="232">
        <v>5.39</v>
      </c>
      <c r="K86" s="233"/>
      <c r="L86" s="231" t="s">
        <v>23</v>
      </c>
      <c r="M86" s="231">
        <v>0</v>
      </c>
      <c r="N86" s="234">
        <f>ROUND(((I86*J86)-((I86*J86)*L86/100))+(((I86*J86)-((I86*J86)*L86/100))*M86/100),2)</f>
      </c>
      <c r="O86" s="230">
        <f>M11</f>
      </c>
      <c r="P86" s="235"/>
      <c r="Q86" s="236"/>
      <c r="R86" s="237"/>
      <c r="S86" s="238"/>
      <c r="T86" s="239"/>
    </row>
    <row r="87" spans="1:20" ht="24" customHeight="1">
      <c r="A87" s="226">
        <v>68</v>
      </c>
      <c r="B87" s="226">
        <v>99990008657248</v>
      </c>
      <c r="C87" s="227">
        <v>172407</v>
      </c>
      <c r="D87" s="228" t="s">
        <v>131</v>
      </c>
      <c r="E87" s="229"/>
      <c r="F87" s="229">
        <v>172407</v>
      </c>
      <c r="G87" s="229" t="s">
        <v>41</v>
      </c>
      <c r="H87" s="230">
        <v>0</v>
      </c>
      <c r="I87" s="231">
        <v>2</v>
      </c>
      <c r="J87" s="232">
        <v>0.7</v>
      </c>
      <c r="K87" s="233"/>
      <c r="L87" s="231" t="s">
        <v>23</v>
      </c>
      <c r="M87" s="231">
        <v>0</v>
      </c>
      <c r="N87" s="234">
        <f>ROUND(((I87*J87)-((I87*J87)*L87/100))+(((I87*J87)-((I87*J87)*L87/100))*M87/100),2)</f>
      </c>
      <c r="O87" s="230">
        <f>M11</f>
      </c>
      <c r="P87" s="235"/>
      <c r="Q87" s="236"/>
      <c r="R87" s="237"/>
      <c r="S87" s="238"/>
      <c r="T87" s="239"/>
    </row>
    <row r="88" spans="1:20" ht="24" customHeight="1">
      <c r="A88" s="226">
        <v>69</v>
      </c>
      <c r="B88" s="226">
        <v>99990008657332</v>
      </c>
      <c r="C88" s="227">
        <v>174053</v>
      </c>
      <c r="D88" s="228" t="s">
        <v>132</v>
      </c>
      <c r="E88" s="229"/>
      <c r="F88" s="229">
        <v>174053</v>
      </c>
      <c r="G88" s="229" t="s">
        <v>41</v>
      </c>
      <c r="H88" s="230">
        <v>0</v>
      </c>
      <c r="I88" s="231">
        <v>50</v>
      </c>
      <c r="J88" s="232">
        <v>0.07</v>
      </c>
      <c r="K88" s="233"/>
      <c r="L88" s="231" t="s">
        <v>23</v>
      </c>
      <c r="M88" s="231">
        <v>0</v>
      </c>
      <c r="N88" s="234">
        <f>ROUND(((I88*J88)-((I88*J88)*L88/100))+(((I88*J88)-((I88*J88)*L88/100))*M88/100),2)</f>
      </c>
      <c r="O88" s="230">
        <f>M11</f>
      </c>
      <c r="P88" s="235"/>
      <c r="Q88" s="236"/>
      <c r="R88" s="237"/>
      <c r="S88" s="238"/>
      <c r="T88" s="239"/>
    </row>
    <row r="89" spans="1:20" ht="24" customHeight="1">
      <c r="A89" s="226">
        <v>70</v>
      </c>
      <c r="B89" s="226">
        <v>99990008657334</v>
      </c>
      <c r="C89" s="227">
        <v>174058</v>
      </c>
      <c r="D89" s="228" t="s">
        <v>133</v>
      </c>
      <c r="E89" s="229"/>
      <c r="F89" s="229">
        <v>174058</v>
      </c>
      <c r="G89" s="229" t="s">
        <v>41</v>
      </c>
      <c r="H89" s="230">
        <v>0</v>
      </c>
      <c r="I89" s="231">
        <v>50</v>
      </c>
      <c r="J89" s="232">
        <v>0.18</v>
      </c>
      <c r="K89" s="233"/>
      <c r="L89" s="231" t="s">
        <v>23</v>
      </c>
      <c r="M89" s="231">
        <v>0</v>
      </c>
      <c r="N89" s="234">
        <f>ROUND(((I89*J89)-((I89*J89)*L89/100))+(((I89*J89)-((I89*J89)*L89/100))*M89/100),2)</f>
      </c>
      <c r="O89" s="230">
        <f>M11</f>
      </c>
      <c r="P89" s="235"/>
      <c r="Q89" s="236"/>
      <c r="R89" s="237"/>
      <c r="S89" s="238"/>
      <c r="T89" s="239"/>
    </row>
    <row r="90" spans="1:20" ht="24" customHeight="1">
      <c r="A90" s="226">
        <v>71</v>
      </c>
      <c r="B90" s="226">
        <v>99990008657337</v>
      </c>
      <c r="C90" s="227">
        <v>174072</v>
      </c>
      <c r="D90" s="228" t="s">
        <v>134</v>
      </c>
      <c r="E90" s="229"/>
      <c r="F90" s="229">
        <v>174072</v>
      </c>
      <c r="G90" s="229" t="s">
        <v>41</v>
      </c>
      <c r="H90" s="230">
        <v>0</v>
      </c>
      <c r="I90" s="231">
        <v>40</v>
      </c>
      <c r="J90" s="232">
        <v>0.06</v>
      </c>
      <c r="K90" s="233"/>
      <c r="L90" s="231" t="s">
        <v>23</v>
      </c>
      <c r="M90" s="231">
        <v>0</v>
      </c>
      <c r="N90" s="234">
        <f>ROUND(((I90*J90)-((I90*J90)*L90/100))+(((I90*J90)-((I90*J90)*L90/100))*M90/100),2)</f>
      </c>
      <c r="O90" s="230">
        <f>M11</f>
      </c>
      <c r="P90" s="235"/>
      <c r="Q90" s="236"/>
      <c r="R90" s="237"/>
      <c r="S90" s="238"/>
      <c r="T90" s="239"/>
    </row>
    <row r="91" spans="1:20" ht="24" customHeight="1">
      <c r="A91" s="226">
        <v>72</v>
      </c>
      <c r="B91" s="226">
        <v>99990008657357</v>
      </c>
      <c r="C91" s="227">
        <v>174202</v>
      </c>
      <c r="D91" s="228" t="s">
        <v>135</v>
      </c>
      <c r="E91" s="229"/>
      <c r="F91" s="229">
        <v>174202</v>
      </c>
      <c r="G91" s="229" t="s">
        <v>41</v>
      </c>
      <c r="H91" s="230">
        <v>0</v>
      </c>
      <c r="I91" s="231">
        <v>30</v>
      </c>
      <c r="J91" s="232">
        <v>3.69</v>
      </c>
      <c r="K91" s="233"/>
      <c r="L91" s="231" t="s">
        <v>23</v>
      </c>
      <c r="M91" s="231">
        <v>0</v>
      </c>
      <c r="N91" s="234">
        <f>ROUND(((I91*J91)-((I91*J91)*L91/100))+(((I91*J91)-((I91*J91)*L91/100))*M91/100),2)</f>
      </c>
      <c r="O91" s="230">
        <f>M11</f>
      </c>
      <c r="P91" s="235"/>
      <c r="Q91" s="236"/>
      <c r="R91" s="237"/>
      <c r="S91" s="238"/>
      <c r="T91" s="239"/>
    </row>
    <row r="92" spans="1:20" ht="24" customHeight="1">
      <c r="A92" s="226">
        <v>73</v>
      </c>
      <c r="B92" s="226">
        <v>99990008657360</v>
      </c>
      <c r="C92" s="227">
        <v>174207</v>
      </c>
      <c r="D92" s="228" t="s">
        <v>136</v>
      </c>
      <c r="E92" s="229"/>
      <c r="F92" s="229">
        <v>174207</v>
      </c>
      <c r="G92" s="229" t="s">
        <v>41</v>
      </c>
      <c r="H92" s="230">
        <v>0</v>
      </c>
      <c r="I92" s="231">
        <v>30</v>
      </c>
      <c r="J92" s="232">
        <v>0.4</v>
      </c>
      <c r="K92" s="233"/>
      <c r="L92" s="231" t="s">
        <v>23</v>
      </c>
      <c r="M92" s="231">
        <v>0</v>
      </c>
      <c r="N92" s="234">
        <f>ROUND(((I92*J92)-((I92*J92)*L92/100))+(((I92*J92)-((I92*J92)*L92/100))*M92/100),2)</f>
      </c>
      <c r="O92" s="230">
        <f>M11</f>
      </c>
      <c r="P92" s="235" t="s">
        <v>270</v>
      </c>
      <c r="Q92" s="236"/>
      <c r="R92" s="237"/>
      <c r="S92" s="238"/>
      <c r="T92" s="239"/>
    </row>
    <row r="93" spans="1:20" ht="24" customHeight="1">
      <c r="A93" s="226">
        <v>74</v>
      </c>
      <c r="B93" s="226">
        <v>99990008657363</v>
      </c>
      <c r="C93" s="227">
        <v>174211</v>
      </c>
      <c r="D93" s="228" t="s">
        <v>137</v>
      </c>
      <c r="E93" s="229"/>
      <c r="F93" s="229">
        <v>174211</v>
      </c>
      <c r="G93" s="229" t="s">
        <v>41</v>
      </c>
      <c r="H93" s="230">
        <v>0</v>
      </c>
      <c r="I93" s="231">
        <v>15</v>
      </c>
      <c r="J93" s="232">
        <v>0.94</v>
      </c>
      <c r="K93" s="233"/>
      <c r="L93" s="231" t="s">
        <v>23</v>
      </c>
      <c r="M93" s="231">
        <v>0</v>
      </c>
      <c r="N93" s="234">
        <f>ROUND(((I93*J93)-((I93*J93)*L93/100))+(((I93*J93)-((I93*J93)*L93/100))*M93/100),2)</f>
      </c>
      <c r="O93" s="230">
        <f>M11</f>
      </c>
      <c r="P93" s="235" t="s">
        <v>271</v>
      </c>
      <c r="Q93" s="236"/>
      <c r="R93" s="237"/>
      <c r="S93" s="238"/>
      <c r="T93" s="239"/>
    </row>
    <row r="94" spans="1:20" ht="24" customHeight="1">
      <c r="A94" s="226">
        <v>75</v>
      </c>
      <c r="B94" s="226">
        <v>99990008657379</v>
      </c>
      <c r="C94" s="227">
        <v>174508</v>
      </c>
      <c r="D94" s="228" t="s">
        <v>138</v>
      </c>
      <c r="E94" s="229"/>
      <c r="F94" s="229">
        <v>174508</v>
      </c>
      <c r="G94" s="229" t="s">
        <v>41</v>
      </c>
      <c r="H94" s="230">
        <v>0</v>
      </c>
      <c r="I94" s="231">
        <v>2</v>
      </c>
      <c r="J94" s="232">
        <v>9.98</v>
      </c>
      <c r="K94" s="233"/>
      <c r="L94" s="231" t="s">
        <v>23</v>
      </c>
      <c r="M94" s="231">
        <v>0</v>
      </c>
      <c r="N94" s="234">
        <f>ROUND(((I94*J94)-((I94*J94)*L94/100))+(((I94*J94)-((I94*J94)*L94/100))*M94/100),2)</f>
      </c>
      <c r="O94" s="230">
        <f>M11</f>
      </c>
      <c r="P94" s="235" t="s">
        <v>272</v>
      </c>
      <c r="Q94" s="236"/>
      <c r="R94" s="237"/>
      <c r="S94" s="238"/>
      <c r="T94" s="239"/>
    </row>
    <row r="95" spans="1:20" ht="24" customHeight="1">
      <c r="A95" s="226">
        <v>76</v>
      </c>
      <c r="B95" s="226">
        <v>99990008657385</v>
      </c>
      <c r="C95" s="227">
        <v>174563</v>
      </c>
      <c r="D95" s="228" t="s">
        <v>139</v>
      </c>
      <c r="E95" s="229"/>
      <c r="F95" s="229">
        <v>174563</v>
      </c>
      <c r="G95" s="229" t="s">
        <v>47</v>
      </c>
      <c r="H95" s="230">
        <v>0</v>
      </c>
      <c r="I95" s="231">
        <v>1</v>
      </c>
      <c r="J95" s="232">
        <v>21.9</v>
      </c>
      <c r="K95" s="233"/>
      <c r="L95" s="231" t="s">
        <v>23</v>
      </c>
      <c r="M95" s="231">
        <v>0</v>
      </c>
      <c r="N95" s="234">
        <f>ROUND(((I95*J95)-((I95*J95)*L95/100))+(((I95*J95)-((I95*J95)*L95/100))*M95/100),2)</f>
      </c>
      <c r="O95" s="230">
        <f>M11</f>
      </c>
      <c r="P95" s="235" t="s">
        <v>273</v>
      </c>
      <c r="Q95" s="236"/>
      <c r="R95" s="237"/>
      <c r="S95" s="238"/>
      <c r="T95" s="239"/>
    </row>
    <row r="96" spans="1:20" ht="24" customHeight="1">
      <c r="A96" s="226">
        <v>77</v>
      </c>
      <c r="B96" s="226">
        <v>99990009546104</v>
      </c>
      <c r="C96" s="227">
        <v>2120875</v>
      </c>
      <c r="D96" s="228" t="s">
        <v>140</v>
      </c>
      <c r="E96" s="229"/>
      <c r="F96" s="229">
        <v>150306</v>
      </c>
      <c r="G96" s="229" t="s">
        <v>111</v>
      </c>
      <c r="H96" s="230">
        <v>0</v>
      </c>
      <c r="I96" s="231">
        <v>10</v>
      </c>
      <c r="J96" s="232">
        <v>9.21</v>
      </c>
      <c r="K96" s="233"/>
      <c r="L96" s="231" t="s">
        <v>23</v>
      </c>
      <c r="M96" s="231">
        <v>0</v>
      </c>
      <c r="N96" s="234">
        <f>ROUND(((I96*J96)-((I96*J96)*L96/100))+(((I96*J96)-((I96*J96)*L96/100))*M96/100),2)</f>
      </c>
      <c r="O96" s="230">
        <f>M11</f>
      </c>
      <c r="P96" s="235"/>
      <c r="Q96" s="236"/>
      <c r="R96" s="237"/>
      <c r="S96" s="238"/>
      <c r="T96" s="239"/>
    </row>
    <row r="97" spans="1:20" ht="24" customHeight="1">
      <c r="A97" s="226">
        <v>78</v>
      </c>
      <c r="B97" s="226">
        <v>99990009546197</v>
      </c>
      <c r="C97" s="227">
        <v>2120950</v>
      </c>
      <c r="D97" s="228" t="s">
        <v>141</v>
      </c>
      <c r="E97" s="229"/>
      <c r="F97" s="229">
        <v>171476</v>
      </c>
      <c r="G97" s="229" t="s">
        <v>77</v>
      </c>
      <c r="H97" s="230">
        <v>0</v>
      </c>
      <c r="I97" s="231">
        <v>3</v>
      </c>
      <c r="J97" s="232">
        <v>10.8</v>
      </c>
      <c r="K97" s="233"/>
      <c r="L97" s="231" t="s">
        <v>23</v>
      </c>
      <c r="M97" s="231">
        <v>0</v>
      </c>
      <c r="N97" s="234">
        <f>ROUND(((I97*J97)-((I97*J97)*L97/100))+(((I97*J97)-((I97*J97)*L97/100))*M97/100),2)</f>
      </c>
      <c r="O97" s="230">
        <f>M11</f>
      </c>
      <c r="P97" s="235"/>
      <c r="Q97" s="236"/>
      <c r="R97" s="237"/>
      <c r="S97" s="238"/>
      <c r="T97" s="239"/>
    </row>
    <row r="98" spans="1:20" ht="24" customHeight="1">
      <c r="A98" s="226">
        <v>79</v>
      </c>
      <c r="B98" s="226">
        <v>99990009572344</v>
      </c>
      <c r="C98" s="227">
        <v>2136073</v>
      </c>
      <c r="D98" s="228" t="s">
        <v>142</v>
      </c>
      <c r="E98" s="229"/>
      <c r="F98" s="229">
        <v>171193</v>
      </c>
      <c r="G98" s="229" t="s">
        <v>94</v>
      </c>
      <c r="H98" s="230">
        <v>0</v>
      </c>
      <c r="I98" s="231">
        <v>3</v>
      </c>
      <c r="J98" s="232">
        <v>2</v>
      </c>
      <c r="K98" s="233"/>
      <c r="L98" s="231" t="s">
        <v>23</v>
      </c>
      <c r="M98" s="231">
        <v>0</v>
      </c>
      <c r="N98" s="234">
        <f>ROUND(((I98*J98)-((I98*J98)*L98/100))+(((I98*J98)-((I98*J98)*L98/100))*M98/100),2)</f>
      </c>
      <c r="O98" s="230">
        <f>M11</f>
      </c>
      <c r="P98" s="235"/>
      <c r="Q98" s="236"/>
      <c r="R98" s="237"/>
      <c r="S98" s="238"/>
      <c r="T98" s="239"/>
    </row>
    <row r="99" spans="1:20" ht="24" customHeight="1">
      <c r="A99" s="226">
        <v>80</v>
      </c>
      <c r="B99" s="226">
        <v>99990010236994</v>
      </c>
      <c r="C99" s="227">
        <v>150651</v>
      </c>
      <c r="D99" s="228" t="s">
        <v>143</v>
      </c>
      <c r="E99" s="229"/>
      <c r="F99" s="229">
        <v>150651</v>
      </c>
      <c r="G99" s="229" t="s">
        <v>116</v>
      </c>
      <c r="H99" s="230">
        <v>0</v>
      </c>
      <c r="I99" s="231">
        <v>30</v>
      </c>
      <c r="J99" s="232">
        <v>0.9</v>
      </c>
      <c r="K99" s="233"/>
      <c r="L99" s="231" t="s">
        <v>23</v>
      </c>
      <c r="M99" s="231">
        <v>0</v>
      </c>
      <c r="N99" s="234">
        <f>ROUND(((I99*J99)-((I99*J99)*L99/100))+(((I99*J99)-((I99*J99)*L99/100))*M99/100),2)</f>
      </c>
      <c r="O99" s="230">
        <f>M11</f>
      </c>
      <c r="P99" s="235" t="s">
        <v>274</v>
      </c>
      <c r="Q99" s="236"/>
      <c r="R99" s="237"/>
      <c r="S99" s="238"/>
      <c r="T99" s="239"/>
    </row>
    <row r="100" spans="1:20" ht="24" customHeight="1">
      <c r="A100" s="226">
        <v>81</v>
      </c>
      <c r="B100" s="226">
        <v>99990010634575</v>
      </c>
      <c r="C100" s="227">
        <v>174198</v>
      </c>
      <c r="D100" s="228" t="s">
        <v>144</v>
      </c>
      <c r="E100" s="229"/>
      <c r="F100" s="229">
        <v>174198</v>
      </c>
      <c r="G100" s="229" t="s">
        <v>94</v>
      </c>
      <c r="H100" s="230">
        <v>0</v>
      </c>
      <c r="I100" s="231">
        <v>50</v>
      </c>
      <c r="J100" s="232">
        <v>0.65</v>
      </c>
      <c r="K100" s="233"/>
      <c r="L100" s="231" t="s">
        <v>23</v>
      </c>
      <c r="M100" s="231">
        <v>0</v>
      </c>
      <c r="N100" s="234">
        <f>ROUND(((I100*J100)-((I100*J100)*L100/100))+(((I100*J100)-((I100*J100)*L100/100))*M100/100),2)</f>
      </c>
      <c r="O100" s="230">
        <f>M11</f>
      </c>
      <c r="P100" s="235"/>
      <c r="Q100" s="236"/>
      <c r="R100" s="237"/>
      <c r="S100" s="238"/>
      <c r="T100" s="239"/>
    </row>
    <row r="101" spans="1:20" ht="24" customHeight="1">
      <c r="A101" s="226">
        <v>82</v>
      </c>
      <c r="B101" s="226">
        <v>99990011131884</v>
      </c>
      <c r="C101" s="227">
        <v>174667</v>
      </c>
      <c r="D101" s="228" t="s">
        <v>145</v>
      </c>
      <c r="E101" s="229"/>
      <c r="F101" s="229">
        <v>174667</v>
      </c>
      <c r="G101" s="229" t="s">
        <v>47</v>
      </c>
      <c r="H101" s="230">
        <v>0</v>
      </c>
      <c r="I101" s="231">
        <v>1</v>
      </c>
      <c r="J101" s="232">
        <v>365.38</v>
      </c>
      <c r="K101" s="233"/>
      <c r="L101" s="231" t="s">
        <v>23</v>
      </c>
      <c r="M101" s="231">
        <v>0</v>
      </c>
      <c r="N101" s="234">
        <f>ROUND(((I101*J101)-((I101*J101)*L101/100))+(((I101*J101)-((I101*J101)*L101/100))*M101/100),2)</f>
      </c>
      <c r="O101" s="230">
        <f>M11</f>
      </c>
      <c r="P101" s="235" t="s">
        <v>275</v>
      </c>
      <c r="Q101" s="236"/>
      <c r="R101" s="237"/>
      <c r="S101" s="238"/>
      <c r="T101" s="239"/>
    </row>
    <row r="102" spans="1:20" ht="24" customHeight="1">
      <c r="A102" s="226">
        <v>83</v>
      </c>
      <c r="B102" s="226">
        <v>99990010149785</v>
      </c>
      <c r="C102" s="227" t="s">
        <v>146</v>
      </c>
      <c r="D102" s="228" t="s">
        <v>147</v>
      </c>
      <c r="E102" s="229"/>
      <c r="F102" s="229" t="s">
        <v>146</v>
      </c>
      <c r="G102" s="229" t="s">
        <v>41</v>
      </c>
      <c r="H102" s="230">
        <v>0</v>
      </c>
      <c r="I102" s="231">
        <v>24</v>
      </c>
      <c r="J102" s="232">
        <v>0.68</v>
      </c>
      <c r="K102" s="233"/>
      <c r="L102" s="231" t="s">
        <v>23</v>
      </c>
      <c r="M102" s="231">
        <v>0</v>
      </c>
      <c r="N102" s="234">
        <f>ROUND(((I102*J102)-((I102*J102)*L102/100))+(((I102*J102)-((I102*J102)*L102/100))*M102/100),2)</f>
      </c>
      <c r="O102" s="230">
        <f>M11</f>
      </c>
      <c r="P102" s="235" t="s">
        <v>276</v>
      </c>
      <c r="Q102" s="236"/>
      <c r="R102" s="237"/>
      <c r="S102" s="238"/>
      <c r="T102" s="239"/>
    </row>
    <row r="103" spans="1:20" ht="24" customHeight="1">
      <c r="A103" s="226">
        <v>84</v>
      </c>
      <c r="B103" s="226">
        <v>99990013168776</v>
      </c>
      <c r="C103" s="227" t="s">
        <v>148</v>
      </c>
      <c r="D103" s="228" t="s">
        <v>149</v>
      </c>
      <c r="E103" s="229"/>
      <c r="F103" s="229" t="s">
        <v>148</v>
      </c>
      <c r="G103" s="229" t="s">
        <v>41</v>
      </c>
      <c r="H103" s="230">
        <v>0</v>
      </c>
      <c r="I103" s="231">
        <v>4</v>
      </c>
      <c r="J103" s="232">
        <v>7.55</v>
      </c>
      <c r="K103" s="233"/>
      <c r="L103" s="231" t="s">
        <v>23</v>
      </c>
      <c r="M103" s="231">
        <v>0</v>
      </c>
      <c r="N103" s="234">
        <f>ROUND(((I103*J103)-((I103*J103)*L103/100))+(((I103*J103)-((I103*J103)*L103/100))*M103/100),2)</f>
      </c>
      <c r="O103" s="230">
        <f>M11</f>
      </c>
      <c r="P103" s="235" t="s">
        <v>277</v>
      </c>
      <c r="Q103" s="236"/>
      <c r="R103" s="237" t="s">
        <v>150</v>
      </c>
      <c r="S103" s="238"/>
      <c r="T103" s="239"/>
    </row>
    <row r="104" spans="1:20" ht="24" customHeight="1">
      <c r="A104" s="226">
        <v>85</v>
      </c>
      <c r="B104" s="226">
        <v>99990012448791</v>
      </c>
      <c r="C104" s="227">
        <v>2705304</v>
      </c>
      <c r="D104" s="228" t="s">
        <v>151</v>
      </c>
      <c r="E104" s="229"/>
      <c r="F104" s="229">
        <v>2705304</v>
      </c>
      <c r="G104" s="229" t="s">
        <v>41</v>
      </c>
      <c r="H104" s="230">
        <v>0</v>
      </c>
      <c r="I104" s="231">
        <v>50</v>
      </c>
      <c r="J104" s="232">
        <v>1.3</v>
      </c>
      <c r="K104" s="233"/>
      <c r="L104" s="231" t="s">
        <v>23</v>
      </c>
      <c r="M104" s="231">
        <v>0</v>
      </c>
      <c r="N104" s="234">
        <f>ROUND(((I104*J104)-((I104*J104)*L104/100))+(((I104*J104)-((I104*J104)*L104/100))*M104/100),2)</f>
      </c>
      <c r="O104" s="230">
        <f>M11</f>
      </c>
      <c r="P104" s="235"/>
      <c r="Q104" s="236"/>
      <c r="R104" s="237"/>
      <c r="S104" s="238"/>
      <c r="T104" s="239"/>
    </row>
    <row r="105" spans="1:20" ht="24" customHeight="1">
      <c r="A105" s="226">
        <v>86</v>
      </c>
      <c r="B105" s="226">
        <v>99990012366761</v>
      </c>
      <c r="C105" s="227">
        <v>2698037</v>
      </c>
      <c r="D105" s="228" t="s">
        <v>152</v>
      </c>
      <c r="E105" s="229"/>
      <c r="F105" s="229">
        <v>2698037</v>
      </c>
      <c r="G105" s="229" t="s">
        <v>41</v>
      </c>
      <c r="H105" s="230">
        <v>0</v>
      </c>
      <c r="I105" s="231">
        <v>50</v>
      </c>
      <c r="J105" s="232">
        <v>6.39</v>
      </c>
      <c r="K105" s="233"/>
      <c r="L105" s="231" t="s">
        <v>23</v>
      </c>
      <c r="M105" s="231">
        <v>0</v>
      </c>
      <c r="N105" s="234">
        <f>ROUND(((I105*J105)-((I105*J105)*L105/100))+(((I105*J105)-((I105*J105)*L105/100))*M105/100),2)</f>
      </c>
      <c r="O105" s="230">
        <f>M11</f>
      </c>
      <c r="P105" s="235"/>
      <c r="Q105" s="236"/>
      <c r="R105" s="237"/>
      <c r="S105" s="238"/>
      <c r="T105" s="239"/>
    </row>
    <row r="106" spans="1:20" ht="24" customHeight="1">
      <c r="A106" s="226">
        <v>87</v>
      </c>
      <c r="B106" s="226">
        <v>99990011938504</v>
      </c>
      <c r="C106" s="227">
        <v>2642996</v>
      </c>
      <c r="D106" s="228" t="s">
        <v>153</v>
      </c>
      <c r="E106" s="229"/>
      <c r="F106" s="229">
        <v>2642996</v>
      </c>
      <c r="G106" s="229" t="s">
        <v>111</v>
      </c>
      <c r="H106" s="230">
        <v>0</v>
      </c>
      <c r="I106" s="231">
        <v>50</v>
      </c>
      <c r="J106" s="232">
        <v>6</v>
      </c>
      <c r="K106" s="233"/>
      <c r="L106" s="231" t="s">
        <v>23</v>
      </c>
      <c r="M106" s="231">
        <v>0</v>
      </c>
      <c r="N106" s="234">
        <f>ROUND(((I106*J106)-((I106*J106)*L106/100))+(((I106*J106)-((I106*J106)*L106/100))*M106/100),2)</f>
      </c>
      <c r="O106" s="230">
        <f>M11</f>
      </c>
      <c r="P106" s="235"/>
      <c r="Q106" s="236"/>
      <c r="R106" s="237"/>
      <c r="S106" s="238"/>
      <c r="T106" s="239"/>
    </row>
    <row r="107" spans="1:20" ht="24" customHeight="1">
      <c r="A107" s="226">
        <v>88</v>
      </c>
      <c r="B107" s="226">
        <v>99990005569007</v>
      </c>
      <c r="C107" s="227">
        <v>1778808</v>
      </c>
      <c r="D107" s="228" t="s">
        <v>154</v>
      </c>
      <c r="E107" s="229"/>
      <c r="F107" s="229">
        <v>190122</v>
      </c>
      <c r="G107" s="229" t="s">
        <v>58</v>
      </c>
      <c r="H107" s="230">
        <v>0</v>
      </c>
      <c r="I107" s="231">
        <v>30</v>
      </c>
      <c r="J107" s="232">
        <v>1.08</v>
      </c>
      <c r="K107" s="233"/>
      <c r="L107" s="231" t="s">
        <v>23</v>
      </c>
      <c r="M107" s="231">
        <v>0</v>
      </c>
      <c r="N107" s="234">
        <f>ROUND(((I107*J107)-((I107*J107)*L107/100))+(((I107*J107)-((I107*J107)*L107/100))*M107/100),2)</f>
      </c>
      <c r="O107" s="230">
        <f>M11</f>
      </c>
      <c r="P107" s="235"/>
      <c r="Q107" s="236"/>
      <c r="R107" s="237"/>
      <c r="S107" s="238"/>
      <c r="T107" s="239"/>
    </row>
    <row r="108" spans="1:20" ht="15" customHeight="1">
      <c r="A108" s="32"/>
      <c r="B108" s="295"/>
      <c r="C108" s="296"/>
      <c r="D108" s="296"/>
      <c r="E108" s="296"/>
      <c r="F108" s="296"/>
      <c r="G108" s="296"/>
      <c r="H108" s="297"/>
      <c r="I108" s="297"/>
      <c r="J108" s="297"/>
      <c r="K108" s="297"/>
      <c r="L108" s="297"/>
      <c r="M108" s="297"/>
      <c r="N108" s="297"/>
      <c r="O108" s="297"/>
      <c r="P108" s="297"/>
      <c r="Q108" s="297"/>
      <c r="R108" s="297"/>
      <c r="S108" s="297"/>
      <c r="T108" s="298"/>
    </row>
    <row r="109" spans="1:20" ht="12.75" customHeight="1">
      <c r="A109" s="289" t="s">
        <v>28</v>
      </c>
      <c r="B109" s="289"/>
      <c r="C109" s="290" t="s">
        <v>155</v>
      </c>
      <c r="D109" s="291"/>
      <c r="E109" s="291"/>
      <c r="F109" s="291"/>
      <c r="G109" s="291"/>
      <c r="H109" s="291"/>
      <c r="I109" s="292"/>
      <c r="J109" s="292" t="s">
        <v>156</v>
      </c>
      <c r="K109" s="292"/>
      <c r="L109" s="292" t="s">
        <v>35</v>
      </c>
      <c r="M109" s="292" t="s">
        <v>36</v>
      </c>
      <c r="N109" s="293" t="s">
        <v>157</v>
      </c>
      <c r="O109" s="294" t="s">
        <v>38</v>
      </c>
      <c r="P109" s="294"/>
      <c r="Q109" s="294"/>
      <c r="R109" s="294"/>
      <c r="S109" s="294"/>
      <c r="T109" s="225"/>
    </row>
    <row r="110" spans="1:20" ht="15" customHeight="1">
      <c r="A110" s="269">
        <v>1</v>
      </c>
      <c r="B110" s="270"/>
      <c r="C110" s="271" t="s">
        <v>158</v>
      </c>
      <c r="D110" s="272" t="s">
        <v>158</v>
      </c>
      <c r="E110" s="272" t="s">
        <v>158</v>
      </c>
      <c r="F110" s="272" t="s">
        <v>158</v>
      </c>
      <c r="G110" s="272" t="s">
        <v>158</v>
      </c>
      <c r="H110" s="273" t="s">
        <v>158</v>
      </c>
      <c r="I110" s="274"/>
      <c r="J110" s="275">
        <v>0</v>
      </c>
      <c r="K110" s="276"/>
      <c r="L110" s="277">
        <v>0</v>
      </c>
      <c r="M110" s="277">
        <v>0</v>
      </c>
      <c r="N110" s="285">
        <f>(J110-(J110*L110/100)+((J110-(J110*L110/100))*M110/100))</f>
      </c>
      <c r="O110" s="286"/>
      <c r="P110" s="287"/>
      <c r="Q110" s="287"/>
      <c r="R110" s="287"/>
      <c r="S110" s="288"/>
      <c r="T110" s="283"/>
    </row>
    <row r="111" spans="1:20" ht="15" customHeight="1">
      <c r="A111" s="269">
        <v>2</v>
      </c>
      <c r="B111" s="270"/>
      <c r="C111" s="271" t="s">
        <v>159</v>
      </c>
      <c r="D111" s="272" t="s">
        <v>159</v>
      </c>
      <c r="E111" s="272" t="s">
        <v>159</v>
      </c>
      <c r="F111" s="272" t="s">
        <v>159</v>
      </c>
      <c r="G111" s="272" t="s">
        <v>159</v>
      </c>
      <c r="H111" s="273" t="s">
        <v>159</v>
      </c>
      <c r="I111" s="284"/>
      <c r="J111" s="275">
        <v>0</v>
      </c>
      <c r="K111" s="276"/>
      <c r="L111" s="277">
        <v>0</v>
      </c>
      <c r="M111" s="277">
        <v>0</v>
      </c>
      <c r="N111" s="279">
        <f>(J111-(J111*L111/100)+((J111-(J111*L111/100))*M111/100))</f>
      </c>
      <c r="O111" s="280"/>
      <c r="P111" s="281"/>
      <c r="Q111" s="281"/>
      <c r="R111" s="281"/>
      <c r="S111" s="282"/>
      <c r="T111" s="283"/>
    </row>
    <row r="112" spans="1:20" ht="15" customHeight="1">
      <c r="A112" s="269">
        <v>3</v>
      </c>
      <c r="B112" s="270"/>
      <c r="C112" s="271"/>
      <c r="D112" s="272"/>
      <c r="E112" s="272"/>
      <c r="F112" s="272"/>
      <c r="G112" s="272"/>
      <c r="H112" s="273"/>
      <c r="I112" s="274"/>
      <c r="J112" s="275">
        <v>0</v>
      </c>
      <c r="K112" s="276"/>
      <c r="L112" s="277">
        <v>0</v>
      </c>
      <c r="M112" s="277">
        <v>0</v>
      </c>
      <c r="N112" s="279">
        <f>(J112-(J112*L112/100)+((J112-(J112*L112/100))*M112/100))</f>
      </c>
      <c r="O112" s="280"/>
      <c r="P112" s="281"/>
      <c r="Q112" s="281"/>
      <c r="R112" s="281"/>
      <c r="S112" s="282"/>
      <c r="T112" s="283"/>
    </row>
    <row r="113" spans="1:20" ht="15.75" customHeight="1">
      <c r="A113" s="269">
        <v>4</v>
      </c>
      <c r="B113" s="270"/>
      <c r="C113" s="271"/>
      <c r="D113" s="272"/>
      <c r="E113" s="272"/>
      <c r="F113" s="272"/>
      <c r="G113" s="272"/>
      <c r="H113" s="273"/>
      <c r="I113" s="274"/>
      <c r="J113" s="275">
        <v>0</v>
      </c>
      <c r="K113" s="276"/>
      <c r="L113" s="277">
        <v>0</v>
      </c>
      <c r="M113" s="278">
        <v>0</v>
      </c>
      <c r="N113" s="279">
        <f>(J113-(J113*L113/100)+((J113-(J113*L113/100))*M113/100))</f>
      </c>
      <c r="O113" s="280"/>
      <c r="P113" s="281"/>
      <c r="Q113" s="281"/>
      <c r="R113" s="281"/>
      <c r="S113" s="282"/>
      <c r="T113" s="283"/>
    </row>
    <row r="114" spans="1:16" ht="15.95" customHeight="1">
      <c r="A114" s="247"/>
      <c r="B114" s="247"/>
      <c r="C114" s="248"/>
      <c r="D114" s="248"/>
      <c r="I114" s="163"/>
      <c r="J114" s="58" t="s">
        <v>160</v>
      </c>
      <c r="K114" s="59"/>
      <c r="L114" s="58"/>
      <c r="M114" s="59"/>
      <c r="N114" s="264">
        <f>SUM(ItmPrice)</f>
      </c>
      <c r="O114" s="267"/>
      <c r="P114" s="268"/>
    </row>
    <row r="115" spans="1:16" ht="15" customHeight="1">
      <c r="A115" s="247"/>
      <c r="B115" s="247"/>
      <c r="C115" s="248"/>
      <c r="D115" s="248"/>
      <c r="I115" s="163"/>
      <c r="J115" s="123" t="s">
        <v>161</v>
      </c>
      <c r="K115" s="124"/>
      <c r="L115" s="124"/>
      <c r="M115" s="125"/>
      <c r="N115" s="264">
        <f>SUM(N110:N114)</f>
      </c>
      <c r="O115" s="265"/>
      <c r="P115" s="266"/>
    </row>
    <row r="116" spans="1:19" ht="2.25" customHeight="1" hidden="1">
      <c r="A116" s="258">
        <v>0</v>
      </c>
      <c r="B116" s="258">
        <v>0</v>
      </c>
      <c r="C116" s="259">
        <v>0</v>
      </c>
      <c r="D116" s="248"/>
      <c r="E116" s="248"/>
      <c r="F116" s="260">
        <v>1</v>
      </c>
      <c r="G116" s="248"/>
      <c r="H116" s="248"/>
      <c r="I116" s="248"/>
      <c r="J116" s="248"/>
      <c r="K116" s="261"/>
      <c r="L116" s="262">
        <v>0</v>
      </c>
      <c r="M116" s="263">
        <v>0</v>
      </c>
      <c r="N116" s="162" t="s">
        <v>162</v>
      </c>
      <c r="O116" s="257"/>
      <c r="P116" s="263">
        <v>995</v>
      </c>
      <c r="Q116" s="248" t="s">
        <v>163</v>
      </c>
      <c r="R116" s="248"/>
      <c r="S116" s="248"/>
    </row>
    <row r="117" spans="1:19" ht="18.75" customHeight="1">
      <c r="A117" s="247"/>
      <c r="B117" s="247"/>
      <c r="C117" s="247"/>
      <c r="H117" s="257"/>
      <c r="I117" s="163"/>
      <c r="J117" s="248"/>
      <c r="K117" s="248"/>
      <c r="L117" s="248"/>
      <c r="M117" s="248"/>
      <c r="N117" s="248"/>
      <c r="O117" s="248"/>
      <c r="P117" s="248"/>
      <c r="R117" s="248"/>
      <c r="S117" s="248"/>
    </row>
    <row r="118" spans="1:20" ht="127.5" customHeight="1">
      <c r="A118" s="249" t="s">
        <v>164</v>
      </c>
      <c r="B118" s="249"/>
      <c r="C118" s="249"/>
      <c r="D118" s="250"/>
      <c r="E118" s="254" t="s">
        <v>165</v>
      </c>
      <c r="F118" s="255"/>
      <c r="G118" s="255"/>
      <c r="H118" s="255"/>
      <c r="I118" s="255"/>
      <c r="J118" s="255"/>
      <c r="K118" s="255"/>
      <c r="L118" s="255"/>
      <c r="M118" s="255"/>
      <c r="N118" s="255"/>
      <c r="O118" s="255"/>
      <c r="P118" s="255"/>
      <c r="Q118" s="255"/>
      <c r="R118" s="255"/>
      <c r="S118" s="255"/>
      <c r="T118" s="256"/>
    </row>
    <row r="119" spans="1:20" ht="129.75" customHeight="1">
      <c r="A119" s="249" t="s">
        <v>38</v>
      </c>
      <c r="B119" s="249"/>
      <c r="C119" s="249"/>
      <c r="D119" s="250"/>
      <c r="E119" s="251" t="s">
        <v>278</v>
      </c>
      <c r="F119" s="252"/>
      <c r="G119" s="252"/>
      <c r="H119" s="252"/>
      <c r="I119" s="252"/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3"/>
    </row>
    <row r="120" spans="1:19" ht="15.95" customHeight="1">
      <c r="A120" s="247"/>
      <c r="B120" s="247"/>
      <c r="C120" s="247"/>
      <c r="H120" s="248"/>
      <c r="I120" s="248"/>
      <c r="J120" s="248"/>
      <c r="K120" s="248"/>
      <c r="L120" s="248"/>
      <c r="M120" s="248"/>
      <c r="N120" s="248"/>
      <c r="O120" s="248"/>
      <c r="P120" s="248"/>
      <c r="Q120" s="248"/>
      <c r="R120" s="248"/>
      <c r="S120" s="248"/>
    </row>
    <row r="121" spans="1:20" ht="15.95" customHeight="1">
      <c r="A121" s="245" t="s">
        <v>166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5"/>
      <c r="P121" s="245"/>
      <c r="Q121" s="245"/>
      <c r="R121" s="245"/>
      <c r="S121" s="245"/>
      <c r="T121" s="246"/>
    </row>
    <row r="122" spans="1:20" ht="12.75" customHeight="1">
      <c r="A122" s="243"/>
      <c r="B122" s="243"/>
      <c r="C122" s="243"/>
      <c r="D122" s="243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4"/>
    </row>
    <row r="123" spans="1:20" ht="12.75" customHeight="1">
      <c r="A123" s="243"/>
      <c r="B123" s="243"/>
      <c r="C123" s="243"/>
      <c r="D123" s="243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4"/>
    </row>
    <row r="124" spans="1:20" ht="7.5" customHeight="1">
      <c r="A124" s="243"/>
      <c r="B124" s="243"/>
      <c r="C124" s="243"/>
      <c r="D124" s="243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4"/>
    </row>
    <row r="125" spans="1:20" ht="12.75" customHeight="1">
      <c r="A125" s="243"/>
      <c r="B125" s="243"/>
      <c r="C125" s="243"/>
      <c r="D125" s="243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4"/>
    </row>
    <row r="126" spans="1:20" ht="12.75" customHeight="1">
      <c r="A126" s="243"/>
      <c r="B126" s="243"/>
      <c r="C126" s="243"/>
      <c r="D126" s="243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4"/>
    </row>
    <row r="127" spans="1:20" ht="12.75" customHeight="1">
      <c r="A127" s="243"/>
      <c r="B127" s="243"/>
      <c r="C127" s="243"/>
      <c r="D127" s="243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4"/>
    </row>
    <row r="128" spans="1:20" ht="7.5" customHeight="1">
      <c r="A128" s="243"/>
      <c r="B128" s="243"/>
      <c r="C128" s="243"/>
      <c r="D128" s="243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4"/>
    </row>
    <row r="129" spans="1:20" ht="12.75" customHeight="1">
      <c r="A129" s="243"/>
      <c r="B129" s="243"/>
      <c r="C129" s="243"/>
      <c r="D129" s="243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4"/>
    </row>
    <row r="130" spans="1:20" ht="12.75" customHeight="1">
      <c r="A130" s="243"/>
      <c r="B130" s="243"/>
      <c r="C130" s="243"/>
      <c r="D130" s="243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4"/>
    </row>
    <row r="131" spans="1:20" ht="12.75" customHeight="1">
      <c r="A131" s="243"/>
      <c r="B131" s="243"/>
      <c r="C131" s="243"/>
      <c r="D131" s="243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4"/>
    </row>
    <row r="132" spans="1:20" ht="12.75" customHeight="1">
      <c r="A132" s="243"/>
      <c r="B132" s="243"/>
      <c r="C132" s="243"/>
      <c r="D132" s="243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4"/>
    </row>
    <row r="133" spans="1:20" ht="12.75" customHeight="1">
      <c r="A133" s="243"/>
      <c r="B133" s="243"/>
      <c r="C133" s="243"/>
      <c r="D133" s="243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4"/>
    </row>
    <row r="134" spans="1:20" ht="12.75" customHeight="1">
      <c r="A134" s="243"/>
      <c r="B134" s="243"/>
      <c r="C134" s="243"/>
      <c r="D134" s="243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4"/>
    </row>
    <row r="135" spans="1:20" ht="7.5" customHeight="1">
      <c r="A135" s="243"/>
      <c r="B135" s="243"/>
      <c r="C135" s="243"/>
      <c r="D135" s="243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4"/>
    </row>
    <row r="136" spans="1:20" ht="12.75" customHeight="1">
      <c r="A136" s="243"/>
      <c r="B136" s="243"/>
      <c r="C136" s="243"/>
      <c r="D136" s="243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4"/>
    </row>
    <row r="137" spans="1:20" ht="12.75" customHeight="1">
      <c r="A137" s="243"/>
      <c r="B137" s="243"/>
      <c r="C137" s="243"/>
      <c r="D137" s="243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4"/>
    </row>
    <row r="138" spans="1:20" ht="12.75" customHeight="1">
      <c r="A138" s="243"/>
      <c r="B138" s="243"/>
      <c r="C138" s="243"/>
      <c r="D138" s="243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4"/>
    </row>
    <row r="139" spans="1:20" ht="12.75" customHeight="1">
      <c r="A139" s="243"/>
      <c r="B139" s="243"/>
      <c r="C139" s="243"/>
      <c r="D139" s="243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4"/>
    </row>
    <row r="140" spans="1:20" ht="12.75" customHeight="1">
      <c r="A140" s="243"/>
      <c r="B140" s="243"/>
      <c r="C140" s="243"/>
      <c r="D140" s="243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3"/>
      <c r="T140" s="244"/>
    </row>
    <row r="141" spans="1:20" ht="7.5" customHeight="1">
      <c r="A141" s="243"/>
      <c r="B141" s="243"/>
      <c r="C141" s="243"/>
      <c r="D141" s="243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3"/>
      <c r="T141" s="244"/>
    </row>
    <row r="142" spans="1:20" ht="12.75" customHeight="1">
      <c r="A142" s="243"/>
      <c r="B142" s="243"/>
      <c r="C142" s="243"/>
      <c r="D142" s="243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3"/>
      <c r="T142" s="244"/>
    </row>
    <row r="143" spans="1:20" ht="12.75" customHeight="1">
      <c r="A143" s="243"/>
      <c r="B143" s="243"/>
      <c r="C143" s="243"/>
      <c r="D143" s="243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3"/>
      <c r="T143" s="244"/>
    </row>
    <row r="144" spans="1:20" ht="12.75" customHeight="1">
      <c r="A144" s="241"/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  <c r="O144" s="241"/>
      <c r="P144" s="241"/>
      <c r="Q144" s="241"/>
      <c r="R144" s="241"/>
      <c r="S144" s="241"/>
      <c r="T144" s="242"/>
    </row>
    <row r="145" spans="1:9" ht="12.75">
      <c r="A145" s="240" t="s">
        <v>167</v>
      </c>
      <c r="B145" s="240"/>
      <c r="C145" s="240"/>
      <c r="D145" s="240"/>
      <c r="E145" s="240"/>
      <c r="F145" s="240"/>
      <c r="G145" s="240"/>
      <c r="I145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241">
    <mergeCell ref="E118:S118"/>
    <mergeCell ref="E119:S119"/>
    <mergeCell ref="E121:S121"/>
    <mergeCell ref="A122:S143"/>
    <mergeCell ref="A144:S144"/>
    <mergeCell ref="A118:D118"/>
    <mergeCell ref="A119:D119"/>
    <mergeCell ref="K1:R1"/>
    <mergeCell ref="R19:S19"/>
    <mergeCell ref="R20:S20"/>
    <mergeCell ref="O110:S110"/>
    <mergeCell ref="O111:S111"/>
    <mergeCell ref="O109:S109"/>
    <mergeCell ref="J109:K109"/>
    <mergeCell ref="K4:L4"/>
    <mergeCell ref="M4:P4"/>
    <mergeCell ref="K5:L5"/>
    <mergeCell ref="M5:P5"/>
    <mergeCell ref="M7:Q7"/>
    <mergeCell ref="P20:Q20"/>
    <mergeCell ref="M12:O12"/>
    <mergeCell ref="K12:L12"/>
    <mergeCell ref="O114:P114"/>
    <mergeCell ref="O115:P115"/>
    <mergeCell ref="J115:M115"/>
    <mergeCell ref="O112:S112"/>
    <mergeCell ref="O113:S113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109:H109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62:E62"/>
    <mergeCell ref="J62:K62"/>
    <mergeCell ref="D63:E63"/>
    <mergeCell ref="J63:K63"/>
    <mergeCell ref="D64:E64"/>
    <mergeCell ref="J64:K64"/>
    <mergeCell ref="D65:E65"/>
    <mergeCell ref="J65:K65"/>
    <mergeCell ref="D66:E66"/>
    <mergeCell ref="J66:K66"/>
    <mergeCell ref="D67:E67"/>
    <mergeCell ref="J67:K67"/>
    <mergeCell ref="D68:E68"/>
    <mergeCell ref="J68:K68"/>
    <mergeCell ref="D69:E69"/>
    <mergeCell ref="J69:K69"/>
    <mergeCell ref="D70:E70"/>
    <mergeCell ref="J70:K70"/>
    <mergeCell ref="D71:E71"/>
    <mergeCell ref="J71:K71"/>
    <mergeCell ref="D72:E72"/>
    <mergeCell ref="J72:K72"/>
    <mergeCell ref="D73:E73"/>
    <mergeCell ref="J73:K73"/>
    <mergeCell ref="D74:E74"/>
    <mergeCell ref="J74:K74"/>
    <mergeCell ref="D75:E75"/>
    <mergeCell ref="J75:K75"/>
    <mergeCell ref="D76:E76"/>
    <mergeCell ref="J76:K76"/>
    <mergeCell ref="D77:E77"/>
    <mergeCell ref="J77:K77"/>
    <mergeCell ref="D78:E78"/>
    <mergeCell ref="J78:K78"/>
    <mergeCell ref="D79:E79"/>
    <mergeCell ref="J79:K79"/>
    <mergeCell ref="D80:E80"/>
    <mergeCell ref="J80:K80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D86:E86"/>
    <mergeCell ref="J86:K86"/>
    <mergeCell ref="D87:E87"/>
    <mergeCell ref="J87:K87"/>
    <mergeCell ref="D88:E88"/>
    <mergeCell ref="J88:K88"/>
    <mergeCell ref="D89:E89"/>
    <mergeCell ref="J89:K89"/>
    <mergeCell ref="D90:E90"/>
    <mergeCell ref="J90:K90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D98:E98"/>
    <mergeCell ref="J98:K98"/>
    <mergeCell ref="D99:E99"/>
    <mergeCell ref="J99:K99"/>
    <mergeCell ref="D100:E100"/>
    <mergeCell ref="J100:K100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C110:H110"/>
    <mergeCell ref="J110:K110"/>
    <mergeCell ref="C111:H111"/>
    <mergeCell ref="J111:K111"/>
    <mergeCell ref="C112:H112"/>
    <mergeCell ref="J112:K112"/>
    <mergeCell ref="C113:H113"/>
    <mergeCell ref="J113:K113"/>
  </mergeCells>
  <dataValidations count="362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decimal" operator="greaterThanOrEqual" allowBlank="1" showInputMessage="1" showErrorMessage="1" sqref="I64">
      <formula1>0</formula1>
    </dataValidation>
    <dataValidation type="decimal" operator="greaterThanOrEqual" allowBlank="1" showInputMessage="1" showErrorMessage="1" sqref="J64">
      <formula1>0</formula1>
    </dataValidation>
    <dataValidation type="decimal" allowBlank="1" showInputMessage="1" showErrorMessage="1" sqref="L64">
      <formula1>0</formula1>
      <formula2>100</formula2>
    </dataValidation>
    <dataValidation type="decimal" allowBlank="1" showInputMessage="1" showErrorMessage="1" sqref="M64">
      <formula1>0</formula1>
      <formula2>100</formula2>
    </dataValidation>
    <dataValidation type="decimal" operator="greaterThanOrEqual" allowBlank="1" showInputMessage="1" showErrorMessage="1" sqref="I65">
      <formula1>0</formula1>
    </dataValidation>
    <dataValidation type="decimal" operator="greaterThanOrEqual" allowBlank="1" showInputMessage="1" showErrorMessage="1" sqref="J65">
      <formula1>0</formula1>
    </dataValidation>
    <dataValidation type="decimal" allowBlank="1" showInputMessage="1" showErrorMessage="1" sqref="L65">
      <formula1>0</formula1>
      <formula2>100</formula2>
    </dataValidation>
    <dataValidation type="decimal" allowBlank="1" showInputMessage="1" showErrorMessage="1" sqref="M65">
      <formula1>0</formula1>
      <formula2>100</formula2>
    </dataValidation>
    <dataValidation type="decimal" operator="greaterThanOrEqual" allowBlank="1" showInputMessage="1" showErrorMessage="1" sqref="I66">
      <formula1>0</formula1>
    </dataValidation>
    <dataValidation type="decimal" operator="greaterThanOrEqual" allowBlank="1" showInputMessage="1" showErrorMessage="1" sqref="J66">
      <formula1>0</formula1>
    </dataValidation>
    <dataValidation type="decimal" allowBlank="1" showInputMessage="1" showErrorMessage="1" sqref="L66">
      <formula1>0</formula1>
      <formula2>100</formula2>
    </dataValidation>
    <dataValidation type="decimal" allowBlank="1" showInputMessage="1" showErrorMessage="1" sqref="M66">
      <formula1>0</formula1>
      <formula2>100</formula2>
    </dataValidation>
    <dataValidation type="decimal" operator="greaterThanOrEqual" allowBlank="1" showInputMessage="1" showErrorMessage="1" sqref="I67">
      <formula1>0</formula1>
    </dataValidation>
    <dataValidation type="decimal" operator="greaterThanOrEqual" allowBlank="1" showInputMessage="1" showErrorMessage="1" sqref="J67">
      <formula1>0</formula1>
    </dataValidation>
    <dataValidation type="decimal" allowBlank="1" showInputMessage="1" showErrorMessage="1" sqref="L67">
      <formula1>0</formula1>
      <formula2>100</formula2>
    </dataValidation>
    <dataValidation type="decimal" allowBlank="1" showInputMessage="1" showErrorMessage="1" sqref="M67">
      <formula1>0</formula1>
      <formula2>100</formula2>
    </dataValidation>
    <dataValidation type="decimal" operator="greaterThanOrEqual" allowBlank="1" showInputMessage="1" showErrorMessage="1" sqref="I68">
      <formula1>0</formula1>
    </dataValidation>
    <dataValidation type="decimal" operator="greaterThanOrEqual" allowBlank="1" showInputMessage="1" showErrorMessage="1" sqref="J68">
      <formula1>0</formula1>
    </dataValidation>
    <dataValidation type="decimal" allowBlank="1" showInputMessage="1" showErrorMessage="1" sqref="L68">
      <formula1>0</formula1>
      <formula2>100</formula2>
    </dataValidation>
    <dataValidation type="decimal" allowBlank="1" showInputMessage="1" showErrorMessage="1" sqref="M68">
      <formula1>0</formula1>
      <formula2>100</formula2>
    </dataValidation>
    <dataValidation type="decimal" operator="greaterThanOrEqual" allowBlank="1" showInputMessage="1" showErrorMessage="1" sqref="I69">
      <formula1>0</formula1>
    </dataValidation>
    <dataValidation type="decimal" operator="greaterThanOrEqual" allowBlank="1" showInputMessage="1" showErrorMessage="1" sqref="J69">
      <formula1>0</formula1>
    </dataValidation>
    <dataValidation type="decimal" allowBlank="1" showInputMessage="1" showErrorMessage="1" sqref="L69">
      <formula1>0</formula1>
      <formula2>100</formula2>
    </dataValidation>
    <dataValidation type="decimal" allowBlank="1" showInputMessage="1" showErrorMessage="1" sqref="M69">
      <formula1>0</formula1>
      <formula2>100</formula2>
    </dataValidation>
    <dataValidation type="decimal" operator="greaterThanOrEqual" allowBlank="1" showInputMessage="1" showErrorMessage="1" sqref="I70">
      <formula1>0</formula1>
    </dataValidation>
    <dataValidation type="decimal" operator="greaterThanOrEqual" allowBlank="1" showInputMessage="1" showErrorMessage="1" sqref="J70">
      <formula1>0</formula1>
    </dataValidation>
    <dataValidation type="decimal" allowBlank="1" showInputMessage="1" showErrorMessage="1" sqref="L70">
      <formula1>0</formula1>
      <formula2>100</formula2>
    </dataValidation>
    <dataValidation type="decimal" allowBlank="1" showInputMessage="1" showErrorMessage="1" sqref="M70">
      <formula1>0</formula1>
      <formula2>100</formula2>
    </dataValidation>
    <dataValidation type="decimal" operator="greaterThanOrEqual" allowBlank="1" showInputMessage="1" showErrorMessage="1" sqref="I71">
      <formula1>0</formula1>
    </dataValidation>
    <dataValidation type="decimal" operator="greaterThanOrEqual" allowBlank="1" showInputMessage="1" showErrorMessage="1" sqref="J71">
      <formula1>0</formula1>
    </dataValidation>
    <dataValidation type="decimal" allowBlank="1" showInputMessage="1" showErrorMessage="1" sqref="L71">
      <formula1>0</formula1>
      <formula2>100</formula2>
    </dataValidation>
    <dataValidation type="decimal" allowBlank="1" showInputMessage="1" showErrorMessage="1" sqref="M71">
      <formula1>0</formula1>
      <formula2>100</formula2>
    </dataValidation>
    <dataValidation type="decimal" operator="greaterThanOrEqual" allowBlank="1" showInputMessage="1" showErrorMessage="1" sqref="I72">
      <formula1>0</formula1>
    </dataValidation>
    <dataValidation type="decimal" operator="greaterThanOrEqual" allowBlank="1" showInputMessage="1" showErrorMessage="1" sqref="J72">
      <formula1>0</formula1>
    </dataValidation>
    <dataValidation type="decimal" allowBlank="1" showInputMessage="1" showErrorMessage="1" sqref="L72">
      <formula1>0</formula1>
      <formula2>100</formula2>
    </dataValidation>
    <dataValidation type="decimal" allowBlank="1" showInputMessage="1" showErrorMessage="1" sqref="M72">
      <formula1>0</formula1>
      <formula2>100</formula2>
    </dataValidation>
    <dataValidation type="decimal" operator="greaterThanOrEqual" allowBlank="1" showInputMessage="1" showErrorMessage="1" sqref="I73">
      <formula1>0</formula1>
    </dataValidation>
    <dataValidation type="decimal" operator="greaterThanOrEqual" allowBlank="1" showInputMessage="1" showErrorMessage="1" sqref="J73">
      <formula1>0</formula1>
    </dataValidation>
    <dataValidation type="decimal" allowBlank="1" showInputMessage="1" showErrorMessage="1" sqref="L73">
      <formula1>0</formula1>
      <formula2>100</formula2>
    </dataValidation>
    <dataValidation type="decimal" allowBlank="1" showInputMessage="1" showErrorMessage="1" sqref="M73">
      <formula1>0</formula1>
      <formula2>100</formula2>
    </dataValidation>
    <dataValidation type="decimal" operator="greaterThanOrEqual" allowBlank="1" showInputMessage="1" showErrorMessage="1" sqref="I74">
      <formula1>0</formula1>
    </dataValidation>
    <dataValidation type="decimal" operator="greaterThanOrEqual" allowBlank="1" showInputMessage="1" showErrorMessage="1" sqref="J74">
      <formula1>0</formula1>
    </dataValidation>
    <dataValidation type="decimal" allowBlank="1" showInputMessage="1" showErrorMessage="1" sqref="L74">
      <formula1>0</formula1>
      <formula2>100</formula2>
    </dataValidation>
    <dataValidation type="decimal" allowBlank="1" showInputMessage="1" showErrorMessage="1" sqref="M74">
      <formula1>0</formula1>
      <formula2>100</formula2>
    </dataValidation>
    <dataValidation type="decimal" operator="greaterThanOrEqual" allowBlank="1" showInputMessage="1" showErrorMessage="1" sqref="I75">
      <formula1>0</formula1>
    </dataValidation>
    <dataValidation type="decimal" operator="greaterThanOrEqual" allowBlank="1" showInputMessage="1" showErrorMessage="1" sqref="J75">
      <formula1>0</formula1>
    </dataValidation>
    <dataValidation type="decimal" allowBlank="1" showInputMessage="1" showErrorMessage="1" sqref="L75">
      <formula1>0</formula1>
      <formula2>100</formula2>
    </dataValidation>
    <dataValidation type="decimal" allowBlank="1" showInputMessage="1" showErrorMessage="1" sqref="M75">
      <formula1>0</formula1>
      <formula2>100</formula2>
    </dataValidation>
    <dataValidation type="decimal" operator="greaterThanOrEqual" allowBlank="1" showInputMessage="1" showErrorMessage="1" sqref="I76">
      <formula1>0</formula1>
    </dataValidation>
    <dataValidation type="decimal" operator="greaterThanOrEqual" allowBlank="1" showInputMessage="1" showErrorMessage="1" sqref="J76">
      <formula1>0</formula1>
    </dataValidation>
    <dataValidation type="decimal" allowBlank="1" showInputMessage="1" showErrorMessage="1" sqref="L76">
      <formula1>0</formula1>
      <formula2>100</formula2>
    </dataValidation>
    <dataValidation type="decimal" allowBlank="1" showInputMessage="1" showErrorMessage="1" sqref="M76">
      <formula1>0</formula1>
      <formula2>100</formula2>
    </dataValidation>
    <dataValidation type="decimal" operator="greaterThanOrEqual" allowBlank="1" showInputMessage="1" showErrorMessage="1" sqref="I77">
      <formula1>0</formula1>
    </dataValidation>
    <dataValidation type="decimal" operator="greaterThanOrEqual" allowBlank="1" showInputMessage="1" showErrorMessage="1" sqref="J77">
      <formula1>0</formula1>
    </dataValidation>
    <dataValidation type="decimal" allowBlank="1" showInputMessage="1" showErrorMessage="1" sqref="L77">
      <formula1>0</formula1>
      <formula2>100</formula2>
    </dataValidation>
    <dataValidation type="decimal" allowBlank="1" showInputMessage="1" showErrorMessage="1" sqref="M77">
      <formula1>0</formula1>
      <formula2>100</formula2>
    </dataValidation>
    <dataValidation type="decimal" operator="greaterThanOrEqual" allowBlank="1" showInputMessage="1" showErrorMessage="1" sqref="I78">
      <formula1>0</formula1>
    </dataValidation>
    <dataValidation type="decimal" operator="greaterThanOrEqual" allowBlank="1" showInputMessage="1" showErrorMessage="1" sqref="J78">
      <formula1>0</formula1>
    </dataValidation>
    <dataValidation type="decimal" allowBlank="1" showInputMessage="1" showErrorMessage="1" sqref="L78">
      <formula1>0</formula1>
      <formula2>100</formula2>
    </dataValidation>
    <dataValidation type="decimal" allowBlank="1" showInputMessage="1" showErrorMessage="1" sqref="M78">
      <formula1>0</formula1>
      <formula2>100</formula2>
    </dataValidation>
    <dataValidation type="decimal" operator="greaterThanOrEqual" allowBlank="1" showInputMessage="1" showErrorMessage="1" sqref="I79">
      <formula1>0</formula1>
    </dataValidation>
    <dataValidation type="decimal" operator="greaterThanOrEqual" allowBlank="1" showInputMessage="1" showErrorMessage="1" sqref="J79">
      <formula1>0</formula1>
    </dataValidation>
    <dataValidation type="decimal" allowBlank="1" showInputMessage="1" showErrorMessage="1" sqref="L79">
      <formula1>0</formula1>
      <formula2>100</formula2>
    </dataValidation>
    <dataValidation type="decimal" allowBlank="1" showInputMessage="1" showErrorMessage="1" sqref="M79">
      <formula1>0</formula1>
      <formula2>100</formula2>
    </dataValidation>
    <dataValidation type="decimal" operator="greaterThanOrEqual" allowBlank="1" showInputMessage="1" showErrorMessage="1" sqref="I80">
      <formula1>0</formula1>
    </dataValidation>
    <dataValidation type="decimal" operator="greaterThanOrEqual" allowBlank="1" showInputMessage="1" showErrorMessage="1" sqref="J80">
      <formula1>0</formula1>
    </dataValidation>
    <dataValidation type="decimal" allowBlank="1" showInputMessage="1" showErrorMessage="1" sqref="L80">
      <formula1>0</formula1>
      <formula2>100</formula2>
    </dataValidation>
    <dataValidation type="decimal" allowBlank="1" showInputMessage="1" showErrorMessage="1" sqref="M80">
      <formula1>0</formula1>
      <formula2>100</formula2>
    </dataValidation>
    <dataValidation type="decimal" operator="greaterThanOrEqual" allowBlank="1" showInputMessage="1" showErrorMessage="1" sqref="I81">
      <formula1>0</formula1>
    </dataValidation>
    <dataValidation type="decimal" operator="greaterThanOrEqual" allowBlank="1" showInputMessage="1" showErrorMessage="1" sqref="J81">
      <formula1>0</formula1>
    </dataValidation>
    <dataValidation type="decimal" allowBlank="1" showInputMessage="1" showErrorMessage="1" sqref="L81">
      <formula1>0</formula1>
      <formula2>100</formula2>
    </dataValidation>
    <dataValidation type="decimal" allowBlank="1" showInputMessage="1" showErrorMessage="1" sqref="M81">
      <formula1>0</formula1>
      <formula2>100</formula2>
    </dataValidation>
    <dataValidation type="decimal" operator="greaterThanOrEqual" allowBlank="1" showInputMessage="1" showErrorMessage="1" sqref="I82">
      <formula1>0</formula1>
    </dataValidation>
    <dataValidation type="decimal" operator="greaterThanOrEqual" allowBlank="1" showInputMessage="1" showErrorMessage="1" sqref="J82">
      <formula1>0</formula1>
    </dataValidation>
    <dataValidation type="decimal" allowBlank="1" showInputMessage="1" showErrorMessage="1" sqref="L82">
      <formula1>0</formula1>
      <formula2>100</formula2>
    </dataValidation>
    <dataValidation type="decimal" allowBlank="1" showInputMessage="1" showErrorMessage="1" sqref="M82">
      <formula1>0</formula1>
      <formula2>100</formula2>
    </dataValidation>
    <dataValidation type="decimal" operator="greaterThanOrEqual" allowBlank="1" showInputMessage="1" showErrorMessage="1" sqref="I83">
      <formula1>0</formula1>
    </dataValidation>
    <dataValidation type="decimal" operator="greaterThanOrEqual" allowBlank="1" showInputMessage="1" showErrorMessage="1" sqref="J83">
      <formula1>0</formula1>
    </dataValidation>
    <dataValidation type="decimal" allowBlank="1" showInputMessage="1" showErrorMessage="1" sqref="L83">
      <formula1>0</formula1>
      <formula2>100</formula2>
    </dataValidation>
    <dataValidation type="decimal" allowBlank="1" showInputMessage="1" showErrorMessage="1" sqref="M83">
      <formula1>0</formula1>
      <formula2>100</formula2>
    </dataValidation>
    <dataValidation type="decimal" operator="greaterThanOrEqual" allowBlank="1" showInputMessage="1" showErrorMessage="1" sqref="I84">
      <formula1>0</formula1>
    </dataValidation>
    <dataValidation type="decimal" operator="greaterThanOrEqual" allowBlank="1" showInputMessage="1" showErrorMessage="1" sqref="J84">
      <formula1>0</formula1>
    </dataValidation>
    <dataValidation type="decimal" allowBlank="1" showInputMessage="1" showErrorMessage="1" sqref="L84">
      <formula1>0</formula1>
      <formula2>100</formula2>
    </dataValidation>
    <dataValidation type="decimal" allowBlank="1" showInputMessage="1" showErrorMessage="1" sqref="M84">
      <formula1>0</formula1>
      <formula2>100</formula2>
    </dataValidation>
    <dataValidation type="decimal" operator="greaterThanOrEqual" allowBlank="1" showInputMessage="1" showErrorMessage="1" sqref="I85">
      <formula1>0</formula1>
    </dataValidation>
    <dataValidation type="decimal" operator="greaterThanOrEqual" allowBlank="1" showInputMessage="1" showErrorMessage="1" sqref="J85">
      <formula1>0</formula1>
    </dataValidation>
    <dataValidation type="decimal" allowBlank="1" showInputMessage="1" showErrorMessage="1" sqref="L85">
      <formula1>0</formula1>
      <formula2>100</formula2>
    </dataValidation>
    <dataValidation type="decimal" allowBlank="1" showInputMessage="1" showErrorMessage="1" sqref="M85">
      <formula1>0</formula1>
      <formula2>100</formula2>
    </dataValidation>
    <dataValidation type="decimal" operator="greaterThanOrEqual" allowBlank="1" showInputMessage="1" showErrorMessage="1" sqref="I86">
      <formula1>0</formula1>
    </dataValidation>
    <dataValidation type="decimal" operator="greaterThanOrEqual" allowBlank="1" showInputMessage="1" showErrorMessage="1" sqref="J86">
      <formula1>0</formula1>
    </dataValidation>
    <dataValidation type="decimal" allowBlank="1" showInputMessage="1" showErrorMessage="1" sqref="L86">
      <formula1>0</formula1>
      <formula2>100</formula2>
    </dataValidation>
    <dataValidation type="decimal" allowBlank="1" showInputMessage="1" showErrorMessage="1" sqref="M86">
      <formula1>0</formula1>
      <formula2>100</formula2>
    </dataValidation>
    <dataValidation type="decimal" operator="greaterThanOrEqual" allowBlank="1" showInputMessage="1" showErrorMessage="1" sqref="I87">
      <formula1>0</formula1>
    </dataValidation>
    <dataValidation type="decimal" operator="greaterThanOrEqual" allowBlank="1" showInputMessage="1" showErrorMessage="1" sqref="J87">
      <formula1>0</formula1>
    </dataValidation>
    <dataValidation type="decimal" allowBlank="1" showInputMessage="1" showErrorMessage="1" sqref="L87">
      <formula1>0</formula1>
      <formula2>100</formula2>
    </dataValidation>
    <dataValidation type="decimal" allowBlank="1" showInputMessage="1" showErrorMessage="1" sqref="M87">
      <formula1>0</formula1>
      <formula2>100</formula2>
    </dataValidation>
    <dataValidation type="decimal" operator="greaterThanOrEqual" allowBlank="1" showInputMessage="1" showErrorMessage="1" sqref="I88">
      <formula1>0</formula1>
    </dataValidation>
    <dataValidation type="decimal" operator="greaterThanOrEqual" allowBlank="1" showInputMessage="1" showErrorMessage="1" sqref="J88">
      <formula1>0</formula1>
    </dataValidation>
    <dataValidation type="decimal" allowBlank="1" showInputMessage="1" showErrorMessage="1" sqref="L88">
      <formula1>0</formula1>
      <formula2>100</formula2>
    </dataValidation>
    <dataValidation type="decimal" allowBlank="1" showInputMessage="1" showErrorMessage="1" sqref="M88">
      <formula1>0</formula1>
      <formula2>100</formula2>
    </dataValidation>
    <dataValidation type="decimal" operator="greaterThanOrEqual" allowBlank="1" showInputMessage="1" showErrorMessage="1" sqref="I89">
      <formula1>0</formula1>
    </dataValidation>
    <dataValidation type="decimal" operator="greaterThanOrEqual" allowBlank="1" showInputMessage="1" showErrorMessage="1" sqref="J89">
      <formula1>0</formula1>
    </dataValidation>
    <dataValidation type="decimal" allowBlank="1" showInputMessage="1" showErrorMessage="1" sqref="L89">
      <formula1>0</formula1>
      <formula2>100</formula2>
    </dataValidation>
    <dataValidation type="decimal" allowBlank="1" showInputMessage="1" showErrorMessage="1" sqref="M89">
      <formula1>0</formula1>
      <formula2>100</formula2>
    </dataValidation>
    <dataValidation type="decimal" operator="greaterThanOrEqual" allowBlank="1" showInputMessage="1" showErrorMessage="1" sqref="I90">
      <formula1>0</formula1>
    </dataValidation>
    <dataValidation type="decimal" operator="greaterThanOrEqual" allowBlank="1" showInputMessage="1" showErrorMessage="1" sqref="J90">
      <formula1>0</formula1>
    </dataValidation>
    <dataValidation type="decimal" allowBlank="1" showInputMessage="1" showErrorMessage="1" sqref="L90">
      <formula1>0</formula1>
      <formula2>100</formula2>
    </dataValidation>
    <dataValidation type="decimal" allowBlank="1" showInputMessage="1" showErrorMessage="1" sqref="M90">
      <formula1>0</formula1>
      <formula2>100</formula2>
    </dataValidation>
    <dataValidation type="decimal" operator="greaterThanOrEqual" allowBlank="1" showInputMessage="1" showErrorMessage="1" sqref="I91">
      <formula1>0</formula1>
    </dataValidation>
    <dataValidation type="decimal" operator="greaterThanOrEqual" allowBlank="1" showInputMessage="1" showErrorMessage="1" sqref="J91">
      <formula1>0</formula1>
    </dataValidation>
    <dataValidation type="decimal" allowBlank="1" showInputMessage="1" showErrorMessage="1" sqref="L91">
      <formula1>0</formula1>
      <formula2>100</formula2>
    </dataValidation>
    <dataValidation type="decimal" allowBlank="1" showInputMessage="1" showErrorMessage="1" sqref="M91">
      <formula1>0</formula1>
      <formula2>100</formula2>
    </dataValidation>
    <dataValidation type="decimal" operator="greaterThanOrEqual" allowBlank="1" showInputMessage="1" showErrorMessage="1" sqref="I92">
      <formula1>0</formula1>
    </dataValidation>
    <dataValidation type="decimal" operator="greaterThanOrEqual" allowBlank="1" showInputMessage="1" showErrorMessage="1" sqref="J92">
      <formula1>0</formula1>
    </dataValidation>
    <dataValidation type="decimal" allowBlank="1" showInputMessage="1" showErrorMessage="1" sqref="L92">
      <formula1>0</formula1>
      <formula2>100</formula2>
    </dataValidation>
    <dataValidation type="decimal" allowBlank="1" showInputMessage="1" showErrorMessage="1" sqref="M92">
      <formula1>0</formula1>
      <formula2>100</formula2>
    </dataValidation>
    <dataValidation type="decimal" operator="greaterThanOrEqual" allowBlank="1" showInputMessage="1" showErrorMessage="1" sqref="I93">
      <formula1>0</formula1>
    </dataValidation>
    <dataValidation type="decimal" operator="greaterThanOrEqual" allowBlank="1" showInputMessage="1" showErrorMessage="1" sqref="J93">
      <formula1>0</formula1>
    </dataValidation>
    <dataValidation type="decimal" allowBlank="1" showInputMessage="1" showErrorMessage="1" sqref="L93">
      <formula1>0</formula1>
      <formula2>100</formula2>
    </dataValidation>
    <dataValidation type="decimal" allowBlank="1" showInputMessage="1" showErrorMessage="1" sqref="M93">
      <formula1>0</formula1>
      <formula2>100</formula2>
    </dataValidation>
    <dataValidation type="decimal" operator="greaterThanOrEqual" allowBlank="1" showInputMessage="1" showErrorMessage="1" sqref="I94">
      <formula1>0</formula1>
    </dataValidation>
    <dataValidation type="decimal" operator="greaterThanOrEqual" allowBlank="1" showInputMessage="1" showErrorMessage="1" sqref="J94">
      <formula1>0</formula1>
    </dataValidation>
    <dataValidation type="decimal" allowBlank="1" showInputMessage="1" showErrorMessage="1" sqref="L94">
      <formula1>0</formula1>
      <formula2>100</formula2>
    </dataValidation>
    <dataValidation type="decimal" allowBlank="1" showInputMessage="1" showErrorMessage="1" sqref="M94">
      <formula1>0</formula1>
      <formula2>100</formula2>
    </dataValidation>
    <dataValidation type="decimal" operator="greaterThanOrEqual" allowBlank="1" showInputMessage="1" showErrorMessage="1" sqref="I95">
      <formula1>0</formula1>
    </dataValidation>
    <dataValidation type="decimal" operator="greaterThanOrEqual" allowBlank="1" showInputMessage="1" showErrorMessage="1" sqref="J95">
      <formula1>0</formula1>
    </dataValidation>
    <dataValidation type="decimal" allowBlank="1" showInputMessage="1" showErrorMessage="1" sqref="L95">
      <formula1>0</formula1>
      <formula2>100</formula2>
    </dataValidation>
    <dataValidation type="decimal" allowBlank="1" showInputMessage="1" showErrorMessage="1" sqref="M95">
      <formula1>0</formula1>
      <formula2>100</formula2>
    </dataValidation>
    <dataValidation type="decimal" operator="greaterThanOrEqual" allowBlank="1" showInputMessage="1" showErrorMessage="1" sqref="I96">
      <formula1>0</formula1>
    </dataValidation>
    <dataValidation type="decimal" operator="greaterThanOrEqual" allowBlank="1" showInputMessage="1" showErrorMessage="1" sqref="J96">
      <formula1>0</formula1>
    </dataValidation>
    <dataValidation type="decimal" allowBlank="1" showInputMessage="1" showErrorMessage="1" sqref="L96">
      <formula1>0</formula1>
      <formula2>100</formula2>
    </dataValidation>
    <dataValidation type="decimal" allowBlank="1" showInputMessage="1" showErrorMessage="1" sqref="M96">
      <formula1>0</formula1>
      <formula2>100</formula2>
    </dataValidation>
    <dataValidation type="decimal" operator="greaterThanOrEqual" allowBlank="1" showInputMessage="1" showErrorMessage="1" sqref="I97">
      <formula1>0</formula1>
    </dataValidation>
    <dataValidation type="decimal" operator="greaterThanOrEqual" allowBlank="1" showInputMessage="1" showErrorMessage="1" sqref="J97">
      <formula1>0</formula1>
    </dataValidation>
    <dataValidation type="decimal" allowBlank="1" showInputMessage="1" showErrorMessage="1" sqref="L97">
      <formula1>0</formula1>
      <formula2>100</formula2>
    </dataValidation>
    <dataValidation type="decimal" allowBlank="1" showInputMessage="1" showErrorMessage="1" sqref="M97">
      <formula1>0</formula1>
      <formula2>100</formula2>
    </dataValidation>
    <dataValidation type="decimal" operator="greaterThanOrEqual" allowBlank="1" showInputMessage="1" showErrorMessage="1" sqref="I98">
      <formula1>0</formula1>
    </dataValidation>
    <dataValidation type="decimal" operator="greaterThanOrEqual" allowBlank="1" showInputMessage="1" showErrorMessage="1" sqref="J98">
      <formula1>0</formula1>
    </dataValidation>
    <dataValidation type="decimal" allowBlank="1" showInputMessage="1" showErrorMessage="1" sqref="L98">
      <formula1>0</formula1>
      <formula2>100</formula2>
    </dataValidation>
    <dataValidation type="decimal" allowBlank="1" showInputMessage="1" showErrorMessage="1" sqref="M98">
      <formula1>0</formula1>
      <formula2>100</formula2>
    </dataValidation>
    <dataValidation type="decimal" operator="greaterThanOrEqual" allowBlank="1" showInputMessage="1" showErrorMessage="1" sqref="I99">
      <formula1>0</formula1>
    </dataValidation>
    <dataValidation type="decimal" operator="greaterThanOrEqual" allowBlank="1" showInputMessage="1" showErrorMessage="1" sqref="J99">
      <formula1>0</formula1>
    </dataValidation>
    <dataValidation type="decimal" allowBlank="1" showInputMessage="1" showErrorMessage="1" sqref="L99">
      <formula1>0</formula1>
      <formula2>100</formula2>
    </dataValidation>
    <dataValidation type="decimal" allowBlank="1" showInputMessage="1" showErrorMessage="1" sqref="M99">
      <formula1>0</formula1>
      <formula2>100</formula2>
    </dataValidation>
    <dataValidation type="decimal" operator="greaterThanOrEqual" allowBlank="1" showInputMessage="1" showErrorMessage="1" sqref="I100">
      <formula1>0</formula1>
    </dataValidation>
    <dataValidation type="decimal" operator="greaterThanOrEqual" allowBlank="1" showInputMessage="1" showErrorMessage="1" sqref="J100">
      <formula1>0</formula1>
    </dataValidation>
    <dataValidation type="decimal" allowBlank="1" showInputMessage="1" showErrorMessage="1" sqref="L100">
      <formula1>0</formula1>
      <formula2>100</formula2>
    </dataValidation>
    <dataValidation type="decimal" allowBlank="1" showInputMessage="1" showErrorMessage="1" sqref="M100">
      <formula1>0</formula1>
      <formula2>100</formula2>
    </dataValidation>
    <dataValidation type="decimal" operator="greaterThanOrEqual" allowBlank="1" showInputMessage="1" showErrorMessage="1" sqref="I101">
      <formula1>0</formula1>
    </dataValidation>
    <dataValidation type="decimal" operator="greaterThanOrEqual" allowBlank="1" showInputMessage="1" showErrorMessage="1" sqref="J101">
      <formula1>0</formula1>
    </dataValidation>
    <dataValidation type="decimal" allowBlank="1" showInputMessage="1" showErrorMessage="1" sqref="L101">
      <formula1>0</formula1>
      <formula2>100</formula2>
    </dataValidation>
    <dataValidation type="decimal" allowBlank="1" showInputMessage="1" showErrorMessage="1" sqref="M101">
      <formula1>0</formula1>
      <formula2>100</formula2>
    </dataValidation>
    <dataValidation type="decimal" operator="greaterThanOrEqual" allowBlank="1" showInputMessage="1" showErrorMessage="1" sqref="I102">
      <formula1>0</formula1>
    </dataValidation>
    <dataValidation type="decimal" operator="greaterThanOrEqual" allowBlank="1" showInputMessage="1" showErrorMessage="1" sqref="J102">
      <formula1>0</formula1>
    </dataValidation>
    <dataValidation type="decimal" allowBlank="1" showInputMessage="1" showErrorMessage="1" sqref="L102">
      <formula1>0</formula1>
      <formula2>100</formula2>
    </dataValidation>
    <dataValidation type="decimal" allowBlank="1" showInputMessage="1" showErrorMessage="1" sqref="M102">
      <formula1>0</formula1>
      <formula2>100</formula2>
    </dataValidation>
    <dataValidation type="decimal" operator="greaterThanOrEqual" allowBlank="1" showInputMessage="1" showErrorMessage="1" sqref="I103">
      <formula1>0</formula1>
    </dataValidation>
    <dataValidation type="decimal" operator="greaterThanOrEqual" allowBlank="1" showInputMessage="1" showErrorMessage="1" sqref="J103">
      <formula1>0</formula1>
    </dataValidation>
    <dataValidation type="decimal" allowBlank="1" showInputMessage="1" showErrorMessage="1" sqref="L103">
      <formula1>0</formula1>
      <formula2>100</formula2>
    </dataValidation>
    <dataValidation type="decimal" allowBlank="1" showInputMessage="1" showErrorMessage="1" sqref="M103">
      <formula1>0</formula1>
      <formula2>100</formula2>
    </dataValidation>
    <dataValidation type="decimal" operator="greaterThanOrEqual" allowBlank="1" showInputMessage="1" showErrorMessage="1" sqref="I104">
      <formula1>0</formula1>
    </dataValidation>
    <dataValidation type="decimal" operator="greaterThanOrEqual" allowBlank="1" showInputMessage="1" showErrorMessage="1" sqref="J104">
      <formula1>0</formula1>
    </dataValidation>
    <dataValidation type="decimal" allowBlank="1" showInputMessage="1" showErrorMessage="1" sqref="L104">
      <formula1>0</formula1>
      <formula2>100</formula2>
    </dataValidation>
    <dataValidation type="decimal" allowBlank="1" showInputMessage="1" showErrorMessage="1" sqref="M104">
      <formula1>0</formula1>
      <formula2>100</formula2>
    </dataValidation>
    <dataValidation type="decimal" operator="greaterThanOrEqual" allowBlank="1" showInputMessage="1" showErrorMessage="1" sqref="I105">
      <formula1>0</formula1>
    </dataValidation>
    <dataValidation type="decimal" operator="greaterThanOrEqual" allowBlank="1" showInputMessage="1" showErrorMessage="1" sqref="J105">
      <formula1>0</formula1>
    </dataValidation>
    <dataValidation type="decimal" allowBlank="1" showInputMessage="1" showErrorMessage="1" sqref="L105">
      <formula1>0</formula1>
      <formula2>100</formula2>
    </dataValidation>
    <dataValidation type="decimal" allowBlank="1" showInputMessage="1" showErrorMessage="1" sqref="M105">
      <formula1>0</formula1>
      <formula2>100</formula2>
    </dataValidation>
    <dataValidation type="decimal" operator="greaterThanOrEqual" allowBlank="1" showInputMessage="1" showErrorMessage="1" sqref="I106">
      <formula1>0</formula1>
    </dataValidation>
    <dataValidation type="decimal" operator="greaterThanOrEqual" allowBlank="1" showInputMessage="1" showErrorMessage="1" sqref="J106">
      <formula1>0</formula1>
    </dataValidation>
    <dataValidation type="decimal" allowBlank="1" showInputMessage="1" showErrorMessage="1" sqref="L106">
      <formula1>0</formula1>
      <formula2>100</formula2>
    </dataValidation>
    <dataValidation type="decimal" allowBlank="1" showInputMessage="1" showErrorMessage="1" sqref="M106">
      <formula1>0</formula1>
      <formula2>100</formula2>
    </dataValidation>
    <dataValidation type="decimal" operator="greaterThanOrEqual" allowBlank="1" showInputMessage="1" showErrorMessage="1" sqref="I107">
      <formula1>0</formula1>
    </dataValidation>
    <dataValidation type="decimal" operator="greaterThanOrEqual" allowBlank="1" showInputMessage="1" showErrorMessage="1" sqref="J107">
      <formula1>0</formula1>
    </dataValidation>
    <dataValidation type="decimal" allowBlank="1" showInputMessage="1" showErrorMessage="1" sqref="L107">
      <formula1>0</formula1>
      <formula2>100</formula2>
    </dataValidation>
    <dataValidation type="decimal" allowBlank="1" showInputMessage="1" showErrorMessage="1" sqref="M107">
      <formula1>0</formula1>
      <formula2>100</formula2>
    </dataValidation>
    <dataValidation type="list" allowBlank="1" showInputMessage="1" showErrorMessage="1" sqref="C110:H110">
      <formula1>'MasterData'!$H$1:$H$14</formula1>
    </dataValidation>
    <dataValidation type="list" allowBlank="1" showInputMessage="1" showErrorMessage="1" sqref="C111:H111">
      <formula1>'MasterData'!$H$1:$H$14</formula1>
    </dataValidation>
    <dataValidation type="list" allowBlank="1" showInputMessage="1" showErrorMessage="1" sqref="C112:H112">
      <formula1>'MasterData'!$H$1:$H$14</formula1>
    </dataValidation>
    <dataValidation type="list" allowBlank="1" showInputMessage="1" showErrorMessage="1" sqref="C113:H113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158</v>
      </c>
      <c r="M1" s="300" t="s">
        <v>168</v>
      </c>
      <c r="N1" s="301" t="s">
        <v>0</v>
      </c>
      <c r="O1" s="162" t="s">
        <v>169</v>
      </c>
    </row>
    <row r="2" spans="7:15" ht="12.75">
      <c r="G2" s="162">
        <v>1001310</v>
      </c>
      <c r="H2" s="162" t="s">
        <v>159</v>
      </c>
      <c r="M2" s="300" t="s">
        <v>170</v>
      </c>
      <c r="N2" s="301">
        <v>1020678335</v>
      </c>
      <c r="O2" s="162" t="s">
        <v>171</v>
      </c>
    </row>
    <row r="3" spans="7:15" ht="12.75">
      <c r="G3" s="162">
        <v>1012729</v>
      </c>
      <c r="H3" s="162" t="s">
        <v>172</v>
      </c>
      <c r="M3" s="300" t="s">
        <v>173</v>
      </c>
      <c r="N3" s="301">
        <v>99990000422934</v>
      </c>
      <c r="O3" s="162" t="s">
        <v>174</v>
      </c>
    </row>
    <row r="4" spans="7:15" ht="12.75">
      <c r="G4" s="162">
        <v>1012730</v>
      </c>
      <c r="H4" s="162" t="s">
        <v>175</v>
      </c>
      <c r="M4" s="300" t="s">
        <v>176</v>
      </c>
      <c r="N4" s="301">
        <v>1021719703</v>
      </c>
      <c r="O4" s="162" t="s">
        <v>177</v>
      </c>
    </row>
    <row r="5" spans="7:15" ht="12.75">
      <c r="G5" s="162">
        <v>1012731</v>
      </c>
      <c r="H5" s="162" t="s">
        <v>178</v>
      </c>
      <c r="M5" s="300" t="s">
        <v>179</v>
      </c>
      <c r="N5" s="301"/>
      <c r="O5" s="162" t="s">
        <v>180</v>
      </c>
    </row>
    <row r="6" spans="7:15" ht="12.75">
      <c r="G6" s="162">
        <v>1012732</v>
      </c>
      <c r="H6" s="162" t="s">
        <v>181</v>
      </c>
      <c r="M6" s="300" t="s">
        <v>182</v>
      </c>
      <c r="N6" s="301" t="s">
        <v>183</v>
      </c>
      <c r="O6" s="162" t="s">
        <v>184</v>
      </c>
    </row>
    <row r="7" spans="7:15" ht="12.75">
      <c r="G7" s="162">
        <v>1012733</v>
      </c>
      <c r="H7" s="162" t="s">
        <v>185</v>
      </c>
      <c r="M7" s="300" t="s">
        <v>186</v>
      </c>
      <c r="N7" s="301">
        <v>0</v>
      </c>
      <c r="O7" s="162" t="s">
        <v>187</v>
      </c>
    </row>
    <row r="8" spans="7:15" ht="12.75">
      <c r="G8" s="162">
        <v>1012735</v>
      </c>
      <c r="H8" s="162" t="s">
        <v>188</v>
      </c>
      <c r="O8" s="162" t="s">
        <v>189</v>
      </c>
    </row>
    <row r="9" spans="7:15" ht="12.75">
      <c r="G9" s="162">
        <v>1012736</v>
      </c>
      <c r="H9" s="162" t="s">
        <v>190</v>
      </c>
      <c r="O9" s="162" t="s">
        <v>191</v>
      </c>
    </row>
    <row r="10" spans="7:15" ht="12.75">
      <c r="G10" s="162">
        <v>1012737</v>
      </c>
      <c r="H10" s="162" t="s">
        <v>192</v>
      </c>
      <c r="O10" s="162" t="s">
        <v>193</v>
      </c>
    </row>
    <row r="11" spans="7:15" ht="12.75">
      <c r="G11" s="162">
        <v>1012741</v>
      </c>
      <c r="H11" s="162" t="s">
        <v>194</v>
      </c>
      <c r="O11" s="162" t="s">
        <v>195</v>
      </c>
    </row>
    <row r="12" spans="7:15" ht="12.75">
      <c r="G12" s="162">
        <v>1012742</v>
      </c>
      <c r="H12" s="162" t="s">
        <v>196</v>
      </c>
      <c r="O12" s="162" t="s">
        <v>197</v>
      </c>
    </row>
    <row r="13" spans="7:15" ht="12.75">
      <c r="G13" s="162">
        <v>1012743</v>
      </c>
      <c r="H13" s="162" t="s">
        <v>198</v>
      </c>
      <c r="O13" s="162" t="s">
        <v>199</v>
      </c>
    </row>
    <row r="14" spans="7:15" ht="12.75">
      <c r="G14" s="162">
        <v>1012744</v>
      </c>
      <c r="H14" s="162" t="s">
        <v>200</v>
      </c>
      <c r="O14" s="162" t="s">
        <v>201</v>
      </c>
    </row>
    <row r="15" ht="12.75">
      <c r="O15" s="162" t="s">
        <v>202</v>
      </c>
    </row>
    <row r="16" ht="12.75">
      <c r="O16" s="162" t="s">
        <v>203</v>
      </c>
    </row>
    <row r="17" ht="12.75">
      <c r="O17" s="162" t="s">
        <v>204</v>
      </c>
    </row>
    <row r="18" ht="12.75">
      <c r="O18" s="162" t="s">
        <v>205</v>
      </c>
    </row>
    <row r="19" ht="12.75">
      <c r="O19" s="162" t="s">
        <v>206</v>
      </c>
    </row>
    <row r="20" ht="12.75">
      <c r="O20" s="162" t="s">
        <v>207</v>
      </c>
    </row>
    <row r="21" ht="12.75">
      <c r="O21" s="162" t="s">
        <v>208</v>
      </c>
    </row>
    <row r="22" ht="12.75">
      <c r="O22" s="162" t="s">
        <v>209</v>
      </c>
    </row>
    <row r="23" ht="12.75">
      <c r="O23" s="162" t="s">
        <v>210</v>
      </c>
    </row>
    <row r="24" ht="12.75">
      <c r="O24" s="162" t="s">
        <v>211</v>
      </c>
    </row>
    <row r="25" ht="12.75">
      <c r="O25" s="162" t="s">
        <v>212</v>
      </c>
    </row>
    <row r="26" ht="12.75">
      <c r="O26" s="162" t="s">
        <v>213</v>
      </c>
    </row>
    <row r="27" ht="12.75">
      <c r="O27" s="162" t="s">
        <v>214</v>
      </c>
    </row>
    <row r="28" ht="12.75">
      <c r="O28" s="162" t="s">
        <v>215</v>
      </c>
    </row>
    <row r="29" ht="12.75">
      <c r="O29" s="162" t="s">
        <v>216</v>
      </c>
    </row>
    <row r="30" ht="12.75">
      <c r="O30" s="162" t="s">
        <v>217</v>
      </c>
    </row>
    <row r="31" ht="12.75">
      <c r="O31" s="162" t="s">
        <v>218</v>
      </c>
    </row>
    <row r="32" ht="12.75">
      <c r="O32" s="162" t="s">
        <v>219</v>
      </c>
    </row>
    <row r="33" ht="12.75">
      <c r="O33" s="162" t="s">
        <v>220</v>
      </c>
    </row>
    <row r="34" ht="12.75">
      <c r="O34" s="162" t="s">
        <v>221</v>
      </c>
    </row>
    <row r="35" ht="12.75">
      <c r="O35" s="162" t="s">
        <v>222</v>
      </c>
    </row>
    <row r="36" ht="12.75">
      <c r="O36" s="162" t="s">
        <v>223</v>
      </c>
    </row>
    <row r="37" ht="12.75">
      <c r="O37" s="162" t="s">
        <v>224</v>
      </c>
    </row>
    <row r="38" ht="12.75">
      <c r="O38" s="162" t="s">
        <v>225</v>
      </c>
    </row>
    <row r="39" ht="12.75">
      <c r="O39" s="162" t="s">
        <v>226</v>
      </c>
    </row>
    <row r="40" ht="12.75">
      <c r="O40" s="162" t="s">
        <v>227</v>
      </c>
    </row>
    <row r="41" ht="12.75">
      <c r="O41" s="162" t="s">
        <v>228</v>
      </c>
    </row>
    <row r="42" ht="12.75">
      <c r="O42" s="162" t="s">
        <v>229</v>
      </c>
    </row>
    <row r="43" ht="12.75">
      <c r="O43" s="162" t="s">
        <v>230</v>
      </c>
    </row>
    <row r="44" ht="12.75">
      <c r="O44" s="162" t="s">
        <v>231</v>
      </c>
    </row>
    <row r="45" ht="12.75">
      <c r="O45" s="162" t="s">
        <v>232</v>
      </c>
    </row>
    <row r="46" ht="12.75">
      <c r="O46" s="162" t="s">
        <v>233</v>
      </c>
    </row>
    <row r="47" ht="12.75">
      <c r="O47" s="162" t="s">
        <v>234</v>
      </c>
    </row>
    <row r="48" ht="12.75">
      <c r="O48" s="162" t="s">
        <v>235</v>
      </c>
    </row>
    <row r="49" ht="12.75">
      <c r="O49" s="162" t="s">
        <v>236</v>
      </c>
    </row>
    <row r="50" ht="12.75">
      <c r="O50" s="162" t="s">
        <v>237</v>
      </c>
    </row>
    <row r="51" ht="12.75">
      <c r="O51" s="162" t="s">
        <v>238</v>
      </c>
    </row>
    <row r="52" ht="12.75">
      <c r="O52" s="162" t="s">
        <v>239</v>
      </c>
    </row>
    <row r="53" ht="12.75">
      <c r="O53" s="162" t="s">
        <v>240</v>
      </c>
    </row>
    <row r="54" ht="12.75">
      <c r="O54" s="162" t="s">
        <v>241</v>
      </c>
    </row>
    <row r="55" ht="12.75">
      <c r="O55" s="162" t="s">
        <v>242</v>
      </c>
    </row>
    <row r="56" ht="12.75">
      <c r="O56" s="162" t="s">
        <v>243</v>
      </c>
    </row>
    <row r="57" ht="12.75">
      <c r="O57" s="162" t="s">
        <v>244</v>
      </c>
    </row>
    <row r="58" ht="12.75">
      <c r="O58" s="162" t="s">
        <v>245</v>
      </c>
    </row>
    <row r="59" ht="12.75">
      <c r="O59" s="162" t="s">
        <v>246</v>
      </c>
    </row>
    <row r="60" ht="12.75">
      <c r="O60" s="162" t="s">
        <v>247</v>
      </c>
    </row>
    <row r="61" ht="12.75">
      <c r="O61" s="162" t="s">
        <v>248</v>
      </c>
    </row>
    <row r="62" ht="12.75">
      <c r="O62" s="162" t="s">
        <v>249</v>
      </c>
    </row>
    <row r="63" ht="12.75">
      <c r="O63" s="162" t="s">
        <v>250</v>
      </c>
    </row>
    <row r="64" ht="12.75">
      <c r="O64" s="162" t="s">
        <v>251</v>
      </c>
    </row>
    <row r="65" ht="12.75">
      <c r="O65" s="162" t="s">
        <v>252</v>
      </c>
    </row>
    <row r="66" ht="12.75">
      <c r="O66" s="162" t="s">
        <v>253</v>
      </c>
    </row>
    <row r="67" ht="12.75">
      <c r="O67" s="162" t="s">
        <v>254</v>
      </c>
    </row>
    <row r="68" ht="12.75">
      <c r="O68" s="162" t="s">
        <v>255</v>
      </c>
    </row>
    <row r="69" ht="12.75">
      <c r="O69" s="162" t="s">
        <v>256</v>
      </c>
    </row>
    <row r="70" ht="12.75">
      <c r="O70" s="162" t="s">
        <v>257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