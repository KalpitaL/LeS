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Quote!$A$34</definedName>
    <definedName name="Enquiry_To_Vendor_ID" comment="Enquiry to Vendor ID">Quote!$C$34</definedName>
    <definedName name="GrandTotal">Quote!$N$33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Quote!$A$26</definedName>
    <definedName name="ItemListStartupRow" comment="Item List Start Up Row">Quote!$A$19</definedName>
    <definedName name="ItemSubTotal">Quote!$N$32</definedName>
    <definedName name="ItemSubTotalTitle">Quote!$J$32</definedName>
    <definedName name="LeadDay">Quote!$M$11</definedName>
    <definedName name="Lock">Quote!$M$34</definedName>
    <definedName name="LoggedInEmailID">Quote!$N$34</definedName>
    <definedName name="LoggedInPwd">Quote!$O$34</definedName>
    <definedName name="OtherCharges">Quote!$C$28</definedName>
    <definedName name="OtherChargesLastRow">Quote!$A$32</definedName>
    <definedName name="OtherChargesStartRow">Quote!$A$27</definedName>
    <definedName name="Port">Quote!$P$34</definedName>
    <definedName name="PortOfDelivery" comment="Port of Delivery">Quote!$M$9</definedName>
    <definedName name="PurchaserName">Quote!$J$34</definedName>
    <definedName name="QuoteBefore">Quote!$M$8</definedName>
    <definedName name="QuoteID">MasterData!$N$7</definedName>
    <definedName name="QuoteSubject">Quote!$E$34</definedName>
    <definedName name="Remarks">Quote!$E$36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Quote!$K$34</definedName>
    <definedName name="SentIndex">Quote!$L$34</definedName>
    <definedName name="Server">Quote!$Q$34</definedName>
    <definedName name="Terms">Quote!$A$40:$T$61</definedName>
    <definedName name="ToEmailID">Quote!$I$34</definedName>
    <definedName name="ToEmailPwd">Quote!$H$34</definedName>
    <definedName name="VAL">Quote!$F$34</definedName>
    <definedName name="VAT_All">Quote!$M$16</definedName>
    <definedName name="Vendor_ID" comment="Vendor ID">Quote!$B$34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</definedName>
  </definedNames>
  <calcPr fullCalcOnLoad="1"/>
</workbook>
</file>

<file path=xl/sharedStrings.xml><?xml version="1.0" encoding="utf-8"?>
<sst xmlns="http://schemas.openxmlformats.org/spreadsheetml/2006/main" count="186" uniqueCount="159">
  <si>
    <t>RFQ</t>
  </si>
  <si>
    <t>Request for Quote</t>
  </si>
  <si>
    <t>Invoice To</t>
  </si>
  <si>
    <t>Bernhard Schulte Shipmanagement (Singapore) Pte. Ltd.
Invoice To:  Master &amp; Owner Of Stella Lucy,
             Regd. Owner: Stella Lucy Shipping Pte. Limited,
             AS AGENTS: Bernhard Schulte Shipmanagement (Singapore) Pte Ltd
             108 Middle Road, #08-00 Bernhard Schulte House, Singapore 188967
             Attn:- Accounts Department
             Please send soft copy to: sg-smc-acct@bs-shipmanagement.com</t>
  </si>
  <si>
    <t>Vessel</t>
  </si>
  <si>
    <t>Stella Lucy</t>
  </si>
  <si>
    <t>RFQ No.</t>
  </si>
  <si>
    <t>LUY/O0181/RF19</t>
  </si>
  <si>
    <t>RFQ Date</t>
  </si>
  <si>
    <t>Submit Quote Before:</t>
  </si>
  <si>
    <t>Port of Delivery</t>
  </si>
  <si>
    <t>Lianyungang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</si>
  <si>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</si>
  <si>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</si>
  <si>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</si>
  <si>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</si>
  <si>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</si>
  <si>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</si>
  <si>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</si>
  <si>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</si>
  <si>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</si>
  <si>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</si>
  <si>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</si>
  <si>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</si>
  <si>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</si>
  <si>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</si>
  <si>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</si>
  <si>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</si>
  <si>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</si>
  <si>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</si>
  <si>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</si>
  <si>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</si>
  <si>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</si>
  <si>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</si>
  <si>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</si>
  <si>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</si>
  <si>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</si>
  <si>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</si>
  <si>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</si>
  <si>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</si>
  <si>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HOLDER ELECTRODE GRIP-TYPE, 200AMP</t>
  </si>
  <si>
    <t>PCS</t>
  </si>
  <si>
    <t>ELECTRODE B-1 2.6MM 5KG, FOR MILD STEEL</t>
  </si>
  <si>
    <t>PKT</t>
  </si>
  <si>
    <t>ELECTRODE B-1 3.2MM 5KG, FOR MILD STEEL</t>
  </si>
  <si>
    <t>DREW 0542010</t>
  </si>
  <si>
    <t>FLASHBACK ARRESTOR, ACETYLENE, DREW</t>
  </si>
  <si>
    <t>DREW 0543018</t>
  </si>
  <si>
    <t>FLASH BACK ARRESTOR, OXYGEN, DREW</t>
  </si>
  <si>
    <t>ACETYLENE CYLINDER (New Cylinder) - 40L Cylinder Dia 229 MM, Height 1350 MM</t>
  </si>
  <si>
    <t>DREW 507014</t>
  </si>
  <si>
    <t>BTL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</si>
  <si>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</si>
  <si>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</si>
  <si>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</si>
  <si>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</si>
  <si>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</si>
  <si>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</si>
  <si>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</si>
  <si>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</si>
  <si>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</si>
  <si>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</si>
  <si>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</si>
  <si>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</si>
  <si>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</si>
  <si>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</si>
  <si>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</si>
  <si>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</si>
  <si>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</si>
  <si>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</si>
  <si>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</si>
  <si>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</si>
  <si>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</si>
  <si>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</si>
  <si>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</si>
  <si>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</si>
  <si>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</si>
  <si>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</si>
  <si>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</si>
  <si>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</si>
  <si>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</si>
  <si>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</si>
  <si>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</si>
  <si>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</si>
  <si>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</si>
  <si>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</si>
  <si>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</si>
  <si>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</si>
  <si>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</si>
  <si>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</si>
  <si>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</si>
  <si>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</si>
  <si>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</si>
  <si>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</si>
  <si>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</si>
  <si>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</si>
  <si>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</si>
  <si>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</si>
  <si>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</si>
  <si>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</si>
  <si>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</si>
  <si>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</si>
  <si>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</si>
  <si>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</si>
  <si>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</si>
  <si>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</si>
  <si>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</si>
  <si>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</si>
  <si>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</si>
  <si>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</si>
  <si>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</si>
  <si>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</si>
  <si>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</si>
  <si>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</si>
  <si>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</si>
  <si>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</si>
  <si>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</si>
  <si>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</si>
  <si>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</si>
  <si>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</si>
  <si>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</si>
  <si>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</si>
  <si>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</si>
  <si>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</si>
  <si>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</si>
  <si>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</si>
  <si>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</si>
  <si>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</si>
  <si>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</si>
  <si>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</si>
  <si>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</si>
  <si>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</si>
  <si>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</si>
  <si>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</si>
  <si>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</si>
  <si>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</si>
  <si>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</si>
  <si>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</si>
  <si>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</si>
  <si>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</si>
  <si>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</si>
  <si>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</si>
  <si>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</si>
  <si>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</si>
  <si>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</si>
  <si>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</si>
  <si>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</si>
  <si>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</si>
  <si>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</si>
  <si>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</si>
  <si>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</si>
  <si>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</si>
  <si>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</si>
  <si>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</si>
  <si>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BJD1911062045216LET</t>
  </si>
  <si>
    <t>ATLANTIC</t>
  </si>
  <si>
    <t>NOT AVAILABLE IN MARKET</t>
  </si>
  <si>
    <t>ACETYLENE EXCHANGE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</si>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</sst>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99990009860347</v>
      </c>
      <c r="C20" s="227">
        <v>851031</v>
      </c>
      <c r="D20" s="228" t="s">
        <v>40</v>
      </c>
      <c r="E20" s="229"/>
      <c r="F20" s="229">
        <v>851031</v>
      </c>
      <c r="G20" s="229" t="s">
        <v>41</v>
      </c>
      <c r="H20" s="230">
        <v>0</v>
      </c>
      <c r="I20" s="231">
        <v>2</v>
      </c>
      <c r="J20" s="232">
        <v>2.76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99990009860589</v>
      </c>
      <c r="C21" s="227">
        <v>850601</v>
      </c>
      <c r="D21" s="228" t="s">
        <v>42</v>
      </c>
      <c r="E21" s="229"/>
      <c r="F21" s="229">
        <v>850601</v>
      </c>
      <c r="G21" s="229" t="s">
        <v>43</v>
      </c>
      <c r="H21" s="230">
        <v>0</v>
      </c>
      <c r="I21" s="231">
        <v>5</v>
      </c>
      <c r="J21" s="232">
        <v>5.39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155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99990009860588</v>
      </c>
      <c r="C22" s="227">
        <v>850602</v>
      </c>
      <c r="D22" s="228" t="s">
        <v>44</v>
      </c>
      <c r="E22" s="229"/>
      <c r="F22" s="229">
        <v>850602</v>
      </c>
      <c r="G22" s="229" t="s">
        <v>43</v>
      </c>
      <c r="H22" s="230">
        <v>0</v>
      </c>
      <c r="I22" s="231">
        <v>5</v>
      </c>
      <c r="J22" s="232">
        <v>5.02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155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99990011933090</v>
      </c>
      <c r="C23" s="227" t="s">
        <v>45</v>
      </c>
      <c r="D23" s="228" t="s">
        <v>46</v>
      </c>
      <c r="E23" s="229"/>
      <c r="F23" s="229" t="s">
        <v>45</v>
      </c>
      <c r="G23" s="229" t="s">
        <v>41</v>
      </c>
      <c r="H23" s="230">
        <v>0</v>
      </c>
      <c r="I23" s="231">
        <v>3</v>
      </c>
      <c r="J23" s="232">
        <v>0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156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99990011933091</v>
      </c>
      <c r="C24" s="227" t="s">
        <v>47</v>
      </c>
      <c r="D24" s="228" t="s">
        <v>48</v>
      </c>
      <c r="E24" s="229"/>
      <c r="F24" s="229" t="s">
        <v>47</v>
      </c>
      <c r="G24" s="229" t="s">
        <v>41</v>
      </c>
      <c r="H24" s="230">
        <v>0</v>
      </c>
      <c r="I24" s="231">
        <v>3</v>
      </c>
      <c r="J24" s="232">
        <v>0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156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99990014604389</v>
      </c>
      <c r="C25" s="227">
        <v>2939132</v>
      </c>
      <c r="D25" s="228" t="s">
        <v>49</v>
      </c>
      <c r="E25" s="229"/>
      <c r="F25" s="229" t="s">
        <v>50</v>
      </c>
      <c r="G25" s="229" t="s">
        <v>51</v>
      </c>
      <c r="H25" s="230">
        <v>0</v>
      </c>
      <c r="I25" s="231">
        <v>1</v>
      </c>
      <c r="J25" s="232">
        <v>235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157</v>
      </c>
      <c r="Q25" s="236"/>
      <c r="R25" s="237"/>
      <c r="S25" s="238"/>
      <c r="T25" s="239"/>
    </row>
    <row r="26" spans="1:20" ht="15" customHeight="1">
      <c r="A26" s="32"/>
      <c r="B26" s="295"/>
      <c r="C26" s="296"/>
      <c r="D26" s="296"/>
      <c r="E26" s="296"/>
      <c r="F26" s="296"/>
      <c r="G26" s="296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8"/>
    </row>
    <row r="27" spans="1:20" ht="12.75" customHeight="1">
      <c r="A27" s="289" t="s">
        <v>28</v>
      </c>
      <c r="B27" s="289"/>
      <c r="C27" s="290" t="s">
        <v>52</v>
      </c>
      <c r="D27" s="291"/>
      <c r="E27" s="291"/>
      <c r="F27" s="291"/>
      <c r="G27" s="291"/>
      <c r="H27" s="291"/>
      <c r="I27" s="292"/>
      <c r="J27" s="292" t="s">
        <v>53</v>
      </c>
      <c r="K27" s="292"/>
      <c r="L27" s="292" t="s">
        <v>35</v>
      </c>
      <c r="M27" s="292" t="s">
        <v>36</v>
      </c>
      <c r="N27" s="293" t="s">
        <v>54</v>
      </c>
      <c r="O27" s="294" t="s">
        <v>38</v>
      </c>
      <c r="P27" s="294"/>
      <c r="Q27" s="294"/>
      <c r="R27" s="294"/>
      <c r="S27" s="294"/>
      <c r="T27" s="225"/>
    </row>
    <row r="28" spans="1:20" ht="15" customHeight="1">
      <c r="A28" s="269">
        <v>1</v>
      </c>
      <c r="B28" s="270"/>
      <c r="C28" s="271" t="s">
        <v>55</v>
      </c>
      <c r="D28" s="272" t="s">
        <v>55</v>
      </c>
      <c r="E28" s="272" t="s">
        <v>55</v>
      </c>
      <c r="F28" s="272" t="s">
        <v>55</v>
      </c>
      <c r="G28" s="272" t="s">
        <v>55</v>
      </c>
      <c r="H28" s="273" t="s">
        <v>55</v>
      </c>
      <c r="I28" s="274"/>
      <c r="J28" s="275">
        <v>0</v>
      </c>
      <c r="K28" s="276"/>
      <c r="L28" s="277">
        <v>0</v>
      </c>
      <c r="M28" s="277">
        <v>0</v>
      </c>
      <c r="N28" s="285">
        <f>(J28-(J28*L28/100)+((J28-(J28*L28/100))*M28/100))</f>
      </c>
      <c r="O28" s="286"/>
      <c r="P28" s="287"/>
      <c r="Q28" s="287"/>
      <c r="R28" s="287"/>
      <c r="S28" s="288"/>
      <c r="T28" s="283"/>
    </row>
    <row r="29" spans="1:20" ht="15" customHeight="1">
      <c r="A29" s="269">
        <v>2</v>
      </c>
      <c r="B29" s="270"/>
      <c r="C29" s="271" t="s">
        <v>56</v>
      </c>
      <c r="D29" s="272" t="s">
        <v>56</v>
      </c>
      <c r="E29" s="272" t="s">
        <v>56</v>
      </c>
      <c r="F29" s="272" t="s">
        <v>56</v>
      </c>
      <c r="G29" s="272" t="s">
        <v>56</v>
      </c>
      <c r="H29" s="273" t="s">
        <v>56</v>
      </c>
      <c r="I29" s="28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" customHeight="1">
      <c r="A30" s="269">
        <v>3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.75" customHeight="1">
      <c r="A31" s="269">
        <v>4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8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16" ht="15.95" customHeight="1">
      <c r="A32" s="247"/>
      <c r="B32" s="247"/>
      <c r="C32" s="248"/>
      <c r="D32" s="248"/>
      <c r="I32" s="163"/>
      <c r="J32" s="58" t="s">
        <v>57</v>
      </c>
      <c r="K32" s="59"/>
      <c r="L32" s="58"/>
      <c r="M32" s="59"/>
      <c r="N32" s="264">
        <f>SUM(ItmPrice)</f>
      </c>
      <c r="O32" s="267"/>
      <c r="P32" s="268"/>
    </row>
    <row r="33" spans="1:16" ht="15" customHeight="1">
      <c r="A33" s="247"/>
      <c r="B33" s="247"/>
      <c r="C33" s="248"/>
      <c r="D33" s="248"/>
      <c r="I33" s="163"/>
      <c r="J33" s="123" t="s">
        <v>58</v>
      </c>
      <c r="K33" s="124"/>
      <c r="L33" s="124"/>
      <c r="M33" s="125"/>
      <c r="N33" s="264">
        <f>SUM(N28:N32)</f>
      </c>
      <c r="O33" s="265"/>
      <c r="P33" s="266"/>
    </row>
    <row r="34" spans="1:19" ht="2.25" customHeight="1" hidden="1">
      <c r="A34" s="258">
        <v>0</v>
      </c>
      <c r="B34" s="258">
        <v>0</v>
      </c>
      <c r="C34" s="259">
        <v>0</v>
      </c>
      <c r="D34" s="248"/>
      <c r="E34" s="248"/>
      <c r="F34" s="260">
        <v>1</v>
      </c>
      <c r="G34" s="248"/>
      <c r="H34" s="248"/>
      <c r="I34" s="248"/>
      <c r="J34" s="248"/>
      <c r="K34" s="261"/>
      <c r="L34" s="262">
        <v>0</v>
      </c>
      <c r="M34" s="263">
        <v>0</v>
      </c>
      <c r="N34" s="162" t="s">
        <v>59</v>
      </c>
      <c r="O34" s="257"/>
      <c r="P34" s="263">
        <v>995</v>
      </c>
      <c r="Q34" s="248" t="s">
        <v>60</v>
      </c>
      <c r="R34" s="248"/>
      <c r="S34" s="248"/>
    </row>
    <row r="35" spans="1:19" ht="18.75" customHeight="1">
      <c r="A35" s="247"/>
      <c r="B35" s="247"/>
      <c r="C35" s="247"/>
      <c r="H35" s="257"/>
      <c r="I35" s="163"/>
      <c r="J35" s="248"/>
      <c r="K35" s="248"/>
      <c r="L35" s="248"/>
      <c r="M35" s="248"/>
      <c r="N35" s="248"/>
      <c r="O35" s="248"/>
      <c r="P35" s="248"/>
      <c r="R35" s="248"/>
      <c r="S35" s="248"/>
    </row>
    <row r="36" spans="1:20" ht="127.5" customHeight="1">
      <c r="A36" s="249" t="s">
        <v>61</v>
      </c>
      <c r="B36" s="249"/>
      <c r="C36" s="249"/>
      <c r="D36" s="250"/>
      <c r="E36" s="254"/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6"/>
    </row>
    <row r="37" spans="1:20" ht="129.75" customHeight="1">
      <c r="A37" s="249" t="s">
        <v>38</v>
      </c>
      <c r="B37" s="249"/>
      <c r="C37" s="249"/>
      <c r="D37" s="250"/>
      <c r="E37" s="251" t="s">
        <v>158</v>
      </c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3"/>
    </row>
    <row r="38" spans="1:19" ht="15.95" customHeight="1">
      <c r="A38" s="247"/>
      <c r="B38" s="247"/>
      <c r="C38" s="247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</row>
    <row r="39" spans="1:20" ht="15.95" customHeight="1">
      <c r="A39" s="245" t="s">
        <v>62</v>
      </c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6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2"/>
    </row>
    <row r="63" spans="1:9" ht="12.75">
      <c r="A63" s="240" t="s">
        <v>63</v>
      </c>
      <c r="B63" s="240"/>
      <c r="C63" s="240"/>
      <c r="D63" s="240"/>
      <c r="E63" s="240"/>
      <c r="F63" s="240"/>
      <c r="G63" s="240"/>
      <c r="I6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7">
    <mergeCell ref="E36:S36"/>
    <mergeCell ref="E37:S37"/>
    <mergeCell ref="E39:S39"/>
    <mergeCell ref="A40:S61"/>
    <mergeCell ref="A62:S62"/>
    <mergeCell ref="A36:D36"/>
    <mergeCell ref="A37:D37"/>
    <mergeCell ref="K1:R1"/>
    <mergeCell ref="R19:S19"/>
    <mergeCell ref="R20:S20"/>
    <mergeCell ref="O28:S28"/>
    <mergeCell ref="O29:S29"/>
    <mergeCell ref="O27:S27"/>
    <mergeCell ref="J27:K27"/>
    <mergeCell ref="K4:L4"/>
    <mergeCell ref="M4:P4"/>
    <mergeCell ref="K5:L5"/>
    <mergeCell ref="M5:P5"/>
    <mergeCell ref="M7:Q7"/>
    <mergeCell ref="P20:Q20"/>
    <mergeCell ref="M12:O12"/>
    <mergeCell ref="K12:L12"/>
    <mergeCell ref="O32:P32"/>
    <mergeCell ref="O33:P33"/>
    <mergeCell ref="J33:M33"/>
    <mergeCell ref="O30:S30"/>
    <mergeCell ref="O31:S3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7:H2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C28:H28"/>
    <mergeCell ref="J28:K28"/>
    <mergeCell ref="C29:H29"/>
    <mergeCell ref="J29:K29"/>
    <mergeCell ref="C30:H30"/>
    <mergeCell ref="J30:K30"/>
    <mergeCell ref="C31:H31"/>
    <mergeCell ref="J31:K31"/>
  </mergeCells>
  <dataValidations count="3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55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56</v>
      </c>
      <c r="M2" s="300" t="s">
        <v>66</v>
      </c>
      <c r="N2" s="301">
        <v>1020736974</v>
      </c>
      <c r="O2" s="162" t="s">
        <v>67</v>
      </c>
    </row>
    <row r="3" spans="7:15" ht="12.75">
      <c r="G3" s="162">
        <v>1012729</v>
      </c>
      <c r="H3" s="162" t="s">
        <v>68</v>
      </c>
      <c r="M3" s="300" t="s">
        <v>69</v>
      </c>
      <c r="N3" s="301">
        <v>99990000436206</v>
      </c>
      <c r="O3" s="162" t="s">
        <v>70</v>
      </c>
    </row>
    <row r="4" spans="7:15" ht="12.75">
      <c r="G4" s="162">
        <v>1012730</v>
      </c>
      <c r="H4" s="162" t="s">
        <v>71</v>
      </c>
      <c r="M4" s="300" t="s">
        <v>72</v>
      </c>
      <c r="N4" s="301">
        <v>1021855561</v>
      </c>
      <c r="O4" s="162" t="s">
        <v>73</v>
      </c>
    </row>
    <row r="5" spans="7:15" ht="12.75">
      <c r="G5" s="162">
        <v>1012731</v>
      </c>
      <c r="H5" s="162" t="s">
        <v>74</v>
      </c>
      <c r="M5" s="300" t="s">
        <v>75</v>
      </c>
      <c r="N5" s="301"/>
      <c r="O5" s="162" t="s">
        <v>76</v>
      </c>
    </row>
    <row r="6" spans="7:15" ht="12.75">
      <c r="G6" s="162">
        <v>1012732</v>
      </c>
      <c r="H6" s="162" t="s">
        <v>77</v>
      </c>
      <c r="M6" s="300" t="s">
        <v>78</v>
      </c>
      <c r="N6" s="301" t="s">
        <v>79</v>
      </c>
      <c r="O6" s="162" t="s">
        <v>80</v>
      </c>
    </row>
    <row r="7" spans="7:15" ht="12.75">
      <c r="G7" s="162">
        <v>1012733</v>
      </c>
      <c r="H7" s="162" t="s">
        <v>81</v>
      </c>
      <c r="M7" s="300" t="s">
        <v>82</v>
      </c>
      <c r="N7" s="301">
        <v>0</v>
      </c>
      <c r="O7" s="162" t="s">
        <v>83</v>
      </c>
    </row>
    <row r="8" spans="7:15" ht="12.75">
      <c r="G8" s="162">
        <v>1012735</v>
      </c>
      <c r="H8" s="162" t="s">
        <v>84</v>
      </c>
      <c r="O8" s="162" t="s">
        <v>85</v>
      </c>
    </row>
    <row r="9" spans="7:15" ht="12.75">
      <c r="G9" s="162">
        <v>1012736</v>
      </c>
      <c r="H9" s="162" t="s">
        <v>86</v>
      </c>
      <c r="O9" s="162" t="s">
        <v>87</v>
      </c>
    </row>
    <row r="10" spans="7:15" ht="12.75">
      <c r="G10" s="162">
        <v>1012737</v>
      </c>
      <c r="H10" s="162" t="s">
        <v>88</v>
      </c>
      <c r="O10" s="162" t="s">
        <v>89</v>
      </c>
    </row>
    <row r="11" spans="7:15" ht="12.75">
      <c r="G11" s="162">
        <v>1012741</v>
      </c>
      <c r="H11" s="162" t="s">
        <v>90</v>
      </c>
      <c r="O11" s="162" t="s">
        <v>91</v>
      </c>
    </row>
    <row r="12" spans="7:15" ht="12.75">
      <c r="G12" s="162">
        <v>1012742</v>
      </c>
      <c r="H12" s="162" t="s">
        <v>92</v>
      </c>
      <c r="O12" s="162" t="s">
        <v>93</v>
      </c>
    </row>
    <row r="13" spans="7:15" ht="12.75">
      <c r="G13" s="162">
        <v>1012743</v>
      </c>
      <c r="H13" s="162" t="s">
        <v>94</v>
      </c>
      <c r="O13" s="162" t="s">
        <v>95</v>
      </c>
    </row>
    <row r="14" spans="7:15" ht="12.75">
      <c r="G14" s="162">
        <v>1012744</v>
      </c>
      <c r="H14" s="162" t="s">
        <v>96</v>
      </c>
      <c r="O14" s="162" t="s">
        <v>97</v>
      </c>
    </row>
    <row r="15" ht="12.75">
      <c r="O15" s="162" t="s">
        <v>98</v>
      </c>
    </row>
    <row r="16" ht="12.75">
      <c r="O16" s="162" t="s">
        <v>99</v>
      </c>
    </row>
    <row r="17" ht="12.75">
      <c r="O17" s="162" t="s">
        <v>100</v>
      </c>
    </row>
    <row r="18" ht="12.75">
      <c r="O18" s="162" t="s">
        <v>101</v>
      </c>
    </row>
    <row r="19" ht="12.75">
      <c r="O19" s="162" t="s">
        <v>102</v>
      </c>
    </row>
    <row r="20" ht="12.75"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