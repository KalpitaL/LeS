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Quote!$A$1:$S$53</definedName>
    <definedName name="BCCEmailId">Quote!$N$33</definedName>
    <definedName name="BuyerRemarks">Quote!$F$35</definedName>
    <definedName name="CompanyAddress">Quote!$A$5</definedName>
    <definedName name="CompanyName">Quote!$A$4</definedName>
    <definedName name="Currency">Quote!$O$14</definedName>
    <definedName name="Days">Quote!$Q$11</definedName>
    <definedName name="Discount_All">Quote!$O$15</definedName>
    <definedName name="Enquiry_ID">Quote!$A$33</definedName>
    <definedName name="Enquiry_To_Vendor_ID">Quote!$C$33</definedName>
    <definedName name="ErrorMessage">Quote!$Q$33</definedName>
    <definedName name="GrandTotal">Quote!$P$32</definedName>
    <definedName name="HeaderID">MasterData!$N$4</definedName>
    <definedName name="ItemID">Quote!$B$19</definedName>
    <definedName name="ItemListEndRow">Quote!$A$25</definedName>
    <definedName name="ItemListStartupRow">Quote!$A$19</definedName>
    <definedName name="ItemSubTotal">Quote!$P$31</definedName>
    <definedName name="ItemSubTotalTitle">Quote!$L$31</definedName>
    <definedName name="LoggedInEmailID">Quote!$J$33</definedName>
    <definedName name="LoggedInPwd">Quote!$K$33</definedName>
    <definedName name="OtherChargesLastRow">Quote!$A$31</definedName>
    <definedName name="OtherChargesStartRow">Quote!$A$26</definedName>
    <definedName name="PackingInstruction">Quote!$F$36</definedName>
    <definedName name="Payment_Terms">Quote!$O$11</definedName>
    <definedName name="PortOfDelivery">Quote!$O$9</definedName>
    <definedName name="QuoteBefore">Quote!$O$8</definedName>
    <definedName name="QuoteID">MasterData!$N$7</definedName>
    <definedName name="QuoteSubject">Quote!$E$33</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Quote!$M$33</definedName>
    <definedName name="SentIndex">Quote!$F$33</definedName>
    <definedName name="ToEmailID">Quote!$G$33</definedName>
    <definedName name="ToEmailPwd">Quote!$H$33</definedName>
    <definedName name="VAT_All">Quote!$O$16</definedName>
    <definedName name="Vendor_ID">Quote!$B$33</definedName>
    <definedName name="VendorAddress">Quote!$D$14</definedName>
    <definedName name="VendorAddressCity">Quote!$D$15</definedName>
    <definedName name="VendorAddressEmail">Quote!$D$17</definedName>
    <definedName name="VendorAddressPhone">Quote!$D$16</definedName>
    <definedName name="VendorEmailID">Quote!$D$33</definedName>
    <definedName name="VendorID">MasterData!$N$5</definedName>
    <definedName name="VendorName">Quote!$D$13</definedName>
    <definedName name="VendorReference">Quote!$O$12</definedName>
    <definedName name="VendorRemarks">Quote!$F$37</definedName>
    <definedName name="VesselETA">Quote!$O$10</definedName>
    <definedName name="VesselName">Quote!$O$4</definedName>
    <definedName name="SubItemTotal">Quote!$P$23:$P$23</definedName>
  </definedNames>
  <calcPr fullCalcOnLoad="1"/>
</workbook>
</file>

<file path=xl/sharedStrings.xml><?xml version="1.0" encoding="utf-8"?>
<sst xmlns="http://schemas.openxmlformats.org/spreadsheetml/2006/main" count="244" uniqueCount="195">
  <si>
    <t>Request for Quote</t>
  </si>
  <si>
    <t>Vessel \ Company Details</t>
  </si>
  <si>
    <t>BERNHARD SCHULTE SHIPMANAGEMENT (HONG KONG) LIMITED PARTNERSHIP</t>
  </si>
  <si>
    <t>Vessel</t>
  </si>
  <si>
    <t>Minstrel</t>
  </si>
  <si>
    <t>SEACHEF - HOSPITALITY SERVICES,</t>
  </si>
  <si>
    <t>RFQ No.</t>
  </si>
  <si>
    <t>MIT/O0217/RF19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</si>
  <si>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</si>
  <si>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</si>
  <si>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</si>
  <si>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</si>
  <si>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</si>
  <si>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</si>
  <si>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</si>
  <si>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Balboa</t>
  </si>
  <si>
    <t>Email:</t>
  </si>
  <si>
    <t>seachef@seachef.com</t>
  </si>
  <si>
    <t>Vessel ETA</t>
  </si>
  <si>
    <t>Web:</t>
  </si>
  <si>
    <t>www.seachef.com /  www.bs-shipmanagement.com</t>
  </si>
  <si>
    <t>Payment Terms</t>
  </si>
  <si>
    <t>Credit</t>
  </si>
  <si>
    <t>Days</t>
  </si>
  <si>
    <t>Vendor Details</t>
  </si>
  <si>
    <t xml:space="preserve">Vendor Reference </t>
  </si>
  <si>
    <t>Name</t>
  </si>
  <si>
    <t>RMS MARINE SERVICE COMPANY LTD</t>
  </si>
  <si>
    <t>Address</t>
  </si>
  <si>
    <t>365, Gaodong, No 2 Road, Pudong District,SHANGHAI, CHINA</t>
  </si>
  <si>
    <r>
      <rPr>
        <b/>
        <sz val="10"/>
        <color theme="0" tint="-0.249970003962517"/>
        <rFont val="Calibri"/>
        <family val="2"/>
      </rPr>
      <t xml:space="preserve">Select Currency </t>
    </r>
    <r>
      <rPr>
        <b/>
        <sz val="12"/>
        <color rgb="FFFF0000"/>
        <rFont val="Calibri"/>
        <family val="2"/>
      </rPr>
      <t>*</t>
    </r>
  </si>
  <si>
    <t>USD</t>
  </si>
  <si>
    <t>City</t>
  </si>
  <si>
    <t>Discount (%) for all items</t>
  </si>
  <si>
    <t>0</t>
  </si>
  <si>
    <t>Phone</t>
  </si>
  <si>
    <t>VAT(%) for all items</t>
  </si>
  <si>
    <t>Email</t>
  </si>
  <si>
    <t>mt@rmsmarineservice.com,mt@rmsmarineservice.com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</si>
  <si>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</si>
  <si>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</si>
  <si>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</si>
  <si>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</si>
  <si>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</si>
  <si>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</si>
  <si>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</si>
  <si>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</si>
  <si>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</si>
  <si>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</si>
  <si>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</si>
  <si>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</si>
  <si>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</si>
  <si>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</si>
  <si>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</si>
  <si>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 xml:space="preserve">GLOBE HOSE VALVE BRONZE, FLANGE&amp;SCREW F7334 10KG-15MM </t>
  </si>
  <si>
    <t>PCS</t>
  </si>
  <si>
    <t>With Certificate</t>
  </si>
  <si>
    <t xml:space="preserve">ANGLE VALVE DIN CAST STEEL 399, FLANGED PN16 ANGLE DN 65 </t>
  </si>
  <si>
    <t xml:space="preserve">With Certificate </t>
  </si>
  <si>
    <t>Item Sub Total :</t>
  </si>
  <si>
    <t>Other Charges</t>
  </si>
  <si>
    <t>Amount</t>
  </si>
  <si>
    <t>Price</t>
  </si>
  <si>
    <t>Packing cost</t>
  </si>
  <si>
    <t>Freight charge</t>
  </si>
  <si>
    <t>aaa</t>
  </si>
  <si>
    <t>Grand Total :</t>
  </si>
  <si>
    <t>Buyer Remarks</t>
  </si>
  <si>
    <t>Required to close Guarantee claim no M-046  --  Required to close GC M-043</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</si>
  <si>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</si>
  <si>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</si>
  <si>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</si>
  <si>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</si>
  <si>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</si>
  <si>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</si>
  <si>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</si>
  <si>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</si>
  <si>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</si>
  <si>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</si>
  <si>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</si>
  <si>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</si>
  <si>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</si>
  <si>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</si>
  <si>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</si>
  <si>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</si>
  <si>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</si>
  <si>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</si>
  <si>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</si>
  <si>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</si>
  <si>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</si>
  <si>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</si>
  <si>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</si>
  <si>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</si>
  <si>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</si>
  <si>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</si>
  <si>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</si>
  <si>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</si>
  <si>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</si>
  <si>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</si>
  <si>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</si>
  <si>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</si>
  <si>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</si>
  <si>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</si>
  <si>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</si>
  <si>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</si>
  <si>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</si>
  <si>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</si>
  <si>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</si>
  <si>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</si>
  <si>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</si>
  <si>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</si>
  <si>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</si>
  <si>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</si>
  <si>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</si>
  <si>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</si>
  <si>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</si>
  <si>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</si>
  <si>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</si>
  <si>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</si>
  <si>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</si>
  <si>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</si>
  <si>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</si>
  <si>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</si>
  <si>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</si>
  <si>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</si>
  <si>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</si>
  <si>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</si>
  <si>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</si>
  <si>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</si>
  <si>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</si>
  <si>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</si>
  <si>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</si>
  <si>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</si>
  <si>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</si>
  <si>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</si>
  <si>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</si>
  <si>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</si>
  <si>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</si>
  <si>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</si>
  <si>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</si>
  <si>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</si>
  <si>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</si>
  <si>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</si>
  <si>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</si>
  <si>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</si>
  <si>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</si>
  <si>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</si>
  <si>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</si>
  <si>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</si>
  <si>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</si>
  <si>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</si>
  <si>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</si>
  <si>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</si>
  <si>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</si>
  <si>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</si>
  <si>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</si>
  <si>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</si>
  <si>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</si>
  <si>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</si>
  <si>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</si>
  <si>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</si>
  <si>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</si>
  <si>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</si>
  <si>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</si>
  <si>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</si>
  <si>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</si>
  <si>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</si>
  <si>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</si>
  <si>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</si>
  <si>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</si>
  <si>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</si>
  <si>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</si>
  <si>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</si>
  <si>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</si>
  <si>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</si>
  <si>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</si>
  <si>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</si>
  <si>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</si>
  <si>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</si>
  <si>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</si>
  <si>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</si>
  <si>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</si>
  <si>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</si>
  <si>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</si>
  <si>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</si>
  <si>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</si>
  <si>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</si>
  <si>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</si>
  <si>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</si>
  <si>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</si>
  <si>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</si>
  <si>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</si>
  <si>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</si>
  <si>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</si>
  <si>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BJD1911071525546LET</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</si>
</sst>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62"/>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43776</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43776</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43795.50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17</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194</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99990009638829</v>
      </c>
      <c r="C21" s="77">
        <v>751702</v>
      </c>
      <c r="D21" s="78" t="s">
        <v>54</v>
      </c>
      <c r="E21" s="79"/>
      <c r="F21" s="77"/>
      <c r="G21" s="92">
        <v>0</v>
      </c>
      <c r="H21" s="80" t="s">
        <v>55</v>
      </c>
      <c r="I21" s="80"/>
      <c r="J21" s="79">
        <v>0</v>
      </c>
      <c r="K21" s="256">
        <v>1</v>
      </c>
      <c r="L21" s="257"/>
      <c r="M21" s="258">
        <v>28.55</v>
      </c>
      <c r="N21" s="259">
        <v>0</v>
      </c>
      <c r="O21" s="259">
        <v>0</v>
      </c>
      <c r="P21" s="260">
        <f>ROUND(((K21*M21)-(K21*M21*N21/100))+(((K21*M21)-(K21*M21*N21/100))*O21/100),2)</f>
      </c>
      <c r="Q21" s="261"/>
      <c r="R21" s="261"/>
      <c r="S21" s="81" t="s">
        <v>56</v>
      </c>
      <c r="T21" s="209"/>
      <c r="U21" s="210"/>
    </row>
    <row r="22" spans="1:21" ht="15">
      <c r="A22" s="76">
        <v>2</v>
      </c>
      <c r="B22" s="76">
        <v>99990008206053</v>
      </c>
      <c r="C22" s="77">
        <v>755315</v>
      </c>
      <c r="D22" s="78" t="s">
        <v>57</v>
      </c>
      <c r="E22" s="79"/>
      <c r="F22" s="77"/>
      <c r="G22" s="92">
        <v>0</v>
      </c>
      <c r="H22" s="80" t="s">
        <v>55</v>
      </c>
      <c r="I22" s="80"/>
      <c r="J22" s="79">
        <v>0</v>
      </c>
      <c r="K22" s="256">
        <v>1</v>
      </c>
      <c r="L22" s="257"/>
      <c r="M22" s="258">
        <v>118.19</v>
      </c>
      <c r="N22" s="259">
        <v>0</v>
      </c>
      <c r="O22" s="259">
        <v>0</v>
      </c>
      <c r="P22" s="260">
        <f>ROUND(((K22*M22)-(K22*M22*N22/100))+(((K22*M22)-(K22*M22*N22/100))*O22/100),2)</f>
      </c>
      <c r="Q22" s="261"/>
      <c r="R22" s="261"/>
      <c r="S22" s="81" t="s">
        <v>58</v>
      </c>
      <c r="T22" s="209"/>
      <c r="U22" s="210"/>
    </row>
    <row r="23" spans="1:21" ht="15">
      <c r="A23" s="76"/>
      <c r="B23" s="76"/>
      <c r="C23" s="77"/>
      <c r="D23" s="78"/>
      <c r="E23" s="79"/>
      <c r="F23" s="77"/>
      <c r="G23" s="92"/>
      <c r="H23" s="77"/>
      <c r="I23" s="77"/>
      <c r="J23" s="79"/>
      <c r="K23" s="262"/>
      <c r="L23" s="263"/>
      <c r="M23" s="264" t="s">
        <v>59</v>
      </c>
      <c r="N23" s="265"/>
      <c r="O23" s="265"/>
      <c r="P23" s="260">
        <f>SUM(P21:P22)</f>
      </c>
      <c r="Q23" s="266"/>
      <c r="R23" s="266"/>
      <c r="S23" s="81"/>
      <c r="T23" s="209"/>
      <c r="U23" s="210"/>
    </row>
    <row r="24" spans="1:21" ht="15" hidden="1">
      <c r="A24" s="76"/>
      <c r="B24" s="76"/>
      <c r="C24" s="77"/>
      <c r="D24" s="78"/>
      <c r="E24" s="79"/>
      <c r="F24" s="77"/>
      <c r="G24" s="92"/>
      <c r="H24" s="80"/>
      <c r="I24" s="80"/>
      <c r="J24" s="79"/>
      <c r="K24" s="262"/>
      <c r="L24" s="257"/>
      <c r="M24" s="267"/>
      <c r="N24" s="268"/>
      <c r="O24" s="268"/>
      <c r="P24" s="260"/>
      <c r="Q24" s="261"/>
      <c r="R24" s="261"/>
      <c r="S24" s="81"/>
      <c r="T24" s="209"/>
      <c r="U24" s="210"/>
    </row>
    <row r="25" spans="1:21" ht="15">
      <c r="A25" s="6"/>
      <c r="B25" s="211"/>
      <c r="C25" s="212"/>
      <c r="D25" s="212"/>
      <c r="E25" s="212"/>
      <c r="F25" s="212"/>
      <c r="G25" s="212"/>
      <c r="H25" s="213"/>
      <c r="I25" s="213"/>
      <c r="J25" s="213"/>
      <c r="K25" s="213"/>
      <c r="L25" s="37"/>
      <c r="M25" s="37"/>
      <c r="N25" s="213"/>
      <c r="O25" s="213"/>
      <c r="P25" s="213"/>
      <c r="Q25" s="213"/>
      <c r="R25" s="213"/>
      <c r="S25" s="213"/>
      <c r="T25" s="151"/>
      <c r="U25" s="214"/>
    </row>
    <row r="26" spans="1:21" ht="12.75" customHeight="1">
      <c r="A26" s="195" t="s">
        <v>39</v>
      </c>
      <c r="B26" s="195"/>
      <c r="C26" s="195" t="s">
        <v>60</v>
      </c>
      <c r="D26" s="195"/>
      <c r="E26" s="195"/>
      <c r="F26" s="195"/>
      <c r="G26" s="195"/>
      <c r="H26" s="195"/>
      <c r="I26" s="195"/>
      <c r="J26" s="195"/>
      <c r="K26" s="197"/>
      <c r="L26" s="197" t="s">
        <v>61</v>
      </c>
      <c r="M26" s="197"/>
      <c r="N26" s="197" t="s">
        <v>48</v>
      </c>
      <c r="O26" s="197" t="s">
        <v>49</v>
      </c>
      <c r="P26" s="197" t="s">
        <v>62</v>
      </c>
      <c r="Q26" s="197" t="s">
        <v>51</v>
      </c>
      <c r="R26" s="197"/>
      <c r="S26" s="197"/>
      <c r="T26" s="197"/>
      <c r="U26" s="198"/>
    </row>
    <row r="27" spans="1:21" ht="15">
      <c r="A27" s="215">
        <v>1</v>
      </c>
      <c r="B27" s="215"/>
      <c r="C27" s="216" t="s">
        <v>63</v>
      </c>
      <c r="D27" s="217" t="s">
        <v>63</v>
      </c>
      <c r="E27" s="217" t="s">
        <v>63</v>
      </c>
      <c r="F27" s="217" t="s">
        <v>63</v>
      </c>
      <c r="G27" s="217" t="s">
        <v>63</v>
      </c>
      <c r="H27" s="217" t="s">
        <v>63</v>
      </c>
      <c r="I27" s="217" t="s">
        <v>63</v>
      </c>
      <c r="J27" s="217" t="s">
        <v>63</v>
      </c>
      <c r="K27" s="218" t="s">
        <v>63</v>
      </c>
      <c r="L27" s="219"/>
      <c r="M27" s="220">
        <v>0</v>
      </c>
      <c r="N27" s="220">
        <v>0</v>
      </c>
      <c r="O27" s="221">
        <v>0</v>
      </c>
      <c r="P27" s="222">
        <f>ROUND((M27-(M27*N27/100)+((M27-(M27*N27/100))*O27/100)),2)</f>
      </c>
      <c r="Q27" s="223"/>
      <c r="R27" s="224"/>
      <c r="S27" s="224"/>
      <c r="T27" s="224"/>
      <c r="U27" s="225"/>
    </row>
    <row r="28" spans="1:21" ht="15">
      <c r="A28" s="215">
        <v>2</v>
      </c>
      <c r="B28" s="215"/>
      <c r="C28" s="216" t="s">
        <v>64</v>
      </c>
      <c r="D28" s="217" t="s">
        <v>64</v>
      </c>
      <c r="E28" s="217" t="s">
        <v>64</v>
      </c>
      <c r="F28" s="217" t="s">
        <v>64</v>
      </c>
      <c r="G28" s="217" t="s">
        <v>64</v>
      </c>
      <c r="H28" s="217" t="s">
        <v>64</v>
      </c>
      <c r="I28" s="217" t="s">
        <v>64</v>
      </c>
      <c r="J28" s="217" t="s">
        <v>64</v>
      </c>
      <c r="K28" s="218" t="s">
        <v>64</v>
      </c>
      <c r="L28" s="219"/>
      <c r="M28" s="220">
        <v>0</v>
      </c>
      <c r="N28" s="220">
        <v>0</v>
      </c>
      <c r="O28" s="221">
        <v>0</v>
      </c>
      <c r="P28" s="222">
        <f>ROUND((M28-(M28*N28/100)+((M28-(M28*N28/100))*O28/100)),2)</f>
      </c>
      <c r="Q28" s="223"/>
      <c r="R28" s="224"/>
      <c r="S28" s="224"/>
      <c r="T28" s="224"/>
      <c r="U28" s="225" t="s">
        <v>65</v>
      </c>
    </row>
    <row r="29" spans="1:21" ht="15">
      <c r="A29" s="215">
        <v>3</v>
      </c>
      <c r="B29" s="215"/>
      <c r="C29" s="216"/>
      <c r="D29" s="217"/>
      <c r="E29" s="217"/>
      <c r="F29" s="217"/>
      <c r="G29" s="217"/>
      <c r="H29" s="217"/>
      <c r="I29" s="217"/>
      <c r="J29" s="217"/>
      <c r="K29" s="218"/>
      <c r="L29" s="219"/>
      <c r="M29" s="220">
        <v>0</v>
      </c>
      <c r="N29" s="220">
        <v>0</v>
      </c>
      <c r="O29" s="221">
        <v>0</v>
      </c>
      <c r="P29" s="222">
        <f>ROUND((M29-(M29*N29/100)+((M29-(M29*N29/100))*O29/100)),2)</f>
      </c>
      <c r="Q29" s="223"/>
      <c r="R29" s="224"/>
      <c r="S29" s="224"/>
      <c r="T29" s="224"/>
      <c r="U29" s="225"/>
    </row>
    <row r="30" spans="1:21" ht="15">
      <c r="A30" s="215">
        <v>4</v>
      </c>
      <c r="B30" s="215"/>
      <c r="C30" s="216"/>
      <c r="D30" s="217"/>
      <c r="E30" s="217"/>
      <c r="F30" s="217"/>
      <c r="G30" s="217"/>
      <c r="H30" s="217"/>
      <c r="I30" s="217"/>
      <c r="J30" s="217"/>
      <c r="K30" s="218"/>
      <c r="L30" s="219"/>
      <c r="M30" s="220">
        <v>0</v>
      </c>
      <c r="N30" s="220">
        <v>0</v>
      </c>
      <c r="O30" s="221">
        <v>0</v>
      </c>
      <c r="P30" s="222">
        <f>ROUND((M30-(M30*N30/100)+((M30-(M30*N30/100))*O30/100)),2)</f>
      </c>
      <c r="Q30" s="223"/>
      <c r="R30" s="224"/>
      <c r="S30" s="224"/>
      <c r="T30" s="224"/>
      <c r="U30" s="225"/>
    </row>
    <row r="31" spans="1:21" ht="15.75" customHeight="1">
      <c r="A31" s="226"/>
      <c r="B31" s="226"/>
      <c r="C31" s="227"/>
      <c r="D31" s="227"/>
      <c r="E31" s="227"/>
      <c r="F31" s="227"/>
      <c r="G31" s="227"/>
      <c r="H31" s="163"/>
      <c r="I31" s="163"/>
      <c r="J31" s="163"/>
      <c r="K31" s="228"/>
      <c r="L31" s="139" t="s">
        <v>59</v>
      </c>
      <c r="M31" s="140" t="s">
        <v>59</v>
      </c>
      <c r="N31" s="141"/>
      <c r="O31" s="141"/>
      <c r="P31" s="229">
        <f>SUM(SubItemTotal)</f>
      </c>
      <c r="Q31" s="163"/>
      <c r="R31" s="163"/>
      <c r="S31" s="163"/>
      <c r="T31" s="151"/>
      <c r="U31" s="214"/>
    </row>
    <row r="32" spans="1:21" ht="30" customHeight="1">
      <c r="A32" s="226"/>
      <c r="B32" s="226"/>
      <c r="C32" s="227"/>
      <c r="D32" s="227"/>
      <c r="E32" s="227"/>
      <c r="F32" s="227"/>
      <c r="G32" s="227"/>
      <c r="H32" s="163"/>
      <c r="I32" s="163"/>
      <c r="J32" s="163"/>
      <c r="K32" s="230"/>
      <c r="L32" s="142" t="s">
        <v>66</v>
      </c>
      <c r="M32" s="142" t="s">
        <v>66</v>
      </c>
      <c r="N32" s="141"/>
      <c r="O32" s="141"/>
      <c r="P32" s="231">
        <f>SUM(P27:P31)</f>
      </c>
      <c r="Q32" s="163"/>
      <c r="R32" s="163"/>
      <c r="S32" s="163"/>
      <c r="T32" s="151"/>
      <c r="U32" s="214"/>
    </row>
    <row r="33" spans="1:21" ht="30" customHeight="1" hidden="1">
      <c r="A33" s="232">
        <v>0</v>
      </c>
      <c r="B33" s="232">
        <v>0</v>
      </c>
      <c r="C33" s="233">
        <v>0</v>
      </c>
      <c r="D33" s="227"/>
      <c r="E33" s="227"/>
      <c r="F33" s="234">
        <v>0</v>
      </c>
      <c r="G33" s="227"/>
      <c r="H33" s="227"/>
      <c r="I33" s="227"/>
      <c r="K33" s="235"/>
      <c r="L33" s="227"/>
      <c r="M33" s="236"/>
      <c r="O33" s="227"/>
      <c r="P33" s="237"/>
      <c r="Q33" s="238"/>
      <c r="R33" s="237"/>
      <c r="S33" s="239"/>
      <c r="T33" s="151"/>
      <c r="U33" s="214"/>
    </row>
    <row r="34" spans="1:21" ht="30" customHeight="1">
      <c r="A34" s="232"/>
      <c r="B34" s="232"/>
      <c r="C34" s="233"/>
      <c r="D34" s="227"/>
      <c r="E34" s="227"/>
      <c r="F34" s="234"/>
      <c r="G34" s="227"/>
      <c r="H34" s="227"/>
      <c r="I34" s="227"/>
      <c r="K34" s="235"/>
      <c r="L34" s="227"/>
      <c r="M34" s="236"/>
      <c r="O34" s="227"/>
      <c r="P34" s="237"/>
      <c r="Q34" s="238"/>
      <c r="R34" s="237"/>
      <c r="S34" s="239"/>
      <c r="T34" s="151"/>
      <c r="U34" s="214"/>
    </row>
    <row r="35" spans="1:21" ht="30" customHeight="1">
      <c r="A35" s="240" t="s">
        <v>67</v>
      </c>
      <c r="B35" s="240"/>
      <c r="C35" s="240"/>
      <c r="D35" s="240"/>
      <c r="E35" s="227"/>
      <c r="F35" s="241" t="s">
        <v>68</v>
      </c>
      <c r="G35" s="241"/>
      <c r="H35" s="241"/>
      <c r="I35" s="241"/>
      <c r="J35" s="241"/>
      <c r="K35" s="241"/>
      <c r="L35" s="241"/>
      <c r="M35" s="241"/>
      <c r="N35" s="241"/>
      <c r="O35" s="241"/>
      <c r="P35" s="241"/>
      <c r="Q35" s="241"/>
      <c r="R35" s="241"/>
      <c r="S35" s="241"/>
      <c r="T35" s="151"/>
      <c r="U35" s="214"/>
    </row>
    <row r="36" spans="1:21" ht="18.75" customHeight="1">
      <c r="A36" s="240" t="s">
        <v>69</v>
      </c>
      <c r="B36" s="240"/>
      <c r="C36" s="240"/>
      <c r="D36" s="240"/>
      <c r="E36" s="227"/>
      <c r="F36" s="241"/>
      <c r="G36" s="241"/>
      <c r="H36" s="241"/>
      <c r="I36" s="241"/>
      <c r="J36" s="241"/>
      <c r="K36" s="241"/>
      <c r="L36" s="241"/>
      <c r="M36" s="241"/>
      <c r="N36" s="241"/>
      <c r="O36" s="241"/>
      <c r="P36" s="241"/>
      <c r="Q36" s="241"/>
      <c r="R36" s="241"/>
      <c r="S36" s="241"/>
      <c r="T36" s="151"/>
      <c r="U36" s="214"/>
    </row>
    <row r="37" spans="1:21" ht="15.75" customHeight="1">
      <c r="A37" s="240" t="s">
        <v>51</v>
      </c>
      <c r="B37" s="240"/>
      <c r="C37" s="240"/>
      <c r="D37" s="240"/>
      <c r="E37" s="242"/>
      <c r="F37" s="243"/>
      <c r="G37" s="243"/>
      <c r="H37" s="243"/>
      <c r="I37" s="243"/>
      <c r="J37" s="243"/>
      <c r="K37" s="243"/>
      <c r="L37" s="243"/>
      <c r="M37" s="243"/>
      <c r="N37" s="243"/>
      <c r="O37" s="243"/>
      <c r="P37" s="243"/>
      <c r="Q37" s="243"/>
      <c r="R37" s="243"/>
      <c r="S37" s="243"/>
      <c r="T37" s="244"/>
      <c r="U37" s="245"/>
    </row>
    <row r="38" spans="1:21" ht="15.75" customHeight="1">
      <c r="A38" s="226"/>
      <c r="B38" s="226"/>
      <c r="C38" s="226"/>
      <c r="D38" s="151"/>
      <c r="E38" s="151"/>
      <c r="F38" s="151"/>
      <c r="G38" s="151"/>
      <c r="H38" s="227"/>
      <c r="I38" s="227"/>
      <c r="J38" s="227"/>
      <c r="K38" s="227"/>
      <c r="L38" s="227"/>
      <c r="M38" s="227"/>
      <c r="N38" s="227"/>
      <c r="O38" s="227"/>
      <c r="P38" s="227"/>
      <c r="Q38" s="227"/>
      <c r="R38" s="227"/>
      <c r="S38" s="227"/>
      <c r="T38" s="151"/>
      <c r="U38" s="214"/>
    </row>
    <row r="39" spans="1:21" ht="15" customHeight="1">
      <c r="A39" s="195" t="s">
        <v>70</v>
      </c>
      <c r="B39" s="195"/>
      <c r="C39" s="195"/>
      <c r="D39" s="195"/>
      <c r="E39" s="195"/>
      <c r="F39" s="195"/>
      <c r="G39" s="195"/>
      <c r="H39" s="195"/>
      <c r="I39" s="195"/>
      <c r="J39" s="195"/>
      <c r="K39" s="195"/>
      <c r="L39" s="195"/>
      <c r="M39" s="195"/>
      <c r="N39" s="195"/>
      <c r="O39" s="195"/>
      <c r="P39" s="195"/>
      <c r="Q39" s="195"/>
      <c r="R39" s="195"/>
      <c r="S39" s="195"/>
      <c r="T39" s="195"/>
      <c r="U39" s="198"/>
    </row>
    <row r="40" spans="1:21" ht="12.75" customHeight="1">
      <c r="A40" s="246" t="s">
        <v>71</v>
      </c>
      <c r="B40" s="246"/>
      <c r="C40" s="246"/>
      <c r="D40" s="246"/>
      <c r="E40" s="246"/>
      <c r="F40" s="246"/>
      <c r="G40" s="246"/>
      <c r="H40" s="246"/>
      <c r="I40" s="246"/>
      <c r="J40" s="246"/>
      <c r="K40" s="246"/>
      <c r="L40" s="246"/>
      <c r="M40" s="246"/>
      <c r="N40" s="246"/>
      <c r="O40" s="246"/>
      <c r="P40" s="246"/>
      <c r="Q40" s="246"/>
      <c r="R40" s="246"/>
      <c r="S40" s="246"/>
      <c r="T40" s="246"/>
      <c r="U40" s="247"/>
    </row>
    <row r="41" spans="1:21" ht="12.75" customHeight="1">
      <c r="A41" s="246" t="s">
        <v>72</v>
      </c>
      <c r="B41" s="246"/>
      <c r="C41" s="246"/>
      <c r="D41" s="246"/>
      <c r="E41" s="246"/>
      <c r="F41" s="246"/>
      <c r="G41" s="246"/>
      <c r="H41" s="246"/>
      <c r="I41" s="246"/>
      <c r="J41" s="246"/>
      <c r="K41" s="246"/>
      <c r="L41" s="246"/>
      <c r="M41" s="246"/>
      <c r="N41" s="246"/>
      <c r="O41" s="246"/>
      <c r="P41" s="246"/>
      <c r="Q41" s="246"/>
      <c r="R41" s="246"/>
      <c r="S41" s="246"/>
      <c r="T41" s="246"/>
      <c r="U41" s="247"/>
    </row>
    <row r="42" spans="1:21" ht="7.5" customHeight="1">
      <c r="A42" s="248"/>
      <c r="B42" s="248"/>
      <c r="C42" s="248"/>
      <c r="D42" s="248"/>
      <c r="E42" s="248"/>
      <c r="F42" s="248"/>
      <c r="G42" s="248"/>
      <c r="H42" s="248"/>
      <c r="I42" s="248"/>
      <c r="J42" s="248"/>
      <c r="K42" s="248"/>
      <c r="L42" s="248"/>
      <c r="M42" s="248"/>
      <c r="N42" s="248"/>
      <c r="O42" s="248"/>
      <c r="P42" s="248"/>
      <c r="Q42" s="248"/>
      <c r="R42" s="248"/>
      <c r="S42" s="248"/>
      <c r="T42" s="248"/>
      <c r="U42" s="249"/>
    </row>
    <row r="43" spans="1:21" ht="12.75" customHeight="1">
      <c r="A43" s="250" t="s">
        <v>73</v>
      </c>
      <c r="B43" s="250"/>
      <c r="C43" s="250"/>
      <c r="D43" s="250"/>
      <c r="E43" s="250"/>
      <c r="F43" s="250"/>
      <c r="G43" s="250"/>
      <c r="H43" s="250"/>
      <c r="I43" s="250"/>
      <c r="J43" s="250"/>
      <c r="K43" s="250"/>
      <c r="L43" s="250"/>
      <c r="M43" s="250"/>
      <c r="N43" s="250"/>
      <c r="O43" s="250"/>
      <c r="P43" s="250"/>
      <c r="Q43" s="250"/>
      <c r="R43" s="250"/>
      <c r="S43" s="250"/>
      <c r="T43" s="250"/>
      <c r="U43" s="251"/>
    </row>
    <row r="44" spans="1:21" ht="12.75" customHeight="1">
      <c r="A44" s="250" t="s">
        <v>74</v>
      </c>
      <c r="B44" s="250"/>
      <c r="C44" s="250"/>
      <c r="D44" s="250"/>
      <c r="E44" s="250"/>
      <c r="F44" s="250"/>
      <c r="G44" s="250"/>
      <c r="H44" s="250"/>
      <c r="I44" s="250"/>
      <c r="J44" s="250"/>
      <c r="K44" s="250"/>
      <c r="L44" s="250"/>
      <c r="M44" s="250"/>
      <c r="N44" s="250"/>
      <c r="O44" s="250"/>
      <c r="P44" s="250"/>
      <c r="Q44" s="250"/>
      <c r="R44" s="250"/>
      <c r="S44" s="250"/>
      <c r="T44" s="250"/>
      <c r="U44" s="251"/>
    </row>
    <row r="45" spans="1:21" ht="12.75" customHeight="1">
      <c r="A45" s="250" t="s">
        <v>75</v>
      </c>
      <c r="B45" s="250"/>
      <c r="C45" s="250"/>
      <c r="D45" s="250"/>
      <c r="E45" s="250"/>
      <c r="F45" s="250"/>
      <c r="G45" s="250"/>
      <c r="H45" s="250"/>
      <c r="I45" s="250"/>
      <c r="J45" s="250"/>
      <c r="K45" s="250"/>
      <c r="L45" s="250"/>
      <c r="M45" s="250"/>
      <c r="N45" s="250"/>
      <c r="O45" s="250"/>
      <c r="P45" s="250"/>
      <c r="Q45" s="250"/>
      <c r="R45" s="250"/>
      <c r="S45" s="250"/>
      <c r="T45" s="250"/>
      <c r="U45" s="251"/>
    </row>
    <row r="46" spans="1:21" ht="7.5" customHeight="1">
      <c r="A46" s="250"/>
      <c r="B46" s="250"/>
      <c r="C46" s="250"/>
      <c r="D46" s="250"/>
      <c r="E46" s="250"/>
      <c r="F46" s="250"/>
      <c r="G46" s="250"/>
      <c r="H46" s="250"/>
      <c r="I46" s="250"/>
      <c r="J46" s="250"/>
      <c r="K46" s="250"/>
      <c r="L46" s="250"/>
      <c r="M46" s="250"/>
      <c r="N46" s="250"/>
      <c r="O46" s="250"/>
      <c r="P46" s="250"/>
      <c r="Q46" s="250"/>
      <c r="R46" s="250"/>
      <c r="S46" s="250"/>
      <c r="T46" s="250"/>
      <c r="U46" s="251"/>
    </row>
    <row r="47" spans="1:21" ht="12.75" customHeight="1">
      <c r="A47" s="252" t="s">
        <v>76</v>
      </c>
      <c r="B47" s="252"/>
      <c r="C47" s="252"/>
      <c r="D47" s="252"/>
      <c r="E47" s="252"/>
      <c r="F47" s="252"/>
      <c r="G47" s="252"/>
      <c r="H47" s="252"/>
      <c r="I47" s="252"/>
      <c r="J47" s="252"/>
      <c r="K47" s="252"/>
      <c r="L47" s="252"/>
      <c r="M47" s="252"/>
      <c r="N47" s="252"/>
      <c r="O47" s="252"/>
      <c r="P47" s="252"/>
      <c r="Q47" s="252"/>
      <c r="R47" s="252"/>
      <c r="S47" s="252"/>
      <c r="T47" s="252"/>
      <c r="U47" s="253"/>
    </row>
    <row r="48" spans="1:21" ht="12.75" customHeight="1">
      <c r="A48" s="254" t="s">
        <v>77</v>
      </c>
      <c r="B48" s="254"/>
      <c r="C48" s="254"/>
      <c r="D48" s="254"/>
      <c r="E48" s="254"/>
      <c r="F48" s="254"/>
      <c r="G48" s="254"/>
      <c r="H48" s="254"/>
      <c r="I48" s="254"/>
      <c r="J48" s="254"/>
      <c r="K48" s="254"/>
      <c r="L48" s="254"/>
      <c r="M48" s="254"/>
      <c r="N48" s="254"/>
      <c r="O48" s="254"/>
      <c r="P48" s="254"/>
      <c r="Q48" s="254"/>
      <c r="R48" s="254"/>
      <c r="S48" s="254"/>
      <c r="T48" s="254"/>
      <c r="U48" s="255"/>
    </row>
    <row r="49" spans="1:21" ht="12.75" customHeight="1">
      <c r="A49" s="254" t="s">
        <v>78</v>
      </c>
      <c r="B49" s="254"/>
      <c r="C49" s="254"/>
      <c r="D49" s="254"/>
      <c r="E49" s="254"/>
      <c r="F49" s="254"/>
      <c r="G49" s="254"/>
      <c r="H49" s="254"/>
      <c r="I49" s="254"/>
      <c r="J49" s="254"/>
      <c r="K49" s="254"/>
      <c r="L49" s="254"/>
      <c r="M49" s="254"/>
      <c r="N49" s="254"/>
      <c r="O49" s="254"/>
      <c r="P49" s="254"/>
      <c r="Q49" s="254"/>
      <c r="R49" s="254"/>
      <c r="S49" s="254"/>
      <c r="T49" s="254"/>
      <c r="U49" s="255"/>
    </row>
    <row r="50" spans="1:21" ht="12.75" customHeight="1">
      <c r="A50" s="250" t="s">
        <v>79</v>
      </c>
      <c r="B50" s="250"/>
      <c r="C50" s="250"/>
      <c r="D50" s="250"/>
      <c r="E50" s="250"/>
      <c r="F50" s="250"/>
      <c r="G50" s="250"/>
      <c r="H50" s="250"/>
      <c r="I50" s="250"/>
      <c r="J50" s="250"/>
      <c r="K50" s="250"/>
      <c r="L50" s="250"/>
      <c r="M50" s="250"/>
      <c r="N50" s="250"/>
      <c r="O50" s="250"/>
      <c r="P50" s="250"/>
      <c r="Q50" s="250"/>
      <c r="R50" s="250"/>
      <c r="S50" s="250"/>
      <c r="T50" s="250"/>
      <c r="U50" s="251"/>
    </row>
    <row r="51" spans="1:21" ht="12.75" customHeight="1">
      <c r="A51" s="254" t="s">
        <v>80</v>
      </c>
      <c r="B51" s="254"/>
      <c r="C51" s="254"/>
      <c r="D51" s="254"/>
      <c r="E51" s="254"/>
      <c r="F51" s="254"/>
      <c r="G51" s="254"/>
      <c r="H51" s="254"/>
      <c r="I51" s="254"/>
      <c r="J51" s="254"/>
      <c r="K51" s="254"/>
      <c r="L51" s="254"/>
      <c r="M51" s="254"/>
      <c r="N51" s="254"/>
      <c r="O51" s="254"/>
      <c r="P51" s="254"/>
      <c r="Q51" s="254"/>
      <c r="R51" s="254"/>
      <c r="S51" s="254"/>
      <c r="T51" s="254"/>
      <c r="U51" s="255"/>
    </row>
    <row r="52" spans="1:21" ht="12.75" customHeight="1">
      <c r="A52" s="254" t="s">
        <v>81</v>
      </c>
      <c r="B52" s="254"/>
      <c r="C52" s="254"/>
      <c r="D52" s="254"/>
      <c r="E52" s="254"/>
      <c r="F52" s="254"/>
      <c r="G52" s="254"/>
      <c r="H52" s="254"/>
      <c r="I52" s="254"/>
      <c r="J52" s="254"/>
      <c r="K52" s="254"/>
      <c r="L52" s="254"/>
      <c r="M52" s="254"/>
      <c r="N52" s="254"/>
      <c r="O52" s="254"/>
      <c r="P52" s="254"/>
      <c r="Q52" s="254"/>
      <c r="R52" s="254"/>
      <c r="S52" s="254"/>
      <c r="T52" s="254"/>
      <c r="U52" s="255"/>
    </row>
    <row r="53" spans="1:21" ht="12" customHeight="1">
      <c r="A53" s="254" t="s">
        <v>82</v>
      </c>
      <c r="B53" s="254"/>
      <c r="C53" s="254"/>
      <c r="D53" s="254"/>
      <c r="E53" s="254"/>
      <c r="F53" s="254"/>
      <c r="G53" s="254"/>
      <c r="H53" s="254"/>
      <c r="I53" s="254"/>
      <c r="J53" s="254"/>
      <c r="K53" s="254"/>
      <c r="L53" s="254"/>
      <c r="M53" s="254"/>
      <c r="N53" s="254"/>
      <c r="O53" s="254"/>
      <c r="P53" s="254"/>
      <c r="Q53" s="254"/>
      <c r="R53" s="254"/>
      <c r="S53" s="254"/>
      <c r="T53" s="254"/>
      <c r="U53" s="251"/>
    </row>
    <row r="54" spans="1:21" ht="12.75" customHeight="1">
      <c r="A54" s="252" t="s">
        <v>83</v>
      </c>
      <c r="B54" s="252"/>
      <c r="C54" s="252"/>
      <c r="D54" s="252"/>
      <c r="E54" s="252"/>
      <c r="F54" s="252"/>
      <c r="G54" s="252"/>
      <c r="H54" s="252"/>
      <c r="I54" s="252"/>
      <c r="J54" s="252"/>
      <c r="K54" s="252"/>
      <c r="L54" s="252"/>
      <c r="M54" s="252"/>
      <c r="N54" s="252"/>
      <c r="O54" s="252"/>
      <c r="P54" s="252"/>
      <c r="Q54" s="252"/>
      <c r="R54" s="252"/>
      <c r="S54" s="252"/>
      <c r="T54" s="252"/>
      <c r="U54" s="253"/>
    </row>
    <row r="55" spans="1:21" ht="12.75" customHeight="1">
      <c r="A55" s="250" t="s">
        <v>84</v>
      </c>
      <c r="B55" s="250"/>
      <c r="C55" s="250"/>
      <c r="D55" s="250"/>
      <c r="E55" s="250"/>
      <c r="F55" s="250"/>
      <c r="G55" s="250"/>
      <c r="H55" s="250"/>
      <c r="I55" s="250"/>
      <c r="J55" s="250"/>
      <c r="K55" s="250"/>
      <c r="L55" s="250"/>
      <c r="M55" s="250"/>
      <c r="N55" s="250"/>
      <c r="O55" s="250"/>
      <c r="P55" s="250"/>
      <c r="Q55" s="250"/>
      <c r="R55" s="250"/>
      <c r="S55" s="250"/>
      <c r="T55" s="250"/>
      <c r="U55" s="251"/>
    </row>
    <row r="56" spans="1:21" ht="12.75" customHeight="1">
      <c r="A56" s="250" t="s">
        <v>85</v>
      </c>
      <c r="B56" s="250"/>
      <c r="C56" s="250"/>
      <c r="D56" s="250"/>
      <c r="E56" s="250"/>
      <c r="F56" s="250"/>
      <c r="G56" s="250"/>
      <c r="H56" s="250"/>
      <c r="I56" s="250"/>
      <c r="J56" s="250"/>
      <c r="K56" s="250"/>
      <c r="L56" s="250"/>
      <c r="M56" s="250"/>
      <c r="N56" s="250"/>
      <c r="O56" s="250"/>
      <c r="P56" s="250"/>
      <c r="Q56" s="250"/>
      <c r="R56" s="250"/>
      <c r="S56" s="250"/>
      <c r="T56" s="250"/>
      <c r="U56" s="251"/>
    </row>
    <row r="57" spans="1:21" ht="12.75" customHeight="1">
      <c r="A57" s="250" t="s">
        <v>86</v>
      </c>
      <c r="B57" s="250"/>
      <c r="C57" s="250"/>
      <c r="D57" s="250"/>
      <c r="E57" s="250"/>
      <c r="F57" s="250"/>
      <c r="G57" s="250"/>
      <c r="H57" s="250"/>
      <c r="I57" s="250"/>
      <c r="J57" s="250"/>
      <c r="K57" s="250"/>
      <c r="L57" s="250"/>
      <c r="M57" s="250"/>
      <c r="N57" s="250"/>
      <c r="O57" s="250"/>
      <c r="P57" s="250"/>
      <c r="Q57" s="250"/>
      <c r="R57" s="250"/>
      <c r="S57" s="250"/>
      <c r="T57" s="250"/>
      <c r="U57" s="251"/>
    </row>
    <row r="58" spans="1:21" ht="12" customHeight="1">
      <c r="A58" s="250" t="s">
        <v>87</v>
      </c>
      <c r="B58" s="250"/>
      <c r="C58" s="250"/>
      <c r="D58" s="250"/>
      <c r="E58" s="250"/>
      <c r="F58" s="250"/>
      <c r="G58" s="250"/>
      <c r="H58" s="250"/>
      <c r="I58" s="250"/>
      <c r="J58" s="250"/>
      <c r="K58" s="250"/>
      <c r="L58" s="250"/>
      <c r="M58" s="250"/>
      <c r="N58" s="250"/>
      <c r="O58" s="250"/>
      <c r="P58" s="250"/>
      <c r="Q58" s="250"/>
      <c r="R58" s="250"/>
      <c r="S58" s="250"/>
      <c r="T58" s="250"/>
      <c r="U58" s="251"/>
    </row>
    <row r="59" spans="1:21" ht="7.5" customHeight="1">
      <c r="A59" s="250"/>
      <c r="B59" s="250"/>
      <c r="C59" s="250"/>
      <c r="D59" s="250"/>
      <c r="E59" s="250"/>
      <c r="F59" s="250"/>
      <c r="G59" s="250"/>
      <c r="H59" s="250"/>
      <c r="I59" s="250"/>
      <c r="J59" s="250"/>
      <c r="K59" s="250"/>
      <c r="L59" s="250"/>
      <c r="M59" s="250"/>
      <c r="N59" s="250"/>
      <c r="O59" s="250"/>
      <c r="P59" s="250"/>
      <c r="Q59" s="250"/>
      <c r="R59" s="250"/>
      <c r="S59" s="250"/>
      <c r="T59" s="250"/>
      <c r="U59" s="251"/>
    </row>
    <row r="60" spans="1:21" ht="12.75" customHeight="1">
      <c r="A60" s="252" t="s">
        <v>88</v>
      </c>
      <c r="B60" s="252"/>
      <c r="C60" s="252"/>
      <c r="D60" s="252"/>
      <c r="E60" s="252"/>
      <c r="F60" s="252"/>
      <c r="G60" s="252"/>
      <c r="H60" s="252"/>
      <c r="I60" s="252"/>
      <c r="J60" s="252"/>
      <c r="K60" s="252"/>
      <c r="L60" s="252"/>
      <c r="M60" s="252"/>
      <c r="N60" s="252"/>
      <c r="O60" s="252"/>
      <c r="P60" s="252"/>
      <c r="Q60" s="252"/>
      <c r="R60" s="252"/>
      <c r="S60" s="252"/>
      <c r="T60" s="252"/>
      <c r="U60" s="253"/>
    </row>
    <row r="61" spans="1:21" ht="12" customHeight="1">
      <c r="A61" s="252" t="s">
        <v>89</v>
      </c>
      <c r="B61" s="252"/>
      <c r="C61" s="252"/>
      <c r="D61" s="252"/>
      <c r="E61" s="252"/>
      <c r="F61" s="252"/>
      <c r="G61" s="252"/>
      <c r="H61" s="252"/>
      <c r="I61" s="252"/>
      <c r="J61" s="252"/>
      <c r="K61" s="252"/>
      <c r="L61" s="252"/>
      <c r="M61" s="252"/>
      <c r="N61" s="252"/>
      <c r="O61" s="252"/>
      <c r="P61" s="252"/>
      <c r="Q61" s="252"/>
      <c r="R61" s="252"/>
      <c r="S61" s="252"/>
      <c r="T61" s="252"/>
      <c r="U61" s="253"/>
    </row>
    <row r="62" spans="1:21" ht="12.75" customHeight="1">
      <c r="A62" s="254"/>
      <c r="B62" s="254"/>
      <c r="C62" s="254"/>
      <c r="D62" s="254"/>
      <c r="E62" s="254"/>
      <c r="F62" s="254"/>
      <c r="G62" s="254"/>
      <c r="H62" s="254"/>
      <c r="I62" s="254"/>
      <c r="J62" s="254"/>
      <c r="K62" s="254"/>
      <c r="L62" s="254"/>
      <c r="M62" s="254"/>
      <c r="N62" s="254"/>
      <c r="O62" s="254"/>
      <c r="P62" s="254"/>
      <c r="Q62" s="254"/>
      <c r="R62" s="254"/>
      <c r="S62" s="254"/>
      <c r="T62" s="254"/>
      <c r="U62" s="255"/>
    </row>
  </sheetData>
  <sheetProtection algorithmName="SHA-512" hashValue="ODqT77mCG23VcwiQyppH0w+qR1OA7/71DW3oJ47wj0lmvo0Edc4Vh03cv3sJUdViK6n7Maq+y5QMRO6jFYp5uQ==" saltValue="7NzSwiPgZgXo3fGKVuNMfw==" spinCount="100000" sheet="1" objects="1" scenarios="1"/>
  <mergeCells count="90">
    <mergeCell ref="A50:T50"/>
    <mergeCell ref="A39:T39"/>
    <mergeCell ref="A40:T40"/>
    <mergeCell ref="A62:T62"/>
    <mergeCell ref="A51:T51"/>
    <mergeCell ref="A52:T52"/>
    <mergeCell ref="A53:T53"/>
    <mergeCell ref="A54:T54"/>
    <mergeCell ref="A55:T55"/>
    <mergeCell ref="A56:T56"/>
    <mergeCell ref="A57:T57"/>
    <mergeCell ref="A58:T58"/>
    <mergeCell ref="A59:T59"/>
    <mergeCell ref="A60:T60"/>
    <mergeCell ref="A61:T61"/>
    <mergeCell ref="A47:T47"/>
    <mergeCell ref="A48:T48"/>
    <mergeCell ref="A49:T49"/>
    <mergeCell ref="A44:T44"/>
    <mergeCell ref="A45:T45"/>
    <mergeCell ref="A46:T46"/>
    <mergeCell ref="A41:T41"/>
    <mergeCell ref="A43:T43"/>
    <mergeCell ref="A37:D37"/>
    <mergeCell ref="Q30:T30"/>
    <mergeCell ref="L31:M31"/>
    <mergeCell ref="N31:O31"/>
    <mergeCell ref="L32:M32"/>
    <mergeCell ref="N32:O32"/>
    <mergeCell ref="F36:S36"/>
    <mergeCell ref="F35:S35"/>
    <mergeCell ref="A36:D36"/>
    <mergeCell ref="A35:D35"/>
    <mergeCell ref="F37:S37"/>
    <mergeCell ref="Q27:T27"/>
    <mergeCell ref="Q28:T28"/>
    <mergeCell ref="Q29:T29"/>
    <mergeCell ref="D19:E19"/>
    <mergeCell ref="L19:M19"/>
    <mergeCell ref="Q19:R19"/>
    <mergeCell ref="S19:T19"/>
    <mergeCell ref="C26:H26"/>
    <mergeCell ref="L26:M26"/>
    <mergeCell ref="Q26:T26"/>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27:K27"/>
    <mergeCell ref="C28:K28"/>
    <mergeCell ref="C29:K29"/>
    <mergeCell ref="C30:K30"/>
  </mergeCells>
  <dataValidations count="29">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allowBlank="1" showInputMessage="1" showErrorMessage="1" sqref="P26"/>
    <dataValidation type="decimal" operator="greaterThanOrEqual" allowBlank="1" showInputMessage="1" showErrorMessage="1" sqref="P27">
      <formula1>0</formula1>
    </dataValidation>
    <dataValidation type="decimal" operator="greaterThanOrEqual" allowBlank="1" showInputMessage="1" showErrorMessage="1" sqref="P28">
      <formula1>0</formula1>
    </dataValidation>
    <dataValidation type="decimal" operator="greaterThanOrEqual" allowBlank="1" showInputMessage="1" showErrorMessage="1" sqref="P29">
      <formula1>0</formula1>
    </dataValidation>
    <dataValidation type="decimal" operator="greaterThanOrEqual" allowBlank="1" showInputMessage="1" showErrorMessage="1" sqref="P30">
      <formula1>0</formula1>
    </dataValidation>
    <dataValidation type="list" allowBlank="1" showInputMessage="1" showErrorMessage="1" sqref="C27:K27">
      <formula1>'MasterData'!$H$1:$H$14</formula1>
    </dataValidation>
    <dataValidation type="list" allowBlank="1" showInputMessage="1" showErrorMessage="1" sqref="C28:K28">
      <formula1>'MasterData'!$H$1:$H$14</formula1>
    </dataValidation>
    <dataValidation type="list" allowBlank="1" showInputMessage="1" showErrorMessage="1" sqref="C29:K29">
      <formula1>'MasterData'!$H$1:$H$14</formula1>
    </dataValidation>
    <dataValidation type="list" allowBlank="1" showInputMessage="1" showErrorMessage="1" sqref="C30:K30">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7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90</v>
      </c>
      <c r="D1" s="147">
        <v>10128579</v>
      </c>
      <c r="E1" s="147" t="s">
        <v>91</v>
      </c>
      <c r="G1" s="147">
        <v>1001307</v>
      </c>
      <c r="H1" s="147" t="s">
        <v>63</v>
      </c>
      <c r="M1" s="269" t="s">
        <v>92</v>
      </c>
      <c r="N1" s="270" t="s">
        <v>93</v>
      </c>
      <c r="O1" s="147" t="s">
        <v>94</v>
      </c>
    </row>
    <row r="2" spans="1:15" ht="15">
      <c r="A2" s="147">
        <v>400001</v>
      </c>
      <c r="B2" s="147" t="s">
        <v>91</v>
      </c>
      <c r="D2" s="147">
        <v>10128580</v>
      </c>
      <c r="E2" s="147" t="s">
        <v>95</v>
      </c>
      <c r="G2" s="147">
        <v>1001310</v>
      </c>
      <c r="H2" s="147" t="s">
        <v>64</v>
      </c>
      <c r="M2" s="269" t="s">
        <v>96</v>
      </c>
      <c r="N2" s="270">
        <v>1020737615</v>
      </c>
      <c r="O2" s="147" t="s">
        <v>97</v>
      </c>
    </row>
    <row r="3" spans="1:15" ht="15">
      <c r="A3" s="147">
        <v>400002</v>
      </c>
      <c r="B3" s="147" t="s">
        <v>98</v>
      </c>
      <c r="D3" s="147">
        <v>10128581</v>
      </c>
      <c r="E3" s="147" t="s">
        <v>95</v>
      </c>
      <c r="G3" s="147">
        <v>1012729</v>
      </c>
      <c r="H3" s="147" t="s">
        <v>99</v>
      </c>
      <c r="M3" s="269" t="s">
        <v>100</v>
      </c>
      <c r="N3" s="270">
        <v>99990000436390</v>
      </c>
      <c r="O3" s="147" t="s">
        <v>101</v>
      </c>
    </row>
    <row r="4" spans="1:15" ht="15">
      <c r="A4" s="147">
        <v>400003</v>
      </c>
      <c r="B4" s="147" t="s">
        <v>95</v>
      </c>
      <c r="D4" s="147">
        <v>10128582</v>
      </c>
      <c r="E4" s="147" t="s">
        <v>98</v>
      </c>
      <c r="G4" s="147">
        <v>1012730</v>
      </c>
      <c r="H4" s="147" t="s">
        <v>102</v>
      </c>
      <c r="M4" s="269" t="s">
        <v>103</v>
      </c>
      <c r="N4" s="270">
        <v>1021856981</v>
      </c>
      <c r="O4" s="147" t="s">
        <v>104</v>
      </c>
    </row>
    <row r="5" spans="1:15" ht="15">
      <c r="A5" s="147">
        <v>400004</v>
      </c>
      <c r="B5" s="147" t="s">
        <v>105</v>
      </c>
      <c r="D5" s="147">
        <v>10128595</v>
      </c>
      <c r="E5" s="147" t="s">
        <v>98</v>
      </c>
      <c r="G5" s="147">
        <v>1012731</v>
      </c>
      <c r="H5" s="147" t="s">
        <v>106</v>
      </c>
      <c r="M5" s="269" t="s">
        <v>107</v>
      </c>
      <c r="N5" s="270"/>
      <c r="O5" s="147" t="s">
        <v>108</v>
      </c>
    </row>
    <row r="6" spans="1:15" ht="15">
      <c r="A6" s="147">
        <v>400005</v>
      </c>
      <c r="B6" s="147" t="s">
        <v>109</v>
      </c>
      <c r="D6" s="147">
        <v>10128596</v>
      </c>
      <c r="E6" s="147" t="s">
        <v>90</v>
      </c>
      <c r="G6" s="147">
        <v>1012732</v>
      </c>
      <c r="H6" s="147" t="s">
        <v>110</v>
      </c>
      <c r="M6" s="269" t="s">
        <v>111</v>
      </c>
      <c r="N6" s="270" t="s">
        <v>112</v>
      </c>
      <c r="O6" s="147" t="s">
        <v>113</v>
      </c>
    </row>
    <row r="7" spans="1:15" ht="15">
      <c r="A7" s="147">
        <v>400017</v>
      </c>
      <c r="B7" s="147" t="s">
        <v>114</v>
      </c>
      <c r="D7" s="147">
        <v>10128597</v>
      </c>
      <c r="E7" s="147" t="s">
        <v>95</v>
      </c>
      <c r="G7" s="147">
        <v>1012733</v>
      </c>
      <c r="H7" s="147" t="s">
        <v>115</v>
      </c>
      <c r="M7" s="269" t="s">
        <v>116</v>
      </c>
      <c r="N7" s="270">
        <v>0</v>
      </c>
      <c r="O7" s="147" t="s">
        <v>117</v>
      </c>
    </row>
    <row r="8" spans="1:15" ht="15">
      <c r="A8" s="147">
        <v>900009</v>
      </c>
      <c r="B8" s="147" t="s">
        <v>118</v>
      </c>
      <c r="D8" s="147">
        <v>10128598</v>
      </c>
      <c r="E8" s="147" t="s">
        <v>98</v>
      </c>
      <c r="G8" s="147">
        <v>1012735</v>
      </c>
      <c r="H8" s="147" t="s">
        <v>119</v>
      </c>
      <c r="O8" s="147" t="s">
        <v>120</v>
      </c>
    </row>
    <row r="9" spans="1:15" ht="15">
      <c r="A9" s="147">
        <v>900010</v>
      </c>
      <c r="B9" s="147" t="s">
        <v>121</v>
      </c>
      <c r="D9" s="147">
        <v>10128599</v>
      </c>
      <c r="E9" s="147" t="s">
        <v>91</v>
      </c>
      <c r="G9" s="147">
        <v>1012736</v>
      </c>
      <c r="H9" s="147" t="s">
        <v>122</v>
      </c>
      <c r="O9" s="147" t="s">
        <v>123</v>
      </c>
    </row>
    <row r="10" spans="1:15" ht="15">
      <c r="A10" s="147">
        <v>900011</v>
      </c>
      <c r="B10" s="147" t="s">
        <v>124</v>
      </c>
      <c r="D10" s="147">
        <v>10128600</v>
      </c>
      <c r="E10" s="147" t="s">
        <v>95</v>
      </c>
      <c r="G10" s="147">
        <v>1012737</v>
      </c>
      <c r="H10" s="147" t="s">
        <v>125</v>
      </c>
      <c r="O10" s="147" t="s">
        <v>126</v>
      </c>
    </row>
    <row r="11" spans="1:15" ht="15">
      <c r="A11" s="147">
        <v>900012</v>
      </c>
      <c r="B11" s="147" t="s">
        <v>127</v>
      </c>
      <c r="D11" s="147">
        <v>10128579</v>
      </c>
      <c r="E11" s="147" t="s">
        <v>91</v>
      </c>
      <c r="G11" s="147">
        <v>1012741</v>
      </c>
      <c r="H11" s="147" t="s">
        <v>128</v>
      </c>
      <c r="O11" s="147" t="s">
        <v>129</v>
      </c>
    </row>
    <row r="12" spans="1:15" ht="15">
      <c r="A12" s="147">
        <v>900013</v>
      </c>
      <c r="B12" s="147" t="s">
        <v>130</v>
      </c>
      <c r="D12" s="147">
        <v>10128580</v>
      </c>
      <c r="E12" s="147" t="s">
        <v>95</v>
      </c>
      <c r="G12" s="147">
        <v>1012742</v>
      </c>
      <c r="H12" s="147" t="s">
        <v>131</v>
      </c>
      <c r="O12" s="147" t="s">
        <v>132</v>
      </c>
    </row>
    <row r="13" spans="1:15" ht="15">
      <c r="A13" s="147">
        <v>900014</v>
      </c>
      <c r="B13" s="147" t="s">
        <v>133</v>
      </c>
      <c r="D13" s="147">
        <v>10128581</v>
      </c>
      <c r="E13" s="147" t="s">
        <v>95</v>
      </c>
      <c r="G13" s="147">
        <v>1012743</v>
      </c>
      <c r="H13" s="147" t="s">
        <v>134</v>
      </c>
      <c r="O13" s="147" t="s">
        <v>135</v>
      </c>
    </row>
    <row r="14" spans="1:15" ht="15">
      <c r="A14" s="147">
        <v>900073</v>
      </c>
      <c r="B14" s="147" t="s">
        <v>136</v>
      </c>
      <c r="D14" s="147">
        <v>10128582</v>
      </c>
      <c r="E14" s="147" t="s">
        <v>98</v>
      </c>
      <c r="G14" s="147">
        <v>1012744</v>
      </c>
      <c r="H14" s="147" t="s">
        <v>137</v>
      </c>
      <c r="O14" s="147" t="s">
        <v>138</v>
      </c>
    </row>
    <row r="15" spans="4:15" ht="15">
      <c r="D15" s="147">
        <v>10128595</v>
      </c>
      <c r="E15" s="147" t="s">
        <v>98</v>
      </c>
      <c r="O15" s="147" t="s">
        <v>139</v>
      </c>
    </row>
    <row r="16" spans="4:15" ht="15">
      <c r="D16" s="147">
        <v>10128596</v>
      </c>
      <c r="E16" s="147" t="s">
        <v>90</v>
      </c>
      <c r="O16" s="147" t="s">
        <v>140</v>
      </c>
    </row>
    <row r="17" spans="4:15" ht="15">
      <c r="D17" s="147">
        <v>10128597</v>
      </c>
      <c r="E17" s="147" t="s">
        <v>95</v>
      </c>
      <c r="O17" s="147" t="s">
        <v>141</v>
      </c>
    </row>
    <row r="18" spans="4:15" ht="15">
      <c r="D18" s="147">
        <v>10128598</v>
      </c>
      <c r="E18" s="147" t="s">
        <v>98</v>
      </c>
      <c r="O18" s="147" t="s">
        <v>142</v>
      </c>
    </row>
    <row r="19" spans="4:15" ht="15">
      <c r="D19" s="147">
        <v>10128599</v>
      </c>
      <c r="E19" s="147" t="s">
        <v>91</v>
      </c>
      <c r="O19" s="147" t="s">
        <v>143</v>
      </c>
    </row>
    <row r="20" spans="4:15" ht="15">
      <c r="D20" s="147">
        <v>10128600</v>
      </c>
      <c r="E20" s="147" t="s">
        <v>95</v>
      </c>
      <c r="O20" s="147" t="s">
        <v>144</v>
      </c>
    </row>
    <row r="21" ht="15">
      <c r="O21" s="147" t="s">
        <v>145</v>
      </c>
    </row>
    <row r="22" ht="15">
      <c r="O22" s="147" t="s">
        <v>146</v>
      </c>
    </row>
    <row r="23" ht="15">
      <c r="O23" s="147" t="s">
        <v>147</v>
      </c>
    </row>
    <row r="24" ht="15">
      <c r="O24" s="147" t="s">
        <v>148</v>
      </c>
    </row>
    <row r="25" ht="15">
      <c r="O25" s="147" t="s">
        <v>149</v>
      </c>
    </row>
    <row r="26" ht="15">
      <c r="O26" s="147" t="s">
        <v>150</v>
      </c>
    </row>
    <row r="27" ht="15">
      <c r="O27" s="147" t="s">
        <v>151</v>
      </c>
    </row>
    <row r="28" ht="15">
      <c r="O28" s="147" t="s">
        <v>152</v>
      </c>
    </row>
    <row r="29" ht="15">
      <c r="O29" s="147" t="s">
        <v>153</v>
      </c>
    </row>
    <row r="30" ht="15">
      <c r="O30" s="147" t="s">
        <v>154</v>
      </c>
    </row>
    <row r="31" ht="15">
      <c r="O31" s="147" t="s">
        <v>155</v>
      </c>
    </row>
    <row r="32" ht="15">
      <c r="O32" s="147" t="s">
        <v>156</v>
      </c>
    </row>
    <row r="33" ht="15">
      <c r="O33" s="147" t="s">
        <v>157</v>
      </c>
    </row>
    <row r="34" ht="15">
      <c r="O34" s="147" t="s">
        <v>158</v>
      </c>
    </row>
    <row r="35" ht="15">
      <c r="O35" s="147" t="s">
        <v>159</v>
      </c>
    </row>
    <row r="36" ht="15">
      <c r="O36" s="147" t="s">
        <v>160</v>
      </c>
    </row>
    <row r="37" ht="15">
      <c r="O37" s="147" t="s">
        <v>161</v>
      </c>
    </row>
    <row r="38" ht="15">
      <c r="O38" s="147" t="s">
        <v>162</v>
      </c>
    </row>
    <row r="39" ht="15">
      <c r="O39" s="147" t="s">
        <v>163</v>
      </c>
    </row>
    <row r="40" ht="15">
      <c r="O40" s="147" t="s">
        <v>164</v>
      </c>
    </row>
    <row r="41" ht="15">
      <c r="O41" s="147" t="s">
        <v>165</v>
      </c>
    </row>
    <row r="42" ht="15">
      <c r="O42" s="147" t="s">
        <v>166</v>
      </c>
    </row>
    <row r="43" ht="15">
      <c r="O43" s="147" t="s">
        <v>167</v>
      </c>
    </row>
    <row r="44" ht="15">
      <c r="O44" s="147" t="s">
        <v>168</v>
      </c>
    </row>
    <row r="45" ht="15">
      <c r="O45" s="147" t="s">
        <v>169</v>
      </c>
    </row>
    <row r="46" ht="15">
      <c r="O46" s="147" t="s">
        <v>170</v>
      </c>
    </row>
    <row r="47" ht="15">
      <c r="O47" s="147" t="s">
        <v>171</v>
      </c>
    </row>
    <row r="48" ht="15">
      <c r="O48" s="147" t="s">
        <v>172</v>
      </c>
    </row>
    <row r="49" ht="15">
      <c r="O49" s="147" t="s">
        <v>173</v>
      </c>
    </row>
    <row r="50" ht="15">
      <c r="O50" s="147" t="s">
        <v>174</v>
      </c>
    </row>
    <row r="51" ht="15">
      <c r="O51" s="147" t="s">
        <v>175</v>
      </c>
    </row>
    <row r="52" ht="15">
      <c r="O52" s="147" t="s">
        <v>176</v>
      </c>
    </row>
    <row r="53" ht="15">
      <c r="O53" s="147" t="s">
        <v>177</v>
      </c>
    </row>
    <row r="54" ht="15">
      <c r="O54" s="147" t="s">
        <v>178</v>
      </c>
    </row>
    <row r="55" ht="15">
      <c r="O55" s="147" t="s">
        <v>179</v>
      </c>
    </row>
    <row r="56" ht="15">
      <c r="O56" s="147" t="s">
        <v>180</v>
      </c>
    </row>
    <row r="57" ht="15">
      <c r="O57" s="147" t="s">
        <v>181</v>
      </c>
    </row>
    <row r="58" ht="15">
      <c r="O58" s="147" t="s">
        <v>182</v>
      </c>
    </row>
    <row r="59" ht="15">
      <c r="O59" s="147" t="s">
        <v>183</v>
      </c>
    </row>
    <row r="60" ht="15">
      <c r="O60" s="147" t="s">
        <v>184</v>
      </c>
    </row>
    <row r="61" ht="15">
      <c r="O61" s="147" t="s">
        <v>185</v>
      </c>
    </row>
    <row r="62" ht="15">
      <c r="O62" s="147" t="s">
        <v>186</v>
      </c>
    </row>
    <row r="63" ht="15">
      <c r="O63" s="147" t="s">
        <v>187</v>
      </c>
    </row>
    <row r="64" ht="15">
      <c r="O64" s="147" t="s">
        <v>31</v>
      </c>
    </row>
    <row r="65" ht="15">
      <c r="O65" s="147" t="s">
        <v>188</v>
      </c>
    </row>
    <row r="66" ht="15">
      <c r="O66" s="147" t="s">
        <v>189</v>
      </c>
    </row>
    <row r="67" ht="15">
      <c r="O67" s="147" t="s">
        <v>190</v>
      </c>
    </row>
    <row r="68" ht="15">
      <c r="O68" s="147" t="s">
        <v>191</v>
      </c>
    </row>
    <row r="69" ht="15">
      <c r="O69" s="147" t="s">
        <v>192</v>
      </c>
    </row>
    <row r="70" ht="15">
      <c r="O70" s="147" t="s">
        <v>193</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