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Quote!$A$1:$R$131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Quote!$A$112</definedName>
    <definedName name="Enquiry_To_Vendor_ID" comment="Enquiry to Vendor ID">Quote!$C$112</definedName>
    <definedName name="GrandTotal">Quote!$N$111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Quote!$A$104</definedName>
    <definedName name="ItemListStartupRow" comment="Item List Start Up Row">Quote!$A$19</definedName>
    <definedName name="ItemSubTotal">Quote!$N$110</definedName>
    <definedName name="ItemSubTotalTitle">Quote!$J$110</definedName>
    <definedName name="LeadDay">Quote!$M$11</definedName>
    <definedName name="Lock">Quote!$M$112</definedName>
    <definedName name="LoggedInEmailID">Quote!$N$112</definedName>
    <definedName name="LoggedInPwd">Quote!$O$112</definedName>
    <definedName name="OtherCharges">Quote!$C$106</definedName>
    <definedName name="OtherChargesLastRow">Quote!$A$110</definedName>
    <definedName name="OtherChargesStartRow">Quote!$A$105</definedName>
    <definedName name="Port">Quote!$P$112</definedName>
    <definedName name="PortOfDelivery" comment="Port of Delivery">Quote!$M$9</definedName>
    <definedName name="PurchaserName">Quote!$J$112</definedName>
    <definedName name="QuoteBefore">Quote!$M$8</definedName>
    <definedName name="QuoteID">MasterData!$N$7</definedName>
    <definedName name="QuoteSubject">Quote!$E$112</definedName>
    <definedName name="Remarks">Quote!$E$114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Quote!$K$112</definedName>
    <definedName name="SentIndex">Quote!$L$112</definedName>
    <definedName name="Server">Quote!$Q$112</definedName>
    <definedName name="Terms">Quote!$A$118:$T$139</definedName>
    <definedName name="ToEmailID">Quote!$I$112</definedName>
    <definedName name="ToEmailPwd">Quote!$H$112</definedName>
    <definedName name="VAL">Quote!$F$112</definedName>
    <definedName name="VAT_All">Quote!$M$16</definedName>
    <definedName name="Vendor_ID" comment="Vendor ID">Quote!$B$112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Quote!$D$112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Quote!$E$115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,Quote!$N$27:$N$27,Quote!$N$28:$N$28,Quote!$N$29:$N$29,Quote!$N$30:$N$30,Quote!$N$31:$N$31,Quote!$N$32:$N$32,Quote!$N$33:$N$33,Quote!$N$34:$N$34,Quote!$N$35:$N$35,Quote!$N$36:$N$36,Quote!$N$37:$N$37,Quote!$N$38:$N$38,Quote!$N$39:$N$39,Quote!$N$40:$N$40,Quote!$N$41:$N$41,Quote!$N$42:$N$42,Quote!$N$43:$N$43,Quote!$N$44:$N$44,Quote!$N$45:$N$45,Quote!$N$46:$N$46,Quote!$N$47:$N$47,Quote!$N$48:$N$48,Quote!$N$49:$N$49,Quote!$N$50:$N$50,Quote!$N$51:$N$51,Quote!$N$52:$N$52,Quote!$N$53:$N$53,Quote!$N$54:$N$54,Quote!$N$55:$N$55,Quote!$N$56:$N$56,Quote!$N$57:$N$57,Quote!$N$58:$N$58,Quote!$N$59:$N$59,Quote!$N$60:$N$60,Quote!$N$61:$N$61,Quote!$N$62:$N$62,Quote!$N$63:$N$63,Quote!$N$64:$N$64,Quote!$N$65:$N$65,Quote!$N$66:$N$66,Quote!$N$67:$N$67,Quote!$N$68:$N$68,Quote!$N$69:$N$69,Quote!$N$70:$N$70,Quote!$N$71:$N$71,Quote!$N$72:$N$72,Quote!$N$73:$N$73,Quote!$N$74:$N$74,Quote!$N$75:$N$75,Quote!$N$76:$N$76,Quote!$N$77:$N$77,Quote!$N$78:$N$78,Quote!$N$79:$N$79,Quote!$N$80:$N$80,Quote!$N$81:$N$81,Quote!$N$82:$N$82,Quote!$N$83:$N$83,Quote!$N$84:$N$84,Quote!$N$85:$N$85,Quote!$N$86:$N$86,Quote!$N$87:$N$87,Quote!$N$88:$N$88,Quote!$N$89:$N$89,Quote!$N$90:$N$90,Quote!$N$91:$N$91,Quote!$N$92:$N$92,Quote!$N$93:$N$93,Quote!$N$94:$N$94,Quote!$N$95:$N$95,Quote!$N$96:$N$96,Quote!$N$97:$N$97,Quote!$N$98:$N$98,Quote!$N$99:$N$99,Quote!$N$100:$N$100,Quote!$N$101:$N$101,Quote!$N$102:$N$102,Quote!$N$103:$N$103</definedName>
  </definedNames>
  <calcPr fullCalcOnLoad="1"/>
</workbook>
</file>

<file path=xl/sharedStrings.xml><?xml version="1.0" encoding="utf-8"?>
<sst xmlns="http://schemas.openxmlformats.org/spreadsheetml/2006/main" count="443" uniqueCount="307">
  <si>
    <t>RFQ</t>
  </si>
  <si>
    <t>Request for Quote</t>
  </si>
  <si>
    <t>Invoice To</t>
  </si>
  <si>
    <t>Bernhard Schulte Shipmanagement (Hong Kong) Limited Partnership
MASTER &amp; OWNER OF FMG GRACE
REGD. OWNER: CLC VLOC - 2 Limited
BERNHARD SCHULTE SHIPMANGEMENT (HONG KONG) LTD. PARTNERSHIP
(AS AGENTS ONLY)
2602, K WAH CENTRE, 191 JAVA ROAD,
NORTH POINT, HONG KONG
TEL: +852 2561 8838
FAX: +852 2561 8803
EMAIL: hk-smc-invoices@bs-shipmanagement.com</t>
  </si>
  <si>
    <t>Vessel</t>
  </si>
  <si>
    <t>FMG Grace</t>
  </si>
  <si>
    <t>RFQ No.</t>
  </si>
  <si>
    <t>FGR/O0170/RF19</t>
  </si>
  <si>
    <t>RFQ Date</t>
  </si>
  <si>
    <t>Submit Quote Before:</t>
  </si>
  <si>
    <t>Port of Delivery</t>
  </si>
  <si>
    <t>Caofeidian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</si>
  <si>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</si>
  <si>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</si>
  <si>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</si>
  <si>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</si>
  <si>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</si>
  <si>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</si>
  <si>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</si>
  <si>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</si>
  <si>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</si>
  <si>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</si>
  <si>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</si>
  <si>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</si>
  <si>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</si>
  <si>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</si>
  <si>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</si>
  <si>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mt@rmsmarineservice.com,mt@rmsmarineservice.com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</si>
  <si>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</si>
  <si>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</si>
  <si>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</si>
  <si>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</si>
  <si>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</si>
  <si>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</si>
  <si>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</si>
  <si>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</si>
  <si>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</si>
  <si>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</si>
  <si>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</si>
  <si>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</si>
  <si>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ALCOHOL SWAB 70% 70% alcohol swabs for skin cleansing prior to injection</t>
  </si>
  <si>
    <t>PCS</t>
  </si>
  <si>
    <t>MED0092</t>
  </si>
  <si>
    <t>ALCOHOL TESTER</t>
  </si>
  <si>
    <t>MICONAZOLE NITRATE 2% VAGINAL, CREAM IN 80GM CONTAINER To treat fungal skin infections.  If women on board, supply also Miconazole vaginal cream.</t>
  </si>
  <si>
    <t>MICONAZOLE NITRATE 100MG, PESSARY AND INSERTER Like miconazole vaginal cream, in genital itching.</t>
  </si>
  <si>
    <t>MICONAZOLE NITRATE 2%, TOPICAL CREAM 30G FOR U.K. -</t>
  </si>
  <si>
    <t>PARACETAMOL TABLET 500MG  To reduce pain and fever (but not inflammation)</t>
  </si>
  <si>
    <t>SCOPOLAMIN TRANSDERMAL, PATCH To prevent vomiting.  To prevent seasickness
Caution : Scopolamine treatment causes sedation, See remarks on page 347</t>
  </si>
  <si>
    <t>COUGH DROP "VICKS" 20DROP For a sore throat or cough.</t>
  </si>
  <si>
    <t>PKT</t>
  </si>
  <si>
    <t>MED0291</t>
  </si>
  <si>
    <t>VICKS VAPORUB, 50GM</t>
  </si>
  <si>
    <t>BTL</t>
  </si>
  <si>
    <t>7D3-1</t>
  </si>
  <si>
    <t>MEFLOQUINE 250 MG TABLETS (100 PCS) - MALARIA MEDICINES</t>
  </si>
  <si>
    <t>MISC 32</t>
  </si>
  <si>
    <t>Pyrimethamine 25 mg, sulphadoxine 500 mg tablet</t>
  </si>
  <si>
    <t>POTASSIUM PERMANGANATE 100GRM Diluted in water, this substance is used for the disinfection of the skin and mucous membranes and for the treatment of some ski</t>
  </si>
  <si>
    <t>MED0257</t>
  </si>
  <si>
    <t>SILVER SULPHADIAZINE 1% 15GM</t>
  </si>
  <si>
    <t>TUB</t>
  </si>
  <si>
    <t>MED0154</t>
  </si>
  <si>
    <t>ENO SALT 100GM BOTTLE</t>
  </si>
  <si>
    <t>MED0229</t>
  </si>
  <si>
    <t>PAIN RELIEF SPRAY 80GM</t>
  </si>
  <si>
    <t>CAN</t>
  </si>
  <si>
    <t>MED0457</t>
  </si>
  <si>
    <t>SODIUM CHLORIDE 0.9% IV INJECTION-1000 ML UNITS,WHO-A LIST</t>
  </si>
  <si>
    <t>DIAZEPAM RECTAL DISPENSER 10MG, IN 2.5ML FOR U.K. SHIPS -</t>
  </si>
  <si>
    <t>NALOXONE INJECTION FLUID, 0.4 MG/ML AMPOULE  -</t>
  </si>
  <si>
    <t>3B1</t>
  </si>
  <si>
    <t>MORPHINE 10 MG/ML INJECTION (10 X 1 ML)</t>
  </si>
  <si>
    <t>GAUZE DRESSING W/NON-ADHERENT, SURFACE 10 CM  Gauze dressing with non-adherent surface</t>
  </si>
  <si>
    <t>ABSORBENT GAUZE FIRST-AID, COVERES COTTON PAD SMALL Sterile compression bandages</t>
  </si>
  <si>
    <t>ABSORBENT GAUZE FIRST-AID, COVERES COTTON PAD MEDIUM Sterile compression bandages</t>
  </si>
  <si>
    <t>ABSORBENT GAUZE FIRST-AID, COVERES COTTON PAD LARGE Sterile compression bandages</t>
  </si>
  <si>
    <t>GAUZE STERILE COMPRESSES, 5 CM X 5 CM Sterile gauze compresses</t>
  </si>
  <si>
    <t>MED0147</t>
  </si>
  <si>
    <t>DISPOSABLE SYRINGES W/NEEDLE 10ML</t>
  </si>
  <si>
    <t>MED0148</t>
  </si>
  <si>
    <t>DISPOSABLE SYRINGES W/NEEDLE 2ML</t>
  </si>
  <si>
    <t>MED0149</t>
  </si>
  <si>
    <t>DISPOSABLE SYRINGES W/NEEDLE 5ML</t>
  </si>
  <si>
    <t>MED0270</t>
  </si>
  <si>
    <t>SUTURE &amp;NEEDLE ( 26MM 3/8 CIRCLE NEEDLE SWAGED TO SUTURE)</t>
  </si>
  <si>
    <t>MED0272</t>
  </si>
  <si>
    <t>SUTURE &amp;NEEDLE( 40MM HALF CIRCLE CUTTING NEEDLE SWAGED TO SUTURES) CATGUT, ABSORBABLE.</t>
  </si>
  <si>
    <t>CETRIZINE TABLET 10MG  To treat allergy symptoms in hay fever, hives, allergic dermatitis, etc.</t>
  </si>
  <si>
    <t>SORE THROAT TABS (STREPSILS) 12TABS/PACK</t>
  </si>
  <si>
    <t>FIRST AID KITS (WHO STANDARD) BRIDGE</t>
  </si>
  <si>
    <t>MISOPROSTOL TABLET 200 MICRO G To prevent post-partum haemorrhage.  If women on board</t>
  </si>
  <si>
    <t>BECLOMETHASONE INHALER 200DOSES APPE14-5</t>
  </si>
  <si>
    <t>NITRAZEPAM 5 MG TABLETS</t>
  </si>
  <si>
    <t>PLS SUPPLY 10 MG TABS</t>
  </si>
  <si>
    <t>PRIPSEN - PIPERAZINE PHOSPHATE HYDRATE 4 G AND SENNOSIDES</t>
  </si>
  <si>
    <t>TAB</t>
  </si>
  <si>
    <t>MED0245</t>
  </si>
  <si>
    <t>PYRIMETHAMINE TABLETS 2S PACK</t>
  </si>
  <si>
    <t>FRUSEMIDE INJECTION 20MG/2ML - 5'S,MPA - 21 MPA - 21</t>
  </si>
  <si>
    <t>BOX</t>
  </si>
  <si>
    <t>VITAMIN K1 INJECTION 10MG/ML - 10'S APPE14-21</t>
  </si>
  <si>
    <t>GAMMA BENZENE HEXYCHLORIDE 2 % HAIR APPL.</t>
  </si>
  <si>
    <t>MED0156</t>
  </si>
  <si>
    <t>ERGOMETRINE MALEATE INJ 0.2MG/ML</t>
  </si>
  <si>
    <t>Cotton Wool 50g</t>
  </si>
  <si>
    <t>ARACHIS OIL, BOTTLE WITH DROPPER</t>
  </si>
  <si>
    <t>09C1</t>
  </si>
  <si>
    <t>ANTIBIOTIC EAR DROPS 1 % (WHO 80.)</t>
  </si>
  <si>
    <t>MED0192</t>
  </si>
  <si>
    <t>HOT WATER BAG WITH FABRIC COVER</t>
  </si>
  <si>
    <t>COLD REMEDY "VICKS VAPORUB", 100GRM For the relief of congestion and coughs due to colds.</t>
  </si>
  <si>
    <t>JAR</t>
  </si>
  <si>
    <t>MED0221</t>
  </si>
  <si>
    <t>MULTI VITAMIN TABLET</t>
  </si>
  <si>
    <t>MISC 40</t>
  </si>
  <si>
    <t>WASHPROOF HANDY PLAST BANDAGE 1 X 100</t>
  </si>
  <si>
    <t>MED0370</t>
  </si>
  <si>
    <t>EYE PAD LARGE STERILE-12 PER BOX,WHO-A LIST</t>
  </si>
  <si>
    <t>GLOVES EXAMINATION DISPOSABLE, M Gloves</t>
  </si>
  <si>
    <t>PRS</t>
  </si>
  <si>
    <t>COTTON BUDS - 100'S MPA - 2.14</t>
  </si>
  <si>
    <t>EYE WASH 330ML For irrigating or flushing the eye to wash away foreign particles, mucous secretions, and fluorescein die used in diagnosis.</t>
  </si>
  <si>
    <t>MED0520</t>
  </si>
  <si>
    <t>AMITRIPTYLINE 25 MG TABLETS (ELAVIL),WHO-B LIST</t>
  </si>
  <si>
    <t>NALOXONE HYDROCHLORIDE INJECT., 0.4MG/ML 1ML AMPOULES To reverse effects of opioids, especially in case of overdose</t>
  </si>
  <si>
    <t>1B1</t>
  </si>
  <si>
    <t>GLYCERIL TRINITRATE 0,5 MG TABLETS</t>
  </si>
  <si>
    <t>BENZATHINE BENZYLPENICILLIN, INJ. 2.4MILLION UNIT/5ML VIAL Used as an antibiotic, particularly for the treatment of syphilis.  Before administering any penicillin preparation, determine i</t>
  </si>
  <si>
    <t>HALOPERIDOL AMPOULE, 1 ML = 5 MG  To treat psychotic hallucinations and delusions.  To treat severe agitation and aggressiveness</t>
  </si>
  <si>
    <t>MED0354</t>
  </si>
  <si>
    <t>DEXTRAN 6% &amp; 0.9% SODIUM CHLORIDE IV INJECTION-500 ML UNITS</t>
  </si>
  <si>
    <t>GAMMA BENZENE HEXYCHLORIDE 1 % BODY CREAM, TUBE</t>
  </si>
  <si>
    <t>CPS 0140</t>
  </si>
  <si>
    <t>DERMALIN-L 15GM (GAMMA BENZENE HEXACHLORIDE CREAM 15GM) OTHER MEDICINES FOR PARASITIC SKIN DISEASE</t>
  </si>
  <si>
    <t>BURN CREAM, TUBE</t>
  </si>
  <si>
    <t>ANTIBIOTIC COMBINATION WITH CORTICOSTEROID, 5ML, EAR DROPS MEDICINE FOR INFECTION AND PAIN OF THE OUTER AUDITORY CANAL</t>
  </si>
  <si>
    <t>MED0096</t>
  </si>
  <si>
    <t>ANASTHETIC EYE DROPS 0.5%, 5ML</t>
  </si>
  <si>
    <t>OXYMETAZOLINE NASAL SPRAY 0.05% - 15ML MPA - 36</t>
  </si>
  <si>
    <t>PENICILLIN V , 250MG TAB</t>
  </si>
  <si>
    <t>TOPICAL ANALGESIC GEL, "BEN-GAY" 35.5GRM For muscle aches and minor arthritis pain.</t>
  </si>
  <si>
    <t>INDOMETHACINE 50 MG</t>
  </si>
  <si>
    <t>Zinc Oxide Ointment 50g</t>
  </si>
  <si>
    <t>MED0100</t>
  </si>
  <si>
    <t>ARACHIS OIL,10ML</t>
  </si>
  <si>
    <t>TRAMADOL HYDROCHLORIDE, 50 MG, TABLETS MEDICINE TO TREAT MEDIUM PAIN</t>
  </si>
  <si>
    <t>OMEPRAZOLE TABLET 20 MG To treat gastro-oesophageal reflux   To treat peptic ulcer disease</t>
  </si>
  <si>
    <t>MEBENDAZOLE TABLET 100 MG To treat intestinal worm infections not effective for tapeworm infection or hydatid disease</t>
  </si>
  <si>
    <t>HYDROCORTISONE 1% CREAM, 15G TUBE FOR U.K. SHIPS -</t>
  </si>
  <si>
    <t>DOCUSATE WITH SENNA TABLET, 50MG + 8MG To avoid straining in patients with anal fissure and haemorrhoids.  To prevent constipation caused by opioid use</t>
  </si>
  <si>
    <t>100 TABS REQUIRED</t>
  </si>
  <si>
    <t>MED0265</t>
  </si>
  <si>
    <t>STANDARD DRESSING NO 13 (GAUZE PAD PKT &amp; BANDAGE ROLL)</t>
  </si>
  <si>
    <t>MED0266</t>
  </si>
  <si>
    <t>STANDARD DRESSING NO 14 ( GAUZE PAD PKT &amp; BANDAGE ROLL )</t>
  </si>
  <si>
    <t>MED0267</t>
  </si>
  <si>
    <t>STANDARD DRESSING NO 15 (GAUZE PAD PKT &amp; BANDAGE ROLL)</t>
  </si>
  <si>
    <t>STANDARD DRESSING NO. 16 (EYE DRESSING)</t>
  </si>
  <si>
    <t>MED0008</t>
  </si>
  <si>
    <t>DISPOSABLE GLOVES</t>
  </si>
  <si>
    <t>BANDAGE, TRIANGULAR (WHO 60.)</t>
  </si>
  <si>
    <t>NELATON CATH 16G &amp; LUBRICATING JELLY MPA - 5.3C</t>
  </si>
  <si>
    <t>TETANUS TOXOID ADSORBED SINGLE, DOSE AMPOULE Part of wound care if state of vaccination is unknown</t>
  </si>
  <si>
    <t>CPS 0098</t>
  </si>
  <si>
    <t>MILK OF MAGNESIA SUSPENTION, 210ML DRASTICS</t>
  </si>
  <si>
    <t>CYCLIZINE HYDROCHLORIDE TABLET, 50MG 100'S For relief of nausea, vomiting and dizziness associated with motion sickness.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</si>
  <si>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</si>
  <si>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</si>
  <si>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</si>
  <si>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</si>
  <si>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</si>
  <si>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</si>
  <si>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</si>
  <si>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</si>
  <si>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</si>
  <si>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</si>
  <si>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</si>
  <si>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</si>
  <si>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</si>
  <si>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</si>
  <si>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</si>
  <si>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</si>
  <si>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</si>
  <si>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</si>
  <si>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</si>
  <si>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</si>
  <si>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</si>
  <si>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</si>
  <si>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</si>
  <si>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</si>
  <si>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</si>
  <si>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</si>
  <si>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</si>
  <si>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CP - SS : MEDICAL STORES &amp; EQUIPMENT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</si>
  <si>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</si>
  <si>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</si>
  <si>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</si>
  <si>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</si>
  <si>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</si>
  <si>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</si>
  <si>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</si>
  <si>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</si>
  <si>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</si>
  <si>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</si>
  <si>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</si>
  <si>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</si>
  <si>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</si>
  <si>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</si>
  <si>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</si>
  <si>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</si>
  <si>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</si>
  <si>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</si>
  <si>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</si>
  <si>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</si>
  <si>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</si>
  <si>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</si>
  <si>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</si>
  <si>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</si>
  <si>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</si>
  <si>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</si>
  <si>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</si>
  <si>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</si>
  <si>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</si>
  <si>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</si>
  <si>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</si>
  <si>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</si>
  <si>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</si>
  <si>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</si>
  <si>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</si>
  <si>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</si>
  <si>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</si>
  <si>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</si>
  <si>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</si>
  <si>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</si>
  <si>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</si>
  <si>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</si>
  <si>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</si>
  <si>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</si>
  <si>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</si>
  <si>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</si>
  <si>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</si>
  <si>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</si>
  <si>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</si>
  <si>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</si>
  <si>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</si>
  <si>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</si>
  <si>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</si>
  <si>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</si>
  <si>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</si>
  <si>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</si>
  <si>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</si>
  <si>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</si>
  <si>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</si>
  <si>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</si>
  <si>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</si>
  <si>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</si>
  <si>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</si>
  <si>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</si>
  <si>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</si>
  <si>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</si>
  <si>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</si>
  <si>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</si>
  <si>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</si>
  <si>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</si>
  <si>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</si>
  <si>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</si>
  <si>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</si>
  <si>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</si>
  <si>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BJD1910221525174LET</t>
  </si>
  <si>
    <t>Alcohol test strip</t>
  </si>
  <si>
    <t>1box</t>
  </si>
  <si>
    <t>Raceanisodamine Hydrochloride Injection 1ml:5mg</t>
  </si>
  <si>
    <t>jinyinhua table 12s</t>
  </si>
  <si>
    <t>qingliang oil 10g</t>
  </si>
  <si>
    <t>1btl</t>
  </si>
  <si>
    <t>Compound Artemether Tablets20/120mg*1s</t>
  </si>
  <si>
    <t>Burn Ointment 20g</t>
  </si>
  <si>
    <t>10box</t>
  </si>
  <si>
    <t>Bone pain spray 60ml</t>
  </si>
  <si>
    <t>"4.8cm*6m
"</t>
  </si>
  <si>
    <t>no.14</t>
  </si>
  <si>
    <t>no.15</t>
  </si>
  <si>
    <t>2.5ml</t>
  </si>
  <si>
    <t>60cm+2s</t>
  </si>
  <si>
    <t>90cm+1s</t>
  </si>
  <si>
    <t>local  391092</t>
  </si>
  <si>
    <t>Oryzanol tablets 10mg</t>
  </si>
  <si>
    <t>5box</t>
  </si>
  <si>
    <t>Compound Artemether Tablets20/120mg</t>
  </si>
  <si>
    <t>Eliminate lice shampoo 100g</t>
  </si>
  <si>
    <t>Halcinonide Solution  10ml</t>
  </si>
  <si>
    <t>haoinuo plaster waterproof 120s</t>
  </si>
  <si>
    <t>50s*2</t>
  </si>
  <si>
    <t>Doxepin Hydrochloride Tablets  25mg*1s</t>
  </si>
  <si>
    <t>70btl</t>
  </si>
  <si>
    <t>local 500ml</t>
  </si>
  <si>
    <t>Sulfur Ointment  250g</t>
  </si>
  <si>
    <t>Sulfur Ointment  10g</t>
  </si>
  <si>
    <t>35ml</t>
  </si>
  <si>
    <t>Diclofenac Sodium Gel 20g</t>
  </si>
  <si>
    <t>25mg</t>
  </si>
  <si>
    <t>Nefopam  Hydrochloride Tablets 20mg</t>
  </si>
  <si>
    <t>3box</t>
  </si>
  <si>
    <t>Phenolphthalein Tablets  100mg*100's</t>
  </si>
  <si>
    <t>eye pad</t>
  </si>
  <si>
    <t xml:space="preserve">
Date promised : 2019-10-26
Quote validity : 2019-11-22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</si>
</sst>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141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43760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43760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1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269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262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99990010835173</v>
      </c>
      <c r="C20" s="227">
        <v>391884</v>
      </c>
      <c r="D20" s="228" t="s">
        <v>40</v>
      </c>
      <c r="E20" s="229"/>
      <c r="F20" s="229">
        <v>391884</v>
      </c>
      <c r="G20" s="229" t="s">
        <v>41</v>
      </c>
      <c r="H20" s="230">
        <v>0</v>
      </c>
      <c r="I20" s="231">
        <v>100</v>
      </c>
      <c r="J20" s="232">
        <v>0.02</v>
      </c>
      <c r="K20" s="233"/>
      <c r="L20" s="231">
        <v>0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/>
      <c r="Q20" s="236"/>
      <c r="R20" s="237"/>
      <c r="S20" s="238"/>
      <c r="T20" s="239"/>
    </row>
    <row r="21" spans="1:20" ht="24" customHeight="1">
      <c r="A21" s="226">
        <v>2</v>
      </c>
      <c r="B21" s="226">
        <v>99990009873415</v>
      </c>
      <c r="C21" s="227" t="s">
        <v>42</v>
      </c>
      <c r="D21" s="228" t="s">
        <v>43</v>
      </c>
      <c r="E21" s="229"/>
      <c r="F21" s="229" t="s">
        <v>42</v>
      </c>
      <c r="G21" s="229" t="s">
        <v>41</v>
      </c>
      <c r="H21" s="230">
        <v>0</v>
      </c>
      <c r="I21" s="231">
        <v>3</v>
      </c>
      <c r="J21" s="232">
        <v>1.47</v>
      </c>
      <c r="K21" s="233"/>
      <c r="L21" s="231">
        <v>0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 t="s">
        <v>270</v>
      </c>
      <c r="Q21" s="236"/>
      <c r="R21" s="237"/>
      <c r="S21" s="238"/>
      <c r="T21" s="239"/>
    </row>
    <row r="22" spans="1:20" ht="24" customHeight="1">
      <c r="A22" s="226">
        <v>3</v>
      </c>
      <c r="B22" s="226">
        <v>99990010835033</v>
      </c>
      <c r="C22" s="227">
        <v>390652</v>
      </c>
      <c r="D22" s="228" t="s">
        <v>44</v>
      </c>
      <c r="E22" s="229"/>
      <c r="F22" s="229">
        <v>390652</v>
      </c>
      <c r="G22" s="229" t="s">
        <v>41</v>
      </c>
      <c r="H22" s="230">
        <v>0</v>
      </c>
      <c r="I22" s="231">
        <v>2</v>
      </c>
      <c r="J22" s="232">
        <v>1.07</v>
      </c>
      <c r="K22" s="233"/>
      <c r="L22" s="231">
        <v>0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/>
      <c r="Q22" s="236"/>
      <c r="R22" s="237"/>
      <c r="S22" s="238"/>
      <c r="T22" s="239"/>
    </row>
    <row r="23" spans="1:20" ht="24" customHeight="1">
      <c r="A23" s="226">
        <v>4</v>
      </c>
      <c r="B23" s="226">
        <v>99990010835278</v>
      </c>
      <c r="C23" s="227">
        <v>390653</v>
      </c>
      <c r="D23" s="228" t="s">
        <v>45</v>
      </c>
      <c r="E23" s="229"/>
      <c r="F23" s="229">
        <v>390653</v>
      </c>
      <c r="G23" s="229" t="s">
        <v>41</v>
      </c>
      <c r="H23" s="230">
        <v>0</v>
      </c>
      <c r="I23" s="231">
        <v>1</v>
      </c>
      <c r="J23" s="232">
        <v>1.92</v>
      </c>
      <c r="K23" s="233"/>
      <c r="L23" s="231">
        <v>0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 t="s">
        <v>271</v>
      </c>
      <c r="Q23" s="236"/>
      <c r="R23" s="237"/>
      <c r="S23" s="238"/>
      <c r="T23" s="239"/>
    </row>
    <row r="24" spans="1:20" ht="24" customHeight="1">
      <c r="A24" s="226">
        <v>5</v>
      </c>
      <c r="B24" s="226">
        <v>99990010835453</v>
      </c>
      <c r="C24" s="227">
        <v>390851</v>
      </c>
      <c r="D24" s="228" t="s">
        <v>46</v>
      </c>
      <c r="E24" s="229"/>
      <c r="F24" s="229">
        <v>390851</v>
      </c>
      <c r="G24" s="229" t="s">
        <v>41</v>
      </c>
      <c r="H24" s="230">
        <v>0</v>
      </c>
      <c r="I24" s="231">
        <v>1</v>
      </c>
      <c r="J24" s="232">
        <v>1.07</v>
      </c>
      <c r="K24" s="233"/>
      <c r="L24" s="231">
        <v>0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/>
      <c r="Q24" s="236"/>
      <c r="R24" s="237"/>
      <c r="S24" s="238"/>
      <c r="T24" s="239"/>
    </row>
    <row r="25" spans="1:20" ht="24" customHeight="1">
      <c r="A25" s="226">
        <v>6</v>
      </c>
      <c r="B25" s="226">
        <v>99990010835044</v>
      </c>
      <c r="C25" s="227">
        <v>390660</v>
      </c>
      <c r="D25" s="228" t="s">
        <v>47</v>
      </c>
      <c r="E25" s="229"/>
      <c r="F25" s="229">
        <v>390660</v>
      </c>
      <c r="G25" s="229" t="s">
        <v>41</v>
      </c>
      <c r="H25" s="230">
        <v>0</v>
      </c>
      <c r="I25" s="231">
        <v>200</v>
      </c>
      <c r="J25" s="232">
        <v>0.01</v>
      </c>
      <c r="K25" s="233"/>
      <c r="L25" s="231">
        <v>0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/>
      <c r="Q25" s="236"/>
      <c r="R25" s="237"/>
      <c r="S25" s="238"/>
      <c r="T25" s="239"/>
    </row>
    <row r="26" spans="1:20" ht="24" customHeight="1">
      <c r="A26" s="226">
        <v>7</v>
      </c>
      <c r="B26" s="226">
        <v>99990010835041</v>
      </c>
      <c r="C26" s="227">
        <v>391741</v>
      </c>
      <c r="D26" s="228" t="s">
        <v>48</v>
      </c>
      <c r="E26" s="229"/>
      <c r="F26" s="229">
        <v>391741</v>
      </c>
      <c r="G26" s="229" t="s">
        <v>41</v>
      </c>
      <c r="H26" s="230">
        <v>0</v>
      </c>
      <c r="I26" s="231">
        <v>10</v>
      </c>
      <c r="J26" s="232">
        <v>0.68</v>
      </c>
      <c r="K26" s="233"/>
      <c r="L26" s="231">
        <v>0</v>
      </c>
      <c r="M26" s="231">
        <v>0</v>
      </c>
      <c r="N26" s="234">
        <f>ROUND(((I26*J26)-((I26*J26)*L26/100))+(((I26*J26)-((I26*J26)*L26/100))*M26/100),2)</f>
      </c>
      <c r="O26" s="230">
        <f>M11</f>
      </c>
      <c r="P26" s="235" t="s">
        <v>272</v>
      </c>
      <c r="Q26" s="236"/>
      <c r="R26" s="237"/>
      <c r="S26" s="238"/>
      <c r="T26" s="239"/>
    </row>
    <row r="27" spans="1:20" ht="24" customHeight="1">
      <c r="A27" s="226">
        <v>8</v>
      </c>
      <c r="B27" s="226">
        <v>99990010835590</v>
      </c>
      <c r="C27" s="227">
        <v>390260</v>
      </c>
      <c r="D27" s="228" t="s">
        <v>49</v>
      </c>
      <c r="E27" s="229"/>
      <c r="F27" s="229">
        <v>390260</v>
      </c>
      <c r="G27" s="229" t="s">
        <v>50</v>
      </c>
      <c r="H27" s="230">
        <v>0</v>
      </c>
      <c r="I27" s="231">
        <v>10</v>
      </c>
      <c r="J27" s="232">
        <v>1.02</v>
      </c>
      <c r="K27" s="233"/>
      <c r="L27" s="231">
        <v>0</v>
      </c>
      <c r="M27" s="231">
        <v>0</v>
      </c>
      <c r="N27" s="234">
        <f>ROUND(((I27*J27)-((I27*J27)*L27/100))+(((I27*J27)-((I27*J27)*L27/100))*M27/100),2)</f>
      </c>
      <c r="O27" s="230">
        <f>M11</f>
      </c>
      <c r="P27" s="235" t="s">
        <v>273</v>
      </c>
      <c r="Q27" s="236"/>
      <c r="R27" s="237"/>
      <c r="S27" s="238"/>
      <c r="T27" s="239"/>
    </row>
    <row r="28" spans="1:20" ht="24" customHeight="1">
      <c r="A28" s="226">
        <v>9</v>
      </c>
      <c r="B28" s="226">
        <v>99990009875170</v>
      </c>
      <c r="C28" s="227" t="s">
        <v>51</v>
      </c>
      <c r="D28" s="228" t="s">
        <v>52</v>
      </c>
      <c r="E28" s="229"/>
      <c r="F28" s="229" t="s">
        <v>51</v>
      </c>
      <c r="G28" s="229" t="s">
        <v>53</v>
      </c>
      <c r="H28" s="230">
        <v>0</v>
      </c>
      <c r="I28" s="231">
        <v>10</v>
      </c>
      <c r="J28" s="232">
        <v>0.79</v>
      </c>
      <c r="K28" s="233"/>
      <c r="L28" s="231">
        <v>0</v>
      </c>
      <c r="M28" s="231">
        <v>0</v>
      </c>
      <c r="N28" s="234">
        <f>ROUND(((I28*J28)-((I28*J28)*L28/100))+(((I28*J28)-((I28*J28)*L28/100))*M28/100),2)</f>
      </c>
      <c r="O28" s="230">
        <f>M11</f>
      </c>
      <c r="P28" s="235" t="s">
        <v>274</v>
      </c>
      <c r="Q28" s="236"/>
      <c r="R28" s="237"/>
      <c r="S28" s="238"/>
      <c r="T28" s="239"/>
    </row>
    <row r="29" spans="1:20" ht="24" customHeight="1">
      <c r="A29" s="226">
        <v>10</v>
      </c>
      <c r="B29" s="226">
        <v>99990009874463</v>
      </c>
      <c r="C29" s="227" t="s">
        <v>54</v>
      </c>
      <c r="D29" s="228" t="s">
        <v>55</v>
      </c>
      <c r="E29" s="229"/>
      <c r="F29" s="229" t="s">
        <v>54</v>
      </c>
      <c r="G29" s="229" t="s">
        <v>41</v>
      </c>
      <c r="H29" s="230">
        <v>0</v>
      </c>
      <c r="I29" s="231">
        <v>30</v>
      </c>
      <c r="J29" s="232">
        <v>0.63</v>
      </c>
      <c r="K29" s="233"/>
      <c r="L29" s="231">
        <v>0</v>
      </c>
      <c r="M29" s="231">
        <v>0</v>
      </c>
      <c r="N29" s="234">
        <f>ROUND(((I29*J29)-((I29*J29)*L29/100))+(((I29*J29)-((I29*J29)*L29/100))*M29/100),2)</f>
      </c>
      <c r="O29" s="230">
        <f>M11</f>
      </c>
      <c r="P29" s="235" t="s">
        <v>275</v>
      </c>
      <c r="Q29" s="236"/>
      <c r="R29" s="237"/>
      <c r="S29" s="238"/>
      <c r="T29" s="239"/>
    </row>
    <row r="30" spans="1:20" ht="24" customHeight="1">
      <c r="A30" s="226">
        <v>11</v>
      </c>
      <c r="B30" s="226">
        <v>99990013352607</v>
      </c>
      <c r="C30" s="227" t="s">
        <v>56</v>
      </c>
      <c r="D30" s="228" t="s">
        <v>57</v>
      </c>
      <c r="E30" s="229"/>
      <c r="F30" s="229" t="s">
        <v>56</v>
      </c>
      <c r="G30" s="229" t="s">
        <v>41</v>
      </c>
      <c r="H30" s="230">
        <v>0</v>
      </c>
      <c r="I30" s="231">
        <v>20</v>
      </c>
      <c r="J30" s="232">
        <v>0.26</v>
      </c>
      <c r="K30" s="233"/>
      <c r="L30" s="231">
        <v>0</v>
      </c>
      <c r="M30" s="231">
        <v>0</v>
      </c>
      <c r="N30" s="234">
        <f>ROUND(((I30*J30)-((I30*J30)*L30/100))+(((I30*J30)-((I30*J30)*L30/100))*M30/100),2)</f>
      </c>
      <c r="O30" s="230">
        <f>M11</f>
      </c>
      <c r="P30" s="235" t="s">
        <v>276</v>
      </c>
      <c r="Q30" s="236"/>
      <c r="R30" s="237"/>
      <c r="S30" s="238"/>
      <c r="T30" s="239"/>
    </row>
    <row r="31" spans="1:20" ht="24" customHeight="1">
      <c r="A31" s="226">
        <v>12</v>
      </c>
      <c r="B31" s="226">
        <v>99990010835284</v>
      </c>
      <c r="C31" s="227">
        <v>390665</v>
      </c>
      <c r="D31" s="228" t="s">
        <v>58</v>
      </c>
      <c r="E31" s="229"/>
      <c r="F31" s="229">
        <v>390665</v>
      </c>
      <c r="G31" s="229" t="s">
        <v>53</v>
      </c>
      <c r="H31" s="230">
        <v>0</v>
      </c>
      <c r="I31" s="231">
        <v>2</v>
      </c>
      <c r="J31" s="232">
        <v>0.59</v>
      </c>
      <c r="K31" s="233"/>
      <c r="L31" s="231">
        <v>0</v>
      </c>
      <c r="M31" s="231">
        <v>0</v>
      </c>
      <c r="N31" s="234">
        <f>ROUND(((I31*J31)-((I31*J31)*L31/100))+(((I31*J31)-((I31*J31)*L31/100))*M31/100),2)</f>
      </c>
      <c r="O31" s="230">
        <f>M11</f>
      </c>
      <c r="P31" s="235"/>
      <c r="Q31" s="236"/>
      <c r="R31" s="237"/>
      <c r="S31" s="238"/>
      <c r="T31" s="239"/>
    </row>
    <row r="32" spans="1:20" ht="24" customHeight="1">
      <c r="A32" s="226">
        <v>13</v>
      </c>
      <c r="B32" s="226">
        <v>99990009874841</v>
      </c>
      <c r="C32" s="227" t="s">
        <v>59</v>
      </c>
      <c r="D32" s="228" t="s">
        <v>60</v>
      </c>
      <c r="E32" s="229"/>
      <c r="F32" s="229" t="s">
        <v>59</v>
      </c>
      <c r="G32" s="229" t="s">
        <v>61</v>
      </c>
      <c r="H32" s="230">
        <v>0</v>
      </c>
      <c r="I32" s="231">
        <v>5</v>
      </c>
      <c r="J32" s="232">
        <v>1.47</v>
      </c>
      <c r="K32" s="233"/>
      <c r="L32" s="231">
        <v>0</v>
      </c>
      <c r="M32" s="231">
        <v>0</v>
      </c>
      <c r="N32" s="234">
        <f>ROUND(((I32*J32)-((I32*J32)*L32/100))+(((I32*J32)-((I32*J32)*L32/100))*M32/100),2)</f>
      </c>
      <c r="O32" s="230">
        <f>M11</f>
      </c>
      <c r="P32" s="235" t="s">
        <v>277</v>
      </c>
      <c r="Q32" s="236"/>
      <c r="R32" s="237"/>
      <c r="S32" s="238"/>
      <c r="T32" s="239"/>
    </row>
    <row r="33" spans="1:20" ht="24" customHeight="1">
      <c r="A33" s="226">
        <v>14</v>
      </c>
      <c r="B33" s="226">
        <v>99990009873984</v>
      </c>
      <c r="C33" s="227" t="s">
        <v>62</v>
      </c>
      <c r="D33" s="228" t="s">
        <v>63</v>
      </c>
      <c r="E33" s="229"/>
      <c r="F33" s="229" t="s">
        <v>62</v>
      </c>
      <c r="G33" s="229" t="s">
        <v>53</v>
      </c>
      <c r="H33" s="230">
        <v>0</v>
      </c>
      <c r="I33" s="231">
        <v>10</v>
      </c>
      <c r="J33" s="232">
        <v>1.54</v>
      </c>
      <c r="K33" s="233"/>
      <c r="L33" s="231">
        <v>0</v>
      </c>
      <c r="M33" s="231">
        <v>0</v>
      </c>
      <c r="N33" s="234">
        <f>ROUND(((I33*J33)-((I33*J33)*L33/100))+(((I33*J33)-((I33*J33)*L33/100))*M33/100),2)</f>
      </c>
      <c r="O33" s="230">
        <f>M11</f>
      </c>
      <c r="P33" s="235" t="s">
        <v>278</v>
      </c>
      <c r="Q33" s="236"/>
      <c r="R33" s="237"/>
      <c r="S33" s="238"/>
      <c r="T33" s="239"/>
    </row>
    <row r="34" spans="1:20" ht="24" customHeight="1">
      <c r="A34" s="226">
        <v>15</v>
      </c>
      <c r="B34" s="226">
        <v>99990009874632</v>
      </c>
      <c r="C34" s="227" t="s">
        <v>64</v>
      </c>
      <c r="D34" s="228" t="s">
        <v>65</v>
      </c>
      <c r="E34" s="229"/>
      <c r="F34" s="229" t="s">
        <v>64</v>
      </c>
      <c r="G34" s="229" t="s">
        <v>66</v>
      </c>
      <c r="H34" s="230">
        <v>0</v>
      </c>
      <c r="I34" s="231">
        <v>16</v>
      </c>
      <c r="J34" s="232">
        <v>1.92</v>
      </c>
      <c r="K34" s="233"/>
      <c r="L34" s="231">
        <v>0</v>
      </c>
      <c r="M34" s="231">
        <v>0</v>
      </c>
      <c r="N34" s="234">
        <f>ROUND(((I34*J34)-((I34*J34)*L34/100))+(((I34*J34)-((I34*J34)*L34/100))*M34/100),2)</f>
      </c>
      <c r="O34" s="230">
        <f>M11</f>
      </c>
      <c r="P34" s="235" t="s">
        <v>279</v>
      </c>
      <c r="Q34" s="236"/>
      <c r="R34" s="237"/>
      <c r="S34" s="238"/>
      <c r="T34" s="239"/>
    </row>
    <row r="35" spans="1:20" ht="24" customHeight="1">
      <c r="A35" s="226">
        <v>16</v>
      </c>
      <c r="B35" s="226">
        <v>99990009874853</v>
      </c>
      <c r="C35" s="227" t="s">
        <v>67</v>
      </c>
      <c r="D35" s="228" t="s">
        <v>68</v>
      </c>
      <c r="E35" s="229"/>
      <c r="F35" s="229" t="s">
        <v>67</v>
      </c>
      <c r="G35" s="229" t="s">
        <v>41</v>
      </c>
      <c r="H35" s="230">
        <v>0</v>
      </c>
      <c r="I35" s="231">
        <v>5</v>
      </c>
      <c r="J35" s="232">
        <v>1.07</v>
      </c>
      <c r="K35" s="233"/>
      <c r="L35" s="231">
        <v>0</v>
      </c>
      <c r="M35" s="231">
        <v>0</v>
      </c>
      <c r="N35" s="234">
        <f>ROUND(((I35*J35)-((I35*J35)*L35/100))+(((I35*J35)-((I35*J35)*L35/100))*M35/100),2)</f>
      </c>
      <c r="O35" s="230">
        <f>M11</f>
      </c>
      <c r="P35" s="235"/>
      <c r="Q35" s="236"/>
      <c r="R35" s="237"/>
      <c r="S35" s="238"/>
      <c r="T35" s="239"/>
    </row>
    <row r="36" spans="1:20" ht="24" customHeight="1">
      <c r="A36" s="226">
        <v>17</v>
      </c>
      <c r="B36" s="226">
        <v>99990010835428</v>
      </c>
      <c r="C36" s="227">
        <v>390826</v>
      </c>
      <c r="D36" s="228" t="s">
        <v>69</v>
      </c>
      <c r="E36" s="229"/>
      <c r="F36" s="229">
        <v>390826</v>
      </c>
      <c r="G36" s="229" t="s">
        <v>41</v>
      </c>
      <c r="H36" s="230">
        <v>0</v>
      </c>
      <c r="I36" s="231">
        <v>5</v>
      </c>
      <c r="J36" s="232">
        <v>0.38</v>
      </c>
      <c r="K36" s="233"/>
      <c r="L36" s="231">
        <v>0</v>
      </c>
      <c r="M36" s="231">
        <v>0</v>
      </c>
      <c r="N36" s="234">
        <f>ROUND(((I36*J36)-((I36*J36)*L36/100))+(((I36*J36)-((I36*J36)*L36/100))*M36/100),2)</f>
      </c>
      <c r="O36" s="230">
        <f>M11</f>
      </c>
      <c r="P36" s="235" t="s">
        <v>271</v>
      </c>
      <c r="Q36" s="236"/>
      <c r="R36" s="237"/>
      <c r="S36" s="238"/>
      <c r="T36" s="239"/>
    </row>
    <row r="37" spans="1:20" ht="24" customHeight="1">
      <c r="A37" s="226">
        <v>18</v>
      </c>
      <c r="B37" s="226">
        <v>99990010835206</v>
      </c>
      <c r="C37" s="227">
        <v>391919</v>
      </c>
      <c r="D37" s="228" t="s">
        <v>70</v>
      </c>
      <c r="E37" s="229"/>
      <c r="F37" s="229">
        <v>391919</v>
      </c>
      <c r="G37" s="229" t="s">
        <v>41</v>
      </c>
      <c r="H37" s="230">
        <v>0</v>
      </c>
      <c r="I37" s="231">
        <v>5</v>
      </c>
      <c r="J37" s="232">
        <v>1.52</v>
      </c>
      <c r="K37" s="233"/>
      <c r="L37" s="231">
        <v>0</v>
      </c>
      <c r="M37" s="231">
        <v>0</v>
      </c>
      <c r="N37" s="234">
        <f>ROUND(((I37*J37)-((I37*J37)*L37/100))+(((I37*J37)-((I37*J37)*L37/100))*M37/100),2)</f>
      </c>
      <c r="O37" s="230">
        <f>M11</f>
      </c>
      <c r="P37" s="235" t="s">
        <v>271</v>
      </c>
      <c r="Q37" s="236"/>
      <c r="R37" s="237"/>
      <c r="S37" s="238"/>
      <c r="T37" s="239"/>
    </row>
    <row r="38" spans="1:20" ht="24" customHeight="1">
      <c r="A38" s="226">
        <v>19</v>
      </c>
      <c r="B38" s="226">
        <v>99990009874521</v>
      </c>
      <c r="C38" s="227" t="s">
        <v>71</v>
      </c>
      <c r="D38" s="228" t="s">
        <v>72</v>
      </c>
      <c r="E38" s="229"/>
      <c r="F38" s="229" t="s">
        <v>71</v>
      </c>
      <c r="G38" s="229" t="s">
        <v>41</v>
      </c>
      <c r="H38" s="230">
        <v>0</v>
      </c>
      <c r="I38" s="231">
        <v>5</v>
      </c>
      <c r="J38" s="232">
        <v>0.4</v>
      </c>
      <c r="K38" s="233"/>
      <c r="L38" s="231">
        <v>0</v>
      </c>
      <c r="M38" s="231">
        <v>0</v>
      </c>
      <c r="N38" s="234">
        <f>ROUND(((I38*J38)-((I38*J38)*L38/100))+(((I38*J38)-((I38*J38)*L38/100))*M38/100),2)</f>
      </c>
      <c r="O38" s="230">
        <f>M11</f>
      </c>
      <c r="P38" s="235" t="s">
        <v>271</v>
      </c>
      <c r="Q38" s="236"/>
      <c r="R38" s="237"/>
      <c r="S38" s="238"/>
      <c r="T38" s="239"/>
    </row>
    <row r="39" spans="1:20" ht="24" customHeight="1">
      <c r="A39" s="226">
        <v>20</v>
      </c>
      <c r="B39" s="226">
        <v>99990010835078</v>
      </c>
      <c r="C39" s="227">
        <v>391814</v>
      </c>
      <c r="D39" s="228" t="s">
        <v>73</v>
      </c>
      <c r="E39" s="229"/>
      <c r="F39" s="229">
        <v>391814</v>
      </c>
      <c r="G39" s="229" t="s">
        <v>41</v>
      </c>
      <c r="H39" s="230">
        <v>0</v>
      </c>
      <c r="I39" s="231">
        <v>30</v>
      </c>
      <c r="J39" s="232">
        <v>0.1</v>
      </c>
      <c r="K39" s="233"/>
      <c r="L39" s="231">
        <v>0</v>
      </c>
      <c r="M39" s="231">
        <v>0</v>
      </c>
      <c r="N39" s="234">
        <f>ROUND(((I39*J39)-((I39*J39)*L39/100))+(((I39*J39)-((I39*J39)*L39/100))*M39/100),2)</f>
      </c>
      <c r="O39" s="230">
        <f>M11</f>
      </c>
      <c r="P39" s="235"/>
      <c r="Q39" s="236"/>
      <c r="R39" s="237"/>
      <c r="S39" s="238"/>
      <c r="T39" s="239"/>
    </row>
    <row r="40" spans="1:20" ht="24" customHeight="1">
      <c r="A40" s="226">
        <v>21</v>
      </c>
      <c r="B40" s="226">
        <v>99990010835081</v>
      </c>
      <c r="C40" s="227">
        <v>391817</v>
      </c>
      <c r="D40" s="228" t="s">
        <v>74</v>
      </c>
      <c r="E40" s="229"/>
      <c r="F40" s="229">
        <v>391817</v>
      </c>
      <c r="G40" s="229" t="s">
        <v>41</v>
      </c>
      <c r="H40" s="230">
        <v>0</v>
      </c>
      <c r="I40" s="231">
        <v>30</v>
      </c>
      <c r="J40" s="232">
        <v>0.45</v>
      </c>
      <c r="K40" s="233"/>
      <c r="L40" s="231">
        <v>0</v>
      </c>
      <c r="M40" s="231">
        <v>0</v>
      </c>
      <c r="N40" s="234">
        <f>ROUND(((I40*J40)-((I40*J40)*L40/100))+(((I40*J40)-((I40*J40)*L40/100))*M40/100),2)</f>
      </c>
      <c r="O40" s="230">
        <f>M11</f>
      </c>
      <c r="P40" s="235" t="s">
        <v>280</v>
      </c>
      <c r="Q40" s="236"/>
      <c r="R40" s="237"/>
      <c r="S40" s="238"/>
      <c r="T40" s="239"/>
    </row>
    <row r="41" spans="1:20" ht="24" customHeight="1">
      <c r="A41" s="226">
        <v>22</v>
      </c>
      <c r="B41" s="226">
        <v>99990010835082</v>
      </c>
      <c r="C41" s="227">
        <v>391836</v>
      </c>
      <c r="D41" s="228" t="s">
        <v>75</v>
      </c>
      <c r="E41" s="229"/>
      <c r="F41" s="229">
        <v>391836</v>
      </c>
      <c r="G41" s="229" t="s">
        <v>41</v>
      </c>
      <c r="H41" s="230">
        <v>0</v>
      </c>
      <c r="I41" s="231">
        <v>30</v>
      </c>
      <c r="J41" s="232">
        <v>0.45</v>
      </c>
      <c r="K41" s="233"/>
      <c r="L41" s="231">
        <v>0</v>
      </c>
      <c r="M41" s="231">
        <v>0</v>
      </c>
      <c r="N41" s="234">
        <f>ROUND(((I41*J41)-((I41*J41)*L41/100))+(((I41*J41)-((I41*J41)*L41/100))*M41/100),2)</f>
      </c>
      <c r="O41" s="230">
        <f>M11</f>
      </c>
      <c r="P41" s="235" t="s">
        <v>281</v>
      </c>
      <c r="Q41" s="236"/>
      <c r="R41" s="237"/>
      <c r="S41" s="238"/>
      <c r="T41" s="239"/>
    </row>
    <row r="42" spans="1:20" ht="24" customHeight="1">
      <c r="A42" s="226">
        <v>23</v>
      </c>
      <c r="B42" s="226">
        <v>99990010835083</v>
      </c>
      <c r="C42" s="227">
        <v>391843</v>
      </c>
      <c r="D42" s="228" t="s">
        <v>76</v>
      </c>
      <c r="E42" s="229"/>
      <c r="F42" s="229">
        <v>391843</v>
      </c>
      <c r="G42" s="229" t="s">
        <v>41</v>
      </c>
      <c r="H42" s="230">
        <v>0</v>
      </c>
      <c r="I42" s="231">
        <v>30</v>
      </c>
      <c r="J42" s="232">
        <v>0.52</v>
      </c>
      <c r="K42" s="233"/>
      <c r="L42" s="231">
        <v>0</v>
      </c>
      <c r="M42" s="231">
        <v>0</v>
      </c>
      <c r="N42" s="234">
        <f>ROUND(((I42*J42)-((I42*J42)*L42/100))+(((I42*J42)-((I42*J42)*L42/100))*M42/100),2)</f>
      </c>
      <c r="O42" s="230">
        <f>M11</f>
      </c>
      <c r="P42" s="235" t="s">
        <v>282</v>
      </c>
      <c r="Q42" s="236"/>
      <c r="R42" s="237"/>
      <c r="S42" s="238"/>
      <c r="T42" s="239"/>
    </row>
    <row r="43" spans="1:20" ht="24" customHeight="1">
      <c r="A43" s="226">
        <v>24</v>
      </c>
      <c r="B43" s="226">
        <v>99990010835075</v>
      </c>
      <c r="C43" s="227">
        <v>391811</v>
      </c>
      <c r="D43" s="228" t="s">
        <v>77</v>
      </c>
      <c r="E43" s="229"/>
      <c r="F43" s="229">
        <v>391811</v>
      </c>
      <c r="G43" s="229" t="s">
        <v>41</v>
      </c>
      <c r="H43" s="230">
        <v>0</v>
      </c>
      <c r="I43" s="231">
        <v>30</v>
      </c>
      <c r="J43" s="232">
        <v>0.08</v>
      </c>
      <c r="K43" s="233"/>
      <c r="L43" s="231">
        <v>0</v>
      </c>
      <c r="M43" s="231">
        <v>0</v>
      </c>
      <c r="N43" s="234">
        <f>ROUND(((I43*J43)-((I43*J43)*L43/100))+(((I43*J43)-((I43*J43)*L43/100))*M43/100),2)</f>
      </c>
      <c r="O43" s="230">
        <f>M11</f>
      </c>
      <c r="P43" s="235"/>
      <c r="Q43" s="236"/>
      <c r="R43" s="237"/>
      <c r="S43" s="238"/>
      <c r="T43" s="239"/>
    </row>
    <row r="44" spans="1:20" ht="24" customHeight="1">
      <c r="A44" s="226">
        <v>25</v>
      </c>
      <c r="B44" s="226">
        <v>99990009873929</v>
      </c>
      <c r="C44" s="227" t="s">
        <v>78</v>
      </c>
      <c r="D44" s="228" t="s">
        <v>79</v>
      </c>
      <c r="E44" s="229"/>
      <c r="F44" s="229" t="s">
        <v>78</v>
      </c>
      <c r="G44" s="229" t="s">
        <v>41</v>
      </c>
      <c r="H44" s="230">
        <v>0</v>
      </c>
      <c r="I44" s="231">
        <v>20</v>
      </c>
      <c r="J44" s="232">
        <v>0.15</v>
      </c>
      <c r="K44" s="233"/>
      <c r="L44" s="231">
        <v>0</v>
      </c>
      <c r="M44" s="231">
        <v>0</v>
      </c>
      <c r="N44" s="234">
        <f>ROUND(((I44*J44)-((I44*J44)*L44/100))+(((I44*J44)-((I44*J44)*L44/100))*M44/100),2)</f>
      </c>
      <c r="O44" s="230">
        <f>M11</f>
      </c>
      <c r="P44" s="235"/>
      <c r="Q44" s="236"/>
      <c r="R44" s="237"/>
      <c r="S44" s="238"/>
      <c r="T44" s="239"/>
    </row>
    <row r="45" spans="1:20" ht="24" customHeight="1">
      <c r="A45" s="226">
        <v>26</v>
      </c>
      <c r="B45" s="226">
        <v>99990009873930</v>
      </c>
      <c r="C45" s="227" t="s">
        <v>80</v>
      </c>
      <c r="D45" s="228" t="s">
        <v>81</v>
      </c>
      <c r="E45" s="229"/>
      <c r="F45" s="229" t="s">
        <v>80</v>
      </c>
      <c r="G45" s="229" t="s">
        <v>41</v>
      </c>
      <c r="H45" s="230">
        <v>0</v>
      </c>
      <c r="I45" s="231">
        <v>20</v>
      </c>
      <c r="J45" s="232">
        <v>0.08</v>
      </c>
      <c r="K45" s="233"/>
      <c r="L45" s="231">
        <v>0</v>
      </c>
      <c r="M45" s="231">
        <v>0</v>
      </c>
      <c r="N45" s="234">
        <f>ROUND(((I45*J45)-((I45*J45)*L45/100))+(((I45*J45)-((I45*J45)*L45/100))*M45/100),2)</f>
      </c>
      <c r="O45" s="230">
        <f>M11</f>
      </c>
      <c r="P45" s="235" t="s">
        <v>283</v>
      </c>
      <c r="Q45" s="236"/>
      <c r="R45" s="237"/>
      <c r="S45" s="238"/>
      <c r="T45" s="239"/>
    </row>
    <row r="46" spans="1:20" ht="24" customHeight="1">
      <c r="A46" s="226">
        <v>27</v>
      </c>
      <c r="B46" s="226">
        <v>99990009873931</v>
      </c>
      <c r="C46" s="227" t="s">
        <v>82</v>
      </c>
      <c r="D46" s="228" t="s">
        <v>83</v>
      </c>
      <c r="E46" s="229"/>
      <c r="F46" s="229" t="s">
        <v>82</v>
      </c>
      <c r="G46" s="229" t="s">
        <v>41</v>
      </c>
      <c r="H46" s="230">
        <v>0</v>
      </c>
      <c r="I46" s="231">
        <v>20</v>
      </c>
      <c r="J46" s="232">
        <v>0.1</v>
      </c>
      <c r="K46" s="233"/>
      <c r="L46" s="231">
        <v>0</v>
      </c>
      <c r="M46" s="231">
        <v>0</v>
      </c>
      <c r="N46" s="234">
        <f>ROUND(((I46*J46)-((I46*J46)*L46/100))+(((I46*J46)-((I46*J46)*L46/100))*M46/100),2)</f>
      </c>
      <c r="O46" s="230">
        <f>M11</f>
      </c>
      <c r="P46" s="235"/>
      <c r="Q46" s="236"/>
      <c r="R46" s="237"/>
      <c r="S46" s="238"/>
      <c r="T46" s="239"/>
    </row>
    <row r="47" spans="1:20" ht="24" customHeight="1">
      <c r="A47" s="226">
        <v>28</v>
      </c>
      <c r="B47" s="226">
        <v>99990009874982</v>
      </c>
      <c r="C47" s="227" t="s">
        <v>84</v>
      </c>
      <c r="D47" s="228" t="s">
        <v>85</v>
      </c>
      <c r="E47" s="229"/>
      <c r="F47" s="229" t="s">
        <v>84</v>
      </c>
      <c r="G47" s="229" t="s">
        <v>41</v>
      </c>
      <c r="H47" s="230">
        <v>0</v>
      </c>
      <c r="I47" s="231">
        <v>5</v>
      </c>
      <c r="J47" s="232">
        <v>1.58</v>
      </c>
      <c r="K47" s="233"/>
      <c r="L47" s="231">
        <v>0</v>
      </c>
      <c r="M47" s="231">
        <v>0</v>
      </c>
      <c r="N47" s="234">
        <f>ROUND(((I47*J47)-((I47*J47)*L47/100))+(((I47*J47)-((I47*J47)*L47/100))*M47/100),2)</f>
      </c>
      <c r="O47" s="230">
        <f>M11</f>
      </c>
      <c r="P47" s="235" t="s">
        <v>284</v>
      </c>
      <c r="Q47" s="236"/>
      <c r="R47" s="237"/>
      <c r="S47" s="238"/>
      <c r="T47" s="239"/>
    </row>
    <row r="48" spans="1:20" ht="24" customHeight="1">
      <c r="A48" s="226">
        <v>29</v>
      </c>
      <c r="B48" s="226">
        <v>99990009874983</v>
      </c>
      <c r="C48" s="227" t="s">
        <v>86</v>
      </c>
      <c r="D48" s="228" t="s">
        <v>87</v>
      </c>
      <c r="E48" s="229"/>
      <c r="F48" s="229" t="s">
        <v>86</v>
      </c>
      <c r="G48" s="229" t="s">
        <v>41</v>
      </c>
      <c r="H48" s="230">
        <v>0</v>
      </c>
      <c r="I48" s="231">
        <v>5</v>
      </c>
      <c r="J48" s="232">
        <v>1.69</v>
      </c>
      <c r="K48" s="233"/>
      <c r="L48" s="231">
        <v>0</v>
      </c>
      <c r="M48" s="231">
        <v>0</v>
      </c>
      <c r="N48" s="234">
        <f>ROUND(((I48*J48)-((I48*J48)*L48/100))+(((I48*J48)-((I48*J48)*L48/100))*M48/100),2)</f>
      </c>
      <c r="O48" s="230">
        <f>M11</f>
      </c>
      <c r="P48" s="235" t="s">
        <v>285</v>
      </c>
      <c r="Q48" s="236"/>
      <c r="R48" s="237"/>
      <c r="S48" s="238"/>
      <c r="T48" s="239"/>
    </row>
    <row r="49" spans="1:20" ht="24" customHeight="1">
      <c r="A49" s="226">
        <v>30</v>
      </c>
      <c r="B49" s="226">
        <v>99990010835010</v>
      </c>
      <c r="C49" s="227">
        <v>391711</v>
      </c>
      <c r="D49" s="228" t="s">
        <v>88</v>
      </c>
      <c r="E49" s="229"/>
      <c r="F49" s="229">
        <v>391711</v>
      </c>
      <c r="G49" s="229" t="s">
        <v>53</v>
      </c>
      <c r="H49" s="230">
        <v>0</v>
      </c>
      <c r="I49" s="231">
        <v>2</v>
      </c>
      <c r="J49" s="232">
        <v>1.47</v>
      </c>
      <c r="K49" s="233"/>
      <c r="L49" s="231">
        <v>0</v>
      </c>
      <c r="M49" s="231">
        <v>0</v>
      </c>
      <c r="N49" s="234">
        <f>ROUND(((I49*J49)-((I49*J49)*L49/100))+(((I49*J49)-((I49*J49)*L49/100))*M49/100),2)</f>
      </c>
      <c r="O49" s="230">
        <f>M11</f>
      </c>
      <c r="P49" s="235"/>
      <c r="Q49" s="236"/>
      <c r="R49" s="237"/>
      <c r="S49" s="238"/>
      <c r="T49" s="239"/>
    </row>
    <row r="50" spans="1:20" ht="24" customHeight="1">
      <c r="A50" s="226">
        <v>31</v>
      </c>
      <c r="B50" s="226">
        <v>99990009874868</v>
      </c>
      <c r="C50" s="227">
        <v>2068522</v>
      </c>
      <c r="D50" s="228" t="s">
        <v>89</v>
      </c>
      <c r="E50" s="229"/>
      <c r="F50" s="229">
        <v>2068522</v>
      </c>
      <c r="G50" s="229" t="s">
        <v>41</v>
      </c>
      <c r="H50" s="230">
        <v>0</v>
      </c>
      <c r="I50" s="231">
        <v>6</v>
      </c>
      <c r="J50" s="232">
        <v>1.02</v>
      </c>
      <c r="K50" s="233"/>
      <c r="L50" s="231">
        <v>0</v>
      </c>
      <c r="M50" s="231">
        <v>0</v>
      </c>
      <c r="N50" s="234">
        <f>ROUND(((I50*J50)-((I50*J50)*L50/100))+(((I50*J50)-((I50*J50)*L50/100))*M50/100),2)</f>
      </c>
      <c r="O50" s="230">
        <f>M11</f>
      </c>
      <c r="P50" s="235" t="s">
        <v>273</v>
      </c>
      <c r="Q50" s="236"/>
      <c r="R50" s="237"/>
      <c r="S50" s="238"/>
      <c r="T50" s="239"/>
    </row>
    <row r="51" spans="1:20" ht="24" customHeight="1">
      <c r="A51" s="226">
        <v>32</v>
      </c>
      <c r="B51" s="226">
        <v>99990009874082</v>
      </c>
      <c r="C51" s="227">
        <v>10.03</v>
      </c>
      <c r="D51" s="228" t="s">
        <v>90</v>
      </c>
      <c r="E51" s="229"/>
      <c r="F51" s="229">
        <v>10.03</v>
      </c>
      <c r="G51" s="229" t="s">
        <v>41</v>
      </c>
      <c r="H51" s="230">
        <v>0</v>
      </c>
      <c r="I51" s="231">
        <v>2</v>
      </c>
      <c r="J51" s="232">
        <v>15.8</v>
      </c>
      <c r="K51" s="233"/>
      <c r="L51" s="231">
        <v>0</v>
      </c>
      <c r="M51" s="231">
        <v>0</v>
      </c>
      <c r="N51" s="234">
        <f>ROUND(((I51*J51)-((I51*J51)*L51/100))+(((I51*J51)-((I51*J51)*L51/100))*M51/100),2)</f>
      </c>
      <c r="O51" s="230">
        <f>M11</f>
      </c>
      <c r="P51" s="235" t="s">
        <v>286</v>
      </c>
      <c r="Q51" s="236"/>
      <c r="R51" s="237"/>
      <c r="S51" s="238"/>
      <c r="T51" s="239"/>
    </row>
    <row r="52" spans="1:20" ht="24" customHeight="1">
      <c r="A52" s="226">
        <v>33</v>
      </c>
      <c r="B52" s="226">
        <v>99990010835035</v>
      </c>
      <c r="C52" s="227">
        <v>391735</v>
      </c>
      <c r="D52" s="228" t="s">
        <v>91</v>
      </c>
      <c r="E52" s="229"/>
      <c r="F52" s="229">
        <v>391735</v>
      </c>
      <c r="G52" s="229" t="s">
        <v>53</v>
      </c>
      <c r="H52" s="230">
        <v>0</v>
      </c>
      <c r="I52" s="231">
        <v>8</v>
      </c>
      <c r="J52" s="232">
        <v>1.78</v>
      </c>
      <c r="K52" s="233"/>
      <c r="L52" s="231">
        <v>0</v>
      </c>
      <c r="M52" s="231">
        <v>0</v>
      </c>
      <c r="N52" s="234">
        <f>ROUND(((I52*J52)-((I52*J52)*L52/100))+(((I52*J52)-((I52*J52)*L52/100))*M52/100),2)</f>
      </c>
      <c r="O52" s="230">
        <f>M11</f>
      </c>
      <c r="P52" s="235"/>
      <c r="Q52" s="236"/>
      <c r="R52" s="237"/>
      <c r="S52" s="238"/>
      <c r="T52" s="239"/>
    </row>
    <row r="53" spans="1:20" ht="24" customHeight="1">
      <c r="A53" s="226">
        <v>34</v>
      </c>
      <c r="B53" s="226">
        <v>99990009873569</v>
      </c>
      <c r="C53" s="227">
        <v>2045892</v>
      </c>
      <c r="D53" s="228" t="s">
        <v>92</v>
      </c>
      <c r="E53" s="229"/>
      <c r="F53" s="229">
        <v>2045892</v>
      </c>
      <c r="G53" s="229" t="s">
        <v>53</v>
      </c>
      <c r="H53" s="230">
        <v>0</v>
      </c>
      <c r="I53" s="231">
        <v>1</v>
      </c>
      <c r="J53" s="232">
        <v>13.55</v>
      </c>
      <c r="K53" s="233"/>
      <c r="L53" s="231">
        <v>0</v>
      </c>
      <c r="M53" s="231">
        <v>0</v>
      </c>
      <c r="N53" s="234">
        <f>ROUND(((I53*J53)-((I53*J53)*L53/100))+(((I53*J53)-((I53*J53)*L53/100))*M53/100),2)</f>
      </c>
      <c r="O53" s="230">
        <f>M11</f>
      </c>
      <c r="P53" s="235"/>
      <c r="Q53" s="236"/>
      <c r="R53" s="237"/>
      <c r="S53" s="238"/>
      <c r="T53" s="239"/>
    </row>
    <row r="54" spans="1:20" ht="24" customHeight="1">
      <c r="A54" s="226">
        <v>35</v>
      </c>
      <c r="B54" s="226">
        <v>99990009874578</v>
      </c>
      <c r="C54" s="227">
        <v>53</v>
      </c>
      <c r="D54" s="228" t="s">
        <v>93</v>
      </c>
      <c r="E54" s="229"/>
      <c r="F54" s="229">
        <v>53</v>
      </c>
      <c r="G54" s="229" t="s">
        <v>41</v>
      </c>
      <c r="H54" s="230">
        <v>0</v>
      </c>
      <c r="I54" s="231">
        <v>100</v>
      </c>
      <c r="J54" s="232">
        <v>0.03</v>
      </c>
      <c r="K54" s="233"/>
      <c r="L54" s="231">
        <v>0</v>
      </c>
      <c r="M54" s="231">
        <v>0</v>
      </c>
      <c r="N54" s="234">
        <f>ROUND(((I54*J54)-((I54*J54)*L54/100))+(((I54*J54)-((I54*J54)*L54/100))*M54/100),2)</f>
      </c>
      <c r="O54" s="230">
        <f>M11</f>
      </c>
      <c r="P54" s="235" t="s">
        <v>287</v>
      </c>
      <c r="Q54" s="236"/>
      <c r="R54" s="237" t="s">
        <v>94</v>
      </c>
      <c r="S54" s="238"/>
      <c r="T54" s="239"/>
    </row>
    <row r="55" spans="1:20" ht="24" customHeight="1">
      <c r="A55" s="226">
        <v>36</v>
      </c>
      <c r="B55" s="226">
        <v>99990009874722</v>
      </c>
      <c r="C55" s="227">
        <v>2127450</v>
      </c>
      <c r="D55" s="228" t="s">
        <v>95</v>
      </c>
      <c r="E55" s="229"/>
      <c r="F55" s="229">
        <v>2127450</v>
      </c>
      <c r="G55" s="229" t="s">
        <v>96</v>
      </c>
      <c r="H55" s="230">
        <v>0</v>
      </c>
      <c r="I55" s="231">
        <v>50</v>
      </c>
      <c r="J55" s="232">
        <v>0.15</v>
      </c>
      <c r="K55" s="233"/>
      <c r="L55" s="231">
        <v>0</v>
      </c>
      <c r="M55" s="231">
        <v>0</v>
      </c>
      <c r="N55" s="234">
        <f>ROUND(((I55*J55)-((I55*J55)*L55/100))+(((I55*J55)-((I55*J55)*L55/100))*M55/100),2)</f>
      </c>
      <c r="O55" s="230">
        <f>M11</f>
      </c>
      <c r="P55" s="235" t="s">
        <v>288</v>
      </c>
      <c r="Q55" s="236"/>
      <c r="R55" s="237"/>
      <c r="S55" s="238"/>
      <c r="T55" s="239"/>
    </row>
    <row r="56" spans="1:20" ht="24" customHeight="1">
      <c r="A56" s="226">
        <v>37</v>
      </c>
      <c r="B56" s="226">
        <v>99990009874736</v>
      </c>
      <c r="C56" s="227" t="s">
        <v>97</v>
      </c>
      <c r="D56" s="228" t="s">
        <v>98</v>
      </c>
      <c r="E56" s="229"/>
      <c r="F56" s="229" t="s">
        <v>97</v>
      </c>
      <c r="G56" s="229" t="s">
        <v>41</v>
      </c>
      <c r="H56" s="230">
        <v>0</v>
      </c>
      <c r="I56" s="231">
        <v>10</v>
      </c>
      <c r="J56" s="232">
        <v>0.51</v>
      </c>
      <c r="K56" s="233"/>
      <c r="L56" s="231">
        <v>0</v>
      </c>
      <c r="M56" s="231">
        <v>0</v>
      </c>
      <c r="N56" s="234">
        <f>ROUND(((I56*J56)-((I56*J56)*L56/100))+(((I56*J56)-((I56*J56)*L56/100))*M56/100),2)</f>
      </c>
      <c r="O56" s="230">
        <f>M11</f>
      </c>
      <c r="P56" s="235" t="s">
        <v>289</v>
      </c>
      <c r="Q56" s="236"/>
      <c r="R56" s="237"/>
      <c r="S56" s="238"/>
      <c r="T56" s="239"/>
    </row>
    <row r="57" spans="1:20" ht="24" customHeight="1">
      <c r="A57" s="226">
        <v>38</v>
      </c>
      <c r="B57" s="226">
        <v>99990009874151</v>
      </c>
      <c r="C57" s="227">
        <v>2045974</v>
      </c>
      <c r="D57" s="228" t="s">
        <v>99</v>
      </c>
      <c r="E57" s="229"/>
      <c r="F57" s="229">
        <v>2045974</v>
      </c>
      <c r="G57" s="229" t="s">
        <v>100</v>
      </c>
      <c r="H57" s="230">
        <v>0</v>
      </c>
      <c r="I57" s="231">
        <v>2</v>
      </c>
      <c r="J57" s="232">
        <v>2.26</v>
      </c>
      <c r="K57" s="233"/>
      <c r="L57" s="231">
        <v>0</v>
      </c>
      <c r="M57" s="231">
        <v>0</v>
      </c>
      <c r="N57" s="234">
        <f>ROUND(((I57*J57)-((I57*J57)*L57/100))+(((I57*J57)-((I57*J57)*L57/100))*M57/100),2)</f>
      </c>
      <c r="O57" s="230">
        <f>M11</f>
      </c>
      <c r="P57" s="235"/>
      <c r="Q57" s="236"/>
      <c r="R57" s="237"/>
      <c r="S57" s="238"/>
      <c r="T57" s="239"/>
    </row>
    <row r="58" spans="1:20" ht="24" customHeight="1">
      <c r="A58" s="226">
        <v>39</v>
      </c>
      <c r="B58" s="226">
        <v>99990009875173</v>
      </c>
      <c r="C58" s="227">
        <v>2045909</v>
      </c>
      <c r="D58" s="228" t="s">
        <v>101</v>
      </c>
      <c r="E58" s="229"/>
      <c r="F58" s="229">
        <v>2045909</v>
      </c>
      <c r="G58" s="229" t="s">
        <v>100</v>
      </c>
      <c r="H58" s="230">
        <v>0</v>
      </c>
      <c r="I58" s="231">
        <v>3</v>
      </c>
      <c r="J58" s="232">
        <v>45.15</v>
      </c>
      <c r="K58" s="233"/>
      <c r="L58" s="231">
        <v>0</v>
      </c>
      <c r="M58" s="231">
        <v>0</v>
      </c>
      <c r="N58" s="234">
        <f>ROUND(((I58*J58)-((I58*J58)*L58/100))+(((I58*J58)-((I58*J58)*L58/100))*M58/100),2)</f>
      </c>
      <c r="O58" s="230">
        <f>M11</f>
      </c>
      <c r="P58" s="235"/>
      <c r="Q58" s="236"/>
      <c r="R58" s="237"/>
      <c r="S58" s="238"/>
      <c r="T58" s="239"/>
    </row>
    <row r="59" spans="1:20" ht="24" customHeight="1">
      <c r="A59" s="226">
        <v>40</v>
      </c>
      <c r="B59" s="226">
        <v>99990009874167</v>
      </c>
      <c r="C59" s="227">
        <v>37</v>
      </c>
      <c r="D59" s="228" t="s">
        <v>102</v>
      </c>
      <c r="E59" s="229"/>
      <c r="F59" s="229">
        <v>37</v>
      </c>
      <c r="G59" s="229" t="s">
        <v>41</v>
      </c>
      <c r="H59" s="230">
        <v>0</v>
      </c>
      <c r="I59" s="231">
        <v>2</v>
      </c>
      <c r="J59" s="232">
        <v>1.47</v>
      </c>
      <c r="K59" s="233"/>
      <c r="L59" s="231">
        <v>0</v>
      </c>
      <c r="M59" s="231">
        <v>0</v>
      </c>
      <c r="N59" s="234">
        <f>ROUND(((I59*J59)-((I59*J59)*L59/100))+(((I59*J59)-((I59*J59)*L59/100))*M59/100),2)</f>
      </c>
      <c r="O59" s="230">
        <f>M11</f>
      </c>
      <c r="P59" s="235" t="s">
        <v>290</v>
      </c>
      <c r="Q59" s="236"/>
      <c r="R59" s="237"/>
      <c r="S59" s="238"/>
      <c r="T59" s="239"/>
    </row>
    <row r="60" spans="1:20" ht="24" customHeight="1">
      <c r="A60" s="226">
        <v>41</v>
      </c>
      <c r="B60" s="226">
        <v>99990009873998</v>
      </c>
      <c r="C60" s="227" t="s">
        <v>103</v>
      </c>
      <c r="D60" s="228" t="s">
        <v>104</v>
      </c>
      <c r="E60" s="229"/>
      <c r="F60" s="229" t="s">
        <v>103</v>
      </c>
      <c r="G60" s="229" t="s">
        <v>41</v>
      </c>
      <c r="H60" s="230">
        <v>0</v>
      </c>
      <c r="I60" s="231">
        <v>5</v>
      </c>
      <c r="J60" s="232">
        <v>1.19</v>
      </c>
      <c r="K60" s="233"/>
      <c r="L60" s="231">
        <v>0</v>
      </c>
      <c r="M60" s="231">
        <v>0</v>
      </c>
      <c r="N60" s="234">
        <f>ROUND(((I60*J60)-((I60*J60)*L60/100))+(((I60*J60)-((I60*J60)*L60/100))*M60/100),2)</f>
      </c>
      <c r="O60" s="230">
        <f>M11</f>
      </c>
      <c r="P60" s="235" t="s">
        <v>271</v>
      </c>
      <c r="Q60" s="236"/>
      <c r="R60" s="237"/>
      <c r="S60" s="238"/>
      <c r="T60" s="239"/>
    </row>
    <row r="61" spans="1:20" ht="24" customHeight="1">
      <c r="A61" s="226">
        <v>42</v>
      </c>
      <c r="B61" s="226">
        <v>99990011127029</v>
      </c>
      <c r="C61" s="227">
        <v>2437284</v>
      </c>
      <c r="D61" s="228" t="s">
        <v>105</v>
      </c>
      <c r="E61" s="229"/>
      <c r="F61" s="229">
        <v>2437284</v>
      </c>
      <c r="G61" s="229" t="s">
        <v>41</v>
      </c>
      <c r="H61" s="230">
        <v>0</v>
      </c>
      <c r="I61" s="231">
        <v>20</v>
      </c>
      <c r="J61" s="232">
        <v>0.56</v>
      </c>
      <c r="K61" s="233"/>
      <c r="L61" s="231">
        <v>0</v>
      </c>
      <c r="M61" s="231">
        <v>0</v>
      </c>
      <c r="N61" s="234">
        <f>ROUND(((I61*J61)-((I61*J61)*L61/100))+(((I61*J61)-((I61*J61)*L61/100))*M61/100),2)</f>
      </c>
      <c r="O61" s="230">
        <f>M11</f>
      </c>
      <c r="P61" s="235"/>
      <c r="Q61" s="236"/>
      <c r="R61" s="237"/>
      <c r="S61" s="238"/>
      <c r="T61" s="239"/>
    </row>
    <row r="62" spans="1:20" ht="24" customHeight="1">
      <c r="A62" s="226">
        <v>43</v>
      </c>
      <c r="B62" s="226">
        <v>99990009873498</v>
      </c>
      <c r="C62" s="227">
        <v>8</v>
      </c>
      <c r="D62" s="228" t="s">
        <v>106</v>
      </c>
      <c r="E62" s="229"/>
      <c r="F62" s="229">
        <v>8</v>
      </c>
      <c r="G62" s="229" t="s">
        <v>41</v>
      </c>
      <c r="H62" s="230">
        <v>0</v>
      </c>
      <c r="I62" s="231">
        <v>2</v>
      </c>
      <c r="J62" s="232">
        <v>1.02</v>
      </c>
      <c r="K62" s="233"/>
      <c r="L62" s="231">
        <v>0</v>
      </c>
      <c r="M62" s="231">
        <v>0</v>
      </c>
      <c r="N62" s="234">
        <f>ROUND(((I62*J62)-((I62*J62)*L62/100))+(((I62*J62)-((I62*J62)*L62/100))*M62/100),2)</f>
      </c>
      <c r="O62" s="230">
        <f>M11</f>
      </c>
      <c r="P62" s="235" t="s">
        <v>291</v>
      </c>
      <c r="Q62" s="236"/>
      <c r="R62" s="237"/>
      <c r="S62" s="238"/>
      <c r="T62" s="239"/>
    </row>
    <row r="63" spans="1:20" ht="24" customHeight="1">
      <c r="A63" s="226">
        <v>44</v>
      </c>
      <c r="B63" s="226">
        <v>99990009873470</v>
      </c>
      <c r="C63" s="227" t="s">
        <v>107</v>
      </c>
      <c r="D63" s="228" t="s">
        <v>108</v>
      </c>
      <c r="E63" s="229"/>
      <c r="F63" s="229" t="s">
        <v>107</v>
      </c>
      <c r="G63" s="229" t="s">
        <v>41</v>
      </c>
      <c r="H63" s="230">
        <v>0</v>
      </c>
      <c r="I63" s="231">
        <v>3</v>
      </c>
      <c r="J63" s="232">
        <v>0.59</v>
      </c>
      <c r="K63" s="233"/>
      <c r="L63" s="231">
        <v>0</v>
      </c>
      <c r="M63" s="231">
        <v>0</v>
      </c>
      <c r="N63" s="234">
        <f>ROUND(((I63*J63)-((I63*J63)*L63/100))+(((I63*J63)-((I63*J63)*L63/100))*M63/100),2)</f>
      </c>
      <c r="O63" s="230">
        <f>M11</f>
      </c>
      <c r="P63" s="235"/>
      <c r="Q63" s="236"/>
      <c r="R63" s="237"/>
      <c r="S63" s="238"/>
      <c r="T63" s="239"/>
    </row>
    <row r="64" spans="1:20" ht="24" customHeight="1">
      <c r="A64" s="226">
        <v>45</v>
      </c>
      <c r="B64" s="226">
        <v>99990009874270</v>
      </c>
      <c r="C64" s="227" t="s">
        <v>109</v>
      </c>
      <c r="D64" s="228" t="s">
        <v>110</v>
      </c>
      <c r="E64" s="229"/>
      <c r="F64" s="229" t="s">
        <v>109</v>
      </c>
      <c r="G64" s="229" t="s">
        <v>41</v>
      </c>
      <c r="H64" s="230">
        <v>0</v>
      </c>
      <c r="I64" s="231">
        <v>4</v>
      </c>
      <c r="J64" s="232">
        <v>1.92</v>
      </c>
      <c r="K64" s="233"/>
      <c r="L64" s="231">
        <v>0</v>
      </c>
      <c r="M64" s="231">
        <v>0</v>
      </c>
      <c r="N64" s="234">
        <f>ROUND(((I64*J64)-((I64*J64)*L64/100))+(((I64*J64)-((I64*J64)*L64/100))*M64/100),2)</f>
      </c>
      <c r="O64" s="230">
        <f>M11</f>
      </c>
      <c r="P64" s="235"/>
      <c r="Q64" s="236"/>
      <c r="R64" s="237"/>
      <c r="S64" s="238"/>
      <c r="T64" s="239"/>
    </row>
    <row r="65" spans="1:20" ht="24" customHeight="1">
      <c r="A65" s="226">
        <v>46</v>
      </c>
      <c r="B65" s="226">
        <v>99990010835583</v>
      </c>
      <c r="C65" s="227">
        <v>390240</v>
      </c>
      <c r="D65" s="228" t="s">
        <v>111</v>
      </c>
      <c r="E65" s="229"/>
      <c r="F65" s="229">
        <v>390240</v>
      </c>
      <c r="G65" s="229" t="s">
        <v>112</v>
      </c>
      <c r="H65" s="230">
        <v>0</v>
      </c>
      <c r="I65" s="231">
        <v>10</v>
      </c>
      <c r="J65" s="232">
        <v>0.79</v>
      </c>
      <c r="K65" s="233"/>
      <c r="L65" s="231">
        <v>0</v>
      </c>
      <c r="M65" s="231">
        <v>0</v>
      </c>
      <c r="N65" s="234">
        <f>ROUND(((I65*J65)-((I65*J65)*L65/100))+(((I65*J65)-((I65*J65)*L65/100))*M65/100),2)</f>
      </c>
      <c r="O65" s="230">
        <f>M11</f>
      </c>
      <c r="P65" s="235" t="s">
        <v>274</v>
      </c>
      <c r="Q65" s="236"/>
      <c r="R65" s="237"/>
      <c r="S65" s="238"/>
      <c r="T65" s="239"/>
    </row>
    <row r="66" spans="1:20" ht="24" customHeight="1">
      <c r="A66" s="226">
        <v>47</v>
      </c>
      <c r="B66" s="226">
        <v>99990009874534</v>
      </c>
      <c r="C66" s="227" t="s">
        <v>113</v>
      </c>
      <c r="D66" s="228" t="s">
        <v>114</v>
      </c>
      <c r="E66" s="229"/>
      <c r="F66" s="229" t="s">
        <v>113</v>
      </c>
      <c r="G66" s="229" t="s">
        <v>41</v>
      </c>
      <c r="H66" s="230">
        <v>0</v>
      </c>
      <c r="I66" s="231">
        <v>50</v>
      </c>
      <c r="J66" s="232">
        <v>0.07</v>
      </c>
      <c r="K66" s="233"/>
      <c r="L66" s="231">
        <v>0</v>
      </c>
      <c r="M66" s="231">
        <v>0</v>
      </c>
      <c r="N66" s="234">
        <f>ROUND(((I66*J66)-((I66*J66)*L66/100))+(((I66*J66)-((I66*J66)*L66/100))*M66/100),2)</f>
      </c>
      <c r="O66" s="230">
        <f>M11</f>
      </c>
      <c r="P66" s="235"/>
      <c r="Q66" s="236"/>
      <c r="R66" s="237"/>
      <c r="S66" s="238"/>
      <c r="T66" s="239"/>
    </row>
    <row r="67" spans="1:20" ht="24" customHeight="1">
      <c r="A67" s="226">
        <v>48</v>
      </c>
      <c r="B67" s="226">
        <v>99990013590961</v>
      </c>
      <c r="C67" s="227" t="s">
        <v>115</v>
      </c>
      <c r="D67" s="228" t="s">
        <v>116</v>
      </c>
      <c r="E67" s="229"/>
      <c r="F67" s="229" t="s">
        <v>115</v>
      </c>
      <c r="G67" s="229" t="s">
        <v>100</v>
      </c>
      <c r="H67" s="230">
        <v>0</v>
      </c>
      <c r="I67" s="231">
        <v>1</v>
      </c>
      <c r="J67" s="232">
        <v>5.53</v>
      </c>
      <c r="K67" s="233"/>
      <c r="L67" s="231">
        <v>0</v>
      </c>
      <c r="M67" s="231">
        <v>0</v>
      </c>
      <c r="N67" s="234">
        <f>ROUND(((I67*J67)-((I67*J67)*L67/100))+(((I67*J67)-((I67*J67)*L67/100))*M67/100),2)</f>
      </c>
      <c r="O67" s="230">
        <f>M11</f>
      </c>
      <c r="P67" s="235" t="s">
        <v>292</v>
      </c>
      <c r="Q67" s="236"/>
      <c r="R67" s="237"/>
      <c r="S67" s="238"/>
      <c r="T67" s="239"/>
    </row>
    <row r="68" spans="1:20" ht="24" customHeight="1">
      <c r="A68" s="226">
        <v>49</v>
      </c>
      <c r="B68" s="226">
        <v>99990009874038</v>
      </c>
      <c r="C68" s="227" t="s">
        <v>117</v>
      </c>
      <c r="D68" s="228" t="s">
        <v>118</v>
      </c>
      <c r="E68" s="229"/>
      <c r="F68" s="229" t="s">
        <v>117</v>
      </c>
      <c r="G68" s="229" t="s">
        <v>100</v>
      </c>
      <c r="H68" s="230">
        <v>0</v>
      </c>
      <c r="I68" s="231">
        <v>2</v>
      </c>
      <c r="J68" s="232">
        <v>5.42</v>
      </c>
      <c r="K68" s="233"/>
      <c r="L68" s="231">
        <v>0</v>
      </c>
      <c r="M68" s="231">
        <v>0</v>
      </c>
      <c r="N68" s="234">
        <f>ROUND(((I68*J68)-((I68*J68)*L68/100))+(((I68*J68)-((I68*J68)*L68/100))*M68/100),2)</f>
      </c>
      <c r="O68" s="230">
        <f>M11</f>
      </c>
      <c r="P68" s="235"/>
      <c r="Q68" s="236"/>
      <c r="R68" s="237"/>
      <c r="S68" s="238"/>
      <c r="T68" s="239"/>
    </row>
    <row r="69" spans="1:20" ht="24" customHeight="1">
      <c r="A69" s="226">
        <v>50</v>
      </c>
      <c r="B69" s="226">
        <v>99990010835098</v>
      </c>
      <c r="C69" s="227">
        <v>391830</v>
      </c>
      <c r="D69" s="228" t="s">
        <v>119</v>
      </c>
      <c r="E69" s="229"/>
      <c r="F69" s="229">
        <v>391830</v>
      </c>
      <c r="G69" s="229" t="s">
        <v>120</v>
      </c>
      <c r="H69" s="230">
        <v>0</v>
      </c>
      <c r="I69" s="231">
        <v>30</v>
      </c>
      <c r="J69" s="232">
        <v>0.2</v>
      </c>
      <c r="K69" s="233"/>
      <c r="L69" s="231">
        <v>0</v>
      </c>
      <c r="M69" s="231">
        <v>0</v>
      </c>
      <c r="N69" s="234">
        <f>ROUND(((I69*J69)-((I69*J69)*L69/100))+(((I69*J69)-((I69*J69)*L69/100))*M69/100),2)</f>
      </c>
      <c r="O69" s="230">
        <f>M11</f>
      </c>
      <c r="P69" s="235"/>
      <c r="Q69" s="236"/>
      <c r="R69" s="237"/>
      <c r="S69" s="238"/>
      <c r="T69" s="239"/>
    </row>
    <row r="70" spans="1:20" ht="24" customHeight="1">
      <c r="A70" s="226">
        <v>51</v>
      </c>
      <c r="B70" s="226">
        <v>99990009873787</v>
      </c>
      <c r="C70" s="227">
        <v>2046037</v>
      </c>
      <c r="D70" s="228" t="s">
        <v>121</v>
      </c>
      <c r="E70" s="229"/>
      <c r="F70" s="229">
        <v>2046037</v>
      </c>
      <c r="G70" s="229" t="s">
        <v>50</v>
      </c>
      <c r="H70" s="230">
        <v>0</v>
      </c>
      <c r="I70" s="231">
        <v>4</v>
      </c>
      <c r="J70" s="232">
        <v>0.23</v>
      </c>
      <c r="K70" s="233"/>
      <c r="L70" s="231">
        <v>0</v>
      </c>
      <c r="M70" s="231">
        <v>0</v>
      </c>
      <c r="N70" s="234">
        <f>ROUND(((I70*J70)-((I70*J70)*L70/100))+(((I70*J70)-((I70*J70)*L70/100))*M70/100),2)</f>
      </c>
      <c r="O70" s="230">
        <f>M11</f>
      </c>
      <c r="P70" s="235" t="s">
        <v>293</v>
      </c>
      <c r="Q70" s="236"/>
      <c r="R70" s="237"/>
      <c r="S70" s="238"/>
      <c r="T70" s="239"/>
    </row>
    <row r="71" spans="1:20" ht="24" customHeight="1">
      <c r="A71" s="226">
        <v>52</v>
      </c>
      <c r="B71" s="226">
        <v>99990010835267</v>
      </c>
      <c r="C71" s="227">
        <v>390317</v>
      </c>
      <c r="D71" s="228" t="s">
        <v>122</v>
      </c>
      <c r="E71" s="229"/>
      <c r="F71" s="229">
        <v>390317</v>
      </c>
      <c r="G71" s="229" t="s">
        <v>53</v>
      </c>
      <c r="H71" s="230">
        <v>0</v>
      </c>
      <c r="I71" s="231">
        <v>10</v>
      </c>
      <c r="J71" s="232">
        <v>2.49</v>
      </c>
      <c r="K71" s="233"/>
      <c r="L71" s="231">
        <v>0</v>
      </c>
      <c r="M71" s="231">
        <v>0</v>
      </c>
      <c r="N71" s="234">
        <f>ROUND(((I71*J71)-((I71*J71)*L71/100))+(((I71*J71)-((I71*J71)*L71/100))*M71/100),2)</f>
      </c>
      <c r="O71" s="230">
        <f>M11</f>
      </c>
      <c r="P71" s="235"/>
      <c r="Q71" s="236"/>
      <c r="R71" s="237"/>
      <c r="S71" s="238"/>
      <c r="T71" s="239"/>
    </row>
    <row r="72" spans="1:20" ht="24" customHeight="1">
      <c r="A72" s="226">
        <v>53</v>
      </c>
      <c r="B72" s="226">
        <v>99990009873441</v>
      </c>
      <c r="C72" s="227" t="s">
        <v>123</v>
      </c>
      <c r="D72" s="228" t="s">
        <v>124</v>
      </c>
      <c r="E72" s="229"/>
      <c r="F72" s="229" t="s">
        <v>123</v>
      </c>
      <c r="G72" s="229" t="s">
        <v>41</v>
      </c>
      <c r="H72" s="230">
        <v>0</v>
      </c>
      <c r="I72" s="231">
        <v>200</v>
      </c>
      <c r="J72" s="232">
        <v>0.07</v>
      </c>
      <c r="K72" s="233"/>
      <c r="L72" s="231">
        <v>0</v>
      </c>
      <c r="M72" s="231">
        <v>0</v>
      </c>
      <c r="N72" s="234">
        <f>ROUND(((I72*J72)-((I72*J72)*L72/100))+(((I72*J72)-((I72*J72)*L72/100))*M72/100),2)</f>
      </c>
      <c r="O72" s="230">
        <f>M11</f>
      </c>
      <c r="P72" s="235" t="s">
        <v>294</v>
      </c>
      <c r="Q72" s="236"/>
      <c r="R72" s="237"/>
      <c r="S72" s="238"/>
      <c r="T72" s="239"/>
    </row>
    <row r="73" spans="1:20" ht="24" customHeight="1">
      <c r="A73" s="226">
        <v>54</v>
      </c>
      <c r="B73" s="226">
        <v>99990010835038</v>
      </c>
      <c r="C73" s="227">
        <v>390656</v>
      </c>
      <c r="D73" s="228" t="s">
        <v>125</v>
      </c>
      <c r="E73" s="229"/>
      <c r="F73" s="229">
        <v>390656</v>
      </c>
      <c r="G73" s="229" t="s">
        <v>41</v>
      </c>
      <c r="H73" s="230">
        <v>0</v>
      </c>
      <c r="I73" s="231">
        <v>10</v>
      </c>
      <c r="J73" s="232">
        <v>0.76</v>
      </c>
      <c r="K73" s="233"/>
      <c r="L73" s="231">
        <v>0</v>
      </c>
      <c r="M73" s="231">
        <v>0</v>
      </c>
      <c r="N73" s="234">
        <f>ROUND(((I73*J73)-((I73*J73)*L73/100))+(((I73*J73)-((I73*J73)*L73/100))*M73/100),2)</f>
      </c>
      <c r="O73" s="230">
        <f>M11</f>
      </c>
      <c r="P73" s="235" t="s">
        <v>271</v>
      </c>
      <c r="Q73" s="236"/>
      <c r="R73" s="237"/>
      <c r="S73" s="238"/>
      <c r="T73" s="239"/>
    </row>
    <row r="74" spans="1:20" ht="24" customHeight="1">
      <c r="A74" s="226">
        <v>55</v>
      </c>
      <c r="B74" s="226">
        <v>99990009874212</v>
      </c>
      <c r="C74" s="227" t="s">
        <v>126</v>
      </c>
      <c r="D74" s="228" t="s">
        <v>127</v>
      </c>
      <c r="E74" s="229"/>
      <c r="F74" s="229" t="s">
        <v>126</v>
      </c>
      <c r="G74" s="229" t="s">
        <v>41</v>
      </c>
      <c r="H74" s="230">
        <v>0</v>
      </c>
      <c r="I74" s="231">
        <v>100</v>
      </c>
      <c r="J74" s="232">
        <v>0.14</v>
      </c>
      <c r="K74" s="233"/>
      <c r="L74" s="231">
        <v>0</v>
      </c>
      <c r="M74" s="231">
        <v>0</v>
      </c>
      <c r="N74" s="234">
        <f>ROUND(((I74*J74)-((I74*J74)*L74/100))+(((I74*J74)-((I74*J74)*L74/100))*M74/100),2)</f>
      </c>
      <c r="O74" s="230">
        <f>M11</f>
      </c>
      <c r="P74" s="235"/>
      <c r="Q74" s="236"/>
      <c r="R74" s="237"/>
      <c r="S74" s="238"/>
      <c r="T74" s="239"/>
    </row>
    <row r="75" spans="1:20" ht="24" customHeight="1">
      <c r="A75" s="226">
        <v>56</v>
      </c>
      <c r="B75" s="226">
        <v>99990010835242</v>
      </c>
      <c r="C75" s="227">
        <v>390613</v>
      </c>
      <c r="D75" s="228" t="s">
        <v>128</v>
      </c>
      <c r="E75" s="229"/>
      <c r="F75" s="229">
        <v>390613</v>
      </c>
      <c r="G75" s="229" t="s">
        <v>41</v>
      </c>
      <c r="H75" s="230">
        <v>0</v>
      </c>
      <c r="I75" s="231">
        <v>70</v>
      </c>
      <c r="J75" s="232">
        <v>0.15</v>
      </c>
      <c r="K75" s="233"/>
      <c r="L75" s="231">
        <v>0</v>
      </c>
      <c r="M75" s="231">
        <v>0</v>
      </c>
      <c r="N75" s="234">
        <f>ROUND(((I75*J75)-((I75*J75)*L75/100))+(((I75*J75)-((I75*J75)*L75/100))*M75/100),2)</f>
      </c>
      <c r="O75" s="230">
        <f>M11</f>
      </c>
      <c r="P75" s="235" t="s">
        <v>295</v>
      </c>
      <c r="Q75" s="236"/>
      <c r="R75" s="237"/>
      <c r="S75" s="238"/>
      <c r="T75" s="239"/>
    </row>
    <row r="76" spans="1:20" ht="24" customHeight="1">
      <c r="A76" s="226">
        <v>57</v>
      </c>
      <c r="B76" s="226">
        <v>99990010835023</v>
      </c>
      <c r="C76" s="227">
        <v>391724</v>
      </c>
      <c r="D76" s="228" t="s">
        <v>129</v>
      </c>
      <c r="E76" s="229"/>
      <c r="F76" s="229">
        <v>391724</v>
      </c>
      <c r="G76" s="229" t="s">
        <v>53</v>
      </c>
      <c r="H76" s="230">
        <v>0</v>
      </c>
      <c r="I76" s="231">
        <v>10</v>
      </c>
      <c r="J76" s="232">
        <v>4.06</v>
      </c>
      <c r="K76" s="233"/>
      <c r="L76" s="231">
        <v>0</v>
      </c>
      <c r="M76" s="231">
        <v>0</v>
      </c>
      <c r="N76" s="234">
        <f>ROUND(((I76*J76)-((I76*J76)*L76/100))+(((I76*J76)-((I76*J76)*L76/100))*M76/100),2)</f>
      </c>
      <c r="O76" s="230">
        <f>M11</f>
      </c>
      <c r="P76" s="235"/>
      <c r="Q76" s="236"/>
      <c r="R76" s="237"/>
      <c r="S76" s="238"/>
      <c r="T76" s="239"/>
    </row>
    <row r="77" spans="1:20" ht="24" customHeight="1">
      <c r="A77" s="226">
        <v>58</v>
      </c>
      <c r="B77" s="226">
        <v>99990009873847</v>
      </c>
      <c r="C77" s="227" t="s">
        <v>130</v>
      </c>
      <c r="D77" s="228" t="s">
        <v>131</v>
      </c>
      <c r="E77" s="229"/>
      <c r="F77" s="229" t="s">
        <v>130</v>
      </c>
      <c r="G77" s="229" t="s">
        <v>41</v>
      </c>
      <c r="H77" s="230">
        <v>0</v>
      </c>
      <c r="I77" s="231">
        <v>6</v>
      </c>
      <c r="J77" s="232">
        <v>2.26</v>
      </c>
      <c r="K77" s="233"/>
      <c r="L77" s="231">
        <v>0</v>
      </c>
      <c r="M77" s="231">
        <v>0</v>
      </c>
      <c r="N77" s="234">
        <f>ROUND(((I77*J77)-((I77*J77)*L77/100))+(((I77*J77)-((I77*J77)*L77/100))*M77/100),2)</f>
      </c>
      <c r="O77" s="230">
        <f>M11</f>
      </c>
      <c r="P77" s="235" t="s">
        <v>296</v>
      </c>
      <c r="Q77" s="236"/>
      <c r="R77" s="237"/>
      <c r="S77" s="238"/>
      <c r="T77" s="239"/>
    </row>
    <row r="78" spans="1:20" ht="24" customHeight="1">
      <c r="A78" s="226">
        <v>59</v>
      </c>
      <c r="B78" s="226">
        <v>99990009874166</v>
      </c>
      <c r="C78" s="227">
        <v>36</v>
      </c>
      <c r="D78" s="228" t="s">
        <v>132</v>
      </c>
      <c r="E78" s="229"/>
      <c r="F78" s="229">
        <v>36</v>
      </c>
      <c r="G78" s="229" t="s">
        <v>41</v>
      </c>
      <c r="H78" s="230">
        <v>0</v>
      </c>
      <c r="I78" s="231">
        <v>6</v>
      </c>
      <c r="J78" s="232">
        <v>2.14</v>
      </c>
      <c r="K78" s="233"/>
      <c r="L78" s="231">
        <v>0</v>
      </c>
      <c r="M78" s="231">
        <v>0</v>
      </c>
      <c r="N78" s="234">
        <f>ROUND(((I78*J78)-((I78*J78)*L78/100))+(((I78*J78)-((I78*J78)*L78/100))*M78/100),2)</f>
      </c>
      <c r="O78" s="230">
        <f>M11</f>
      </c>
      <c r="P78" s="235" t="s">
        <v>297</v>
      </c>
      <c r="Q78" s="236"/>
      <c r="R78" s="237"/>
      <c r="S78" s="238"/>
      <c r="T78" s="239"/>
    </row>
    <row r="79" spans="1:20" ht="24" customHeight="1">
      <c r="A79" s="226">
        <v>60</v>
      </c>
      <c r="B79" s="226">
        <v>99990010779761</v>
      </c>
      <c r="C79" s="227" t="s">
        <v>133</v>
      </c>
      <c r="D79" s="228" t="s">
        <v>134</v>
      </c>
      <c r="E79" s="229"/>
      <c r="F79" s="229" t="s">
        <v>133</v>
      </c>
      <c r="G79" s="229" t="s">
        <v>61</v>
      </c>
      <c r="H79" s="230">
        <v>0</v>
      </c>
      <c r="I79" s="231">
        <v>6</v>
      </c>
      <c r="J79" s="232">
        <v>2.37</v>
      </c>
      <c r="K79" s="233"/>
      <c r="L79" s="231">
        <v>0</v>
      </c>
      <c r="M79" s="231">
        <v>0</v>
      </c>
      <c r="N79" s="234">
        <f>ROUND(((I79*J79)-((I79*J79)*L79/100))+(((I79*J79)-((I79*J79)*L79/100))*M79/100),2)</f>
      </c>
      <c r="O79" s="230">
        <f>M11</f>
      </c>
      <c r="P79" s="235" t="s">
        <v>298</v>
      </c>
      <c r="Q79" s="236"/>
      <c r="R79" s="237"/>
      <c r="S79" s="238"/>
      <c r="T79" s="239"/>
    </row>
    <row r="80" spans="1:20" ht="24" customHeight="1">
      <c r="A80" s="226">
        <v>61</v>
      </c>
      <c r="B80" s="226">
        <v>99990009873616</v>
      </c>
      <c r="C80" s="227">
        <v>15</v>
      </c>
      <c r="D80" s="228" t="s">
        <v>135</v>
      </c>
      <c r="E80" s="229"/>
      <c r="F80" s="229">
        <v>15</v>
      </c>
      <c r="G80" s="229" t="s">
        <v>41</v>
      </c>
      <c r="H80" s="230">
        <v>0</v>
      </c>
      <c r="I80" s="231">
        <v>20</v>
      </c>
      <c r="J80" s="232">
        <v>1.47</v>
      </c>
      <c r="K80" s="233"/>
      <c r="L80" s="231">
        <v>0</v>
      </c>
      <c r="M80" s="231">
        <v>0</v>
      </c>
      <c r="N80" s="234">
        <f>ROUND(((I80*J80)-((I80*J80)*L80/100))+(((I80*J80)-((I80*J80)*L80/100))*M80/100),2)</f>
      </c>
      <c r="O80" s="230">
        <f>M11</f>
      </c>
      <c r="P80" s="235"/>
      <c r="Q80" s="236"/>
      <c r="R80" s="237"/>
      <c r="S80" s="238"/>
      <c r="T80" s="239"/>
    </row>
    <row r="81" spans="1:20" ht="24" customHeight="1">
      <c r="A81" s="226">
        <v>62</v>
      </c>
      <c r="B81" s="226">
        <v>99990009873469</v>
      </c>
      <c r="C81" s="227">
        <v>2080008</v>
      </c>
      <c r="D81" s="228" t="s">
        <v>136</v>
      </c>
      <c r="E81" s="229"/>
      <c r="F81" s="229">
        <v>2080008</v>
      </c>
      <c r="G81" s="229" t="s">
        <v>41</v>
      </c>
      <c r="H81" s="230">
        <v>0</v>
      </c>
      <c r="I81" s="231">
        <v>12</v>
      </c>
      <c r="J81" s="232">
        <v>0.59</v>
      </c>
      <c r="K81" s="233"/>
      <c r="L81" s="231">
        <v>0</v>
      </c>
      <c r="M81" s="231">
        <v>0</v>
      </c>
      <c r="N81" s="234">
        <f>ROUND(((I81*J81)-((I81*J81)*L81/100))+(((I81*J81)-((I81*J81)*L81/100))*M81/100),2)</f>
      </c>
      <c r="O81" s="230">
        <f>M11</f>
      </c>
      <c r="P81" s="235"/>
      <c r="Q81" s="236"/>
      <c r="R81" s="237"/>
      <c r="S81" s="238"/>
      <c r="T81" s="239"/>
    </row>
    <row r="82" spans="1:20" ht="24" customHeight="1">
      <c r="A82" s="226">
        <v>63</v>
      </c>
      <c r="B82" s="226">
        <v>99990009873463</v>
      </c>
      <c r="C82" s="227" t="s">
        <v>137</v>
      </c>
      <c r="D82" s="228" t="s">
        <v>138</v>
      </c>
      <c r="E82" s="229"/>
      <c r="F82" s="229" t="s">
        <v>137</v>
      </c>
      <c r="G82" s="229" t="s">
        <v>53</v>
      </c>
      <c r="H82" s="230">
        <v>0</v>
      </c>
      <c r="I82" s="231">
        <v>20</v>
      </c>
      <c r="J82" s="232">
        <v>0.59</v>
      </c>
      <c r="K82" s="233"/>
      <c r="L82" s="231">
        <v>0</v>
      </c>
      <c r="M82" s="231">
        <v>0</v>
      </c>
      <c r="N82" s="234">
        <f>ROUND(((I82*J82)-((I82*J82)*L82/100))+(((I82*J82)-((I82*J82)*L82/100))*M82/100),2)</f>
      </c>
      <c r="O82" s="230">
        <f>M11</f>
      </c>
      <c r="P82" s="235"/>
      <c r="Q82" s="236"/>
      <c r="R82" s="237"/>
      <c r="S82" s="238"/>
      <c r="T82" s="239"/>
    </row>
    <row r="83" spans="1:20" ht="24" customHeight="1">
      <c r="A83" s="226">
        <v>64</v>
      </c>
      <c r="B83" s="226">
        <v>99990009874628</v>
      </c>
      <c r="C83" s="227">
        <v>2045989</v>
      </c>
      <c r="D83" s="228" t="s">
        <v>139</v>
      </c>
      <c r="E83" s="229"/>
      <c r="F83" s="229">
        <v>2045989</v>
      </c>
      <c r="G83" s="229" t="s">
        <v>53</v>
      </c>
      <c r="H83" s="230">
        <v>0</v>
      </c>
      <c r="I83" s="231">
        <v>2</v>
      </c>
      <c r="J83" s="232">
        <v>1.47</v>
      </c>
      <c r="K83" s="233"/>
      <c r="L83" s="231">
        <v>0</v>
      </c>
      <c r="M83" s="231">
        <v>0</v>
      </c>
      <c r="N83" s="234">
        <f>ROUND(((I83*J83)-((I83*J83)*L83/100))+(((I83*J83)-((I83*J83)*L83/100))*M83/100),2)</f>
      </c>
      <c r="O83" s="230">
        <f>M11</f>
      </c>
      <c r="P83" s="235" t="s">
        <v>299</v>
      </c>
      <c r="Q83" s="236"/>
      <c r="R83" s="237"/>
      <c r="S83" s="238"/>
      <c r="T83" s="239"/>
    </row>
    <row r="84" spans="1:20" ht="24" customHeight="1">
      <c r="A84" s="226">
        <v>65</v>
      </c>
      <c r="B84" s="226">
        <v>99990009874643</v>
      </c>
      <c r="C84" s="227">
        <v>27</v>
      </c>
      <c r="D84" s="228" t="s">
        <v>140</v>
      </c>
      <c r="E84" s="229"/>
      <c r="F84" s="229">
        <v>27</v>
      </c>
      <c r="G84" s="229" t="s">
        <v>41</v>
      </c>
      <c r="H84" s="230">
        <v>0</v>
      </c>
      <c r="I84" s="231">
        <v>20</v>
      </c>
      <c r="J84" s="232">
        <v>0.05</v>
      </c>
      <c r="K84" s="233"/>
      <c r="L84" s="231">
        <v>0</v>
      </c>
      <c r="M84" s="231">
        <v>0</v>
      </c>
      <c r="N84" s="234">
        <f>ROUND(((I84*J84)-((I84*J84)*L84/100))+(((I84*J84)-((I84*J84)*L84/100))*M84/100),2)</f>
      </c>
      <c r="O84" s="230">
        <f>M11</f>
      </c>
      <c r="P84" s="235" t="s">
        <v>271</v>
      </c>
      <c r="Q84" s="236"/>
      <c r="R84" s="237"/>
      <c r="S84" s="238"/>
      <c r="T84" s="239"/>
    </row>
    <row r="85" spans="1:20" ht="24" customHeight="1">
      <c r="A85" s="226">
        <v>66</v>
      </c>
      <c r="B85" s="226">
        <v>99990010835662</v>
      </c>
      <c r="C85" s="227">
        <v>390516</v>
      </c>
      <c r="D85" s="228" t="s">
        <v>141</v>
      </c>
      <c r="E85" s="229"/>
      <c r="F85" s="229">
        <v>390516</v>
      </c>
      <c r="G85" s="229" t="s">
        <v>61</v>
      </c>
      <c r="H85" s="230">
        <v>0</v>
      </c>
      <c r="I85" s="231">
        <v>5</v>
      </c>
      <c r="J85" s="232">
        <v>1.92</v>
      </c>
      <c r="K85" s="233"/>
      <c r="L85" s="231">
        <v>0</v>
      </c>
      <c r="M85" s="231">
        <v>0</v>
      </c>
      <c r="N85" s="234">
        <f>ROUND(((I85*J85)-((I85*J85)*L85/100))+(((I85*J85)-((I85*J85)*L85/100))*M85/100),2)</f>
      </c>
      <c r="O85" s="230">
        <f>M11</f>
      </c>
      <c r="P85" s="235" t="s">
        <v>300</v>
      </c>
      <c r="Q85" s="236"/>
      <c r="R85" s="237"/>
      <c r="S85" s="238"/>
      <c r="T85" s="239"/>
    </row>
    <row r="86" spans="1:20" ht="24" customHeight="1">
      <c r="A86" s="226">
        <v>67</v>
      </c>
      <c r="B86" s="226">
        <v>99990011897577</v>
      </c>
      <c r="C86" s="227">
        <v>2632697</v>
      </c>
      <c r="D86" s="228" t="s">
        <v>142</v>
      </c>
      <c r="E86" s="229"/>
      <c r="F86" s="229">
        <v>2632697</v>
      </c>
      <c r="G86" s="229" t="s">
        <v>41</v>
      </c>
      <c r="H86" s="230">
        <v>0</v>
      </c>
      <c r="I86" s="231">
        <v>200</v>
      </c>
      <c r="J86" s="232">
        <v>0.01</v>
      </c>
      <c r="K86" s="233"/>
      <c r="L86" s="231">
        <v>0</v>
      </c>
      <c r="M86" s="231">
        <v>0</v>
      </c>
      <c r="N86" s="234">
        <f>ROUND(((I86*J86)-((I86*J86)*L86/100))+(((I86*J86)-((I86*J86)*L86/100))*M86/100),2)</f>
      </c>
      <c r="O86" s="230">
        <f>M11</f>
      </c>
      <c r="P86" s="235" t="s">
        <v>301</v>
      </c>
      <c r="Q86" s="236"/>
      <c r="R86" s="237"/>
      <c r="S86" s="238"/>
      <c r="T86" s="239"/>
    </row>
    <row r="87" spans="1:20" ht="24" customHeight="1">
      <c r="A87" s="226">
        <v>68</v>
      </c>
      <c r="B87" s="226">
        <v>99990011451380</v>
      </c>
      <c r="C87" s="227">
        <v>2547804</v>
      </c>
      <c r="D87" s="228" t="s">
        <v>143</v>
      </c>
      <c r="E87" s="229"/>
      <c r="F87" s="229">
        <v>2547804</v>
      </c>
      <c r="G87" s="229" t="s">
        <v>61</v>
      </c>
      <c r="H87" s="230">
        <v>0</v>
      </c>
      <c r="I87" s="231">
        <v>5</v>
      </c>
      <c r="J87" s="232">
        <v>1.19</v>
      </c>
      <c r="K87" s="233"/>
      <c r="L87" s="231">
        <v>0</v>
      </c>
      <c r="M87" s="231">
        <v>0</v>
      </c>
      <c r="N87" s="234">
        <f>ROUND(((I87*J87)-((I87*J87)*L87/100))+(((I87*J87)-((I87*J87)*L87/100))*M87/100),2)</f>
      </c>
      <c r="O87" s="230">
        <f>M11</f>
      </c>
      <c r="P87" s="235"/>
      <c r="Q87" s="236"/>
      <c r="R87" s="237"/>
      <c r="S87" s="238"/>
      <c r="T87" s="239"/>
    </row>
    <row r="88" spans="1:20" ht="24" customHeight="1">
      <c r="A88" s="226">
        <v>69</v>
      </c>
      <c r="B88" s="226">
        <v>99990009873499</v>
      </c>
      <c r="C88" s="227" t="s">
        <v>144</v>
      </c>
      <c r="D88" s="228" t="s">
        <v>145</v>
      </c>
      <c r="E88" s="229"/>
      <c r="F88" s="229" t="s">
        <v>144</v>
      </c>
      <c r="G88" s="229" t="s">
        <v>53</v>
      </c>
      <c r="H88" s="230">
        <v>0</v>
      </c>
      <c r="I88" s="231">
        <v>2</v>
      </c>
      <c r="J88" s="232">
        <v>1.02</v>
      </c>
      <c r="K88" s="233"/>
      <c r="L88" s="231">
        <v>0</v>
      </c>
      <c r="M88" s="231">
        <v>0</v>
      </c>
      <c r="N88" s="234">
        <f>ROUND(((I88*J88)-((I88*J88)*L88/100))+(((I88*J88)-((I88*J88)*L88/100))*M88/100),2)</f>
      </c>
      <c r="O88" s="230">
        <f>M11</f>
      </c>
      <c r="P88" s="235" t="s">
        <v>291</v>
      </c>
      <c r="Q88" s="236"/>
      <c r="R88" s="237"/>
      <c r="S88" s="238"/>
      <c r="T88" s="239"/>
    </row>
    <row r="89" spans="1:20" ht="24" customHeight="1">
      <c r="A89" s="226">
        <v>70</v>
      </c>
      <c r="B89" s="226">
        <v>99990009875094</v>
      </c>
      <c r="C89" s="227">
        <v>2079959</v>
      </c>
      <c r="D89" s="228" t="s">
        <v>146</v>
      </c>
      <c r="E89" s="229"/>
      <c r="F89" s="229">
        <v>2079959</v>
      </c>
      <c r="G89" s="229" t="s">
        <v>96</v>
      </c>
      <c r="H89" s="230">
        <v>0</v>
      </c>
      <c r="I89" s="231">
        <v>100</v>
      </c>
      <c r="J89" s="232">
        <v>0.03</v>
      </c>
      <c r="K89" s="233"/>
      <c r="L89" s="231">
        <v>0</v>
      </c>
      <c r="M89" s="231">
        <v>0</v>
      </c>
      <c r="N89" s="234">
        <f>ROUND(((I89*J89)-((I89*J89)*L89/100))+(((I89*J89)-((I89*J89)*L89/100))*M89/100),2)</f>
      </c>
      <c r="O89" s="230">
        <f>M11</f>
      </c>
      <c r="P89" s="235" t="s">
        <v>302</v>
      </c>
      <c r="Q89" s="236"/>
      <c r="R89" s="237"/>
      <c r="S89" s="238"/>
      <c r="T89" s="239"/>
    </row>
    <row r="90" spans="1:20" ht="24" customHeight="1">
      <c r="A90" s="226">
        <v>71</v>
      </c>
      <c r="B90" s="226">
        <v>99990010835039</v>
      </c>
      <c r="C90" s="227">
        <v>391739</v>
      </c>
      <c r="D90" s="228" t="s">
        <v>147</v>
      </c>
      <c r="E90" s="229"/>
      <c r="F90" s="229">
        <v>391739</v>
      </c>
      <c r="G90" s="229" t="s">
        <v>53</v>
      </c>
      <c r="H90" s="230">
        <v>0</v>
      </c>
      <c r="I90" s="231">
        <v>70</v>
      </c>
      <c r="J90" s="232">
        <v>0.07</v>
      </c>
      <c r="K90" s="233"/>
      <c r="L90" s="231">
        <v>0</v>
      </c>
      <c r="M90" s="231">
        <v>0</v>
      </c>
      <c r="N90" s="234">
        <f>ROUND(((I90*J90)-((I90*J90)*L90/100))+(((I90*J90)-((I90*J90)*L90/100))*M90/100),2)</f>
      </c>
      <c r="O90" s="230">
        <f>M11</f>
      </c>
      <c r="P90" s="235"/>
      <c r="Q90" s="236"/>
      <c r="R90" s="237"/>
      <c r="S90" s="238"/>
      <c r="T90" s="239"/>
    </row>
    <row r="91" spans="1:20" ht="24" customHeight="1">
      <c r="A91" s="226">
        <v>72</v>
      </c>
      <c r="B91" s="226">
        <v>99990010835030</v>
      </c>
      <c r="C91" s="227">
        <v>391730</v>
      </c>
      <c r="D91" s="228" t="s">
        <v>148</v>
      </c>
      <c r="E91" s="229"/>
      <c r="F91" s="229">
        <v>391730</v>
      </c>
      <c r="G91" s="229" t="s">
        <v>53</v>
      </c>
      <c r="H91" s="230">
        <v>0</v>
      </c>
      <c r="I91" s="231">
        <v>24</v>
      </c>
      <c r="J91" s="232">
        <v>0.19</v>
      </c>
      <c r="K91" s="233"/>
      <c r="L91" s="231">
        <v>0</v>
      </c>
      <c r="M91" s="231">
        <v>0</v>
      </c>
      <c r="N91" s="234">
        <f>ROUND(((I91*J91)-((I91*J91)*L91/100))+(((I91*J91)-((I91*J91)*L91/100))*M91/100),2)</f>
      </c>
      <c r="O91" s="230">
        <f>M11</f>
      </c>
      <c r="P91" s="235" t="s">
        <v>303</v>
      </c>
      <c r="Q91" s="236"/>
      <c r="R91" s="237"/>
      <c r="S91" s="238"/>
      <c r="T91" s="239"/>
    </row>
    <row r="92" spans="1:20" ht="24" customHeight="1">
      <c r="A92" s="226">
        <v>73</v>
      </c>
      <c r="B92" s="226">
        <v>99990010835451</v>
      </c>
      <c r="C92" s="227">
        <v>390849</v>
      </c>
      <c r="D92" s="228" t="s">
        <v>149</v>
      </c>
      <c r="E92" s="229"/>
      <c r="F92" s="229">
        <v>390849</v>
      </c>
      <c r="G92" s="229" t="s">
        <v>41</v>
      </c>
      <c r="H92" s="230">
        <v>0</v>
      </c>
      <c r="I92" s="231">
        <v>4</v>
      </c>
      <c r="J92" s="232">
        <v>1.54</v>
      </c>
      <c r="K92" s="233"/>
      <c r="L92" s="231">
        <v>0</v>
      </c>
      <c r="M92" s="231">
        <v>0</v>
      </c>
      <c r="N92" s="234">
        <f>ROUND(((I92*J92)-((I92*J92)*L92/100))+(((I92*J92)-((I92*J92)*L92/100))*M92/100),2)</f>
      </c>
      <c r="O92" s="230">
        <f>M11</f>
      </c>
      <c r="P92" s="235"/>
      <c r="Q92" s="236"/>
      <c r="R92" s="237"/>
      <c r="S92" s="238"/>
      <c r="T92" s="239"/>
    </row>
    <row r="93" spans="1:20" ht="24" customHeight="1">
      <c r="A93" s="226">
        <v>74</v>
      </c>
      <c r="B93" s="226">
        <v>99990010835016</v>
      </c>
      <c r="C93" s="227">
        <v>391717</v>
      </c>
      <c r="D93" s="228" t="s">
        <v>150</v>
      </c>
      <c r="E93" s="229"/>
      <c r="F93" s="229">
        <v>391717</v>
      </c>
      <c r="G93" s="229" t="s">
        <v>53</v>
      </c>
      <c r="H93" s="230">
        <v>0</v>
      </c>
      <c r="I93" s="231">
        <v>1</v>
      </c>
      <c r="J93" s="232">
        <v>1.92</v>
      </c>
      <c r="K93" s="233"/>
      <c r="L93" s="231">
        <v>0</v>
      </c>
      <c r="M93" s="231">
        <v>0</v>
      </c>
      <c r="N93" s="234">
        <f>ROUND(((I93*J93)-((I93*J93)*L93/100))+(((I93*J93)-((I93*J93)*L93/100))*M93/100),2)</f>
      </c>
      <c r="O93" s="230">
        <f>M11</f>
      </c>
      <c r="P93" s="235" t="s">
        <v>304</v>
      </c>
      <c r="Q93" s="236"/>
      <c r="R93" s="237" t="s">
        <v>151</v>
      </c>
      <c r="S93" s="238"/>
      <c r="T93" s="239"/>
    </row>
    <row r="94" spans="1:20" ht="24" customHeight="1">
      <c r="A94" s="226">
        <v>75</v>
      </c>
      <c r="B94" s="226">
        <v>99990009874901</v>
      </c>
      <c r="C94" s="227" t="s">
        <v>152</v>
      </c>
      <c r="D94" s="228" t="s">
        <v>153</v>
      </c>
      <c r="E94" s="229"/>
      <c r="F94" s="229" t="s">
        <v>152</v>
      </c>
      <c r="G94" s="229" t="s">
        <v>41</v>
      </c>
      <c r="H94" s="230">
        <v>0</v>
      </c>
      <c r="I94" s="231">
        <v>14</v>
      </c>
      <c r="J94" s="232">
        <v>0.41</v>
      </c>
      <c r="K94" s="233"/>
      <c r="L94" s="231">
        <v>0</v>
      </c>
      <c r="M94" s="231">
        <v>0</v>
      </c>
      <c r="N94" s="234">
        <f>ROUND(((I94*J94)-((I94*J94)*L94/100))+(((I94*J94)-((I94*J94)*L94/100))*M94/100),2)</f>
      </c>
      <c r="O94" s="230">
        <f>M11</f>
      </c>
      <c r="P94" s="235"/>
      <c r="Q94" s="236"/>
      <c r="R94" s="237"/>
      <c r="S94" s="238"/>
      <c r="T94" s="239"/>
    </row>
    <row r="95" spans="1:20" ht="24" customHeight="1">
      <c r="A95" s="226">
        <v>76</v>
      </c>
      <c r="B95" s="226">
        <v>99990009874902</v>
      </c>
      <c r="C95" s="227" t="s">
        <v>154</v>
      </c>
      <c r="D95" s="228" t="s">
        <v>155</v>
      </c>
      <c r="E95" s="229"/>
      <c r="F95" s="229" t="s">
        <v>154</v>
      </c>
      <c r="G95" s="229" t="s">
        <v>41</v>
      </c>
      <c r="H95" s="230">
        <v>0</v>
      </c>
      <c r="I95" s="231">
        <v>14</v>
      </c>
      <c r="J95" s="232">
        <v>0.45</v>
      </c>
      <c r="K95" s="233"/>
      <c r="L95" s="231">
        <v>0</v>
      </c>
      <c r="M95" s="231">
        <v>0</v>
      </c>
      <c r="N95" s="234">
        <f>ROUND(((I95*J95)-((I95*J95)*L95/100))+(((I95*J95)-((I95*J95)*L95/100))*M95/100),2)</f>
      </c>
      <c r="O95" s="230">
        <f>M11</f>
      </c>
      <c r="P95" s="235"/>
      <c r="Q95" s="236"/>
      <c r="R95" s="237"/>
      <c r="S95" s="238"/>
      <c r="T95" s="239"/>
    </row>
    <row r="96" spans="1:20" ht="24" customHeight="1">
      <c r="A96" s="226">
        <v>77</v>
      </c>
      <c r="B96" s="226">
        <v>99990009874903</v>
      </c>
      <c r="C96" s="227" t="s">
        <v>156</v>
      </c>
      <c r="D96" s="228" t="s">
        <v>157</v>
      </c>
      <c r="E96" s="229"/>
      <c r="F96" s="229" t="s">
        <v>156</v>
      </c>
      <c r="G96" s="229" t="s">
        <v>41</v>
      </c>
      <c r="H96" s="230">
        <v>0</v>
      </c>
      <c r="I96" s="231">
        <v>14</v>
      </c>
      <c r="J96" s="232">
        <v>0.52</v>
      </c>
      <c r="K96" s="233"/>
      <c r="L96" s="231">
        <v>0</v>
      </c>
      <c r="M96" s="231">
        <v>0</v>
      </c>
      <c r="N96" s="234">
        <f>ROUND(((I96*J96)-((I96*J96)*L96/100))+(((I96*J96)-((I96*J96)*L96/100))*M96/100),2)</f>
      </c>
      <c r="O96" s="230">
        <f>M11</f>
      </c>
      <c r="P96" s="235"/>
      <c r="Q96" s="236"/>
      <c r="R96" s="237"/>
      <c r="S96" s="238"/>
      <c r="T96" s="239"/>
    </row>
    <row r="97" spans="1:20" ht="24" customHeight="1">
      <c r="A97" s="226">
        <v>78</v>
      </c>
      <c r="B97" s="226">
        <v>99990009874904</v>
      </c>
      <c r="C97" s="227">
        <v>2080386</v>
      </c>
      <c r="D97" s="228" t="s">
        <v>158</v>
      </c>
      <c r="E97" s="229"/>
      <c r="F97" s="229">
        <v>2080386</v>
      </c>
      <c r="G97" s="229" t="s">
        <v>41</v>
      </c>
      <c r="H97" s="230">
        <v>0</v>
      </c>
      <c r="I97" s="231">
        <v>14</v>
      </c>
      <c r="J97" s="232">
        <v>0.45</v>
      </c>
      <c r="K97" s="233"/>
      <c r="L97" s="231">
        <v>0</v>
      </c>
      <c r="M97" s="231">
        <v>0</v>
      </c>
      <c r="N97" s="234">
        <f>ROUND(((I97*J97)-((I97*J97)*L97/100))+(((I97*J97)-((I97*J97)*L97/100))*M97/100),2)</f>
      </c>
      <c r="O97" s="230">
        <f>M11</f>
      </c>
      <c r="P97" s="235" t="s">
        <v>305</v>
      </c>
      <c r="Q97" s="236"/>
      <c r="R97" s="237"/>
      <c r="S97" s="238"/>
      <c r="T97" s="239"/>
    </row>
    <row r="98" spans="1:20" ht="24" customHeight="1">
      <c r="A98" s="226">
        <v>79</v>
      </c>
      <c r="B98" s="226">
        <v>99990009873903</v>
      </c>
      <c r="C98" s="227" t="s">
        <v>159</v>
      </c>
      <c r="D98" s="228" t="s">
        <v>160</v>
      </c>
      <c r="E98" s="229"/>
      <c r="F98" s="229" t="s">
        <v>159</v>
      </c>
      <c r="G98" s="229" t="s">
        <v>41</v>
      </c>
      <c r="H98" s="230">
        <v>0</v>
      </c>
      <c r="I98" s="231">
        <v>30</v>
      </c>
      <c r="J98" s="232">
        <v>0.2</v>
      </c>
      <c r="K98" s="233"/>
      <c r="L98" s="231">
        <v>0</v>
      </c>
      <c r="M98" s="231">
        <v>0</v>
      </c>
      <c r="N98" s="234">
        <f>ROUND(((I98*J98)-((I98*J98)*L98/100))+(((I98*J98)-((I98*J98)*L98/100))*M98/100),2)</f>
      </c>
      <c r="O98" s="230">
        <f>M11</f>
      </c>
      <c r="P98" s="235"/>
      <c r="Q98" s="236"/>
      <c r="R98" s="237"/>
      <c r="S98" s="238"/>
      <c r="T98" s="239"/>
    </row>
    <row r="99" spans="1:20" ht="24" customHeight="1">
      <c r="A99" s="226">
        <v>80</v>
      </c>
      <c r="B99" s="226">
        <v>99990009873560</v>
      </c>
      <c r="C99" s="227">
        <v>2.09</v>
      </c>
      <c r="D99" s="228" t="s">
        <v>161</v>
      </c>
      <c r="E99" s="229"/>
      <c r="F99" s="229">
        <v>2.09</v>
      </c>
      <c r="G99" s="229" t="s">
        <v>41</v>
      </c>
      <c r="H99" s="230">
        <v>0</v>
      </c>
      <c r="I99" s="231">
        <v>24</v>
      </c>
      <c r="J99" s="232">
        <v>0.41</v>
      </c>
      <c r="K99" s="233"/>
      <c r="L99" s="231">
        <v>0</v>
      </c>
      <c r="M99" s="231">
        <v>0</v>
      </c>
      <c r="N99" s="234">
        <f>ROUND(((I99*J99)-((I99*J99)*L99/100))+(((I99*J99)-((I99*J99)*L99/100))*M99/100),2)</f>
      </c>
      <c r="O99" s="230">
        <f>M11</f>
      </c>
      <c r="P99" s="235"/>
      <c r="Q99" s="236"/>
      <c r="R99" s="237"/>
      <c r="S99" s="238"/>
      <c r="T99" s="239"/>
    </row>
    <row r="100" spans="1:20" ht="24" customHeight="1">
      <c r="A100" s="226">
        <v>81</v>
      </c>
      <c r="B100" s="226">
        <v>99990009874571</v>
      </c>
      <c r="C100" s="227">
        <v>2046091</v>
      </c>
      <c r="D100" s="228" t="s">
        <v>162</v>
      </c>
      <c r="E100" s="229"/>
      <c r="F100" s="229">
        <v>2046091</v>
      </c>
      <c r="G100" s="229" t="s">
        <v>50</v>
      </c>
      <c r="H100" s="230">
        <v>0</v>
      </c>
      <c r="I100" s="231">
        <v>1</v>
      </c>
      <c r="J100" s="232">
        <v>4.63</v>
      </c>
      <c r="K100" s="233"/>
      <c r="L100" s="231">
        <v>0</v>
      </c>
      <c r="M100" s="231">
        <v>0</v>
      </c>
      <c r="N100" s="234">
        <f>ROUND(((I100*J100)-((I100*J100)*L100/100))+(((I100*J100)-((I100*J100)*L100/100))*M100/100),2)</f>
      </c>
      <c r="O100" s="230">
        <f>M11</f>
      </c>
      <c r="P100" s="235"/>
      <c r="Q100" s="236"/>
      <c r="R100" s="237"/>
      <c r="S100" s="238"/>
      <c r="T100" s="239"/>
    </row>
    <row r="101" spans="1:20" ht="24" customHeight="1">
      <c r="A101" s="226">
        <v>82</v>
      </c>
      <c r="B101" s="226">
        <v>99990010835057</v>
      </c>
      <c r="C101" s="227">
        <v>390679</v>
      </c>
      <c r="D101" s="228" t="s">
        <v>163</v>
      </c>
      <c r="E101" s="229"/>
      <c r="F101" s="229">
        <v>390679</v>
      </c>
      <c r="G101" s="229" t="s">
        <v>41</v>
      </c>
      <c r="H101" s="230">
        <v>0</v>
      </c>
      <c r="I101" s="231">
        <v>5</v>
      </c>
      <c r="J101" s="232">
        <v>2.71</v>
      </c>
      <c r="K101" s="233"/>
      <c r="L101" s="231">
        <v>0</v>
      </c>
      <c r="M101" s="231">
        <v>0</v>
      </c>
      <c r="N101" s="234">
        <f>ROUND(((I101*J101)-((I101*J101)*L101/100))+(((I101*J101)-((I101*J101)*L101/100))*M101/100),2)</f>
      </c>
      <c r="O101" s="230">
        <f>M11</f>
      </c>
      <c r="P101" s="235"/>
      <c r="Q101" s="236"/>
      <c r="R101" s="237"/>
      <c r="S101" s="238"/>
      <c r="T101" s="239"/>
    </row>
    <row r="102" spans="1:20" ht="24" customHeight="1">
      <c r="A102" s="226">
        <v>83</v>
      </c>
      <c r="B102" s="226">
        <v>99990010779719</v>
      </c>
      <c r="C102" s="227" t="s">
        <v>164</v>
      </c>
      <c r="D102" s="228" t="s">
        <v>165</v>
      </c>
      <c r="E102" s="229"/>
      <c r="F102" s="229" t="s">
        <v>164</v>
      </c>
      <c r="G102" s="229" t="s">
        <v>53</v>
      </c>
      <c r="H102" s="230">
        <v>0</v>
      </c>
      <c r="I102" s="231">
        <v>2</v>
      </c>
      <c r="J102" s="232">
        <v>5.93</v>
      </c>
      <c r="K102" s="233"/>
      <c r="L102" s="231">
        <v>0</v>
      </c>
      <c r="M102" s="231">
        <v>0</v>
      </c>
      <c r="N102" s="234">
        <f>ROUND(((I102*J102)-((I102*J102)*L102/100))+(((I102*J102)-((I102*J102)*L102/100))*M102/100),2)</f>
      </c>
      <c r="O102" s="230">
        <f>M11</f>
      </c>
      <c r="P102" s="235"/>
      <c r="Q102" s="236"/>
      <c r="R102" s="237"/>
      <c r="S102" s="238"/>
      <c r="T102" s="239"/>
    </row>
    <row r="103" spans="1:20" ht="24" customHeight="1">
      <c r="A103" s="226">
        <v>84</v>
      </c>
      <c r="B103" s="226">
        <v>99990010835255</v>
      </c>
      <c r="C103" s="227">
        <v>390626</v>
      </c>
      <c r="D103" s="228" t="s">
        <v>166</v>
      </c>
      <c r="E103" s="229"/>
      <c r="F103" s="229">
        <v>390626</v>
      </c>
      <c r="G103" s="229" t="s">
        <v>53</v>
      </c>
      <c r="H103" s="230">
        <v>0</v>
      </c>
      <c r="I103" s="231">
        <v>1</v>
      </c>
      <c r="J103" s="232">
        <v>1.54</v>
      </c>
      <c r="K103" s="233"/>
      <c r="L103" s="231">
        <v>0</v>
      </c>
      <c r="M103" s="231">
        <v>0</v>
      </c>
      <c r="N103" s="234">
        <f>ROUND(((I103*J103)-((I103*J103)*L103/100))+(((I103*J103)-((I103*J103)*L103/100))*M103/100),2)</f>
      </c>
      <c r="O103" s="230">
        <f>M11</f>
      </c>
      <c r="P103" s="235"/>
      <c r="Q103" s="236"/>
      <c r="R103" s="237"/>
      <c r="S103" s="238"/>
      <c r="T103" s="239"/>
    </row>
    <row r="104" spans="1:20" ht="15" customHeight="1">
      <c r="A104" s="32"/>
      <c r="B104" s="295"/>
      <c r="C104" s="296"/>
      <c r="D104" s="296"/>
      <c r="E104" s="296"/>
      <c r="F104" s="296"/>
      <c r="G104" s="296"/>
      <c r="H104" s="297"/>
      <c r="I104" s="297"/>
      <c r="J104" s="297"/>
      <c r="K104" s="297"/>
      <c r="L104" s="297"/>
      <c r="M104" s="297"/>
      <c r="N104" s="297"/>
      <c r="O104" s="297"/>
      <c r="P104" s="297"/>
      <c r="Q104" s="297"/>
      <c r="R104" s="297"/>
      <c r="S104" s="297"/>
      <c r="T104" s="298"/>
    </row>
    <row r="105" spans="1:20" ht="12.75" customHeight="1">
      <c r="A105" s="289" t="s">
        <v>28</v>
      </c>
      <c r="B105" s="289"/>
      <c r="C105" s="290" t="s">
        <v>167</v>
      </c>
      <c r="D105" s="291"/>
      <c r="E105" s="291"/>
      <c r="F105" s="291"/>
      <c r="G105" s="291"/>
      <c r="H105" s="291"/>
      <c r="I105" s="292"/>
      <c r="J105" s="292" t="s">
        <v>168</v>
      </c>
      <c r="K105" s="292"/>
      <c r="L105" s="292" t="s">
        <v>35</v>
      </c>
      <c r="M105" s="292" t="s">
        <v>36</v>
      </c>
      <c r="N105" s="293" t="s">
        <v>169</v>
      </c>
      <c r="O105" s="294" t="s">
        <v>38</v>
      </c>
      <c r="P105" s="294"/>
      <c r="Q105" s="294"/>
      <c r="R105" s="294"/>
      <c r="S105" s="294"/>
      <c r="T105" s="225"/>
    </row>
    <row r="106" spans="1:20" ht="15" customHeight="1">
      <c r="A106" s="269">
        <v>1</v>
      </c>
      <c r="B106" s="270"/>
      <c r="C106" s="271" t="s">
        <v>170</v>
      </c>
      <c r="D106" s="272" t="s">
        <v>170</v>
      </c>
      <c r="E106" s="272" t="s">
        <v>170</v>
      </c>
      <c r="F106" s="272" t="s">
        <v>170</v>
      </c>
      <c r="G106" s="272" t="s">
        <v>170</v>
      </c>
      <c r="H106" s="273" t="s">
        <v>170</v>
      </c>
      <c r="I106" s="274"/>
      <c r="J106" s="275">
        <v>0</v>
      </c>
      <c r="K106" s="276"/>
      <c r="L106" s="277">
        <v>0</v>
      </c>
      <c r="M106" s="277">
        <v>0</v>
      </c>
      <c r="N106" s="285">
        <f>(J106-(J106*L106/100)+((J106-(J106*L106/100))*M106/100))</f>
      </c>
      <c r="O106" s="286"/>
      <c r="P106" s="287"/>
      <c r="Q106" s="287"/>
      <c r="R106" s="287"/>
      <c r="S106" s="288"/>
      <c r="T106" s="283"/>
    </row>
    <row r="107" spans="1:20" ht="15" customHeight="1">
      <c r="A107" s="269">
        <v>2</v>
      </c>
      <c r="B107" s="270"/>
      <c r="C107" s="271" t="s">
        <v>171</v>
      </c>
      <c r="D107" s="272" t="s">
        <v>171</v>
      </c>
      <c r="E107" s="272" t="s">
        <v>171</v>
      </c>
      <c r="F107" s="272" t="s">
        <v>171</v>
      </c>
      <c r="G107" s="272" t="s">
        <v>171</v>
      </c>
      <c r="H107" s="273" t="s">
        <v>171</v>
      </c>
      <c r="I107" s="284"/>
      <c r="J107" s="275">
        <v>0</v>
      </c>
      <c r="K107" s="276"/>
      <c r="L107" s="277">
        <v>0</v>
      </c>
      <c r="M107" s="277">
        <v>0</v>
      </c>
      <c r="N107" s="279">
        <f>(J107-(J107*L107/100)+((J107-(J107*L107/100))*M107/100))</f>
      </c>
      <c r="O107" s="280"/>
      <c r="P107" s="281"/>
      <c r="Q107" s="281"/>
      <c r="R107" s="281"/>
      <c r="S107" s="282"/>
      <c r="T107" s="283"/>
    </row>
    <row r="108" spans="1:20" ht="15" customHeight="1">
      <c r="A108" s="269">
        <v>3</v>
      </c>
      <c r="B108" s="270"/>
      <c r="C108" s="271"/>
      <c r="D108" s="272"/>
      <c r="E108" s="272"/>
      <c r="F108" s="272"/>
      <c r="G108" s="272"/>
      <c r="H108" s="273"/>
      <c r="I108" s="274"/>
      <c r="J108" s="275">
        <v>0</v>
      </c>
      <c r="K108" s="276"/>
      <c r="L108" s="277">
        <v>0</v>
      </c>
      <c r="M108" s="277">
        <v>0</v>
      </c>
      <c r="N108" s="279">
        <f>(J108-(J108*L108/100)+((J108-(J108*L108/100))*M108/100))</f>
      </c>
      <c r="O108" s="280"/>
      <c r="P108" s="281"/>
      <c r="Q108" s="281"/>
      <c r="R108" s="281"/>
      <c r="S108" s="282"/>
      <c r="T108" s="283"/>
    </row>
    <row r="109" spans="1:20" ht="15.75" customHeight="1">
      <c r="A109" s="269">
        <v>4</v>
      </c>
      <c r="B109" s="270"/>
      <c r="C109" s="271"/>
      <c r="D109" s="272"/>
      <c r="E109" s="272"/>
      <c r="F109" s="272"/>
      <c r="G109" s="272"/>
      <c r="H109" s="273"/>
      <c r="I109" s="274"/>
      <c r="J109" s="275">
        <v>0</v>
      </c>
      <c r="K109" s="276"/>
      <c r="L109" s="277">
        <v>0</v>
      </c>
      <c r="M109" s="278">
        <v>0</v>
      </c>
      <c r="N109" s="279">
        <f>(J109-(J109*L109/100)+((J109-(J109*L109/100))*M109/100))</f>
      </c>
      <c r="O109" s="280"/>
      <c r="P109" s="281"/>
      <c r="Q109" s="281"/>
      <c r="R109" s="281"/>
      <c r="S109" s="282"/>
      <c r="T109" s="283"/>
    </row>
    <row r="110" spans="1:16" ht="15.95" customHeight="1">
      <c r="A110" s="247"/>
      <c r="B110" s="247"/>
      <c r="C110" s="248"/>
      <c r="D110" s="248"/>
      <c r="I110" s="163"/>
      <c r="J110" s="58" t="s">
        <v>172</v>
      </c>
      <c r="K110" s="59"/>
      <c r="L110" s="58"/>
      <c r="M110" s="59"/>
      <c r="N110" s="264">
        <f>SUM(ItmPrice)</f>
      </c>
      <c r="O110" s="267"/>
      <c r="P110" s="268"/>
    </row>
    <row r="111" spans="1:16" ht="15" customHeight="1">
      <c r="A111" s="247"/>
      <c r="B111" s="247"/>
      <c r="C111" s="248"/>
      <c r="D111" s="248"/>
      <c r="I111" s="163"/>
      <c r="J111" s="123" t="s">
        <v>173</v>
      </c>
      <c r="K111" s="124"/>
      <c r="L111" s="124"/>
      <c r="M111" s="125"/>
      <c r="N111" s="264">
        <f>SUM(N106:N110)</f>
      </c>
      <c r="O111" s="265"/>
      <c r="P111" s="266"/>
    </row>
    <row r="112" spans="1:19" ht="2.25" customHeight="1" hidden="1">
      <c r="A112" s="258">
        <v>0</v>
      </c>
      <c r="B112" s="258">
        <v>0</v>
      </c>
      <c r="C112" s="259">
        <v>0</v>
      </c>
      <c r="D112" s="248"/>
      <c r="E112" s="248"/>
      <c r="F112" s="260">
        <v>1</v>
      </c>
      <c r="G112" s="248"/>
      <c r="H112" s="248"/>
      <c r="I112" s="248"/>
      <c r="J112" s="248"/>
      <c r="K112" s="261"/>
      <c r="L112" s="262">
        <v>0</v>
      </c>
      <c r="M112" s="263">
        <v>0</v>
      </c>
      <c r="N112" s="162" t="s">
        <v>174</v>
      </c>
      <c r="O112" s="257"/>
      <c r="P112" s="263">
        <v>995</v>
      </c>
      <c r="Q112" s="248" t="s">
        <v>175</v>
      </c>
      <c r="R112" s="248"/>
      <c r="S112" s="248"/>
    </row>
    <row r="113" spans="1:19" ht="18.75" customHeight="1">
      <c r="A113" s="247"/>
      <c r="B113" s="247"/>
      <c r="C113" s="247"/>
      <c r="H113" s="257"/>
      <c r="I113" s="163"/>
      <c r="J113" s="248"/>
      <c r="K113" s="248"/>
      <c r="L113" s="248"/>
      <c r="M113" s="248"/>
      <c r="N113" s="248"/>
      <c r="O113" s="248"/>
      <c r="P113" s="248"/>
      <c r="R113" s="248"/>
      <c r="S113" s="248"/>
    </row>
    <row r="114" spans="1:20" ht="127.5" customHeight="1">
      <c r="A114" s="249" t="s">
        <v>176</v>
      </c>
      <c r="B114" s="249"/>
      <c r="C114" s="249"/>
      <c r="D114" s="250"/>
      <c r="E114" s="254"/>
      <c r="F114" s="255"/>
      <c r="G114" s="255"/>
      <c r="H114" s="255"/>
      <c r="I114" s="255"/>
      <c r="J114" s="255"/>
      <c r="K114" s="255"/>
      <c r="L114" s="255"/>
      <c r="M114" s="255"/>
      <c r="N114" s="255"/>
      <c r="O114" s="255"/>
      <c r="P114" s="255"/>
      <c r="Q114" s="255"/>
      <c r="R114" s="255"/>
      <c r="S114" s="255"/>
      <c r="T114" s="256"/>
    </row>
    <row r="115" spans="1:20" ht="129.75" customHeight="1">
      <c r="A115" s="249" t="s">
        <v>38</v>
      </c>
      <c r="B115" s="249"/>
      <c r="C115" s="249"/>
      <c r="D115" s="250"/>
      <c r="E115" s="251" t="s">
        <v>306</v>
      </c>
      <c r="F115" s="252"/>
      <c r="G115" s="252"/>
      <c r="H115" s="252"/>
      <c r="I115" s="252"/>
      <c r="J115" s="252"/>
      <c r="K115" s="252"/>
      <c r="L115" s="252"/>
      <c r="M115" s="252"/>
      <c r="N115" s="252"/>
      <c r="O115" s="252"/>
      <c r="P115" s="252"/>
      <c r="Q115" s="252"/>
      <c r="R115" s="252"/>
      <c r="S115" s="252"/>
      <c r="T115" s="253"/>
    </row>
    <row r="116" spans="1:19" ht="15.95" customHeight="1">
      <c r="A116" s="247"/>
      <c r="B116" s="247"/>
      <c r="C116" s="247"/>
      <c r="H116" s="248"/>
      <c r="I116" s="248"/>
      <c r="J116" s="248"/>
      <c r="K116" s="248"/>
      <c r="L116" s="248"/>
      <c r="M116" s="248"/>
      <c r="N116" s="248"/>
      <c r="O116" s="248"/>
      <c r="P116" s="248"/>
      <c r="Q116" s="248"/>
      <c r="R116" s="248"/>
      <c r="S116" s="248"/>
    </row>
    <row r="117" spans="1:20" ht="15.95" customHeight="1">
      <c r="A117" s="245" t="s">
        <v>177</v>
      </c>
      <c r="B117" s="245"/>
      <c r="C117" s="245"/>
      <c r="D117" s="245"/>
      <c r="E117" s="245"/>
      <c r="F117" s="245"/>
      <c r="G117" s="245"/>
      <c r="H117" s="245"/>
      <c r="I117" s="245"/>
      <c r="J117" s="245"/>
      <c r="K117" s="245"/>
      <c r="L117" s="245"/>
      <c r="M117" s="245"/>
      <c r="N117" s="245"/>
      <c r="O117" s="245"/>
      <c r="P117" s="245"/>
      <c r="Q117" s="245"/>
      <c r="R117" s="245"/>
      <c r="S117" s="245"/>
      <c r="T117" s="246"/>
    </row>
    <row r="118" spans="1:20" ht="12.75" customHeight="1">
      <c r="A118" s="243"/>
      <c r="B118" s="243"/>
      <c r="C118" s="243"/>
      <c r="D118" s="243"/>
      <c r="E118" s="243"/>
      <c r="F118" s="243"/>
      <c r="G118" s="243"/>
      <c r="H118" s="243"/>
      <c r="I118" s="243"/>
      <c r="J118" s="243"/>
      <c r="K118" s="243"/>
      <c r="L118" s="243"/>
      <c r="M118" s="243"/>
      <c r="N118" s="243"/>
      <c r="O118" s="243"/>
      <c r="P118" s="243"/>
      <c r="Q118" s="243"/>
      <c r="R118" s="243"/>
      <c r="S118" s="243"/>
      <c r="T118" s="244"/>
    </row>
    <row r="119" spans="1:20" ht="12.75" customHeight="1">
      <c r="A119" s="243"/>
      <c r="B119" s="243"/>
      <c r="C119" s="243"/>
      <c r="D119" s="243"/>
      <c r="E119" s="243"/>
      <c r="F119" s="243"/>
      <c r="G119" s="243"/>
      <c r="H119" s="243"/>
      <c r="I119" s="243"/>
      <c r="J119" s="243"/>
      <c r="K119" s="243"/>
      <c r="L119" s="243"/>
      <c r="M119" s="243"/>
      <c r="N119" s="243"/>
      <c r="O119" s="243"/>
      <c r="P119" s="243"/>
      <c r="Q119" s="243"/>
      <c r="R119" s="243"/>
      <c r="S119" s="243"/>
      <c r="T119" s="244"/>
    </row>
    <row r="120" spans="1:20" ht="7.5" customHeight="1">
      <c r="A120" s="243"/>
      <c r="B120" s="243"/>
      <c r="C120" s="243"/>
      <c r="D120" s="243"/>
      <c r="E120" s="243"/>
      <c r="F120" s="243"/>
      <c r="G120" s="243"/>
      <c r="H120" s="243"/>
      <c r="I120" s="243"/>
      <c r="J120" s="243"/>
      <c r="K120" s="243"/>
      <c r="L120" s="243"/>
      <c r="M120" s="243"/>
      <c r="N120" s="243"/>
      <c r="O120" s="243"/>
      <c r="P120" s="243"/>
      <c r="Q120" s="243"/>
      <c r="R120" s="243"/>
      <c r="S120" s="243"/>
      <c r="T120" s="244"/>
    </row>
    <row r="121" spans="1:20" ht="12.75" customHeight="1">
      <c r="A121" s="243"/>
      <c r="B121" s="243"/>
      <c r="C121" s="243"/>
      <c r="D121" s="243"/>
      <c r="E121" s="243"/>
      <c r="F121" s="243"/>
      <c r="G121" s="243"/>
      <c r="H121" s="243"/>
      <c r="I121" s="243"/>
      <c r="J121" s="243"/>
      <c r="K121" s="243"/>
      <c r="L121" s="243"/>
      <c r="M121" s="243"/>
      <c r="N121" s="243"/>
      <c r="O121" s="243"/>
      <c r="P121" s="243"/>
      <c r="Q121" s="243"/>
      <c r="R121" s="243"/>
      <c r="S121" s="243"/>
      <c r="T121" s="244"/>
    </row>
    <row r="122" spans="1:20" ht="12.75" customHeight="1">
      <c r="A122" s="243"/>
      <c r="B122" s="243"/>
      <c r="C122" s="243"/>
      <c r="D122" s="243"/>
      <c r="E122" s="243"/>
      <c r="F122" s="243"/>
      <c r="G122" s="243"/>
      <c r="H122" s="243"/>
      <c r="I122" s="243"/>
      <c r="J122" s="243"/>
      <c r="K122" s="243"/>
      <c r="L122" s="243"/>
      <c r="M122" s="243"/>
      <c r="N122" s="243"/>
      <c r="O122" s="243"/>
      <c r="P122" s="243"/>
      <c r="Q122" s="243"/>
      <c r="R122" s="243"/>
      <c r="S122" s="243"/>
      <c r="T122" s="244"/>
    </row>
    <row r="123" spans="1:20" ht="12.75" customHeight="1">
      <c r="A123" s="243"/>
      <c r="B123" s="243"/>
      <c r="C123" s="243"/>
      <c r="D123" s="243"/>
      <c r="E123" s="243"/>
      <c r="F123" s="243"/>
      <c r="G123" s="243"/>
      <c r="H123" s="243"/>
      <c r="I123" s="243"/>
      <c r="J123" s="243"/>
      <c r="K123" s="243"/>
      <c r="L123" s="243"/>
      <c r="M123" s="243"/>
      <c r="N123" s="243"/>
      <c r="O123" s="243"/>
      <c r="P123" s="243"/>
      <c r="Q123" s="243"/>
      <c r="R123" s="243"/>
      <c r="S123" s="243"/>
      <c r="T123" s="244"/>
    </row>
    <row r="124" spans="1:20" ht="7.5" customHeight="1">
      <c r="A124" s="243"/>
      <c r="B124" s="243"/>
      <c r="C124" s="243"/>
      <c r="D124" s="243"/>
      <c r="E124" s="243"/>
      <c r="F124" s="243"/>
      <c r="G124" s="243"/>
      <c r="H124" s="243"/>
      <c r="I124" s="243"/>
      <c r="J124" s="243"/>
      <c r="K124" s="243"/>
      <c r="L124" s="243"/>
      <c r="M124" s="243"/>
      <c r="N124" s="243"/>
      <c r="O124" s="243"/>
      <c r="P124" s="243"/>
      <c r="Q124" s="243"/>
      <c r="R124" s="243"/>
      <c r="S124" s="243"/>
      <c r="T124" s="244"/>
    </row>
    <row r="125" spans="1:20" ht="12.75" customHeight="1">
      <c r="A125" s="243"/>
      <c r="B125" s="243"/>
      <c r="C125" s="243"/>
      <c r="D125" s="243"/>
      <c r="E125" s="243"/>
      <c r="F125" s="243"/>
      <c r="G125" s="243"/>
      <c r="H125" s="243"/>
      <c r="I125" s="243"/>
      <c r="J125" s="243"/>
      <c r="K125" s="243"/>
      <c r="L125" s="243"/>
      <c r="M125" s="243"/>
      <c r="N125" s="243"/>
      <c r="O125" s="243"/>
      <c r="P125" s="243"/>
      <c r="Q125" s="243"/>
      <c r="R125" s="243"/>
      <c r="S125" s="243"/>
      <c r="T125" s="244"/>
    </row>
    <row r="126" spans="1:20" ht="12.75" customHeight="1">
      <c r="A126" s="243"/>
      <c r="B126" s="243"/>
      <c r="C126" s="243"/>
      <c r="D126" s="243"/>
      <c r="E126" s="243"/>
      <c r="F126" s="243"/>
      <c r="G126" s="243"/>
      <c r="H126" s="243"/>
      <c r="I126" s="243"/>
      <c r="J126" s="243"/>
      <c r="K126" s="243"/>
      <c r="L126" s="243"/>
      <c r="M126" s="243"/>
      <c r="N126" s="243"/>
      <c r="O126" s="243"/>
      <c r="P126" s="243"/>
      <c r="Q126" s="243"/>
      <c r="R126" s="243"/>
      <c r="S126" s="243"/>
      <c r="T126" s="244"/>
    </row>
    <row r="127" spans="1:20" ht="12.75" customHeight="1">
      <c r="A127" s="243"/>
      <c r="B127" s="243"/>
      <c r="C127" s="243"/>
      <c r="D127" s="243"/>
      <c r="E127" s="243"/>
      <c r="F127" s="243"/>
      <c r="G127" s="243"/>
      <c r="H127" s="243"/>
      <c r="I127" s="243"/>
      <c r="J127" s="243"/>
      <c r="K127" s="243"/>
      <c r="L127" s="243"/>
      <c r="M127" s="243"/>
      <c r="N127" s="243"/>
      <c r="O127" s="243"/>
      <c r="P127" s="243"/>
      <c r="Q127" s="243"/>
      <c r="R127" s="243"/>
      <c r="S127" s="243"/>
      <c r="T127" s="244"/>
    </row>
    <row r="128" spans="1:20" ht="12.75" customHeight="1">
      <c r="A128" s="243"/>
      <c r="B128" s="243"/>
      <c r="C128" s="243"/>
      <c r="D128" s="243"/>
      <c r="E128" s="243"/>
      <c r="F128" s="243"/>
      <c r="G128" s="243"/>
      <c r="H128" s="243"/>
      <c r="I128" s="243"/>
      <c r="J128" s="243"/>
      <c r="K128" s="243"/>
      <c r="L128" s="243"/>
      <c r="M128" s="243"/>
      <c r="N128" s="243"/>
      <c r="O128" s="243"/>
      <c r="P128" s="243"/>
      <c r="Q128" s="243"/>
      <c r="R128" s="243"/>
      <c r="S128" s="243"/>
      <c r="T128" s="244"/>
    </row>
    <row r="129" spans="1:20" ht="12.75" customHeight="1">
      <c r="A129" s="243"/>
      <c r="B129" s="243"/>
      <c r="C129" s="243"/>
      <c r="D129" s="243"/>
      <c r="E129" s="243"/>
      <c r="F129" s="243"/>
      <c r="G129" s="243"/>
      <c r="H129" s="243"/>
      <c r="I129" s="243"/>
      <c r="J129" s="243"/>
      <c r="K129" s="243"/>
      <c r="L129" s="243"/>
      <c r="M129" s="243"/>
      <c r="N129" s="243"/>
      <c r="O129" s="243"/>
      <c r="P129" s="243"/>
      <c r="Q129" s="243"/>
      <c r="R129" s="243"/>
      <c r="S129" s="243"/>
      <c r="T129" s="244"/>
    </row>
    <row r="130" spans="1:20" ht="12.75" customHeight="1">
      <c r="A130" s="243"/>
      <c r="B130" s="243"/>
      <c r="C130" s="243"/>
      <c r="D130" s="243"/>
      <c r="E130" s="243"/>
      <c r="F130" s="243"/>
      <c r="G130" s="243"/>
      <c r="H130" s="243"/>
      <c r="I130" s="243"/>
      <c r="J130" s="243"/>
      <c r="K130" s="243"/>
      <c r="L130" s="243"/>
      <c r="M130" s="243"/>
      <c r="N130" s="243"/>
      <c r="O130" s="243"/>
      <c r="P130" s="243"/>
      <c r="Q130" s="243"/>
      <c r="R130" s="243"/>
      <c r="S130" s="243"/>
      <c r="T130" s="244"/>
    </row>
    <row r="131" spans="1:20" ht="7.5" customHeight="1">
      <c r="A131" s="243"/>
      <c r="B131" s="243"/>
      <c r="C131" s="243"/>
      <c r="D131" s="243"/>
      <c r="E131" s="243"/>
      <c r="F131" s="243"/>
      <c r="G131" s="243"/>
      <c r="H131" s="243"/>
      <c r="I131" s="243"/>
      <c r="J131" s="243"/>
      <c r="K131" s="243"/>
      <c r="L131" s="243"/>
      <c r="M131" s="243"/>
      <c r="N131" s="243"/>
      <c r="O131" s="243"/>
      <c r="P131" s="243"/>
      <c r="Q131" s="243"/>
      <c r="R131" s="243"/>
      <c r="S131" s="243"/>
      <c r="T131" s="244"/>
    </row>
    <row r="132" spans="1:20" ht="12.75" customHeight="1">
      <c r="A132" s="243"/>
      <c r="B132" s="243"/>
      <c r="C132" s="243"/>
      <c r="D132" s="243"/>
      <c r="E132" s="243"/>
      <c r="F132" s="243"/>
      <c r="G132" s="243"/>
      <c r="H132" s="243"/>
      <c r="I132" s="243"/>
      <c r="J132" s="243"/>
      <c r="K132" s="243"/>
      <c r="L132" s="243"/>
      <c r="M132" s="243"/>
      <c r="N132" s="243"/>
      <c r="O132" s="243"/>
      <c r="P132" s="243"/>
      <c r="Q132" s="243"/>
      <c r="R132" s="243"/>
      <c r="S132" s="243"/>
      <c r="T132" s="244"/>
    </row>
    <row r="133" spans="1:20" ht="12.75" customHeight="1">
      <c r="A133" s="243"/>
      <c r="B133" s="243"/>
      <c r="C133" s="243"/>
      <c r="D133" s="243"/>
      <c r="E133" s="243"/>
      <c r="F133" s="243"/>
      <c r="G133" s="243"/>
      <c r="H133" s="243"/>
      <c r="I133" s="243"/>
      <c r="J133" s="243"/>
      <c r="K133" s="243"/>
      <c r="L133" s="243"/>
      <c r="M133" s="243"/>
      <c r="N133" s="243"/>
      <c r="O133" s="243"/>
      <c r="P133" s="243"/>
      <c r="Q133" s="243"/>
      <c r="R133" s="243"/>
      <c r="S133" s="243"/>
      <c r="T133" s="244"/>
    </row>
    <row r="134" spans="1:20" ht="12.75" customHeight="1">
      <c r="A134" s="243"/>
      <c r="B134" s="243"/>
      <c r="C134" s="243"/>
      <c r="D134" s="243"/>
      <c r="E134" s="243"/>
      <c r="F134" s="243"/>
      <c r="G134" s="243"/>
      <c r="H134" s="243"/>
      <c r="I134" s="243"/>
      <c r="J134" s="243"/>
      <c r="K134" s="243"/>
      <c r="L134" s="243"/>
      <c r="M134" s="243"/>
      <c r="N134" s="243"/>
      <c r="O134" s="243"/>
      <c r="P134" s="243"/>
      <c r="Q134" s="243"/>
      <c r="R134" s="243"/>
      <c r="S134" s="243"/>
      <c r="T134" s="244"/>
    </row>
    <row r="135" spans="1:20" ht="12.75" customHeight="1">
      <c r="A135" s="243"/>
      <c r="B135" s="243"/>
      <c r="C135" s="243"/>
      <c r="D135" s="243"/>
      <c r="E135" s="243"/>
      <c r="F135" s="243"/>
      <c r="G135" s="243"/>
      <c r="H135" s="243"/>
      <c r="I135" s="243"/>
      <c r="J135" s="243"/>
      <c r="K135" s="243"/>
      <c r="L135" s="243"/>
      <c r="M135" s="243"/>
      <c r="N135" s="243"/>
      <c r="O135" s="243"/>
      <c r="P135" s="243"/>
      <c r="Q135" s="243"/>
      <c r="R135" s="243"/>
      <c r="S135" s="243"/>
      <c r="T135" s="244"/>
    </row>
    <row r="136" spans="1:20" ht="12.75" customHeight="1">
      <c r="A136" s="243"/>
      <c r="B136" s="243"/>
      <c r="C136" s="243"/>
      <c r="D136" s="243"/>
      <c r="E136" s="243"/>
      <c r="F136" s="243"/>
      <c r="G136" s="243"/>
      <c r="H136" s="243"/>
      <c r="I136" s="243"/>
      <c r="J136" s="243"/>
      <c r="K136" s="243"/>
      <c r="L136" s="243"/>
      <c r="M136" s="243"/>
      <c r="N136" s="243"/>
      <c r="O136" s="243"/>
      <c r="P136" s="243"/>
      <c r="Q136" s="243"/>
      <c r="R136" s="243"/>
      <c r="S136" s="243"/>
      <c r="T136" s="244"/>
    </row>
    <row r="137" spans="1:20" ht="7.5" customHeight="1">
      <c r="A137" s="243"/>
      <c r="B137" s="243"/>
      <c r="C137" s="243"/>
      <c r="D137" s="243"/>
      <c r="E137" s="243"/>
      <c r="F137" s="243"/>
      <c r="G137" s="243"/>
      <c r="H137" s="243"/>
      <c r="I137" s="243"/>
      <c r="J137" s="243"/>
      <c r="K137" s="243"/>
      <c r="L137" s="243"/>
      <c r="M137" s="243"/>
      <c r="N137" s="243"/>
      <c r="O137" s="243"/>
      <c r="P137" s="243"/>
      <c r="Q137" s="243"/>
      <c r="R137" s="243"/>
      <c r="S137" s="243"/>
      <c r="T137" s="244"/>
    </row>
    <row r="138" spans="1:20" ht="12.75" customHeight="1">
      <c r="A138" s="243"/>
      <c r="B138" s="243"/>
      <c r="C138" s="243"/>
      <c r="D138" s="243"/>
      <c r="E138" s="243"/>
      <c r="F138" s="243"/>
      <c r="G138" s="243"/>
      <c r="H138" s="243"/>
      <c r="I138" s="243"/>
      <c r="J138" s="243"/>
      <c r="K138" s="243"/>
      <c r="L138" s="243"/>
      <c r="M138" s="243"/>
      <c r="N138" s="243"/>
      <c r="O138" s="243"/>
      <c r="P138" s="243"/>
      <c r="Q138" s="243"/>
      <c r="R138" s="243"/>
      <c r="S138" s="243"/>
      <c r="T138" s="244"/>
    </row>
    <row r="139" spans="1:20" ht="12.75" customHeight="1">
      <c r="A139" s="243"/>
      <c r="B139" s="243"/>
      <c r="C139" s="243"/>
      <c r="D139" s="243"/>
      <c r="E139" s="243"/>
      <c r="F139" s="243"/>
      <c r="G139" s="243"/>
      <c r="H139" s="243"/>
      <c r="I139" s="243"/>
      <c r="J139" s="243"/>
      <c r="K139" s="243"/>
      <c r="L139" s="243"/>
      <c r="M139" s="243"/>
      <c r="N139" s="243"/>
      <c r="O139" s="243"/>
      <c r="P139" s="243"/>
      <c r="Q139" s="243"/>
      <c r="R139" s="243"/>
      <c r="S139" s="243"/>
      <c r="T139" s="244"/>
    </row>
    <row r="140" spans="1:20" ht="12.75" customHeight="1">
      <c r="A140" s="241"/>
      <c r="B140" s="241"/>
      <c r="C140" s="241"/>
      <c r="D140" s="241"/>
      <c r="E140" s="241"/>
      <c r="F140" s="241"/>
      <c r="G140" s="241"/>
      <c r="H140" s="241"/>
      <c r="I140" s="241"/>
      <c r="J140" s="241"/>
      <c r="K140" s="241"/>
      <c r="L140" s="241"/>
      <c r="M140" s="241"/>
      <c r="N140" s="241"/>
      <c r="O140" s="241"/>
      <c r="P140" s="241"/>
      <c r="Q140" s="241"/>
      <c r="R140" s="241"/>
      <c r="S140" s="241"/>
      <c r="T140" s="242"/>
    </row>
    <row r="141" spans="1:9" ht="12.75">
      <c r="A141" s="240" t="s">
        <v>178</v>
      </c>
      <c r="B141" s="240"/>
      <c r="C141" s="240"/>
      <c r="D141" s="240"/>
      <c r="E141" s="240"/>
      <c r="F141" s="240"/>
      <c r="G141" s="240"/>
      <c r="I141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233">
    <mergeCell ref="E114:S114"/>
    <mergeCell ref="E115:S115"/>
    <mergeCell ref="E117:S117"/>
    <mergeCell ref="A118:S139"/>
    <mergeCell ref="A140:S140"/>
    <mergeCell ref="A114:D114"/>
    <mergeCell ref="A115:D115"/>
    <mergeCell ref="K1:R1"/>
    <mergeCell ref="R19:S19"/>
    <mergeCell ref="R20:S20"/>
    <mergeCell ref="O106:S106"/>
    <mergeCell ref="O107:S107"/>
    <mergeCell ref="O105:S105"/>
    <mergeCell ref="J105:K105"/>
    <mergeCell ref="K4:L4"/>
    <mergeCell ref="M4:P4"/>
    <mergeCell ref="K5:L5"/>
    <mergeCell ref="M5:P5"/>
    <mergeCell ref="M7:Q7"/>
    <mergeCell ref="P20:Q20"/>
    <mergeCell ref="M12:O12"/>
    <mergeCell ref="K12:L12"/>
    <mergeCell ref="O110:P110"/>
    <mergeCell ref="O111:P111"/>
    <mergeCell ref="J111:M111"/>
    <mergeCell ref="O108:S108"/>
    <mergeCell ref="O109:S109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105:H105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J27:K27"/>
    <mergeCell ref="D28:E28"/>
    <mergeCell ref="J28:K28"/>
    <mergeCell ref="D29:E29"/>
    <mergeCell ref="J29:K29"/>
    <mergeCell ref="D30:E30"/>
    <mergeCell ref="J30:K30"/>
    <mergeCell ref="D31:E31"/>
    <mergeCell ref="J31:K31"/>
    <mergeCell ref="D32:E32"/>
    <mergeCell ref="J32:K32"/>
    <mergeCell ref="D33:E33"/>
    <mergeCell ref="J33:K33"/>
    <mergeCell ref="D34:E34"/>
    <mergeCell ref="J34:K34"/>
    <mergeCell ref="D35:E35"/>
    <mergeCell ref="J35:K35"/>
    <mergeCell ref="D36:E36"/>
    <mergeCell ref="J36:K36"/>
    <mergeCell ref="D37:E37"/>
    <mergeCell ref="J37:K37"/>
    <mergeCell ref="D38:E38"/>
    <mergeCell ref="J38:K38"/>
    <mergeCell ref="D39:E39"/>
    <mergeCell ref="J39:K39"/>
    <mergeCell ref="D40:E40"/>
    <mergeCell ref="J40:K40"/>
    <mergeCell ref="D41:E41"/>
    <mergeCell ref="J41:K41"/>
    <mergeCell ref="D42:E42"/>
    <mergeCell ref="J42:K42"/>
    <mergeCell ref="D43:E43"/>
    <mergeCell ref="J43:K43"/>
    <mergeCell ref="D44:E44"/>
    <mergeCell ref="J44:K44"/>
    <mergeCell ref="D45:E45"/>
    <mergeCell ref="J45:K45"/>
    <mergeCell ref="D46:E46"/>
    <mergeCell ref="J46:K46"/>
    <mergeCell ref="D47:E47"/>
    <mergeCell ref="J47:K47"/>
    <mergeCell ref="D48:E48"/>
    <mergeCell ref="J48:K48"/>
    <mergeCell ref="D49:E49"/>
    <mergeCell ref="J49:K49"/>
    <mergeCell ref="D50:E50"/>
    <mergeCell ref="J50:K50"/>
    <mergeCell ref="D51:E51"/>
    <mergeCell ref="J51:K51"/>
    <mergeCell ref="D52:E52"/>
    <mergeCell ref="J52:K52"/>
    <mergeCell ref="D53:E53"/>
    <mergeCell ref="J53:K53"/>
    <mergeCell ref="D54:E54"/>
    <mergeCell ref="J54:K54"/>
    <mergeCell ref="D55:E55"/>
    <mergeCell ref="J55:K55"/>
    <mergeCell ref="D56:E56"/>
    <mergeCell ref="J56:K56"/>
    <mergeCell ref="D57:E57"/>
    <mergeCell ref="J57:K57"/>
    <mergeCell ref="D58:E58"/>
    <mergeCell ref="J58:K58"/>
    <mergeCell ref="D59:E59"/>
    <mergeCell ref="J59:K59"/>
    <mergeCell ref="D60:E60"/>
    <mergeCell ref="J60:K60"/>
    <mergeCell ref="D61:E61"/>
    <mergeCell ref="J61:K61"/>
    <mergeCell ref="D62:E62"/>
    <mergeCell ref="J62:K62"/>
    <mergeCell ref="D63:E63"/>
    <mergeCell ref="J63:K63"/>
    <mergeCell ref="D64:E64"/>
    <mergeCell ref="J64:K64"/>
    <mergeCell ref="D65:E65"/>
    <mergeCell ref="J65:K65"/>
    <mergeCell ref="D66:E66"/>
    <mergeCell ref="J66:K66"/>
    <mergeCell ref="D67:E67"/>
    <mergeCell ref="J67:K67"/>
    <mergeCell ref="D68:E68"/>
    <mergeCell ref="J68:K68"/>
    <mergeCell ref="D69:E69"/>
    <mergeCell ref="J69:K69"/>
    <mergeCell ref="D70:E70"/>
    <mergeCell ref="J70:K70"/>
    <mergeCell ref="D71:E71"/>
    <mergeCell ref="J71:K71"/>
    <mergeCell ref="D72:E72"/>
    <mergeCell ref="J72:K72"/>
    <mergeCell ref="D73:E73"/>
    <mergeCell ref="J73:K73"/>
    <mergeCell ref="D74:E74"/>
    <mergeCell ref="J74:K74"/>
    <mergeCell ref="D75:E75"/>
    <mergeCell ref="J75:K75"/>
    <mergeCell ref="D76:E76"/>
    <mergeCell ref="J76:K76"/>
    <mergeCell ref="D77:E77"/>
    <mergeCell ref="J77:K77"/>
    <mergeCell ref="D78:E78"/>
    <mergeCell ref="J78:K78"/>
    <mergeCell ref="D79:E79"/>
    <mergeCell ref="J79:K79"/>
    <mergeCell ref="D80:E80"/>
    <mergeCell ref="J80:K80"/>
    <mergeCell ref="D81:E81"/>
    <mergeCell ref="J81:K81"/>
    <mergeCell ref="D82:E82"/>
    <mergeCell ref="J82:K82"/>
    <mergeCell ref="D83:E83"/>
    <mergeCell ref="J83:K83"/>
    <mergeCell ref="D84:E84"/>
    <mergeCell ref="J84:K84"/>
    <mergeCell ref="D85:E85"/>
    <mergeCell ref="J85:K85"/>
    <mergeCell ref="D86:E86"/>
    <mergeCell ref="J86:K86"/>
    <mergeCell ref="D87:E87"/>
    <mergeCell ref="J87:K87"/>
    <mergeCell ref="D88:E88"/>
    <mergeCell ref="J88:K88"/>
    <mergeCell ref="D89:E89"/>
    <mergeCell ref="J89:K89"/>
    <mergeCell ref="D90:E90"/>
    <mergeCell ref="J90:K90"/>
    <mergeCell ref="D91:E91"/>
    <mergeCell ref="J91:K91"/>
    <mergeCell ref="D92:E92"/>
    <mergeCell ref="J92:K92"/>
    <mergeCell ref="D93:E93"/>
    <mergeCell ref="J93:K93"/>
    <mergeCell ref="D94:E94"/>
    <mergeCell ref="J94:K94"/>
    <mergeCell ref="D95:E95"/>
    <mergeCell ref="J95:K95"/>
    <mergeCell ref="D96:E96"/>
    <mergeCell ref="J96:K96"/>
    <mergeCell ref="D97:E97"/>
    <mergeCell ref="J97:K97"/>
    <mergeCell ref="D98:E98"/>
    <mergeCell ref="J98:K98"/>
    <mergeCell ref="D99:E99"/>
    <mergeCell ref="J99:K99"/>
    <mergeCell ref="D100:E100"/>
    <mergeCell ref="J100:K100"/>
    <mergeCell ref="D101:E101"/>
    <mergeCell ref="J101:K101"/>
    <mergeCell ref="D102:E102"/>
    <mergeCell ref="J102:K102"/>
    <mergeCell ref="D103:E103"/>
    <mergeCell ref="J103:K103"/>
    <mergeCell ref="C106:H106"/>
    <mergeCell ref="J106:K106"/>
    <mergeCell ref="C107:H107"/>
    <mergeCell ref="J107:K107"/>
    <mergeCell ref="C108:H108"/>
    <mergeCell ref="J108:K108"/>
    <mergeCell ref="C109:H109"/>
    <mergeCell ref="J109:K109"/>
  </mergeCells>
  <dataValidations count="346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decimal" operator="greaterThanOrEqual" allowBlank="1" showInputMessage="1" showErrorMessage="1" sqref="I28">
      <formula1>0</formula1>
    </dataValidation>
    <dataValidation type="decimal" operator="greaterThanOrEqual" allowBlank="1" showInputMessage="1" showErrorMessage="1" sqref="J28">
      <formula1>0</formula1>
    </dataValidation>
    <dataValidation type="decimal" allowBlank="1" showInputMessage="1" showErrorMessage="1" sqref="L28">
      <formula1>0</formula1>
      <formula2>100</formula2>
    </dataValidation>
    <dataValidation type="decimal" allowBlank="1" showInputMessage="1" showErrorMessage="1" sqref="M28">
      <formula1>0</formula1>
      <formula2>100</formula2>
    </dataValidation>
    <dataValidation type="decimal" operator="greaterThanOrEqual" allowBlank="1" showInputMessage="1" showErrorMessage="1" sqref="I29">
      <formula1>0</formula1>
    </dataValidation>
    <dataValidation type="decimal" operator="greaterThanOrEqual" allowBlank="1" showInputMessage="1" showErrorMessage="1" sqref="J29">
      <formula1>0</formula1>
    </dataValidation>
    <dataValidation type="decimal" allowBlank="1" showInputMessage="1" showErrorMessage="1" sqref="L29">
      <formula1>0</formula1>
      <formula2>100</formula2>
    </dataValidation>
    <dataValidation type="decimal" allowBlank="1" showInputMessage="1" showErrorMessage="1" sqref="M29">
      <formula1>0</formula1>
      <formula2>100</formula2>
    </dataValidation>
    <dataValidation type="decimal" operator="greaterThanOrEqual" allowBlank="1" showInputMessage="1" showErrorMessage="1" sqref="I30">
      <formula1>0</formula1>
    </dataValidation>
    <dataValidation type="decimal" operator="greaterThanOrEqual" allowBlank="1" showInputMessage="1" showErrorMessage="1" sqref="J30">
      <formula1>0</formula1>
    </dataValidation>
    <dataValidation type="decimal" allowBlank="1" showInputMessage="1" showErrorMessage="1" sqref="L30">
      <formula1>0</formula1>
      <formula2>100</formula2>
    </dataValidation>
    <dataValidation type="decimal" allowBlank="1" showInputMessage="1" showErrorMessage="1" sqref="M30">
      <formula1>0</formula1>
      <formula2>100</formula2>
    </dataValidation>
    <dataValidation type="decimal" operator="greaterThanOrEqual" allowBlank="1" showInputMessage="1" showErrorMessage="1" sqref="I31">
      <formula1>0</formula1>
    </dataValidation>
    <dataValidation type="decimal" operator="greaterThanOrEqual" allowBlank="1" showInputMessage="1" showErrorMessage="1" sqref="J31">
      <formula1>0</formula1>
    </dataValidation>
    <dataValidation type="decimal" allowBlank="1" showInputMessage="1" showErrorMessage="1" sqref="L31">
      <formula1>0</formula1>
      <formula2>100</formula2>
    </dataValidation>
    <dataValidation type="decimal" allowBlank="1" showInputMessage="1" showErrorMessage="1" sqref="M31">
      <formula1>0</formula1>
      <formula2>100</formula2>
    </dataValidation>
    <dataValidation type="decimal" operator="greaterThanOrEqual" allowBlank="1" showInputMessage="1" showErrorMessage="1" sqref="I32">
      <formula1>0</formula1>
    </dataValidation>
    <dataValidation type="decimal" operator="greaterThanOrEqual" allowBlank="1" showInputMessage="1" showErrorMessage="1" sqref="J32">
      <formula1>0</formula1>
    </dataValidation>
    <dataValidation type="decimal" allowBlank="1" showInputMessage="1" showErrorMessage="1" sqref="L32">
      <formula1>0</formula1>
      <formula2>100</formula2>
    </dataValidation>
    <dataValidation type="decimal" allowBlank="1" showInputMessage="1" showErrorMessage="1" sqref="M32">
      <formula1>0</formula1>
      <formula2>100</formula2>
    </dataValidation>
    <dataValidation type="decimal" operator="greaterThanOrEqual" allowBlank="1" showInputMessage="1" showErrorMessage="1" sqref="I33">
      <formula1>0</formula1>
    </dataValidation>
    <dataValidation type="decimal" operator="greaterThanOrEqual" allowBlank="1" showInputMessage="1" showErrorMessage="1" sqref="J33">
      <formula1>0</formula1>
    </dataValidation>
    <dataValidation type="decimal" allowBlank="1" showInputMessage="1" showErrorMessage="1" sqref="L33">
      <formula1>0</formula1>
      <formula2>100</formula2>
    </dataValidation>
    <dataValidation type="decimal" allowBlank="1" showInputMessage="1" showErrorMessage="1" sqref="M33">
      <formula1>0</formula1>
      <formula2>100</formula2>
    </dataValidation>
    <dataValidation type="decimal" operator="greaterThanOrEqual" allowBlank="1" showInputMessage="1" showErrorMessage="1" sqref="I34">
      <formula1>0</formula1>
    </dataValidation>
    <dataValidation type="decimal" operator="greaterThanOrEqual" allowBlank="1" showInputMessage="1" showErrorMessage="1" sqref="J34">
      <formula1>0</formula1>
    </dataValidation>
    <dataValidation type="decimal" allowBlank="1" showInputMessage="1" showErrorMessage="1" sqref="L34">
      <formula1>0</formula1>
      <formula2>100</formula2>
    </dataValidation>
    <dataValidation type="decimal" allowBlank="1" showInputMessage="1" showErrorMessage="1" sqref="M34">
      <formula1>0</formula1>
      <formula2>100</formula2>
    </dataValidation>
    <dataValidation type="decimal" operator="greaterThanOrEqual" allowBlank="1" showInputMessage="1" showErrorMessage="1" sqref="I35">
      <formula1>0</formula1>
    </dataValidation>
    <dataValidation type="decimal" operator="greaterThanOrEqual" allowBlank="1" showInputMessage="1" showErrorMessage="1" sqref="J35">
      <formula1>0</formula1>
    </dataValidation>
    <dataValidation type="decimal" allowBlank="1" showInputMessage="1" showErrorMessage="1" sqref="L35">
      <formula1>0</formula1>
      <formula2>100</formula2>
    </dataValidation>
    <dataValidation type="decimal" allowBlank="1" showInputMessage="1" showErrorMessage="1" sqref="M35">
      <formula1>0</formula1>
      <formula2>100</formula2>
    </dataValidation>
    <dataValidation type="decimal" operator="greaterThanOrEqual" allowBlank="1" showInputMessage="1" showErrorMessage="1" sqref="I36">
      <formula1>0</formula1>
    </dataValidation>
    <dataValidation type="decimal" operator="greaterThanOrEqual" allowBlank="1" showInputMessage="1" showErrorMessage="1" sqref="J36">
      <formula1>0</formula1>
    </dataValidation>
    <dataValidation type="decimal" allowBlank="1" showInputMessage="1" showErrorMessage="1" sqref="L36">
      <formula1>0</formula1>
      <formula2>100</formula2>
    </dataValidation>
    <dataValidation type="decimal" allowBlank="1" showInputMessage="1" showErrorMessage="1" sqref="M36">
      <formula1>0</formula1>
      <formula2>100</formula2>
    </dataValidation>
    <dataValidation type="decimal" operator="greaterThanOrEqual" allowBlank="1" showInputMessage="1" showErrorMessage="1" sqref="I37">
      <formula1>0</formula1>
    </dataValidation>
    <dataValidation type="decimal" operator="greaterThanOrEqual" allowBlank="1" showInputMessage="1" showErrorMessage="1" sqref="J37">
      <formula1>0</formula1>
    </dataValidation>
    <dataValidation type="decimal" allowBlank="1" showInputMessage="1" showErrorMessage="1" sqref="L37">
      <formula1>0</formula1>
      <formula2>100</formula2>
    </dataValidation>
    <dataValidation type="decimal" allowBlank="1" showInputMessage="1" showErrorMessage="1" sqref="M37">
      <formula1>0</formula1>
      <formula2>100</formula2>
    </dataValidation>
    <dataValidation type="decimal" operator="greaterThanOrEqual" allowBlank="1" showInputMessage="1" showErrorMessage="1" sqref="I38">
      <formula1>0</formula1>
    </dataValidation>
    <dataValidation type="decimal" operator="greaterThanOrEqual" allowBlank="1" showInputMessage="1" showErrorMessage="1" sqref="J38">
      <formula1>0</formula1>
    </dataValidation>
    <dataValidation type="decimal" allowBlank="1" showInputMessage="1" showErrorMessage="1" sqref="L38">
      <formula1>0</formula1>
      <formula2>100</formula2>
    </dataValidation>
    <dataValidation type="decimal" allowBlank="1" showInputMessage="1" showErrorMessage="1" sqref="M38">
      <formula1>0</formula1>
      <formula2>100</formula2>
    </dataValidation>
    <dataValidation type="decimal" operator="greaterThanOrEqual" allowBlank="1" showInputMessage="1" showErrorMessage="1" sqref="I39">
      <formula1>0</formula1>
    </dataValidation>
    <dataValidation type="decimal" operator="greaterThanOrEqual" allowBlank="1" showInputMessage="1" showErrorMessage="1" sqref="J39">
      <formula1>0</formula1>
    </dataValidation>
    <dataValidation type="decimal" allowBlank="1" showInputMessage="1" showErrorMessage="1" sqref="L39">
      <formula1>0</formula1>
      <formula2>100</formula2>
    </dataValidation>
    <dataValidation type="decimal" allowBlank="1" showInputMessage="1" showErrorMessage="1" sqref="M39">
      <formula1>0</formula1>
      <formula2>100</formula2>
    </dataValidation>
    <dataValidation type="decimal" operator="greaterThanOrEqual" allowBlank="1" showInputMessage="1" showErrorMessage="1" sqref="I40">
      <formula1>0</formula1>
    </dataValidation>
    <dataValidation type="decimal" operator="greaterThanOrEqual" allowBlank="1" showInputMessage="1" showErrorMessage="1" sqref="J40">
      <formula1>0</formula1>
    </dataValidation>
    <dataValidation type="decimal" allowBlank="1" showInputMessage="1" showErrorMessage="1" sqref="L40">
      <formula1>0</formula1>
      <formula2>100</formula2>
    </dataValidation>
    <dataValidation type="decimal" allowBlank="1" showInputMessage="1" showErrorMessage="1" sqref="M40">
      <formula1>0</formula1>
      <formula2>100</formula2>
    </dataValidation>
    <dataValidation type="decimal" operator="greaterThanOrEqual" allowBlank="1" showInputMessage="1" showErrorMessage="1" sqref="I41">
      <formula1>0</formula1>
    </dataValidation>
    <dataValidation type="decimal" operator="greaterThanOrEqual" allowBlank="1" showInputMessage="1" showErrorMessage="1" sqref="J41">
      <formula1>0</formula1>
    </dataValidation>
    <dataValidation type="decimal" allowBlank="1" showInputMessage="1" showErrorMessage="1" sqref="L41">
      <formula1>0</formula1>
      <formula2>100</formula2>
    </dataValidation>
    <dataValidation type="decimal" allowBlank="1" showInputMessage="1" showErrorMessage="1" sqref="M41">
      <formula1>0</formula1>
      <formula2>100</formula2>
    </dataValidation>
    <dataValidation type="decimal" operator="greaterThanOrEqual" allowBlank="1" showInputMessage="1" showErrorMessage="1" sqref="I42">
      <formula1>0</formula1>
    </dataValidation>
    <dataValidation type="decimal" operator="greaterThanOrEqual" allowBlank="1" showInputMessage="1" showErrorMessage="1" sqref="J42">
      <formula1>0</formula1>
    </dataValidation>
    <dataValidation type="decimal" allowBlank="1" showInputMessage="1" showErrorMessage="1" sqref="L42">
      <formula1>0</formula1>
      <formula2>100</formula2>
    </dataValidation>
    <dataValidation type="decimal" allowBlank="1" showInputMessage="1" showErrorMessage="1" sqref="M42">
      <formula1>0</formula1>
      <formula2>100</formula2>
    </dataValidation>
    <dataValidation type="decimal" operator="greaterThanOrEqual" allowBlank="1" showInputMessage="1" showErrorMessage="1" sqref="I43">
      <formula1>0</formula1>
    </dataValidation>
    <dataValidation type="decimal" operator="greaterThanOrEqual" allowBlank="1" showInputMessage="1" showErrorMessage="1" sqref="J43">
      <formula1>0</formula1>
    </dataValidation>
    <dataValidation type="decimal" allowBlank="1" showInputMessage="1" showErrorMessage="1" sqref="L43">
      <formula1>0</formula1>
      <formula2>100</formula2>
    </dataValidation>
    <dataValidation type="decimal" allowBlank="1" showInputMessage="1" showErrorMessage="1" sqref="M43">
      <formula1>0</formula1>
      <formula2>100</formula2>
    </dataValidation>
    <dataValidation type="decimal" operator="greaterThanOrEqual" allowBlank="1" showInputMessage="1" showErrorMessage="1" sqref="I44">
      <formula1>0</formula1>
    </dataValidation>
    <dataValidation type="decimal" operator="greaterThanOrEqual" allowBlank="1" showInputMessage="1" showErrorMessage="1" sqref="J44">
      <formula1>0</formula1>
    </dataValidation>
    <dataValidation type="decimal" allowBlank="1" showInputMessage="1" showErrorMessage="1" sqref="L44">
      <formula1>0</formula1>
      <formula2>100</formula2>
    </dataValidation>
    <dataValidation type="decimal" allowBlank="1" showInputMessage="1" showErrorMessage="1" sqref="M44">
      <formula1>0</formula1>
      <formula2>100</formula2>
    </dataValidation>
    <dataValidation type="decimal" operator="greaterThanOrEqual" allowBlank="1" showInputMessage="1" showErrorMessage="1" sqref="I45">
      <formula1>0</formula1>
    </dataValidation>
    <dataValidation type="decimal" operator="greaterThanOrEqual" allowBlank="1" showInputMessage="1" showErrorMessage="1" sqref="J45">
      <formula1>0</formula1>
    </dataValidation>
    <dataValidation type="decimal" allowBlank="1" showInputMessage="1" showErrorMessage="1" sqref="L45">
      <formula1>0</formula1>
      <formula2>100</formula2>
    </dataValidation>
    <dataValidation type="decimal" allowBlank="1" showInputMessage="1" showErrorMessage="1" sqref="M45">
      <formula1>0</formula1>
      <formula2>100</formula2>
    </dataValidation>
    <dataValidation type="decimal" operator="greaterThanOrEqual" allowBlank="1" showInputMessage="1" showErrorMessage="1" sqref="I46">
      <formula1>0</formula1>
    </dataValidation>
    <dataValidation type="decimal" operator="greaterThanOrEqual" allowBlank="1" showInputMessage="1" showErrorMessage="1" sqref="J46">
      <formula1>0</formula1>
    </dataValidation>
    <dataValidation type="decimal" allowBlank="1" showInputMessage="1" showErrorMessage="1" sqref="L46">
      <formula1>0</formula1>
      <formula2>100</formula2>
    </dataValidation>
    <dataValidation type="decimal" allowBlank="1" showInputMessage="1" showErrorMessage="1" sqref="M46">
      <formula1>0</formula1>
      <formula2>100</formula2>
    </dataValidation>
    <dataValidation type="decimal" operator="greaterThanOrEqual" allowBlank="1" showInputMessage="1" showErrorMessage="1" sqref="I47">
      <formula1>0</formula1>
    </dataValidation>
    <dataValidation type="decimal" operator="greaterThanOrEqual" allowBlank="1" showInputMessage="1" showErrorMessage="1" sqref="J47">
      <formula1>0</formula1>
    </dataValidation>
    <dataValidation type="decimal" allowBlank="1" showInputMessage="1" showErrorMessage="1" sqref="L47">
      <formula1>0</formula1>
      <formula2>100</formula2>
    </dataValidation>
    <dataValidation type="decimal" allowBlank="1" showInputMessage="1" showErrorMessage="1" sqref="M47">
      <formula1>0</formula1>
      <formula2>100</formula2>
    </dataValidation>
    <dataValidation type="decimal" operator="greaterThanOrEqual" allowBlank="1" showInputMessage="1" showErrorMessage="1" sqref="I48">
      <formula1>0</formula1>
    </dataValidation>
    <dataValidation type="decimal" operator="greaterThanOrEqual" allowBlank="1" showInputMessage="1" showErrorMessage="1" sqref="J48">
      <formula1>0</formula1>
    </dataValidation>
    <dataValidation type="decimal" allowBlank="1" showInputMessage="1" showErrorMessage="1" sqref="L48">
      <formula1>0</formula1>
      <formula2>100</formula2>
    </dataValidation>
    <dataValidation type="decimal" allowBlank="1" showInputMessage="1" showErrorMessage="1" sqref="M48">
      <formula1>0</formula1>
      <formula2>100</formula2>
    </dataValidation>
    <dataValidation type="decimal" operator="greaterThanOrEqual" allowBlank="1" showInputMessage="1" showErrorMessage="1" sqref="I49">
      <formula1>0</formula1>
    </dataValidation>
    <dataValidation type="decimal" operator="greaterThanOrEqual" allowBlank="1" showInputMessage="1" showErrorMessage="1" sqref="J49">
      <formula1>0</formula1>
    </dataValidation>
    <dataValidation type="decimal" allowBlank="1" showInputMessage="1" showErrorMessage="1" sqref="L49">
      <formula1>0</formula1>
      <formula2>100</formula2>
    </dataValidation>
    <dataValidation type="decimal" allowBlank="1" showInputMessage="1" showErrorMessage="1" sqref="M49">
      <formula1>0</formula1>
      <formula2>100</formula2>
    </dataValidation>
    <dataValidation type="decimal" operator="greaterThanOrEqual" allowBlank="1" showInputMessage="1" showErrorMessage="1" sqref="I50">
      <formula1>0</formula1>
    </dataValidation>
    <dataValidation type="decimal" operator="greaterThanOrEqual" allowBlank="1" showInputMessage="1" showErrorMessage="1" sqref="J50">
      <formula1>0</formula1>
    </dataValidation>
    <dataValidation type="decimal" allowBlank="1" showInputMessage="1" showErrorMessage="1" sqref="L50">
      <formula1>0</formula1>
      <formula2>100</formula2>
    </dataValidation>
    <dataValidation type="decimal" allowBlank="1" showInputMessage="1" showErrorMessage="1" sqref="M50">
      <formula1>0</formula1>
      <formula2>100</formula2>
    </dataValidation>
    <dataValidation type="decimal" operator="greaterThanOrEqual" allowBlank="1" showInputMessage="1" showErrorMessage="1" sqref="I51">
      <formula1>0</formula1>
    </dataValidation>
    <dataValidation type="decimal" operator="greaterThanOrEqual" allowBlank="1" showInputMessage="1" showErrorMessage="1" sqref="J51">
      <formula1>0</formula1>
    </dataValidation>
    <dataValidation type="decimal" allowBlank="1" showInputMessage="1" showErrorMessage="1" sqref="L51">
      <formula1>0</formula1>
      <formula2>100</formula2>
    </dataValidation>
    <dataValidation type="decimal" allowBlank="1" showInputMessage="1" showErrorMessage="1" sqref="M51">
      <formula1>0</formula1>
      <formula2>100</formula2>
    </dataValidation>
    <dataValidation type="decimal" operator="greaterThanOrEqual" allowBlank="1" showInputMessage="1" showErrorMessage="1" sqref="I52">
      <formula1>0</formula1>
    </dataValidation>
    <dataValidation type="decimal" operator="greaterThanOrEqual" allowBlank="1" showInputMessage="1" showErrorMessage="1" sqref="J52">
      <formula1>0</formula1>
    </dataValidation>
    <dataValidation type="decimal" allowBlank="1" showInputMessage="1" showErrorMessage="1" sqref="L52">
      <formula1>0</formula1>
      <formula2>100</formula2>
    </dataValidation>
    <dataValidation type="decimal" allowBlank="1" showInputMessage="1" showErrorMessage="1" sqref="M52">
      <formula1>0</formula1>
      <formula2>100</formula2>
    </dataValidation>
    <dataValidation type="decimal" operator="greaterThanOrEqual" allowBlank="1" showInputMessage="1" showErrorMessage="1" sqref="I53">
      <formula1>0</formula1>
    </dataValidation>
    <dataValidation type="decimal" operator="greaterThanOrEqual" allowBlank="1" showInputMessage="1" showErrorMessage="1" sqref="J53">
      <formula1>0</formula1>
    </dataValidation>
    <dataValidation type="decimal" allowBlank="1" showInputMessage="1" showErrorMessage="1" sqref="L53">
      <formula1>0</formula1>
      <formula2>100</formula2>
    </dataValidation>
    <dataValidation type="decimal" allowBlank="1" showInputMessage="1" showErrorMessage="1" sqref="M53">
      <formula1>0</formula1>
      <formula2>100</formula2>
    </dataValidation>
    <dataValidation type="decimal" operator="greaterThanOrEqual" allowBlank="1" showInputMessage="1" showErrorMessage="1" sqref="I54">
      <formula1>0</formula1>
    </dataValidation>
    <dataValidation type="decimal" operator="greaterThanOrEqual" allowBlank="1" showInputMessage="1" showErrorMessage="1" sqref="J54">
      <formula1>0</formula1>
    </dataValidation>
    <dataValidation type="decimal" allowBlank="1" showInputMessage="1" showErrorMessage="1" sqref="L54">
      <formula1>0</formula1>
      <formula2>100</formula2>
    </dataValidation>
    <dataValidation type="decimal" allowBlank="1" showInputMessage="1" showErrorMessage="1" sqref="M54">
      <formula1>0</formula1>
      <formula2>100</formula2>
    </dataValidation>
    <dataValidation type="decimal" operator="greaterThanOrEqual" allowBlank="1" showInputMessage="1" showErrorMessage="1" sqref="I55">
      <formula1>0</formula1>
    </dataValidation>
    <dataValidation type="decimal" operator="greaterThanOrEqual" allowBlank="1" showInputMessage="1" showErrorMessage="1" sqref="J55">
      <formula1>0</formula1>
    </dataValidation>
    <dataValidation type="decimal" allowBlank="1" showInputMessage="1" showErrorMessage="1" sqref="L55">
      <formula1>0</formula1>
      <formula2>100</formula2>
    </dataValidation>
    <dataValidation type="decimal" allowBlank="1" showInputMessage="1" showErrorMessage="1" sqref="M55">
      <formula1>0</formula1>
      <formula2>100</formula2>
    </dataValidation>
    <dataValidation type="decimal" operator="greaterThanOrEqual" allowBlank="1" showInputMessage="1" showErrorMessage="1" sqref="I56">
      <formula1>0</formula1>
    </dataValidation>
    <dataValidation type="decimal" operator="greaterThanOrEqual" allowBlank="1" showInputMessage="1" showErrorMessage="1" sqref="J56">
      <formula1>0</formula1>
    </dataValidation>
    <dataValidation type="decimal" allowBlank="1" showInputMessage="1" showErrorMessage="1" sqref="L56">
      <formula1>0</formula1>
      <formula2>100</formula2>
    </dataValidation>
    <dataValidation type="decimal" allowBlank="1" showInputMessage="1" showErrorMessage="1" sqref="M56">
      <formula1>0</formula1>
      <formula2>100</formula2>
    </dataValidation>
    <dataValidation type="decimal" operator="greaterThanOrEqual" allowBlank="1" showInputMessage="1" showErrorMessage="1" sqref="I57">
      <formula1>0</formula1>
    </dataValidation>
    <dataValidation type="decimal" operator="greaterThanOrEqual" allowBlank="1" showInputMessage="1" showErrorMessage="1" sqref="J57">
      <formula1>0</formula1>
    </dataValidation>
    <dataValidation type="decimal" allowBlank="1" showInputMessage="1" showErrorMessage="1" sqref="L57">
      <formula1>0</formula1>
      <formula2>100</formula2>
    </dataValidation>
    <dataValidation type="decimal" allowBlank="1" showInputMessage="1" showErrorMessage="1" sqref="M57">
      <formula1>0</formula1>
      <formula2>100</formula2>
    </dataValidation>
    <dataValidation type="decimal" operator="greaterThanOrEqual" allowBlank="1" showInputMessage="1" showErrorMessage="1" sqref="I58">
      <formula1>0</formula1>
    </dataValidation>
    <dataValidation type="decimal" operator="greaterThanOrEqual" allowBlank="1" showInputMessage="1" showErrorMessage="1" sqref="J58">
      <formula1>0</formula1>
    </dataValidation>
    <dataValidation type="decimal" allowBlank="1" showInputMessage="1" showErrorMessage="1" sqref="L58">
      <formula1>0</formula1>
      <formula2>100</formula2>
    </dataValidation>
    <dataValidation type="decimal" allowBlank="1" showInputMessage="1" showErrorMessage="1" sqref="M58">
      <formula1>0</formula1>
      <formula2>100</formula2>
    </dataValidation>
    <dataValidation type="decimal" operator="greaterThanOrEqual" allowBlank="1" showInputMessage="1" showErrorMessage="1" sqref="I59">
      <formula1>0</formula1>
    </dataValidation>
    <dataValidation type="decimal" operator="greaterThanOrEqual" allowBlank="1" showInputMessage="1" showErrorMessage="1" sqref="J59">
      <formula1>0</formula1>
    </dataValidation>
    <dataValidation type="decimal" allowBlank="1" showInputMessage="1" showErrorMessage="1" sqref="L59">
      <formula1>0</formula1>
      <formula2>100</formula2>
    </dataValidation>
    <dataValidation type="decimal" allowBlank="1" showInputMessage="1" showErrorMessage="1" sqref="M59">
      <formula1>0</formula1>
      <formula2>100</formula2>
    </dataValidation>
    <dataValidation type="decimal" operator="greaterThanOrEqual" allowBlank="1" showInputMessage="1" showErrorMessage="1" sqref="I60">
      <formula1>0</formula1>
    </dataValidation>
    <dataValidation type="decimal" operator="greaterThanOrEqual" allowBlank="1" showInputMessage="1" showErrorMessage="1" sqref="J60">
      <formula1>0</formula1>
    </dataValidation>
    <dataValidation type="decimal" allowBlank="1" showInputMessage="1" showErrorMessage="1" sqref="L60">
      <formula1>0</formula1>
      <formula2>100</formula2>
    </dataValidation>
    <dataValidation type="decimal" allowBlank="1" showInputMessage="1" showErrorMessage="1" sqref="M60">
      <formula1>0</formula1>
      <formula2>100</formula2>
    </dataValidation>
    <dataValidation type="decimal" operator="greaterThanOrEqual" allowBlank="1" showInputMessage="1" showErrorMessage="1" sqref="I61">
      <formula1>0</formula1>
    </dataValidation>
    <dataValidation type="decimal" operator="greaterThanOrEqual" allowBlank="1" showInputMessage="1" showErrorMessage="1" sqref="J61">
      <formula1>0</formula1>
    </dataValidation>
    <dataValidation type="decimal" allowBlank="1" showInputMessage="1" showErrorMessage="1" sqref="L61">
      <formula1>0</formula1>
      <formula2>100</formula2>
    </dataValidation>
    <dataValidation type="decimal" allowBlank="1" showInputMessage="1" showErrorMessage="1" sqref="M61">
      <formula1>0</formula1>
      <formula2>100</formula2>
    </dataValidation>
    <dataValidation type="decimal" operator="greaterThanOrEqual" allowBlank="1" showInputMessage="1" showErrorMessage="1" sqref="I62">
      <formula1>0</formula1>
    </dataValidation>
    <dataValidation type="decimal" operator="greaterThanOrEqual" allowBlank="1" showInputMessage="1" showErrorMessage="1" sqref="J62">
      <formula1>0</formula1>
    </dataValidation>
    <dataValidation type="decimal" allowBlank="1" showInputMessage="1" showErrorMessage="1" sqref="L62">
      <formula1>0</formula1>
      <formula2>100</formula2>
    </dataValidation>
    <dataValidation type="decimal" allowBlank="1" showInputMessage="1" showErrorMessage="1" sqref="M62">
      <formula1>0</formula1>
      <formula2>100</formula2>
    </dataValidation>
    <dataValidation type="decimal" operator="greaterThanOrEqual" allowBlank="1" showInputMessage="1" showErrorMessage="1" sqref="I63">
      <formula1>0</formula1>
    </dataValidation>
    <dataValidation type="decimal" operator="greaterThanOrEqual" allowBlank="1" showInputMessage="1" showErrorMessage="1" sqref="J63">
      <formula1>0</formula1>
    </dataValidation>
    <dataValidation type="decimal" allowBlank="1" showInputMessage="1" showErrorMessage="1" sqref="L63">
      <formula1>0</formula1>
      <formula2>100</formula2>
    </dataValidation>
    <dataValidation type="decimal" allowBlank="1" showInputMessage="1" showErrorMessage="1" sqref="M63">
      <formula1>0</formula1>
      <formula2>100</formula2>
    </dataValidation>
    <dataValidation type="decimal" operator="greaterThanOrEqual" allowBlank="1" showInputMessage="1" showErrorMessage="1" sqref="I64">
      <formula1>0</formula1>
    </dataValidation>
    <dataValidation type="decimal" operator="greaterThanOrEqual" allowBlank="1" showInputMessage="1" showErrorMessage="1" sqref="J64">
      <formula1>0</formula1>
    </dataValidation>
    <dataValidation type="decimal" allowBlank="1" showInputMessage="1" showErrorMessage="1" sqref="L64">
      <formula1>0</formula1>
      <formula2>100</formula2>
    </dataValidation>
    <dataValidation type="decimal" allowBlank="1" showInputMessage="1" showErrorMessage="1" sqref="M64">
      <formula1>0</formula1>
      <formula2>100</formula2>
    </dataValidation>
    <dataValidation type="decimal" operator="greaterThanOrEqual" allowBlank="1" showInputMessage="1" showErrorMessage="1" sqref="I65">
      <formula1>0</formula1>
    </dataValidation>
    <dataValidation type="decimal" operator="greaterThanOrEqual" allowBlank="1" showInputMessage="1" showErrorMessage="1" sqref="J65">
      <formula1>0</formula1>
    </dataValidation>
    <dataValidation type="decimal" allowBlank="1" showInputMessage="1" showErrorMessage="1" sqref="L65">
      <formula1>0</formula1>
      <formula2>100</formula2>
    </dataValidation>
    <dataValidation type="decimal" allowBlank="1" showInputMessage="1" showErrorMessage="1" sqref="M65">
      <formula1>0</formula1>
      <formula2>100</formula2>
    </dataValidation>
    <dataValidation type="decimal" operator="greaterThanOrEqual" allowBlank="1" showInputMessage="1" showErrorMessage="1" sqref="I66">
      <formula1>0</formula1>
    </dataValidation>
    <dataValidation type="decimal" operator="greaterThanOrEqual" allowBlank="1" showInputMessage="1" showErrorMessage="1" sqref="J66">
      <formula1>0</formula1>
    </dataValidation>
    <dataValidation type="decimal" allowBlank="1" showInputMessage="1" showErrorMessage="1" sqref="L66">
      <formula1>0</formula1>
      <formula2>100</formula2>
    </dataValidation>
    <dataValidation type="decimal" allowBlank="1" showInputMessage="1" showErrorMessage="1" sqref="M66">
      <formula1>0</formula1>
      <formula2>100</formula2>
    </dataValidation>
    <dataValidation type="decimal" operator="greaterThanOrEqual" allowBlank="1" showInputMessage="1" showErrorMessage="1" sqref="I67">
      <formula1>0</formula1>
    </dataValidation>
    <dataValidation type="decimal" operator="greaterThanOrEqual" allowBlank="1" showInputMessage="1" showErrorMessage="1" sqref="J67">
      <formula1>0</formula1>
    </dataValidation>
    <dataValidation type="decimal" allowBlank="1" showInputMessage="1" showErrorMessage="1" sqref="L67">
      <formula1>0</formula1>
      <formula2>100</formula2>
    </dataValidation>
    <dataValidation type="decimal" allowBlank="1" showInputMessage="1" showErrorMessage="1" sqref="M67">
      <formula1>0</formula1>
      <formula2>100</formula2>
    </dataValidation>
    <dataValidation type="decimal" operator="greaterThanOrEqual" allowBlank="1" showInputMessage="1" showErrorMessage="1" sqref="I68">
      <formula1>0</formula1>
    </dataValidation>
    <dataValidation type="decimal" operator="greaterThanOrEqual" allowBlank="1" showInputMessage="1" showErrorMessage="1" sqref="J68">
      <formula1>0</formula1>
    </dataValidation>
    <dataValidation type="decimal" allowBlank="1" showInputMessage="1" showErrorMessage="1" sqref="L68">
      <formula1>0</formula1>
      <formula2>100</formula2>
    </dataValidation>
    <dataValidation type="decimal" allowBlank="1" showInputMessage="1" showErrorMessage="1" sqref="M68">
      <formula1>0</formula1>
      <formula2>100</formula2>
    </dataValidation>
    <dataValidation type="decimal" operator="greaterThanOrEqual" allowBlank="1" showInputMessage="1" showErrorMessage="1" sqref="I69">
      <formula1>0</formula1>
    </dataValidation>
    <dataValidation type="decimal" operator="greaterThanOrEqual" allowBlank="1" showInputMessage="1" showErrorMessage="1" sqref="J69">
      <formula1>0</formula1>
    </dataValidation>
    <dataValidation type="decimal" allowBlank="1" showInputMessage="1" showErrorMessage="1" sqref="L69">
      <formula1>0</formula1>
      <formula2>100</formula2>
    </dataValidation>
    <dataValidation type="decimal" allowBlank="1" showInputMessage="1" showErrorMessage="1" sqref="M69">
      <formula1>0</formula1>
      <formula2>100</formula2>
    </dataValidation>
    <dataValidation type="decimal" operator="greaterThanOrEqual" allowBlank="1" showInputMessage="1" showErrorMessage="1" sqref="I70">
      <formula1>0</formula1>
    </dataValidation>
    <dataValidation type="decimal" operator="greaterThanOrEqual" allowBlank="1" showInputMessage="1" showErrorMessage="1" sqref="J70">
      <formula1>0</formula1>
    </dataValidation>
    <dataValidation type="decimal" allowBlank="1" showInputMessage="1" showErrorMessage="1" sqref="L70">
      <formula1>0</formula1>
      <formula2>100</formula2>
    </dataValidation>
    <dataValidation type="decimal" allowBlank="1" showInputMessage="1" showErrorMessage="1" sqref="M70">
      <formula1>0</formula1>
      <formula2>100</formula2>
    </dataValidation>
    <dataValidation type="decimal" operator="greaterThanOrEqual" allowBlank="1" showInputMessage="1" showErrorMessage="1" sqref="I71">
      <formula1>0</formula1>
    </dataValidation>
    <dataValidation type="decimal" operator="greaterThanOrEqual" allowBlank="1" showInputMessage="1" showErrorMessage="1" sqref="J71">
      <formula1>0</formula1>
    </dataValidation>
    <dataValidation type="decimal" allowBlank="1" showInputMessage="1" showErrorMessage="1" sqref="L71">
      <formula1>0</formula1>
      <formula2>100</formula2>
    </dataValidation>
    <dataValidation type="decimal" allowBlank="1" showInputMessage="1" showErrorMessage="1" sqref="M71">
      <formula1>0</formula1>
      <formula2>100</formula2>
    </dataValidation>
    <dataValidation type="decimal" operator="greaterThanOrEqual" allowBlank="1" showInputMessage="1" showErrorMessage="1" sqref="I72">
      <formula1>0</formula1>
    </dataValidation>
    <dataValidation type="decimal" operator="greaterThanOrEqual" allowBlank="1" showInputMessage="1" showErrorMessage="1" sqref="J72">
      <formula1>0</formula1>
    </dataValidation>
    <dataValidation type="decimal" allowBlank="1" showInputMessage="1" showErrorMessage="1" sqref="L72">
      <formula1>0</formula1>
      <formula2>100</formula2>
    </dataValidation>
    <dataValidation type="decimal" allowBlank="1" showInputMessage="1" showErrorMessage="1" sqref="M72">
      <formula1>0</formula1>
      <formula2>100</formula2>
    </dataValidation>
    <dataValidation type="decimal" operator="greaterThanOrEqual" allowBlank="1" showInputMessage="1" showErrorMessage="1" sqref="I73">
      <formula1>0</formula1>
    </dataValidation>
    <dataValidation type="decimal" operator="greaterThanOrEqual" allowBlank="1" showInputMessage="1" showErrorMessage="1" sqref="J73">
      <formula1>0</formula1>
    </dataValidation>
    <dataValidation type="decimal" allowBlank="1" showInputMessage="1" showErrorMessage="1" sqref="L73">
      <formula1>0</formula1>
      <formula2>100</formula2>
    </dataValidation>
    <dataValidation type="decimal" allowBlank="1" showInputMessage="1" showErrorMessage="1" sqref="M73">
      <formula1>0</formula1>
      <formula2>100</formula2>
    </dataValidation>
    <dataValidation type="decimal" operator="greaterThanOrEqual" allowBlank="1" showInputMessage="1" showErrorMessage="1" sqref="I74">
      <formula1>0</formula1>
    </dataValidation>
    <dataValidation type="decimal" operator="greaterThanOrEqual" allowBlank="1" showInputMessage="1" showErrorMessage="1" sqref="J74">
      <formula1>0</formula1>
    </dataValidation>
    <dataValidation type="decimal" allowBlank="1" showInputMessage="1" showErrorMessage="1" sqref="L74">
      <formula1>0</formula1>
      <formula2>100</formula2>
    </dataValidation>
    <dataValidation type="decimal" allowBlank="1" showInputMessage="1" showErrorMessage="1" sqref="M74">
      <formula1>0</formula1>
      <formula2>100</formula2>
    </dataValidation>
    <dataValidation type="decimal" operator="greaterThanOrEqual" allowBlank="1" showInputMessage="1" showErrorMessage="1" sqref="I75">
      <formula1>0</formula1>
    </dataValidation>
    <dataValidation type="decimal" operator="greaterThanOrEqual" allowBlank="1" showInputMessage="1" showErrorMessage="1" sqref="J75">
      <formula1>0</formula1>
    </dataValidation>
    <dataValidation type="decimal" allowBlank="1" showInputMessage="1" showErrorMessage="1" sqref="L75">
      <formula1>0</formula1>
      <formula2>100</formula2>
    </dataValidation>
    <dataValidation type="decimal" allowBlank="1" showInputMessage="1" showErrorMessage="1" sqref="M75">
      <formula1>0</formula1>
      <formula2>100</formula2>
    </dataValidation>
    <dataValidation type="decimal" operator="greaterThanOrEqual" allowBlank="1" showInputMessage="1" showErrorMessage="1" sqref="I76">
      <formula1>0</formula1>
    </dataValidation>
    <dataValidation type="decimal" operator="greaterThanOrEqual" allowBlank="1" showInputMessage="1" showErrorMessage="1" sqref="J76">
      <formula1>0</formula1>
    </dataValidation>
    <dataValidation type="decimal" allowBlank="1" showInputMessage="1" showErrorMessage="1" sqref="L76">
      <formula1>0</formula1>
      <formula2>100</formula2>
    </dataValidation>
    <dataValidation type="decimal" allowBlank="1" showInputMessage="1" showErrorMessage="1" sqref="M76">
      <formula1>0</formula1>
      <formula2>100</formula2>
    </dataValidation>
    <dataValidation type="decimal" operator="greaterThanOrEqual" allowBlank="1" showInputMessage="1" showErrorMessage="1" sqref="I77">
      <formula1>0</formula1>
    </dataValidation>
    <dataValidation type="decimal" operator="greaterThanOrEqual" allowBlank="1" showInputMessage="1" showErrorMessage="1" sqref="J77">
      <formula1>0</formula1>
    </dataValidation>
    <dataValidation type="decimal" allowBlank="1" showInputMessage="1" showErrorMessage="1" sqref="L77">
      <formula1>0</formula1>
      <formula2>100</formula2>
    </dataValidation>
    <dataValidation type="decimal" allowBlank="1" showInputMessage="1" showErrorMessage="1" sqref="M77">
      <formula1>0</formula1>
      <formula2>100</formula2>
    </dataValidation>
    <dataValidation type="decimal" operator="greaterThanOrEqual" allowBlank="1" showInputMessage="1" showErrorMessage="1" sqref="I78">
      <formula1>0</formula1>
    </dataValidation>
    <dataValidation type="decimal" operator="greaterThanOrEqual" allowBlank="1" showInputMessage="1" showErrorMessage="1" sqref="J78">
      <formula1>0</formula1>
    </dataValidation>
    <dataValidation type="decimal" allowBlank="1" showInputMessage="1" showErrorMessage="1" sqref="L78">
      <formula1>0</formula1>
      <formula2>100</formula2>
    </dataValidation>
    <dataValidation type="decimal" allowBlank="1" showInputMessage="1" showErrorMessage="1" sqref="M78">
      <formula1>0</formula1>
      <formula2>100</formula2>
    </dataValidation>
    <dataValidation type="decimal" operator="greaterThanOrEqual" allowBlank="1" showInputMessage="1" showErrorMessage="1" sqref="I79">
      <formula1>0</formula1>
    </dataValidation>
    <dataValidation type="decimal" operator="greaterThanOrEqual" allowBlank="1" showInputMessage="1" showErrorMessage="1" sqref="J79">
      <formula1>0</formula1>
    </dataValidation>
    <dataValidation type="decimal" allowBlank="1" showInputMessage="1" showErrorMessage="1" sqref="L79">
      <formula1>0</formula1>
      <formula2>100</formula2>
    </dataValidation>
    <dataValidation type="decimal" allowBlank="1" showInputMessage="1" showErrorMessage="1" sqref="M79">
      <formula1>0</formula1>
      <formula2>100</formula2>
    </dataValidation>
    <dataValidation type="decimal" operator="greaterThanOrEqual" allowBlank="1" showInputMessage="1" showErrorMessage="1" sqref="I80">
      <formula1>0</formula1>
    </dataValidation>
    <dataValidation type="decimal" operator="greaterThanOrEqual" allowBlank="1" showInputMessage="1" showErrorMessage="1" sqref="J80">
      <formula1>0</formula1>
    </dataValidation>
    <dataValidation type="decimal" allowBlank="1" showInputMessage="1" showErrorMessage="1" sqref="L80">
      <formula1>0</formula1>
      <formula2>100</formula2>
    </dataValidation>
    <dataValidation type="decimal" allowBlank="1" showInputMessage="1" showErrorMessage="1" sqref="M80">
      <formula1>0</formula1>
      <formula2>100</formula2>
    </dataValidation>
    <dataValidation type="decimal" operator="greaterThanOrEqual" allowBlank="1" showInputMessage="1" showErrorMessage="1" sqref="I81">
      <formula1>0</formula1>
    </dataValidation>
    <dataValidation type="decimal" operator="greaterThanOrEqual" allowBlank="1" showInputMessage="1" showErrorMessage="1" sqref="J81">
      <formula1>0</formula1>
    </dataValidation>
    <dataValidation type="decimal" allowBlank="1" showInputMessage="1" showErrorMessage="1" sqref="L81">
      <formula1>0</formula1>
      <formula2>100</formula2>
    </dataValidation>
    <dataValidation type="decimal" allowBlank="1" showInputMessage="1" showErrorMessage="1" sqref="M81">
      <formula1>0</formula1>
      <formula2>100</formula2>
    </dataValidation>
    <dataValidation type="decimal" operator="greaterThanOrEqual" allowBlank="1" showInputMessage="1" showErrorMessage="1" sqref="I82">
      <formula1>0</formula1>
    </dataValidation>
    <dataValidation type="decimal" operator="greaterThanOrEqual" allowBlank="1" showInputMessage="1" showErrorMessage="1" sqref="J82">
      <formula1>0</formula1>
    </dataValidation>
    <dataValidation type="decimal" allowBlank="1" showInputMessage="1" showErrorMessage="1" sqref="L82">
      <formula1>0</formula1>
      <formula2>100</formula2>
    </dataValidation>
    <dataValidation type="decimal" allowBlank="1" showInputMessage="1" showErrorMessage="1" sqref="M82">
      <formula1>0</formula1>
      <formula2>100</formula2>
    </dataValidation>
    <dataValidation type="decimal" operator="greaterThanOrEqual" allowBlank="1" showInputMessage="1" showErrorMessage="1" sqref="I83">
      <formula1>0</formula1>
    </dataValidation>
    <dataValidation type="decimal" operator="greaterThanOrEqual" allowBlank="1" showInputMessage="1" showErrorMessage="1" sqref="J83">
      <formula1>0</formula1>
    </dataValidation>
    <dataValidation type="decimal" allowBlank="1" showInputMessage="1" showErrorMessage="1" sqref="L83">
      <formula1>0</formula1>
      <formula2>100</formula2>
    </dataValidation>
    <dataValidation type="decimal" allowBlank="1" showInputMessage="1" showErrorMessage="1" sqref="M83">
      <formula1>0</formula1>
      <formula2>100</formula2>
    </dataValidation>
    <dataValidation type="decimal" operator="greaterThanOrEqual" allowBlank="1" showInputMessage="1" showErrorMessage="1" sqref="I84">
      <formula1>0</formula1>
    </dataValidation>
    <dataValidation type="decimal" operator="greaterThanOrEqual" allowBlank="1" showInputMessage="1" showErrorMessage="1" sqref="J84">
      <formula1>0</formula1>
    </dataValidation>
    <dataValidation type="decimal" allowBlank="1" showInputMessage="1" showErrorMessage="1" sqref="L84">
      <formula1>0</formula1>
      <formula2>100</formula2>
    </dataValidation>
    <dataValidation type="decimal" allowBlank="1" showInputMessage="1" showErrorMessage="1" sqref="M84">
      <formula1>0</formula1>
      <formula2>100</formula2>
    </dataValidation>
    <dataValidation type="decimal" operator="greaterThanOrEqual" allowBlank="1" showInputMessage="1" showErrorMessage="1" sqref="I85">
      <formula1>0</formula1>
    </dataValidation>
    <dataValidation type="decimal" operator="greaterThanOrEqual" allowBlank="1" showInputMessage="1" showErrorMessage="1" sqref="J85">
      <formula1>0</formula1>
    </dataValidation>
    <dataValidation type="decimal" allowBlank="1" showInputMessage="1" showErrorMessage="1" sqref="L85">
      <formula1>0</formula1>
      <formula2>100</formula2>
    </dataValidation>
    <dataValidation type="decimal" allowBlank="1" showInputMessage="1" showErrorMessage="1" sqref="M85">
      <formula1>0</formula1>
      <formula2>100</formula2>
    </dataValidation>
    <dataValidation type="decimal" operator="greaterThanOrEqual" allowBlank="1" showInputMessage="1" showErrorMessage="1" sqref="I86">
      <formula1>0</formula1>
    </dataValidation>
    <dataValidation type="decimal" operator="greaterThanOrEqual" allowBlank="1" showInputMessage="1" showErrorMessage="1" sqref="J86">
      <formula1>0</formula1>
    </dataValidation>
    <dataValidation type="decimal" allowBlank="1" showInputMessage="1" showErrorMessage="1" sqref="L86">
      <formula1>0</formula1>
      <formula2>100</formula2>
    </dataValidation>
    <dataValidation type="decimal" allowBlank="1" showInputMessage="1" showErrorMessage="1" sqref="M86">
      <formula1>0</formula1>
      <formula2>100</formula2>
    </dataValidation>
    <dataValidation type="decimal" operator="greaterThanOrEqual" allowBlank="1" showInputMessage="1" showErrorMessage="1" sqref="I87">
      <formula1>0</formula1>
    </dataValidation>
    <dataValidation type="decimal" operator="greaterThanOrEqual" allowBlank="1" showInputMessage="1" showErrorMessage="1" sqref="J87">
      <formula1>0</formula1>
    </dataValidation>
    <dataValidation type="decimal" allowBlank="1" showInputMessage="1" showErrorMessage="1" sqref="L87">
      <formula1>0</formula1>
      <formula2>100</formula2>
    </dataValidation>
    <dataValidation type="decimal" allowBlank="1" showInputMessage="1" showErrorMessage="1" sqref="M87">
      <formula1>0</formula1>
      <formula2>100</formula2>
    </dataValidation>
    <dataValidation type="decimal" operator="greaterThanOrEqual" allowBlank="1" showInputMessage="1" showErrorMessage="1" sqref="I88">
      <formula1>0</formula1>
    </dataValidation>
    <dataValidation type="decimal" operator="greaterThanOrEqual" allowBlank="1" showInputMessage="1" showErrorMessage="1" sqref="J88">
      <formula1>0</formula1>
    </dataValidation>
    <dataValidation type="decimal" allowBlank="1" showInputMessage="1" showErrorMessage="1" sqref="L88">
      <formula1>0</formula1>
      <formula2>100</formula2>
    </dataValidation>
    <dataValidation type="decimal" allowBlank="1" showInputMessage="1" showErrorMessage="1" sqref="M88">
      <formula1>0</formula1>
      <formula2>100</formula2>
    </dataValidation>
    <dataValidation type="decimal" operator="greaterThanOrEqual" allowBlank="1" showInputMessage="1" showErrorMessage="1" sqref="I89">
      <formula1>0</formula1>
    </dataValidation>
    <dataValidation type="decimal" operator="greaterThanOrEqual" allowBlank="1" showInputMessage="1" showErrorMessage="1" sqref="J89">
      <formula1>0</formula1>
    </dataValidation>
    <dataValidation type="decimal" allowBlank="1" showInputMessage="1" showErrorMessage="1" sqref="L89">
      <formula1>0</formula1>
      <formula2>100</formula2>
    </dataValidation>
    <dataValidation type="decimal" allowBlank="1" showInputMessage="1" showErrorMessage="1" sqref="M89">
      <formula1>0</formula1>
      <formula2>100</formula2>
    </dataValidation>
    <dataValidation type="decimal" operator="greaterThanOrEqual" allowBlank="1" showInputMessage="1" showErrorMessage="1" sqref="I90">
      <formula1>0</formula1>
    </dataValidation>
    <dataValidation type="decimal" operator="greaterThanOrEqual" allowBlank="1" showInputMessage="1" showErrorMessage="1" sqref="J90">
      <formula1>0</formula1>
    </dataValidation>
    <dataValidation type="decimal" allowBlank="1" showInputMessage="1" showErrorMessage="1" sqref="L90">
      <formula1>0</formula1>
      <formula2>100</formula2>
    </dataValidation>
    <dataValidation type="decimal" allowBlank="1" showInputMessage="1" showErrorMessage="1" sqref="M90">
      <formula1>0</formula1>
      <formula2>100</formula2>
    </dataValidation>
    <dataValidation type="decimal" operator="greaterThanOrEqual" allowBlank="1" showInputMessage="1" showErrorMessage="1" sqref="I91">
      <formula1>0</formula1>
    </dataValidation>
    <dataValidation type="decimal" operator="greaterThanOrEqual" allowBlank="1" showInputMessage="1" showErrorMessage="1" sqref="J91">
      <formula1>0</formula1>
    </dataValidation>
    <dataValidation type="decimal" allowBlank="1" showInputMessage="1" showErrorMessage="1" sqref="L91">
      <formula1>0</formula1>
      <formula2>100</formula2>
    </dataValidation>
    <dataValidation type="decimal" allowBlank="1" showInputMessage="1" showErrorMessage="1" sqref="M91">
      <formula1>0</formula1>
      <formula2>100</formula2>
    </dataValidation>
    <dataValidation type="decimal" operator="greaterThanOrEqual" allowBlank="1" showInputMessage="1" showErrorMessage="1" sqref="I92">
      <formula1>0</formula1>
    </dataValidation>
    <dataValidation type="decimal" operator="greaterThanOrEqual" allowBlank="1" showInputMessage="1" showErrorMessage="1" sqref="J92">
      <formula1>0</formula1>
    </dataValidation>
    <dataValidation type="decimal" allowBlank="1" showInputMessage="1" showErrorMessage="1" sqref="L92">
      <formula1>0</formula1>
      <formula2>100</formula2>
    </dataValidation>
    <dataValidation type="decimal" allowBlank="1" showInputMessage="1" showErrorMessage="1" sqref="M92">
      <formula1>0</formula1>
      <formula2>100</formula2>
    </dataValidation>
    <dataValidation type="decimal" operator="greaterThanOrEqual" allowBlank="1" showInputMessage="1" showErrorMessage="1" sqref="I93">
      <formula1>0</formula1>
    </dataValidation>
    <dataValidation type="decimal" operator="greaterThanOrEqual" allowBlank="1" showInputMessage="1" showErrorMessage="1" sqref="J93">
      <formula1>0</formula1>
    </dataValidation>
    <dataValidation type="decimal" allowBlank="1" showInputMessage="1" showErrorMessage="1" sqref="L93">
      <formula1>0</formula1>
      <formula2>100</formula2>
    </dataValidation>
    <dataValidation type="decimal" allowBlank="1" showInputMessage="1" showErrorMessage="1" sqref="M93">
      <formula1>0</formula1>
      <formula2>100</formula2>
    </dataValidation>
    <dataValidation type="decimal" operator="greaterThanOrEqual" allowBlank="1" showInputMessage="1" showErrorMessage="1" sqref="I94">
      <formula1>0</formula1>
    </dataValidation>
    <dataValidation type="decimal" operator="greaterThanOrEqual" allowBlank="1" showInputMessage="1" showErrorMessage="1" sqref="J94">
      <formula1>0</formula1>
    </dataValidation>
    <dataValidation type="decimal" allowBlank="1" showInputMessage="1" showErrorMessage="1" sqref="L94">
      <formula1>0</formula1>
      <formula2>100</formula2>
    </dataValidation>
    <dataValidation type="decimal" allowBlank="1" showInputMessage="1" showErrorMessage="1" sqref="M94">
      <formula1>0</formula1>
      <formula2>100</formula2>
    </dataValidation>
    <dataValidation type="decimal" operator="greaterThanOrEqual" allowBlank="1" showInputMessage="1" showErrorMessage="1" sqref="I95">
      <formula1>0</formula1>
    </dataValidation>
    <dataValidation type="decimal" operator="greaterThanOrEqual" allowBlank="1" showInputMessage="1" showErrorMessage="1" sqref="J95">
      <formula1>0</formula1>
    </dataValidation>
    <dataValidation type="decimal" allowBlank="1" showInputMessage="1" showErrorMessage="1" sqref="L95">
      <formula1>0</formula1>
      <formula2>100</formula2>
    </dataValidation>
    <dataValidation type="decimal" allowBlank="1" showInputMessage="1" showErrorMessage="1" sqref="M95">
      <formula1>0</formula1>
      <formula2>100</formula2>
    </dataValidation>
    <dataValidation type="decimal" operator="greaterThanOrEqual" allowBlank="1" showInputMessage="1" showErrorMessage="1" sqref="I96">
      <formula1>0</formula1>
    </dataValidation>
    <dataValidation type="decimal" operator="greaterThanOrEqual" allowBlank="1" showInputMessage="1" showErrorMessage="1" sqref="J96">
      <formula1>0</formula1>
    </dataValidation>
    <dataValidation type="decimal" allowBlank="1" showInputMessage="1" showErrorMessage="1" sqref="L96">
      <formula1>0</formula1>
      <formula2>100</formula2>
    </dataValidation>
    <dataValidation type="decimal" allowBlank="1" showInputMessage="1" showErrorMessage="1" sqref="M96">
      <formula1>0</formula1>
      <formula2>100</formula2>
    </dataValidation>
    <dataValidation type="decimal" operator="greaterThanOrEqual" allowBlank="1" showInputMessage="1" showErrorMessage="1" sqref="I97">
      <formula1>0</formula1>
    </dataValidation>
    <dataValidation type="decimal" operator="greaterThanOrEqual" allowBlank="1" showInputMessage="1" showErrorMessage="1" sqref="J97">
      <formula1>0</formula1>
    </dataValidation>
    <dataValidation type="decimal" allowBlank="1" showInputMessage="1" showErrorMessage="1" sqref="L97">
      <formula1>0</formula1>
      <formula2>100</formula2>
    </dataValidation>
    <dataValidation type="decimal" allowBlank="1" showInputMessage="1" showErrorMessage="1" sqref="M97">
      <formula1>0</formula1>
      <formula2>100</formula2>
    </dataValidation>
    <dataValidation type="decimal" operator="greaterThanOrEqual" allowBlank="1" showInputMessage="1" showErrorMessage="1" sqref="I98">
      <formula1>0</formula1>
    </dataValidation>
    <dataValidation type="decimal" operator="greaterThanOrEqual" allowBlank="1" showInputMessage="1" showErrorMessage="1" sqref="J98">
      <formula1>0</formula1>
    </dataValidation>
    <dataValidation type="decimal" allowBlank="1" showInputMessage="1" showErrorMessage="1" sqref="L98">
      <formula1>0</formula1>
      <formula2>100</formula2>
    </dataValidation>
    <dataValidation type="decimal" allowBlank="1" showInputMessage="1" showErrorMessage="1" sqref="M98">
      <formula1>0</formula1>
      <formula2>100</formula2>
    </dataValidation>
    <dataValidation type="decimal" operator="greaterThanOrEqual" allowBlank="1" showInputMessage="1" showErrorMessage="1" sqref="I99">
      <formula1>0</formula1>
    </dataValidation>
    <dataValidation type="decimal" operator="greaterThanOrEqual" allowBlank="1" showInputMessage="1" showErrorMessage="1" sqref="J99">
      <formula1>0</formula1>
    </dataValidation>
    <dataValidation type="decimal" allowBlank="1" showInputMessage="1" showErrorMessage="1" sqref="L99">
      <formula1>0</formula1>
      <formula2>100</formula2>
    </dataValidation>
    <dataValidation type="decimal" allowBlank="1" showInputMessage="1" showErrorMessage="1" sqref="M99">
      <formula1>0</formula1>
      <formula2>100</formula2>
    </dataValidation>
    <dataValidation type="decimal" operator="greaterThanOrEqual" allowBlank="1" showInputMessage="1" showErrorMessage="1" sqref="I100">
      <formula1>0</formula1>
    </dataValidation>
    <dataValidation type="decimal" operator="greaterThanOrEqual" allowBlank="1" showInputMessage="1" showErrorMessage="1" sqref="J100">
      <formula1>0</formula1>
    </dataValidation>
    <dataValidation type="decimal" allowBlank="1" showInputMessage="1" showErrorMessage="1" sqref="L100">
      <formula1>0</formula1>
      <formula2>100</formula2>
    </dataValidation>
    <dataValidation type="decimal" allowBlank="1" showInputMessage="1" showErrorMessage="1" sqref="M100">
      <formula1>0</formula1>
      <formula2>100</formula2>
    </dataValidation>
    <dataValidation type="decimal" operator="greaterThanOrEqual" allowBlank="1" showInputMessage="1" showErrorMessage="1" sqref="I101">
      <formula1>0</formula1>
    </dataValidation>
    <dataValidation type="decimal" operator="greaterThanOrEqual" allowBlank="1" showInputMessage="1" showErrorMessage="1" sqref="J101">
      <formula1>0</formula1>
    </dataValidation>
    <dataValidation type="decimal" allowBlank="1" showInputMessage="1" showErrorMessage="1" sqref="L101">
      <formula1>0</formula1>
      <formula2>100</formula2>
    </dataValidation>
    <dataValidation type="decimal" allowBlank="1" showInputMessage="1" showErrorMessage="1" sqref="M101">
      <formula1>0</formula1>
      <formula2>100</formula2>
    </dataValidation>
    <dataValidation type="decimal" operator="greaterThanOrEqual" allowBlank="1" showInputMessage="1" showErrorMessage="1" sqref="I102">
      <formula1>0</formula1>
    </dataValidation>
    <dataValidation type="decimal" operator="greaterThanOrEqual" allowBlank="1" showInputMessage="1" showErrorMessage="1" sqref="J102">
      <formula1>0</formula1>
    </dataValidation>
    <dataValidation type="decimal" allowBlank="1" showInputMessage="1" showErrorMessage="1" sqref="L102">
      <formula1>0</formula1>
      <formula2>100</formula2>
    </dataValidation>
    <dataValidation type="decimal" allowBlank="1" showInputMessage="1" showErrorMessage="1" sqref="M102">
      <formula1>0</formula1>
      <formula2>100</formula2>
    </dataValidation>
    <dataValidation type="decimal" operator="greaterThanOrEqual" allowBlank="1" showInputMessage="1" showErrorMessage="1" sqref="I103">
      <formula1>0</formula1>
    </dataValidation>
    <dataValidation type="decimal" operator="greaterThanOrEqual" allowBlank="1" showInputMessage="1" showErrorMessage="1" sqref="J103">
      <formula1>0</formula1>
    </dataValidation>
    <dataValidation type="decimal" allowBlank="1" showInputMessage="1" showErrorMessage="1" sqref="L103">
      <formula1>0</formula1>
      <formula2>100</formula2>
    </dataValidation>
    <dataValidation type="decimal" allowBlank="1" showInputMessage="1" showErrorMessage="1" sqref="M103">
      <formula1>0</formula1>
      <formula2>100</formula2>
    </dataValidation>
    <dataValidation type="list" allowBlank="1" showInputMessage="1" showErrorMessage="1" sqref="C106:H106">
      <formula1>'MasterData'!$H$1:$H$14</formula1>
    </dataValidation>
    <dataValidation type="list" allowBlank="1" showInputMessage="1" showErrorMessage="1" sqref="C107:H107">
      <formula1>'MasterData'!$H$1:$H$14</formula1>
    </dataValidation>
    <dataValidation type="list" allowBlank="1" showInputMessage="1" showErrorMessage="1" sqref="C108:H108">
      <formula1>'MasterData'!$H$1:$H$14</formula1>
    </dataValidation>
    <dataValidation type="list" allowBlank="1" showInputMessage="1" showErrorMessage="1" sqref="C109:H109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170</v>
      </c>
      <c r="M1" s="300" t="s">
        <v>179</v>
      </c>
      <c r="N1" s="301" t="s">
        <v>0</v>
      </c>
      <c r="O1" s="162" t="s">
        <v>180</v>
      </c>
    </row>
    <row r="2" spans="7:15" ht="12.75">
      <c r="G2" s="162">
        <v>1001310</v>
      </c>
      <c r="H2" s="162" t="s">
        <v>171</v>
      </c>
      <c r="M2" s="300" t="s">
        <v>181</v>
      </c>
      <c r="N2" s="301">
        <v>1020727351</v>
      </c>
      <c r="O2" s="162" t="s">
        <v>182</v>
      </c>
    </row>
    <row r="3" spans="7:15" ht="12.75">
      <c r="G3" s="162">
        <v>1012729</v>
      </c>
      <c r="H3" s="162" t="s">
        <v>183</v>
      </c>
      <c r="M3" s="300" t="s">
        <v>184</v>
      </c>
      <c r="N3" s="301">
        <v>99990000432869</v>
      </c>
      <c r="O3" s="162" t="s">
        <v>185</v>
      </c>
    </row>
    <row r="4" spans="7:15" ht="12.75">
      <c r="G4" s="162">
        <v>1012730</v>
      </c>
      <c r="H4" s="162" t="s">
        <v>186</v>
      </c>
      <c r="M4" s="300" t="s">
        <v>187</v>
      </c>
      <c r="N4" s="301">
        <v>1021810632</v>
      </c>
      <c r="O4" s="162" t="s">
        <v>188</v>
      </c>
    </row>
    <row r="5" spans="7:15" ht="12.75">
      <c r="G5" s="162">
        <v>1012731</v>
      </c>
      <c r="H5" s="162" t="s">
        <v>189</v>
      </c>
      <c r="M5" s="300" t="s">
        <v>190</v>
      </c>
      <c r="N5" s="301"/>
      <c r="O5" s="162" t="s">
        <v>191</v>
      </c>
    </row>
    <row r="6" spans="7:15" ht="12.75">
      <c r="G6" s="162">
        <v>1012732</v>
      </c>
      <c r="H6" s="162" t="s">
        <v>192</v>
      </c>
      <c r="M6" s="300" t="s">
        <v>193</v>
      </c>
      <c r="N6" s="301" t="s">
        <v>194</v>
      </c>
      <c r="O6" s="162" t="s">
        <v>195</v>
      </c>
    </row>
    <row r="7" spans="7:15" ht="12.75">
      <c r="G7" s="162">
        <v>1012733</v>
      </c>
      <c r="H7" s="162" t="s">
        <v>196</v>
      </c>
      <c r="M7" s="300" t="s">
        <v>197</v>
      </c>
      <c r="N7" s="301">
        <v>0</v>
      </c>
      <c r="O7" s="162" t="s">
        <v>198</v>
      </c>
    </row>
    <row r="8" spans="7:15" ht="12.75">
      <c r="G8" s="162">
        <v>1012735</v>
      </c>
      <c r="H8" s="162" t="s">
        <v>199</v>
      </c>
      <c r="O8" s="162" t="s">
        <v>200</v>
      </c>
    </row>
    <row r="9" spans="7:15" ht="12.75">
      <c r="G9" s="162">
        <v>1012736</v>
      </c>
      <c r="H9" s="162" t="s">
        <v>201</v>
      </c>
      <c r="O9" s="162" t="s">
        <v>202</v>
      </c>
    </row>
    <row r="10" spans="7:15" ht="12.75">
      <c r="G10" s="162">
        <v>1012737</v>
      </c>
      <c r="H10" s="162" t="s">
        <v>203</v>
      </c>
      <c r="O10" s="162" t="s">
        <v>204</v>
      </c>
    </row>
    <row r="11" spans="7:15" ht="12.75">
      <c r="G11" s="162">
        <v>1012741</v>
      </c>
      <c r="H11" s="162" t="s">
        <v>205</v>
      </c>
      <c r="O11" s="162" t="s">
        <v>206</v>
      </c>
    </row>
    <row r="12" spans="7:15" ht="12.75">
      <c r="G12" s="162">
        <v>1012742</v>
      </c>
      <c r="H12" s="162" t="s">
        <v>207</v>
      </c>
      <c r="O12" s="162" t="s">
        <v>208</v>
      </c>
    </row>
    <row r="13" spans="7:15" ht="12.75">
      <c r="G13" s="162">
        <v>1012743</v>
      </c>
      <c r="H13" s="162" t="s">
        <v>209</v>
      </c>
      <c r="O13" s="162" t="s">
        <v>210</v>
      </c>
    </row>
    <row r="14" spans="7:15" ht="12.75">
      <c r="G14" s="162">
        <v>1012744</v>
      </c>
      <c r="H14" s="162" t="s">
        <v>211</v>
      </c>
      <c r="O14" s="162" t="s">
        <v>212</v>
      </c>
    </row>
    <row r="15" ht="12.75">
      <c r="O15" s="162" t="s">
        <v>213</v>
      </c>
    </row>
    <row r="16" ht="12.75">
      <c r="O16" s="162" t="s">
        <v>214</v>
      </c>
    </row>
    <row r="17" ht="12.75">
      <c r="O17" s="162" t="s">
        <v>215</v>
      </c>
    </row>
    <row r="18" ht="12.75">
      <c r="O18" s="162" t="s">
        <v>216</v>
      </c>
    </row>
    <row r="19" ht="12.75">
      <c r="O19" s="162" t="s">
        <v>217</v>
      </c>
    </row>
    <row r="20" ht="12.75">
      <c r="O20" s="162" t="s">
        <v>218</v>
      </c>
    </row>
    <row r="21" ht="12.75">
      <c r="O21" s="162" t="s">
        <v>219</v>
      </c>
    </row>
    <row r="22" ht="12.75">
      <c r="O22" s="162" t="s">
        <v>220</v>
      </c>
    </row>
    <row r="23" ht="12.75">
      <c r="O23" s="162" t="s">
        <v>221</v>
      </c>
    </row>
    <row r="24" ht="12.75">
      <c r="O24" s="162" t="s">
        <v>222</v>
      </c>
    </row>
    <row r="25" ht="12.75">
      <c r="O25" s="162" t="s">
        <v>223</v>
      </c>
    </row>
    <row r="26" ht="12.75">
      <c r="O26" s="162" t="s">
        <v>224</v>
      </c>
    </row>
    <row r="27" ht="12.75">
      <c r="O27" s="162" t="s">
        <v>225</v>
      </c>
    </row>
    <row r="28" ht="12.75">
      <c r="O28" s="162" t="s">
        <v>226</v>
      </c>
    </row>
    <row r="29" ht="12.75">
      <c r="O29" s="162" t="s">
        <v>227</v>
      </c>
    </row>
    <row r="30" ht="12.75">
      <c r="O30" s="162" t="s">
        <v>228</v>
      </c>
    </row>
    <row r="31" ht="12.75">
      <c r="O31" s="162" t="s">
        <v>229</v>
      </c>
    </row>
    <row r="32" ht="12.75">
      <c r="O32" s="162" t="s">
        <v>230</v>
      </c>
    </row>
    <row r="33" ht="12.75">
      <c r="O33" s="162" t="s">
        <v>231</v>
      </c>
    </row>
    <row r="34" ht="12.75">
      <c r="O34" s="162" t="s">
        <v>232</v>
      </c>
    </row>
    <row r="35" ht="12.75">
      <c r="O35" s="162" t="s">
        <v>233</v>
      </c>
    </row>
    <row r="36" ht="12.75">
      <c r="O36" s="162" t="s">
        <v>234</v>
      </c>
    </row>
    <row r="37" ht="12.75">
      <c r="O37" s="162" t="s">
        <v>235</v>
      </c>
    </row>
    <row r="38" ht="12.75">
      <c r="O38" s="162" t="s">
        <v>236</v>
      </c>
    </row>
    <row r="39" ht="12.75">
      <c r="O39" s="162" t="s">
        <v>237</v>
      </c>
    </row>
    <row r="40" ht="12.75">
      <c r="O40" s="162" t="s">
        <v>238</v>
      </c>
    </row>
    <row r="41" ht="12.75">
      <c r="O41" s="162" t="s">
        <v>239</v>
      </c>
    </row>
    <row r="42" ht="12.75">
      <c r="O42" s="162" t="s">
        <v>240</v>
      </c>
    </row>
    <row r="43" ht="12.75">
      <c r="O43" s="162" t="s">
        <v>241</v>
      </c>
    </row>
    <row r="44" ht="12.75">
      <c r="O44" s="162" t="s">
        <v>242</v>
      </c>
    </row>
    <row r="45" ht="12.75">
      <c r="O45" s="162" t="s">
        <v>243</v>
      </c>
    </row>
    <row r="46" ht="12.75">
      <c r="O46" s="162" t="s">
        <v>244</v>
      </c>
    </row>
    <row r="47" ht="12.75">
      <c r="O47" s="162" t="s">
        <v>245</v>
      </c>
    </row>
    <row r="48" ht="12.75">
      <c r="O48" s="162" t="s">
        <v>246</v>
      </c>
    </row>
    <row r="49" ht="12.75">
      <c r="O49" s="162" t="s">
        <v>247</v>
      </c>
    </row>
    <row r="50" ht="12.75">
      <c r="O50" s="162" t="s">
        <v>248</v>
      </c>
    </row>
    <row r="51" ht="12.75">
      <c r="O51" s="162" t="s">
        <v>249</v>
      </c>
    </row>
    <row r="52" ht="12.75">
      <c r="O52" s="162" t="s">
        <v>250</v>
      </c>
    </row>
    <row r="53" ht="12.75">
      <c r="O53" s="162" t="s">
        <v>251</v>
      </c>
    </row>
    <row r="54" ht="12.75">
      <c r="O54" s="162" t="s">
        <v>252</v>
      </c>
    </row>
    <row r="55" ht="12.75">
      <c r="O55" s="162" t="s">
        <v>253</v>
      </c>
    </row>
    <row r="56" ht="12.75">
      <c r="O56" s="162" t="s">
        <v>254</v>
      </c>
    </row>
    <row r="57" ht="12.75">
      <c r="O57" s="162" t="s">
        <v>255</v>
      </c>
    </row>
    <row r="58" ht="12.75">
      <c r="O58" s="162" t="s">
        <v>256</v>
      </c>
    </row>
    <row r="59" ht="12.75">
      <c r="O59" s="162" t="s">
        <v>257</v>
      </c>
    </row>
    <row r="60" ht="12.75">
      <c r="O60" s="162" t="s">
        <v>258</v>
      </c>
    </row>
    <row r="61" ht="12.75">
      <c r="O61" s="162" t="s">
        <v>259</v>
      </c>
    </row>
    <row r="62" ht="12.75">
      <c r="O62" s="162" t="s">
        <v>260</v>
      </c>
    </row>
    <row r="63" ht="12.75">
      <c r="O63" s="162" t="s">
        <v>261</v>
      </c>
    </row>
    <row r="64" ht="12.75">
      <c r="O64" s="162" t="s">
        <v>262</v>
      </c>
    </row>
    <row r="65" ht="12.75">
      <c r="O65" s="162" t="s">
        <v>263</v>
      </c>
    </row>
    <row r="66" ht="12.75">
      <c r="O66" s="162" t="s">
        <v>264</v>
      </c>
    </row>
    <row r="67" ht="12.75">
      <c r="O67" s="162" t="s">
        <v>265</v>
      </c>
    </row>
    <row r="68" ht="12.75">
      <c r="O68" s="162" t="s">
        <v>266</v>
      </c>
    </row>
    <row r="69" ht="12.75">
      <c r="O69" s="162" t="s">
        <v>267</v>
      </c>
    </row>
    <row r="70" ht="12.75">
      <c r="O70" s="162" t="s">
        <v>268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