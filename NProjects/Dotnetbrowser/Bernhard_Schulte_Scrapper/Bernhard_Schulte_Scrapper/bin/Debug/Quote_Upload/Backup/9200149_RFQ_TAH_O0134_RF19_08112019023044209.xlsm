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Quote!$A$1:$R$108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Quote!$A$89</definedName>
    <definedName name="Enquiry_To_Vendor_ID" comment="Enquiry to Vendor ID">Quote!$C$89</definedName>
    <definedName name="GrandTotal">Quote!$N$88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Quote!$A$81</definedName>
    <definedName name="ItemListStartupRow" comment="Item List Start Up Row">Quote!$A$19</definedName>
    <definedName name="ItemSubTotal">Quote!$N$87</definedName>
    <definedName name="ItemSubTotalTitle">Quote!$J$87</definedName>
    <definedName name="LeadDay">Quote!$M$11</definedName>
    <definedName name="Lock">Quote!$M$89</definedName>
    <definedName name="LoggedInEmailID">Quote!$N$89</definedName>
    <definedName name="LoggedInPwd">Quote!$O$89</definedName>
    <definedName name="OtherCharges">Quote!$C$83</definedName>
    <definedName name="OtherChargesLastRow">Quote!$A$87</definedName>
    <definedName name="OtherChargesStartRow">Quote!$A$82</definedName>
    <definedName name="Port">Quote!$P$89</definedName>
    <definedName name="PortOfDelivery" comment="Port of Delivery">Quote!$M$9</definedName>
    <definedName name="PurchaserName">Quote!$J$89</definedName>
    <definedName name="QuoteBefore">Quote!$M$8</definedName>
    <definedName name="QuoteID">MasterData!$N$7</definedName>
    <definedName name="QuoteSubject">Quote!$E$89</definedName>
    <definedName name="Remarks">Quote!$E$91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Quote!$K$89</definedName>
    <definedName name="SentIndex">Quote!$L$89</definedName>
    <definedName name="Server">Quote!$Q$89</definedName>
    <definedName name="Terms">Quote!$A$95:$T$116</definedName>
    <definedName name="ToEmailID">Quote!$I$89</definedName>
    <definedName name="ToEmailPwd">Quote!$H$89</definedName>
    <definedName name="VAL">Quote!$F$89</definedName>
    <definedName name="VAT_All">Quote!$M$16</definedName>
    <definedName name="Vendor_ID" comment="Vendor ID">Quote!$B$89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Quote!$D$89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Quote!$E$92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</definedName>
  </definedNames>
  <calcPr fullCalcOnLoad="1"/>
</workbook>
</file>

<file path=xl/sharedStrings.xml><?xml version="1.0" encoding="utf-8"?>
<sst xmlns="http://schemas.openxmlformats.org/spreadsheetml/2006/main" count="303" uniqueCount="225">
  <si>
    <t>RFQ</t>
  </si>
  <si>
    <t>Request for Quote</t>
  </si>
  <si>
    <t>Invoice To</t>
  </si>
  <si>
    <t>Bernhard Schulte Shipmanagement (Singapore) Pte. Ltd.
Master &amp; Owner of Taharoa Eos
 Regd. Owner: Stella Faith Shipping Pte. Limited,
 AS AGENTS: Bernhard Schulte Shipmanagement (Singapore) Pte Ltd
 108 Middle Road, #08-00 Bernhard Schulte House, Singapore 188967
 Attn:- Accounts Department
 Please send soft copy to: sg-smc-acct@bs-shipmanagement.com</t>
  </si>
  <si>
    <t>Vessel</t>
  </si>
  <si>
    <t>Taharoa Eos</t>
  </si>
  <si>
    <t>RFQ No.</t>
  </si>
  <si>
    <t>TAH/O0134/RF19</t>
  </si>
  <si>
    <t>RFQ Date</t>
  </si>
  <si>
    <t>Submit Quote Before:</t>
  </si>
  <si>
    <t>Port of Delivery</t>
  </si>
  <si>
    <t>Lanshan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</si>
  <si>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</si>
  <si>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</si>
  <si>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</si>
  <si>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</si>
  <si>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</si>
  <si>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</si>
  <si>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</si>
  <si>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</si>
  <si>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</si>
  <si>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</si>
  <si>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</si>
  <si>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</si>
  <si>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</si>
  <si>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</si>
  <si>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</si>
  <si>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</si>
  <si>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</si>
  <si>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</si>
  <si>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</si>
  <si>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</si>
  <si>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</si>
  <si>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</si>
  <si>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</si>
  <si>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</si>
  <si>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</si>
  <si>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</si>
  <si>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</si>
  <si>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</si>
  <si>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GLOVES PLASTIC OIL/ACID RESIST, LONG</t>
  </si>
  <si>
    <t>PRS</t>
  </si>
  <si>
    <t>DECK 10</t>
  </si>
  <si>
    <t>GLOVES WORKING COTTON, RUBBER COATED PALM</t>
  </si>
  <si>
    <t>DECK 200</t>
  </si>
  <si>
    <t>GLOVES WORKING LEATHER PALM</t>
  </si>
  <si>
    <t>DOZ</t>
  </si>
  <si>
    <t>DECK 10 ENGINE 10</t>
  </si>
  <si>
    <t>SAFETY CAP LAMP, WITH RECHARGEABLE BATTERY 4V</t>
  </si>
  <si>
    <t>SET</t>
  </si>
  <si>
    <t>RECHARGEABLE WATERPROOF</t>
  </si>
  <si>
    <t>FIRE CONTROL SIGN POWDER(P2), FIRE EXTINGUISHER 150X150MM</t>
  </si>
  <si>
    <t>PCS</t>
  </si>
  <si>
    <t>FIRE CONTROL SIGN POWDER(P6), FIRE EXTINGUISHER 150X150MM</t>
  </si>
  <si>
    <t>FIRE CONTROL SIGN FIRE PUMP, 150X150MM</t>
  </si>
  <si>
    <t>FIRE CONTROL SYMBOL ISO 17631, HI EXPANSION FOAM SUPPLY TANK</t>
  </si>
  <si>
    <t>FIRE CONTROL SYMBOL ISO 17631, FIRE PUMP VALVE RMT CONTROL</t>
  </si>
  <si>
    <t>FIRE CONTROL SYMBOL ISO 17631, EMERGENCY FIREPUMP RMT CONTR'L</t>
  </si>
  <si>
    <t>FIRE CONTROL SYMBOL ISO 17631, SPACE MONIT'RD BY FLAME DETECT</t>
  </si>
  <si>
    <t>FIRE CONTROL SYMBOL ISO 17631, EMERG SOURCE OF ELEC POWER BAT</t>
  </si>
  <si>
    <t>FIRE CONTROL SYMBOL ISO 17631, SPACE PROTECTD BY WATER EXTING</t>
  </si>
  <si>
    <t>FIRE CONTROL SYMBOL ISO 17631, REMOTE RELEASE STATION F/FOAM</t>
  </si>
  <si>
    <t>FIRE CONTROL SYMBOL ISO 17631, LUB OIL VALVE RMT CONTROL</t>
  </si>
  <si>
    <t>LIFEBUOY LIGHT L90 W/BATTERY, 63-B300 DANIAMANT</t>
  </si>
  <si>
    <t>EXTINGUISHER FOAM UK DOT APRVD, CHUBB CF-9 9LTR</t>
  </si>
  <si>
    <t>EXTINGUISHER POWDER UK DOT, APPROVED CHUBB SP-6 6KGS</t>
  </si>
  <si>
    <t>FIRE HOSE BOX FRP FOR 20MTR</t>
  </si>
  <si>
    <t>FIRE CONTROL SYMBOL ISO 17631, FUEL OIL VALVE RMT CONTROL</t>
  </si>
  <si>
    <t>FIRE CONTROL SYMBOL ISO 17631, F-DAMPER F/MACH-SPACE 150X150</t>
  </si>
  <si>
    <t>FIRE CONTROL SYMBOL ISO 17631, F-DAMPER F/ACC&amp;S-SPACE 150X150</t>
  </si>
  <si>
    <t>FIRE CONTROL SYMBOL ISO 17631, RMT VENT S/O F/CA-SP 150X150MM</t>
  </si>
  <si>
    <t>FIRE CONTROL SYMBOL ISO 17631, RMT VENT S/O F/MA-SP 150X150MM</t>
  </si>
  <si>
    <t>FIRE CONTROL SYMBOL ISO 17631, RMT VENT S/O F/ACCOM 150X150MM</t>
  </si>
  <si>
    <t>SAFETY SIGN GENERAL ALARM, 150X150MM</t>
  </si>
  <si>
    <t>FIRE CONTROL SIGN, FIRE ALARM PANEL 150X150MM</t>
  </si>
  <si>
    <t>FIRE CONTROL SIGN DRENCHING, INSTALLATION 150X150MM</t>
  </si>
  <si>
    <t>FIRE CONTROL SIGN EMERGENCY, FIRE PUMP 150X150MM</t>
  </si>
  <si>
    <t>SAFETY SIGN EMERGENCY, TELEPHONE 150X150MM</t>
  </si>
  <si>
    <t>FIRE CONTROL SYMBOL ISO 17631, FIRE MAIN SEC VALVE 150X150MM</t>
  </si>
  <si>
    <t>FIRE CONTROL SYMBOL ISO 17631, FOAM SECTION VALVE 150X150MM</t>
  </si>
  <si>
    <t>FIRE EQUIPMENT SIGN 9LTR FOAM, FOAM EXTINGUISHER 150X150MM</t>
  </si>
  <si>
    <t>FIRE EQUIPMENT SIGN 45LTR FOAM, FIRE EXTINGUISHER 150X150MM</t>
  </si>
  <si>
    <t>HEAD TORCH LED SAFETY, WOLF HT-400</t>
  </si>
  <si>
    <t>EAR PLUG FOR HIGH PITCH NOISE</t>
  </si>
  <si>
    <t>ENGINE 50</t>
  </si>
  <si>
    <t>SIGN WHITE VINYL SELF ADHESIVE, #8502 150X150MM NO ENTRY</t>
  </si>
  <si>
    <t>SIGN WHITE VINYL SELF ADHESIVE, #8501 150X150MM NO MATCHES</t>
  </si>
  <si>
    <t>SIGN WHITE VINYL SELF ADHESIVE, #5642 150X150MM HELMET</t>
  </si>
  <si>
    <t>SIGN WHITE VINYL SELF ADHESIVE, #7501 150X150MM HAZARD SLIP</t>
  </si>
  <si>
    <t>SIGN DECK &amp; ENGINE ROOM, OXYGEN #7700 100X300MM</t>
  </si>
  <si>
    <t>SIGN DECK &amp; ENGINE ROOM, ACETYLENE #7701 100X300MM</t>
  </si>
  <si>
    <t>SIGN WHITE VINYL SELF ADHESIVE, 8500 NO-SMOKING (SPECIFY SIZE)</t>
  </si>
  <si>
    <t>SIGN WHITE VINYL SELF ADHESIVE, #5648 150X150MM EAR PROTECTION</t>
  </si>
  <si>
    <t>SIGN WHITE VINYL SELF ADHESIVE, #5645 150X150MM FACE SHIELD</t>
  </si>
  <si>
    <t>SIGN WHITE VINYL SELF ADHESIVE, #5644 150X150MM EYE PROTECTION</t>
  </si>
  <si>
    <t>GLOVES WORKING COTTON, NON SLIP DOTS</t>
  </si>
  <si>
    <t>ENIGNE 200</t>
  </si>
  <si>
    <t>GLOVES WORKING COTTON ORDINARY</t>
  </si>
  <si>
    <t>ENGINE 20</t>
  </si>
  <si>
    <t>EYEWEAR PROTECTIVE ANTIFOG , CLEAR LENS #10026005</t>
  </si>
  <si>
    <t>EYEWEAR PROTECTIVE ANTIFOG , GRAY LENS #10026006</t>
  </si>
  <si>
    <t>DUST PROTECTING MASK, MECHANICAL FILTERING</t>
  </si>
  <si>
    <t>FILTER MECHANICAL, FOR DUST PROTECTING MASK</t>
  </si>
  <si>
    <t>HELMET SAFETY SLOTTED V-GARD, W/SATZ-ON SUSPENSION WHITE</t>
  </si>
  <si>
    <t>HELMET SAFETY SLOTTED V-GARD, W/SATZ-ON SUSPENSION YELLOW</t>
  </si>
  <si>
    <t>BOILERSUIT DISPOSABLE, POLYPROPYLENE SIZE XXL (3L)</t>
  </si>
  <si>
    <t>SPRAY TEST FOR SMOKE DETECTOR, 150ML</t>
  </si>
  <si>
    <t>CAN</t>
  </si>
  <si>
    <t>PARKA L SIZE</t>
  </si>
  <si>
    <t>PARKA LL SIZE</t>
  </si>
  <si>
    <t>SIGN ISPS CODE UNDER CCTV, #WV2896NM 350X300MM</t>
  </si>
  <si>
    <t>GLOVES WORKING CALF HIDE SOFT</t>
  </si>
  <si>
    <t>ENIGINE 30</t>
  </si>
  <si>
    <t>FACESHIELD FOR CHIPPING, PROTECTION</t>
  </si>
  <si>
    <t>ENGINE 3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</si>
  <si>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</si>
  <si>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</si>
  <si>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</si>
  <si>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</si>
  <si>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</si>
  <si>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</si>
  <si>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</si>
  <si>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</si>
  <si>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</si>
  <si>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</si>
  <si>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</si>
  <si>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</si>
  <si>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</si>
  <si>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</si>
  <si>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</si>
  <si>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</si>
  <si>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</si>
  <si>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</si>
  <si>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</si>
  <si>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</si>
  <si>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</si>
  <si>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</si>
  <si>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</si>
  <si>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</si>
  <si>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</si>
  <si>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</si>
  <si>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</si>
  <si>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</si>
  <si>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</si>
  <si>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</si>
  <si>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</si>
  <si>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</si>
  <si>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</si>
  <si>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</si>
  <si>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</si>
  <si>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</si>
  <si>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</si>
  <si>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</si>
  <si>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</si>
  <si>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</si>
  <si>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</si>
  <si>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</si>
  <si>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</si>
  <si>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</si>
  <si>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</si>
  <si>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</si>
  <si>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</si>
  <si>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</si>
  <si>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</si>
  <si>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</si>
  <si>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</si>
  <si>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</si>
  <si>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</si>
  <si>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</si>
  <si>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</si>
  <si>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</si>
  <si>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</si>
  <si>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</si>
  <si>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</si>
  <si>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</si>
  <si>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</si>
  <si>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</si>
  <si>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</si>
  <si>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</si>
  <si>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</si>
  <si>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</si>
  <si>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</si>
  <si>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</si>
  <si>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</si>
  <si>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</si>
  <si>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</si>
  <si>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</si>
  <si>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</si>
  <si>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</si>
  <si>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</si>
  <si>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</si>
  <si>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</si>
  <si>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</si>
  <si>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</si>
  <si>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</si>
  <si>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</si>
  <si>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</si>
  <si>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</si>
  <si>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</si>
  <si>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</si>
  <si>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</si>
  <si>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</si>
  <si>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</si>
  <si>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</si>
  <si>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</si>
  <si>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</si>
  <si>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</si>
  <si>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</si>
  <si>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</si>
  <si>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</si>
  <si>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</si>
  <si>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</si>
  <si>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</si>
  <si>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</si>
  <si>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</si>
  <si>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</si>
  <si>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</si>
  <si>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BJD1911081445176LET</t>
  </si>
  <si>
    <t>HWAYAN QD20,WITHOUT BATTERY WITH EC CERT
16.10 BATTERY ALKALINE,1.5V (AM-3) TYPE AA | Price-0.26</t>
  </si>
  <si>
    <t>WITH PRESSURE GUAGE WITH CCS CERT</t>
  </si>
  <si>
    <t>HWAYAN，550*650*190MM</t>
  </si>
  <si>
    <t>SUPFIRE COMMON TYPE
35.10 WOLF HT-400Z0 | Price-104.81</t>
  </si>
  <si>
    <t>YONGSHENG</t>
  </si>
  <si>
    <t>CRC 71G</t>
  </si>
  <si>
    <t xml:space="preserve">
Date promised : 2019-11-11
Quote validity : 2019-12-08
Item Added - 16.10 : LIFEBUOY LIGHT L90 W/BATTERY, 63-B300 DANIAMANT | Ref.No.:331378 | QTY : 12 | UOM : PCS | Price : 0.26 USD | Remarks : BATTERY ALKALINE,1.5V (AM-3) TYPE AA
Item Added - 35.10 : HEAD TORCH LED SAFETY, WOLF HT-400 | Ref.No.:330620 | QTY : 0 | UOM : SET | Price : 104.81 USD | Remarks : WOLF HT-400Z0
 Item Total : 1800.92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</si>
</sst>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1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43782.50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217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210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99990009872892</v>
      </c>
      <c r="C20" s="227">
        <v>190132</v>
      </c>
      <c r="D20" s="228" t="s">
        <v>40</v>
      </c>
      <c r="E20" s="229"/>
      <c r="F20" s="229">
        <v>190132</v>
      </c>
      <c r="G20" s="229" t="s">
        <v>41</v>
      </c>
      <c r="H20" s="230">
        <v>0</v>
      </c>
      <c r="I20" s="231">
        <v>20</v>
      </c>
      <c r="J20" s="232">
        <v>1.34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99990009872905</v>
      </c>
      <c r="C21" s="227">
        <v>190102</v>
      </c>
      <c r="D21" s="228" t="s">
        <v>43</v>
      </c>
      <c r="E21" s="229"/>
      <c r="F21" s="229">
        <v>190102</v>
      </c>
      <c r="G21" s="229" t="s">
        <v>41</v>
      </c>
      <c r="H21" s="230">
        <v>0</v>
      </c>
      <c r="I21" s="231">
        <v>300</v>
      </c>
      <c r="J21" s="232">
        <v>0.36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99990009872900</v>
      </c>
      <c r="C22" s="227">
        <v>190109</v>
      </c>
      <c r="D22" s="228" t="s">
        <v>45</v>
      </c>
      <c r="E22" s="229"/>
      <c r="F22" s="229">
        <v>190109</v>
      </c>
      <c r="G22" s="229" t="s">
        <v>46</v>
      </c>
      <c r="H22" s="230">
        <v>0</v>
      </c>
      <c r="I22" s="231">
        <v>30</v>
      </c>
      <c r="J22" s="232">
        <v>9.24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 t="s">
        <v>47</v>
      </c>
      <c r="S22" s="238"/>
      <c r="T22" s="239"/>
    </row>
    <row r="23" spans="1:20" ht="24" customHeight="1">
      <c r="A23" s="226">
        <v>4</v>
      </c>
      <c r="B23" s="226">
        <v>99990009868380</v>
      </c>
      <c r="C23" s="227">
        <v>330618</v>
      </c>
      <c r="D23" s="228" t="s">
        <v>48</v>
      </c>
      <c r="E23" s="229"/>
      <c r="F23" s="229">
        <v>330618</v>
      </c>
      <c r="G23" s="229" t="s">
        <v>49</v>
      </c>
      <c r="H23" s="230">
        <v>0</v>
      </c>
      <c r="I23" s="231">
        <v>10</v>
      </c>
      <c r="J23" s="232">
        <v>9.77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 t="s">
        <v>50</v>
      </c>
      <c r="S23" s="238"/>
      <c r="T23" s="239"/>
    </row>
    <row r="24" spans="1:20" ht="24" customHeight="1">
      <c r="A24" s="226">
        <v>5</v>
      </c>
      <c r="B24" s="226">
        <v>99990009872065</v>
      </c>
      <c r="C24" s="227">
        <v>336083</v>
      </c>
      <c r="D24" s="228" t="s">
        <v>51</v>
      </c>
      <c r="E24" s="229"/>
      <c r="F24" s="229">
        <v>336083</v>
      </c>
      <c r="G24" s="229" t="s">
        <v>52</v>
      </c>
      <c r="H24" s="230">
        <v>0</v>
      </c>
      <c r="I24" s="231">
        <v>2</v>
      </c>
      <c r="J24" s="232">
        <v>0.53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99990009872069</v>
      </c>
      <c r="C25" s="227">
        <v>336079</v>
      </c>
      <c r="D25" s="228" t="s">
        <v>53</v>
      </c>
      <c r="E25" s="229"/>
      <c r="F25" s="229">
        <v>336079</v>
      </c>
      <c r="G25" s="229" t="s">
        <v>52</v>
      </c>
      <c r="H25" s="230">
        <v>0</v>
      </c>
      <c r="I25" s="231">
        <v>20</v>
      </c>
      <c r="J25" s="232">
        <v>0.53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99990009872088</v>
      </c>
      <c r="C26" s="227">
        <v>336060</v>
      </c>
      <c r="D26" s="228" t="s">
        <v>54</v>
      </c>
      <c r="E26" s="229"/>
      <c r="F26" s="229">
        <v>336060</v>
      </c>
      <c r="G26" s="229" t="s">
        <v>52</v>
      </c>
      <c r="H26" s="230">
        <v>0</v>
      </c>
      <c r="I26" s="231">
        <v>2</v>
      </c>
      <c r="J26" s="232">
        <v>0.53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99990009871971</v>
      </c>
      <c r="C27" s="227">
        <v>336838</v>
      </c>
      <c r="D27" s="228" t="s">
        <v>55</v>
      </c>
      <c r="E27" s="229"/>
      <c r="F27" s="229">
        <v>336838</v>
      </c>
      <c r="G27" s="229" t="s">
        <v>52</v>
      </c>
      <c r="H27" s="230">
        <v>0</v>
      </c>
      <c r="I27" s="231">
        <v>2</v>
      </c>
      <c r="J27" s="232">
        <v>0.53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99990009872002</v>
      </c>
      <c r="C28" s="227">
        <v>336807</v>
      </c>
      <c r="D28" s="228" t="s">
        <v>56</v>
      </c>
      <c r="E28" s="229"/>
      <c r="F28" s="229">
        <v>336807</v>
      </c>
      <c r="G28" s="229" t="s">
        <v>52</v>
      </c>
      <c r="H28" s="230">
        <v>0</v>
      </c>
      <c r="I28" s="231">
        <v>2</v>
      </c>
      <c r="J28" s="232">
        <v>0.53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99990009872009</v>
      </c>
      <c r="C29" s="227">
        <v>336799</v>
      </c>
      <c r="D29" s="228" t="s">
        <v>57</v>
      </c>
      <c r="E29" s="229"/>
      <c r="F29" s="229">
        <v>336799</v>
      </c>
      <c r="G29" s="229" t="s">
        <v>52</v>
      </c>
      <c r="H29" s="230">
        <v>0</v>
      </c>
      <c r="I29" s="231">
        <v>2</v>
      </c>
      <c r="J29" s="232">
        <v>0.53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99990009871940</v>
      </c>
      <c r="C30" s="227">
        <v>336875</v>
      </c>
      <c r="D30" s="228" t="s">
        <v>58</v>
      </c>
      <c r="E30" s="229"/>
      <c r="F30" s="229">
        <v>336875</v>
      </c>
      <c r="G30" s="229" t="s">
        <v>52</v>
      </c>
      <c r="H30" s="230">
        <v>0</v>
      </c>
      <c r="I30" s="231">
        <v>10</v>
      </c>
      <c r="J30" s="232">
        <v>0.53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99990009871943</v>
      </c>
      <c r="C31" s="227">
        <v>336867</v>
      </c>
      <c r="D31" s="228" t="s">
        <v>59</v>
      </c>
      <c r="E31" s="229"/>
      <c r="F31" s="229">
        <v>336867</v>
      </c>
      <c r="G31" s="229" t="s">
        <v>52</v>
      </c>
      <c r="H31" s="230">
        <v>0</v>
      </c>
      <c r="I31" s="231">
        <v>2</v>
      </c>
      <c r="J31" s="232">
        <v>0.53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99990009871946</v>
      </c>
      <c r="C32" s="227">
        <v>336863</v>
      </c>
      <c r="D32" s="228" t="s">
        <v>60</v>
      </c>
      <c r="E32" s="229"/>
      <c r="F32" s="229">
        <v>336863</v>
      </c>
      <c r="G32" s="229" t="s">
        <v>52</v>
      </c>
      <c r="H32" s="230">
        <v>0</v>
      </c>
      <c r="I32" s="231">
        <v>2</v>
      </c>
      <c r="J32" s="232">
        <v>0.53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99990009871998</v>
      </c>
      <c r="C33" s="227">
        <v>336811</v>
      </c>
      <c r="D33" s="228" t="s">
        <v>61</v>
      </c>
      <c r="E33" s="229"/>
      <c r="F33" s="229">
        <v>336811</v>
      </c>
      <c r="G33" s="229" t="s">
        <v>52</v>
      </c>
      <c r="H33" s="230">
        <v>0</v>
      </c>
      <c r="I33" s="231">
        <v>4</v>
      </c>
      <c r="J33" s="232">
        <v>0.53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99990009872003</v>
      </c>
      <c r="C34" s="227">
        <v>336806</v>
      </c>
      <c r="D34" s="228" t="s">
        <v>62</v>
      </c>
      <c r="E34" s="229"/>
      <c r="F34" s="229">
        <v>336806</v>
      </c>
      <c r="G34" s="229" t="s">
        <v>52</v>
      </c>
      <c r="H34" s="230">
        <v>0</v>
      </c>
      <c r="I34" s="231">
        <v>2</v>
      </c>
      <c r="J34" s="232">
        <v>0.53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99990009868556</v>
      </c>
      <c r="C35" s="227">
        <v>331378</v>
      </c>
      <c r="D35" s="228" t="s">
        <v>63</v>
      </c>
      <c r="E35" s="229"/>
      <c r="F35" s="229">
        <v>331378</v>
      </c>
      <c r="G35" s="229" t="s">
        <v>52</v>
      </c>
      <c r="H35" s="230">
        <v>0</v>
      </c>
      <c r="I35" s="231">
        <v>12</v>
      </c>
      <c r="J35" s="232">
        <v>11.98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218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99990009867088</v>
      </c>
      <c r="C36" s="227">
        <v>331062</v>
      </c>
      <c r="D36" s="228" t="s">
        <v>64</v>
      </c>
      <c r="E36" s="229"/>
      <c r="F36" s="229">
        <v>331062</v>
      </c>
      <c r="G36" s="229" t="s">
        <v>52</v>
      </c>
      <c r="H36" s="230">
        <v>0</v>
      </c>
      <c r="I36" s="231">
        <v>4</v>
      </c>
      <c r="J36" s="232">
        <v>19.65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219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99990009867082</v>
      </c>
      <c r="C37" s="227">
        <v>331068</v>
      </c>
      <c r="D37" s="228" t="s">
        <v>65</v>
      </c>
      <c r="E37" s="229"/>
      <c r="F37" s="229">
        <v>331068</v>
      </c>
      <c r="G37" s="229" t="s">
        <v>52</v>
      </c>
      <c r="H37" s="230">
        <v>0</v>
      </c>
      <c r="I37" s="231">
        <v>4</v>
      </c>
      <c r="J37" s="232">
        <v>16.85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219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99990009868242</v>
      </c>
      <c r="C38" s="227">
        <v>330751</v>
      </c>
      <c r="D38" s="228" t="s">
        <v>66</v>
      </c>
      <c r="E38" s="229"/>
      <c r="F38" s="229">
        <v>330751</v>
      </c>
      <c r="G38" s="229" t="s">
        <v>52</v>
      </c>
      <c r="H38" s="230">
        <v>0</v>
      </c>
      <c r="I38" s="231">
        <v>6</v>
      </c>
      <c r="J38" s="232">
        <v>52.41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220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99990009872004</v>
      </c>
      <c r="C39" s="227">
        <v>336805</v>
      </c>
      <c r="D39" s="228" t="s">
        <v>67</v>
      </c>
      <c r="E39" s="229"/>
      <c r="F39" s="229">
        <v>336805</v>
      </c>
      <c r="G39" s="229" t="s">
        <v>52</v>
      </c>
      <c r="H39" s="230">
        <v>0</v>
      </c>
      <c r="I39" s="231">
        <v>2</v>
      </c>
      <c r="J39" s="232">
        <v>0.53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99990009872021</v>
      </c>
      <c r="C40" s="227">
        <v>336785</v>
      </c>
      <c r="D40" s="228" t="s">
        <v>68</v>
      </c>
      <c r="E40" s="229"/>
      <c r="F40" s="229">
        <v>336785</v>
      </c>
      <c r="G40" s="229" t="s">
        <v>52</v>
      </c>
      <c r="H40" s="230">
        <v>0</v>
      </c>
      <c r="I40" s="231">
        <v>5</v>
      </c>
      <c r="J40" s="232">
        <v>0.53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99990009872022</v>
      </c>
      <c r="C41" s="227">
        <v>336784</v>
      </c>
      <c r="D41" s="228" t="s">
        <v>69</v>
      </c>
      <c r="E41" s="229"/>
      <c r="F41" s="229">
        <v>336784</v>
      </c>
      <c r="G41" s="229" t="s">
        <v>52</v>
      </c>
      <c r="H41" s="230">
        <v>0</v>
      </c>
      <c r="I41" s="231">
        <v>3</v>
      </c>
      <c r="J41" s="232">
        <v>0.53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99990009872026</v>
      </c>
      <c r="C42" s="227">
        <v>336780</v>
      </c>
      <c r="D42" s="228" t="s">
        <v>70</v>
      </c>
      <c r="E42" s="229"/>
      <c r="F42" s="229">
        <v>336780</v>
      </c>
      <c r="G42" s="229" t="s">
        <v>52</v>
      </c>
      <c r="H42" s="230">
        <v>0</v>
      </c>
      <c r="I42" s="231">
        <v>2</v>
      </c>
      <c r="J42" s="232">
        <v>0.53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99990009872027</v>
      </c>
      <c r="C43" s="227">
        <v>336779</v>
      </c>
      <c r="D43" s="228" t="s">
        <v>71</v>
      </c>
      <c r="E43" s="229"/>
      <c r="F43" s="229">
        <v>336779</v>
      </c>
      <c r="G43" s="229" t="s">
        <v>52</v>
      </c>
      <c r="H43" s="230">
        <v>0</v>
      </c>
      <c r="I43" s="231">
        <v>2</v>
      </c>
      <c r="J43" s="232">
        <v>0.53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99990009872028</v>
      </c>
      <c r="C44" s="227">
        <v>336778</v>
      </c>
      <c r="D44" s="228" t="s">
        <v>72</v>
      </c>
      <c r="E44" s="229"/>
      <c r="F44" s="229">
        <v>336778</v>
      </c>
      <c r="G44" s="229" t="s">
        <v>52</v>
      </c>
      <c r="H44" s="230">
        <v>0</v>
      </c>
      <c r="I44" s="231">
        <v>3</v>
      </c>
      <c r="J44" s="232">
        <v>0.53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99990009872545</v>
      </c>
      <c r="C45" s="227">
        <v>334155</v>
      </c>
      <c r="D45" s="228" t="s">
        <v>73</v>
      </c>
      <c r="E45" s="229"/>
      <c r="F45" s="229">
        <v>334155</v>
      </c>
      <c r="G45" s="229" t="s">
        <v>52</v>
      </c>
      <c r="H45" s="230">
        <v>0</v>
      </c>
      <c r="I45" s="231">
        <v>2</v>
      </c>
      <c r="J45" s="232">
        <v>0.53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99990009872104</v>
      </c>
      <c r="C46" s="227">
        <v>336043</v>
      </c>
      <c r="D46" s="228" t="s">
        <v>74</v>
      </c>
      <c r="E46" s="229"/>
      <c r="F46" s="229">
        <v>336043</v>
      </c>
      <c r="G46" s="229" t="s">
        <v>52</v>
      </c>
      <c r="H46" s="230">
        <v>0</v>
      </c>
      <c r="I46" s="231">
        <v>2</v>
      </c>
      <c r="J46" s="232">
        <v>0.53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99990009872120</v>
      </c>
      <c r="C47" s="227">
        <v>336027</v>
      </c>
      <c r="D47" s="228" t="s">
        <v>75</v>
      </c>
      <c r="E47" s="229"/>
      <c r="F47" s="229">
        <v>336027</v>
      </c>
      <c r="G47" s="229" t="s">
        <v>52</v>
      </c>
      <c r="H47" s="230">
        <v>0</v>
      </c>
      <c r="I47" s="231">
        <v>2</v>
      </c>
      <c r="J47" s="232">
        <v>0.53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99990009872128</v>
      </c>
      <c r="C48" s="227">
        <v>336019</v>
      </c>
      <c r="D48" s="228" t="s">
        <v>76</v>
      </c>
      <c r="E48" s="229"/>
      <c r="F48" s="229">
        <v>336019</v>
      </c>
      <c r="G48" s="229" t="s">
        <v>52</v>
      </c>
      <c r="H48" s="230">
        <v>0</v>
      </c>
      <c r="I48" s="231">
        <v>2</v>
      </c>
      <c r="J48" s="232">
        <v>0.53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99990009872652</v>
      </c>
      <c r="C49" s="227">
        <v>334131</v>
      </c>
      <c r="D49" s="228" t="s">
        <v>77</v>
      </c>
      <c r="E49" s="229"/>
      <c r="F49" s="229">
        <v>334131</v>
      </c>
      <c r="G49" s="229" t="s">
        <v>52</v>
      </c>
      <c r="H49" s="230">
        <v>0</v>
      </c>
      <c r="I49" s="231">
        <v>6</v>
      </c>
      <c r="J49" s="232">
        <v>0.53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99990009871992</v>
      </c>
      <c r="C50" s="227">
        <v>336818</v>
      </c>
      <c r="D50" s="228" t="s">
        <v>78</v>
      </c>
      <c r="E50" s="229"/>
      <c r="F50" s="229">
        <v>336818</v>
      </c>
      <c r="G50" s="229" t="s">
        <v>52</v>
      </c>
      <c r="H50" s="230">
        <v>0</v>
      </c>
      <c r="I50" s="231">
        <v>2</v>
      </c>
      <c r="J50" s="232">
        <v>0.53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99990009871994</v>
      </c>
      <c r="C51" s="227">
        <v>336816</v>
      </c>
      <c r="D51" s="228" t="s">
        <v>79</v>
      </c>
      <c r="E51" s="229"/>
      <c r="F51" s="229">
        <v>336816</v>
      </c>
      <c r="G51" s="229" t="s">
        <v>52</v>
      </c>
      <c r="H51" s="230">
        <v>0</v>
      </c>
      <c r="I51" s="231">
        <v>2</v>
      </c>
      <c r="J51" s="232">
        <v>0.53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99990009872057</v>
      </c>
      <c r="C52" s="227">
        <v>336091</v>
      </c>
      <c r="D52" s="228" t="s">
        <v>80</v>
      </c>
      <c r="E52" s="229"/>
      <c r="F52" s="229">
        <v>336091</v>
      </c>
      <c r="G52" s="229" t="s">
        <v>52</v>
      </c>
      <c r="H52" s="230">
        <v>0</v>
      </c>
      <c r="I52" s="231">
        <v>15</v>
      </c>
      <c r="J52" s="232">
        <v>0.53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99990009872059</v>
      </c>
      <c r="C53" s="227">
        <v>336089</v>
      </c>
      <c r="D53" s="228" t="s">
        <v>81</v>
      </c>
      <c r="E53" s="229"/>
      <c r="F53" s="229">
        <v>336089</v>
      </c>
      <c r="G53" s="229" t="s">
        <v>52</v>
      </c>
      <c r="H53" s="230">
        <v>0</v>
      </c>
      <c r="I53" s="231">
        <v>2</v>
      </c>
      <c r="J53" s="232">
        <v>0.53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99990009868379</v>
      </c>
      <c r="C54" s="227">
        <v>330620</v>
      </c>
      <c r="D54" s="228" t="s">
        <v>82</v>
      </c>
      <c r="E54" s="229"/>
      <c r="F54" s="229">
        <v>330620</v>
      </c>
      <c r="G54" s="229" t="s">
        <v>49</v>
      </c>
      <c r="H54" s="230">
        <v>0</v>
      </c>
      <c r="I54" s="231">
        <v>5</v>
      </c>
      <c r="J54" s="232">
        <v>16.11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221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99990009866954</v>
      </c>
      <c r="C55" s="227">
        <v>331157</v>
      </c>
      <c r="D55" s="228" t="s">
        <v>83</v>
      </c>
      <c r="E55" s="229"/>
      <c r="F55" s="229">
        <v>331157</v>
      </c>
      <c r="G55" s="229" t="s">
        <v>52</v>
      </c>
      <c r="H55" s="230">
        <v>0</v>
      </c>
      <c r="I55" s="231">
        <v>80</v>
      </c>
      <c r="J55" s="232">
        <v>0.29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 t="s">
        <v>84</v>
      </c>
      <c r="S55" s="238"/>
      <c r="T55" s="239"/>
    </row>
    <row r="56" spans="1:20" ht="24" customHeight="1">
      <c r="A56" s="226">
        <v>37</v>
      </c>
      <c r="B56" s="226">
        <v>99990009871667</v>
      </c>
      <c r="C56" s="227">
        <v>338502</v>
      </c>
      <c r="D56" s="228" t="s">
        <v>85</v>
      </c>
      <c r="E56" s="229"/>
      <c r="F56" s="229">
        <v>338502</v>
      </c>
      <c r="G56" s="229" t="s">
        <v>52</v>
      </c>
      <c r="H56" s="230">
        <v>0</v>
      </c>
      <c r="I56" s="231">
        <v>10</v>
      </c>
      <c r="J56" s="232">
        <v>0.53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99990009871668</v>
      </c>
      <c r="C57" s="227">
        <v>338501</v>
      </c>
      <c r="D57" s="228" t="s">
        <v>86</v>
      </c>
      <c r="E57" s="229"/>
      <c r="F57" s="229">
        <v>338501</v>
      </c>
      <c r="G57" s="229" t="s">
        <v>52</v>
      </c>
      <c r="H57" s="230">
        <v>0</v>
      </c>
      <c r="I57" s="231">
        <v>10</v>
      </c>
      <c r="J57" s="232">
        <v>0.53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99990009871857</v>
      </c>
      <c r="C58" s="227">
        <v>335642</v>
      </c>
      <c r="D58" s="228" t="s">
        <v>87</v>
      </c>
      <c r="E58" s="229"/>
      <c r="F58" s="229">
        <v>335642</v>
      </c>
      <c r="G58" s="229" t="s">
        <v>52</v>
      </c>
      <c r="H58" s="230">
        <v>0</v>
      </c>
      <c r="I58" s="231">
        <v>10</v>
      </c>
      <c r="J58" s="232">
        <v>0.53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99990009871768</v>
      </c>
      <c r="C59" s="227">
        <v>337501</v>
      </c>
      <c r="D59" s="228" t="s">
        <v>88</v>
      </c>
      <c r="E59" s="229"/>
      <c r="F59" s="229">
        <v>337501</v>
      </c>
      <c r="G59" s="229" t="s">
        <v>52</v>
      </c>
      <c r="H59" s="230">
        <v>0</v>
      </c>
      <c r="I59" s="231">
        <v>10</v>
      </c>
      <c r="J59" s="232">
        <v>0.53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99990009871675</v>
      </c>
      <c r="C60" s="227">
        <v>337700</v>
      </c>
      <c r="D60" s="228" t="s">
        <v>89</v>
      </c>
      <c r="E60" s="229"/>
      <c r="F60" s="229">
        <v>337700</v>
      </c>
      <c r="G60" s="229" t="s">
        <v>52</v>
      </c>
      <c r="H60" s="230">
        <v>0</v>
      </c>
      <c r="I60" s="231">
        <v>5</v>
      </c>
      <c r="J60" s="232">
        <v>0.73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99990009871674</v>
      </c>
      <c r="C61" s="227">
        <v>337701</v>
      </c>
      <c r="D61" s="228" t="s">
        <v>90</v>
      </c>
      <c r="E61" s="229"/>
      <c r="F61" s="229">
        <v>337701</v>
      </c>
      <c r="G61" s="229" t="s">
        <v>52</v>
      </c>
      <c r="H61" s="230">
        <v>0</v>
      </c>
      <c r="I61" s="231">
        <v>5</v>
      </c>
      <c r="J61" s="232">
        <v>0.73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99990009871669</v>
      </c>
      <c r="C62" s="227">
        <v>338500</v>
      </c>
      <c r="D62" s="228" t="s">
        <v>91</v>
      </c>
      <c r="E62" s="229"/>
      <c r="F62" s="229">
        <v>338500</v>
      </c>
      <c r="G62" s="229" t="s">
        <v>52</v>
      </c>
      <c r="H62" s="230">
        <v>0</v>
      </c>
      <c r="I62" s="231">
        <v>10</v>
      </c>
      <c r="J62" s="232">
        <v>0.53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/>
      <c r="Q62" s="236"/>
      <c r="R62" s="237"/>
      <c r="S62" s="238"/>
      <c r="T62" s="239"/>
    </row>
    <row r="63" spans="1:20" ht="24" customHeight="1">
      <c r="A63" s="226">
        <v>44</v>
      </c>
      <c r="B63" s="226">
        <v>99990009871851</v>
      </c>
      <c r="C63" s="227">
        <v>335648</v>
      </c>
      <c r="D63" s="228" t="s">
        <v>92</v>
      </c>
      <c r="E63" s="229"/>
      <c r="F63" s="229">
        <v>335648</v>
      </c>
      <c r="G63" s="229" t="s">
        <v>52</v>
      </c>
      <c r="H63" s="230">
        <v>0</v>
      </c>
      <c r="I63" s="231">
        <v>10</v>
      </c>
      <c r="J63" s="232">
        <v>0.53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/>
      <c r="Q63" s="236"/>
      <c r="R63" s="237"/>
      <c r="S63" s="238"/>
      <c r="T63" s="239"/>
    </row>
    <row r="64" spans="1:20" ht="24" customHeight="1">
      <c r="A64" s="226">
        <v>45</v>
      </c>
      <c r="B64" s="226">
        <v>99990009871854</v>
      </c>
      <c r="C64" s="227">
        <v>335645</v>
      </c>
      <c r="D64" s="228" t="s">
        <v>93</v>
      </c>
      <c r="E64" s="229"/>
      <c r="F64" s="229">
        <v>335645</v>
      </c>
      <c r="G64" s="229" t="s">
        <v>52</v>
      </c>
      <c r="H64" s="230">
        <v>0</v>
      </c>
      <c r="I64" s="231">
        <v>5</v>
      </c>
      <c r="J64" s="232">
        <v>0.53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99990009871855</v>
      </c>
      <c r="C65" s="227">
        <v>335644</v>
      </c>
      <c r="D65" s="228" t="s">
        <v>94</v>
      </c>
      <c r="E65" s="229"/>
      <c r="F65" s="229">
        <v>335644</v>
      </c>
      <c r="G65" s="229" t="s">
        <v>52</v>
      </c>
      <c r="H65" s="230">
        <v>0</v>
      </c>
      <c r="I65" s="231">
        <v>10</v>
      </c>
      <c r="J65" s="232">
        <v>0.53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99990009872904</v>
      </c>
      <c r="C66" s="227">
        <v>190103</v>
      </c>
      <c r="D66" s="228" t="s">
        <v>95</v>
      </c>
      <c r="E66" s="229"/>
      <c r="F66" s="229">
        <v>190103</v>
      </c>
      <c r="G66" s="229" t="s">
        <v>41</v>
      </c>
      <c r="H66" s="230">
        <v>0</v>
      </c>
      <c r="I66" s="231">
        <v>500</v>
      </c>
      <c r="J66" s="232">
        <v>0.2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 t="s">
        <v>96</v>
      </c>
      <c r="S66" s="238"/>
      <c r="T66" s="239"/>
    </row>
    <row r="67" spans="1:20" ht="24" customHeight="1">
      <c r="A67" s="226">
        <v>48</v>
      </c>
      <c r="B67" s="226">
        <v>99990009872907</v>
      </c>
      <c r="C67" s="227">
        <v>190101</v>
      </c>
      <c r="D67" s="228" t="s">
        <v>97</v>
      </c>
      <c r="E67" s="229"/>
      <c r="F67" s="229">
        <v>190101</v>
      </c>
      <c r="G67" s="229" t="s">
        <v>46</v>
      </c>
      <c r="H67" s="230">
        <v>0</v>
      </c>
      <c r="I67" s="231">
        <v>50</v>
      </c>
      <c r="J67" s="232">
        <v>1.68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 t="s">
        <v>98</v>
      </c>
      <c r="S67" s="238"/>
      <c r="T67" s="239"/>
    </row>
    <row r="68" spans="1:20" ht="24" customHeight="1">
      <c r="A68" s="226">
        <v>49</v>
      </c>
      <c r="B68" s="226">
        <v>99990009873263</v>
      </c>
      <c r="C68" s="227">
        <v>311051</v>
      </c>
      <c r="D68" s="228" t="s">
        <v>99</v>
      </c>
      <c r="E68" s="229"/>
      <c r="F68" s="229">
        <v>311051</v>
      </c>
      <c r="G68" s="229" t="s">
        <v>41</v>
      </c>
      <c r="H68" s="230">
        <v>0</v>
      </c>
      <c r="I68" s="231">
        <v>10</v>
      </c>
      <c r="J68" s="232">
        <v>0.53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 t="s">
        <v>222</v>
      </c>
      <c r="Q68" s="236"/>
      <c r="R68" s="237"/>
      <c r="S68" s="238"/>
      <c r="T68" s="239"/>
    </row>
    <row r="69" spans="1:20" ht="24" customHeight="1">
      <c r="A69" s="226">
        <v>50</v>
      </c>
      <c r="B69" s="226">
        <v>99990009873262</v>
      </c>
      <c r="C69" s="227">
        <v>311052</v>
      </c>
      <c r="D69" s="228" t="s">
        <v>100</v>
      </c>
      <c r="E69" s="229"/>
      <c r="F69" s="229">
        <v>311052</v>
      </c>
      <c r="G69" s="229" t="s">
        <v>41</v>
      </c>
      <c r="H69" s="230">
        <v>0</v>
      </c>
      <c r="I69" s="231">
        <v>10</v>
      </c>
      <c r="J69" s="232">
        <v>0.66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 t="s">
        <v>222</v>
      </c>
      <c r="Q69" s="236"/>
      <c r="R69" s="237"/>
      <c r="S69" s="238"/>
      <c r="T69" s="239"/>
    </row>
    <row r="70" spans="1:20" ht="24" customHeight="1">
      <c r="A70" s="226">
        <v>51</v>
      </c>
      <c r="B70" s="226">
        <v>99990009867041</v>
      </c>
      <c r="C70" s="227">
        <v>331111</v>
      </c>
      <c r="D70" s="228" t="s">
        <v>101</v>
      </c>
      <c r="E70" s="229"/>
      <c r="F70" s="229">
        <v>331111</v>
      </c>
      <c r="G70" s="229" t="s">
        <v>52</v>
      </c>
      <c r="H70" s="230">
        <v>0</v>
      </c>
      <c r="I70" s="231">
        <v>10</v>
      </c>
      <c r="J70" s="232">
        <v>1.36</v>
      </c>
      <c r="K70" s="233"/>
      <c r="L70" s="231">
        <v>0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/>
      <c r="Q70" s="236"/>
      <c r="R70" s="237"/>
      <c r="S70" s="238"/>
      <c r="T70" s="239"/>
    </row>
    <row r="71" spans="1:20" ht="24" customHeight="1">
      <c r="A71" s="226">
        <v>52</v>
      </c>
      <c r="B71" s="226">
        <v>99990009867037</v>
      </c>
      <c r="C71" s="227">
        <v>331118</v>
      </c>
      <c r="D71" s="228" t="s">
        <v>102</v>
      </c>
      <c r="E71" s="229"/>
      <c r="F71" s="229">
        <v>331118</v>
      </c>
      <c r="G71" s="229" t="s">
        <v>52</v>
      </c>
      <c r="H71" s="230">
        <v>0</v>
      </c>
      <c r="I71" s="231">
        <v>100</v>
      </c>
      <c r="J71" s="232">
        <v>0.3</v>
      </c>
      <c r="K71" s="233"/>
      <c r="L71" s="231">
        <v>0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99990009873343</v>
      </c>
      <c r="C72" s="227">
        <v>310101</v>
      </c>
      <c r="D72" s="228" t="s">
        <v>103</v>
      </c>
      <c r="E72" s="229"/>
      <c r="F72" s="229">
        <v>310101</v>
      </c>
      <c r="G72" s="229" t="s">
        <v>52</v>
      </c>
      <c r="H72" s="230">
        <v>0</v>
      </c>
      <c r="I72" s="231">
        <v>5</v>
      </c>
      <c r="J72" s="232">
        <v>2.68</v>
      </c>
      <c r="K72" s="233"/>
      <c r="L72" s="231">
        <v>0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99990009873341</v>
      </c>
      <c r="C73" s="227">
        <v>310103</v>
      </c>
      <c r="D73" s="228" t="s">
        <v>104</v>
      </c>
      <c r="E73" s="229"/>
      <c r="F73" s="229">
        <v>310103</v>
      </c>
      <c r="G73" s="229" t="s">
        <v>52</v>
      </c>
      <c r="H73" s="230">
        <v>0</v>
      </c>
      <c r="I73" s="231">
        <v>5</v>
      </c>
      <c r="J73" s="232">
        <v>2.68</v>
      </c>
      <c r="K73" s="233"/>
      <c r="L73" s="231">
        <v>0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99990009872350</v>
      </c>
      <c r="C74" s="227">
        <v>190570</v>
      </c>
      <c r="D74" s="228" t="s">
        <v>105</v>
      </c>
      <c r="E74" s="229"/>
      <c r="F74" s="229">
        <v>190570</v>
      </c>
      <c r="G74" s="229" t="s">
        <v>52</v>
      </c>
      <c r="H74" s="230">
        <v>0</v>
      </c>
      <c r="I74" s="231">
        <v>5</v>
      </c>
      <c r="J74" s="232">
        <v>1.3</v>
      </c>
      <c r="K74" s="233"/>
      <c r="L74" s="231">
        <v>0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/>
      <c r="Q74" s="236"/>
      <c r="R74" s="237"/>
      <c r="S74" s="238"/>
      <c r="T74" s="239"/>
    </row>
    <row r="75" spans="1:20" ht="24" customHeight="1">
      <c r="A75" s="226">
        <v>56</v>
      </c>
      <c r="B75" s="226">
        <v>99990009867058</v>
      </c>
      <c r="C75" s="227">
        <v>331075</v>
      </c>
      <c r="D75" s="228" t="s">
        <v>106</v>
      </c>
      <c r="E75" s="229"/>
      <c r="F75" s="229">
        <v>331075</v>
      </c>
      <c r="G75" s="229" t="s">
        <v>107</v>
      </c>
      <c r="H75" s="230">
        <v>0</v>
      </c>
      <c r="I75" s="231">
        <v>10</v>
      </c>
      <c r="J75" s="232">
        <v>5.16</v>
      </c>
      <c r="K75" s="233"/>
      <c r="L75" s="231">
        <v>0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 t="s">
        <v>223</v>
      </c>
      <c r="Q75" s="236"/>
      <c r="R75" s="237"/>
      <c r="S75" s="238"/>
      <c r="T75" s="239"/>
    </row>
    <row r="76" spans="1:20" ht="24" customHeight="1">
      <c r="A76" s="226">
        <v>57</v>
      </c>
      <c r="B76" s="226">
        <v>99990009872308</v>
      </c>
      <c r="C76" s="227">
        <v>190612</v>
      </c>
      <c r="D76" s="228" t="s">
        <v>108</v>
      </c>
      <c r="E76" s="229"/>
      <c r="F76" s="229">
        <v>190612</v>
      </c>
      <c r="G76" s="229" t="s">
        <v>52</v>
      </c>
      <c r="H76" s="230">
        <v>0</v>
      </c>
      <c r="I76" s="231">
        <v>2</v>
      </c>
      <c r="J76" s="232">
        <v>11.23</v>
      </c>
      <c r="K76" s="233"/>
      <c r="L76" s="231">
        <v>0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99990009872307</v>
      </c>
      <c r="C77" s="227">
        <v>190613</v>
      </c>
      <c r="D77" s="228" t="s">
        <v>109</v>
      </c>
      <c r="E77" s="229"/>
      <c r="F77" s="229">
        <v>190613</v>
      </c>
      <c r="G77" s="229" t="s">
        <v>52</v>
      </c>
      <c r="H77" s="230">
        <v>0</v>
      </c>
      <c r="I77" s="231">
        <v>8</v>
      </c>
      <c r="J77" s="232">
        <v>11.23</v>
      </c>
      <c r="K77" s="233"/>
      <c r="L77" s="231">
        <v>0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99990009871559</v>
      </c>
      <c r="C78" s="227">
        <v>332896</v>
      </c>
      <c r="D78" s="228" t="s">
        <v>110</v>
      </c>
      <c r="E78" s="229"/>
      <c r="F78" s="229">
        <v>332896</v>
      </c>
      <c r="G78" s="229" t="s">
        <v>52</v>
      </c>
      <c r="H78" s="230">
        <v>0</v>
      </c>
      <c r="I78" s="231">
        <v>2</v>
      </c>
      <c r="J78" s="232">
        <v>1.57</v>
      </c>
      <c r="K78" s="233"/>
      <c r="L78" s="231">
        <v>0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/>
      <c r="Q78" s="236"/>
      <c r="R78" s="237"/>
      <c r="S78" s="238"/>
      <c r="T78" s="239"/>
    </row>
    <row r="79" spans="1:20" ht="24" customHeight="1">
      <c r="A79" s="226">
        <v>60</v>
      </c>
      <c r="B79" s="226">
        <v>99990009872898</v>
      </c>
      <c r="C79" s="227">
        <v>190112</v>
      </c>
      <c r="D79" s="228" t="s">
        <v>111</v>
      </c>
      <c r="E79" s="229"/>
      <c r="F79" s="229">
        <v>190112</v>
      </c>
      <c r="G79" s="229" t="s">
        <v>41</v>
      </c>
      <c r="H79" s="230">
        <v>0</v>
      </c>
      <c r="I79" s="231">
        <v>30</v>
      </c>
      <c r="J79" s="232">
        <v>1.14</v>
      </c>
      <c r="K79" s="233"/>
      <c r="L79" s="231">
        <v>0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/>
      <c r="Q79" s="236"/>
      <c r="R79" s="237" t="s">
        <v>112</v>
      </c>
      <c r="S79" s="238"/>
      <c r="T79" s="239"/>
    </row>
    <row r="80" spans="1:20" ht="24" customHeight="1">
      <c r="A80" s="226">
        <v>61</v>
      </c>
      <c r="B80" s="226">
        <v>99990009866969</v>
      </c>
      <c r="C80" s="227">
        <v>331143</v>
      </c>
      <c r="D80" s="228" t="s">
        <v>113</v>
      </c>
      <c r="E80" s="229"/>
      <c r="F80" s="229">
        <v>331143</v>
      </c>
      <c r="G80" s="229" t="s">
        <v>52</v>
      </c>
      <c r="H80" s="230">
        <v>0</v>
      </c>
      <c r="I80" s="231">
        <v>3</v>
      </c>
      <c r="J80" s="232">
        <v>2.7</v>
      </c>
      <c r="K80" s="233"/>
      <c r="L80" s="231">
        <v>0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 t="s">
        <v>114</v>
      </c>
      <c r="S80" s="238"/>
      <c r="T80" s="239"/>
    </row>
    <row r="81" spans="1:20" ht="15" customHeight="1">
      <c r="A81" s="32"/>
      <c r="B81" s="295"/>
      <c r="C81" s="296"/>
      <c r="D81" s="296"/>
      <c r="E81" s="296"/>
      <c r="F81" s="296"/>
      <c r="G81" s="296"/>
      <c r="H81" s="297"/>
      <c r="I81" s="297"/>
      <c r="J81" s="297"/>
      <c r="K81" s="297"/>
      <c r="L81" s="297"/>
      <c r="M81" s="297"/>
      <c r="N81" s="297"/>
      <c r="O81" s="297"/>
      <c r="P81" s="297"/>
      <c r="Q81" s="297"/>
      <c r="R81" s="297"/>
      <c r="S81" s="297"/>
      <c r="T81" s="298"/>
    </row>
    <row r="82" spans="1:20" ht="12.75" customHeight="1">
      <c r="A82" s="289" t="s">
        <v>28</v>
      </c>
      <c r="B82" s="289"/>
      <c r="C82" s="290" t="s">
        <v>115</v>
      </c>
      <c r="D82" s="291"/>
      <c r="E82" s="291"/>
      <c r="F82" s="291"/>
      <c r="G82" s="291"/>
      <c r="H82" s="291"/>
      <c r="I82" s="292"/>
      <c r="J82" s="292" t="s">
        <v>116</v>
      </c>
      <c r="K82" s="292"/>
      <c r="L82" s="292" t="s">
        <v>35</v>
      </c>
      <c r="M82" s="292" t="s">
        <v>36</v>
      </c>
      <c r="N82" s="293" t="s">
        <v>117</v>
      </c>
      <c r="O82" s="294" t="s">
        <v>38</v>
      </c>
      <c r="P82" s="294"/>
      <c r="Q82" s="294"/>
      <c r="R82" s="294"/>
      <c r="S82" s="294"/>
      <c r="T82" s="225"/>
    </row>
    <row r="83" spans="1:20" ht="15" customHeight="1">
      <c r="A83" s="269">
        <v>1</v>
      </c>
      <c r="B83" s="270"/>
      <c r="C83" s="271" t="s">
        <v>118</v>
      </c>
      <c r="D83" s="272" t="s">
        <v>118</v>
      </c>
      <c r="E83" s="272" t="s">
        <v>118</v>
      </c>
      <c r="F83" s="272" t="s">
        <v>118</v>
      </c>
      <c r="G83" s="272" t="s">
        <v>118</v>
      </c>
      <c r="H83" s="273" t="s">
        <v>118</v>
      </c>
      <c r="I83" s="274"/>
      <c r="J83" s="275">
        <v>0</v>
      </c>
      <c r="K83" s="276"/>
      <c r="L83" s="277">
        <v>0</v>
      </c>
      <c r="M83" s="277">
        <v>0</v>
      </c>
      <c r="N83" s="285">
        <f>(J83-(J83*L83/100)+((J83-(J83*L83/100))*M83/100))</f>
      </c>
      <c r="O83" s="286"/>
      <c r="P83" s="287"/>
      <c r="Q83" s="287"/>
      <c r="R83" s="287"/>
      <c r="S83" s="288"/>
      <c r="T83" s="283"/>
    </row>
    <row r="84" spans="1:20" ht="15" customHeight="1">
      <c r="A84" s="269">
        <v>2</v>
      </c>
      <c r="B84" s="270"/>
      <c r="C84" s="271" t="s">
        <v>119</v>
      </c>
      <c r="D84" s="272" t="s">
        <v>119</v>
      </c>
      <c r="E84" s="272" t="s">
        <v>119</v>
      </c>
      <c r="F84" s="272" t="s">
        <v>119</v>
      </c>
      <c r="G84" s="272" t="s">
        <v>119</v>
      </c>
      <c r="H84" s="273" t="s">
        <v>119</v>
      </c>
      <c r="I84" s="284"/>
      <c r="J84" s="275">
        <v>0</v>
      </c>
      <c r="K84" s="276"/>
      <c r="L84" s="277">
        <v>0</v>
      </c>
      <c r="M84" s="277">
        <v>0</v>
      </c>
      <c r="N84" s="279">
        <f>(J84-(J84*L84/100)+((J84-(J84*L84/100))*M84/100))</f>
      </c>
      <c r="O84" s="280"/>
      <c r="P84" s="281"/>
      <c r="Q84" s="281"/>
      <c r="R84" s="281"/>
      <c r="S84" s="282"/>
      <c r="T84" s="283"/>
    </row>
    <row r="85" spans="1:20" ht="15" customHeight="1">
      <c r="A85" s="269">
        <v>3</v>
      </c>
      <c r="B85" s="270"/>
      <c r="C85" s="271"/>
      <c r="D85" s="272"/>
      <c r="E85" s="272"/>
      <c r="F85" s="272"/>
      <c r="G85" s="272"/>
      <c r="H85" s="273"/>
      <c r="I85" s="274"/>
      <c r="J85" s="275">
        <v>0</v>
      </c>
      <c r="K85" s="276"/>
      <c r="L85" s="277">
        <v>0</v>
      </c>
      <c r="M85" s="277">
        <v>0</v>
      </c>
      <c r="N85" s="279">
        <f>(J85-(J85*L85/100)+((J85-(J85*L85/100))*M85/100))</f>
      </c>
      <c r="O85" s="280"/>
      <c r="P85" s="281"/>
      <c r="Q85" s="281"/>
      <c r="R85" s="281"/>
      <c r="S85" s="282"/>
      <c r="T85" s="283"/>
    </row>
    <row r="86" spans="1:20" ht="15.75" customHeight="1">
      <c r="A86" s="269">
        <v>4</v>
      </c>
      <c r="B86" s="270"/>
      <c r="C86" s="271"/>
      <c r="D86" s="272"/>
      <c r="E86" s="272"/>
      <c r="F86" s="272"/>
      <c r="G86" s="272"/>
      <c r="H86" s="273"/>
      <c r="I86" s="274"/>
      <c r="J86" s="275">
        <v>0</v>
      </c>
      <c r="K86" s="276"/>
      <c r="L86" s="277">
        <v>0</v>
      </c>
      <c r="M86" s="278">
        <v>0</v>
      </c>
      <c r="N86" s="279">
        <f>(J86-(J86*L86/100)+((J86-(J86*L86/100))*M86/100))</f>
      </c>
      <c r="O86" s="280"/>
      <c r="P86" s="281"/>
      <c r="Q86" s="281"/>
      <c r="R86" s="281"/>
      <c r="S86" s="282"/>
      <c r="T86" s="283"/>
    </row>
    <row r="87" spans="1:16" ht="15.95" customHeight="1">
      <c r="A87" s="247"/>
      <c r="B87" s="247"/>
      <c r="C87" s="248"/>
      <c r="D87" s="248"/>
      <c r="I87" s="163"/>
      <c r="J87" s="58" t="s">
        <v>120</v>
      </c>
      <c r="K87" s="59"/>
      <c r="L87" s="58"/>
      <c r="M87" s="59"/>
      <c r="N87" s="264">
        <f>SUM(ItmPrice)</f>
      </c>
      <c r="O87" s="267"/>
      <c r="P87" s="268"/>
    </row>
    <row r="88" spans="1:16" ht="15" customHeight="1">
      <c r="A88" s="247"/>
      <c r="B88" s="247"/>
      <c r="C88" s="248"/>
      <c r="D88" s="248"/>
      <c r="I88" s="163"/>
      <c r="J88" s="123" t="s">
        <v>121</v>
      </c>
      <c r="K88" s="124"/>
      <c r="L88" s="124"/>
      <c r="M88" s="125"/>
      <c r="N88" s="264">
        <f>SUM(N83:N87)</f>
      </c>
      <c r="O88" s="265"/>
      <c r="P88" s="266"/>
    </row>
    <row r="89" spans="1:19" ht="2.25" customHeight="1" hidden="1">
      <c r="A89" s="258">
        <v>0</v>
      </c>
      <c r="B89" s="258">
        <v>0</v>
      </c>
      <c r="C89" s="259">
        <v>0</v>
      </c>
      <c r="D89" s="248"/>
      <c r="E89" s="248"/>
      <c r="F89" s="260">
        <v>1</v>
      </c>
      <c r="G89" s="248"/>
      <c r="H89" s="248"/>
      <c r="I89" s="248"/>
      <c r="J89" s="248"/>
      <c r="K89" s="261"/>
      <c r="L89" s="262">
        <v>0</v>
      </c>
      <c r="M89" s="263">
        <v>0</v>
      </c>
      <c r="N89" s="162" t="s">
        <v>122</v>
      </c>
      <c r="O89" s="257"/>
      <c r="P89" s="263">
        <v>995</v>
      </c>
      <c r="Q89" s="248" t="s">
        <v>123</v>
      </c>
      <c r="R89" s="248"/>
      <c r="S89" s="248"/>
    </row>
    <row r="90" spans="1:19" ht="18.75" customHeight="1">
      <c r="A90" s="247"/>
      <c r="B90" s="247"/>
      <c r="C90" s="247"/>
      <c r="H90" s="257"/>
      <c r="I90" s="163"/>
      <c r="J90" s="248"/>
      <c r="K90" s="248"/>
      <c r="L90" s="248"/>
      <c r="M90" s="248"/>
      <c r="N90" s="248"/>
      <c r="O90" s="248"/>
      <c r="P90" s="248"/>
      <c r="R90" s="248"/>
      <c r="S90" s="248"/>
    </row>
    <row r="91" spans="1:20" ht="127.5" customHeight="1">
      <c r="A91" s="249" t="s">
        <v>124</v>
      </c>
      <c r="B91" s="249"/>
      <c r="C91" s="249"/>
      <c r="D91" s="250"/>
      <c r="E91" s="254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56"/>
    </row>
    <row r="92" spans="1:20" ht="129.75" customHeight="1">
      <c r="A92" s="249" t="s">
        <v>38</v>
      </c>
      <c r="B92" s="249"/>
      <c r="C92" s="249"/>
      <c r="D92" s="250"/>
      <c r="E92" s="251" t="s">
        <v>224</v>
      </c>
      <c r="F92" s="252"/>
      <c r="G92" s="252"/>
      <c r="H92" s="252"/>
      <c r="I92" s="252"/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3"/>
    </row>
    <row r="93" spans="1:19" ht="15.95" customHeight="1">
      <c r="A93" s="247"/>
      <c r="B93" s="247"/>
      <c r="C93" s="247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</row>
    <row r="94" spans="1:20" ht="15.95" customHeight="1">
      <c r="A94" s="245" t="s">
        <v>125</v>
      </c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5"/>
      <c r="P94" s="245"/>
      <c r="Q94" s="245"/>
      <c r="R94" s="245"/>
      <c r="S94" s="245"/>
      <c r="T94" s="246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7.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3"/>
      <c r="B100" s="243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4"/>
    </row>
    <row r="101" spans="1:20" ht="7.5" customHeight="1">
      <c r="A101" s="243"/>
      <c r="B101" s="243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4"/>
    </row>
    <row r="102" spans="1:20" ht="12.75" customHeight="1">
      <c r="A102" s="243"/>
      <c r="B102" s="243"/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4"/>
    </row>
    <row r="103" spans="1:20" ht="12.75" customHeight="1">
      <c r="A103" s="243"/>
      <c r="B103" s="243"/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4"/>
    </row>
    <row r="104" spans="1:20" ht="12.75" customHeight="1">
      <c r="A104" s="243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4"/>
    </row>
    <row r="105" spans="1:20" ht="12.75" customHeight="1">
      <c r="A105" s="243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4"/>
    </row>
    <row r="106" spans="1:20" ht="12.75" customHeight="1">
      <c r="A106" s="243"/>
      <c r="B106" s="243"/>
      <c r="C106" s="243"/>
      <c r="D106" s="243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4"/>
    </row>
    <row r="107" spans="1:20" ht="12.75" customHeight="1">
      <c r="A107" s="243"/>
      <c r="B107" s="243"/>
      <c r="C107" s="243"/>
      <c r="D107" s="243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4"/>
    </row>
    <row r="108" spans="1:20" ht="7.5" customHeight="1">
      <c r="A108" s="243"/>
      <c r="B108" s="243"/>
      <c r="C108" s="243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4"/>
    </row>
    <row r="109" spans="1:20" ht="12.75" customHeight="1">
      <c r="A109" s="243"/>
      <c r="B109" s="243"/>
      <c r="C109" s="243"/>
      <c r="D109" s="243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4"/>
    </row>
    <row r="110" spans="1:20" ht="12.75" customHeight="1">
      <c r="A110" s="243"/>
      <c r="B110" s="243"/>
      <c r="C110" s="243"/>
      <c r="D110" s="243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4"/>
    </row>
    <row r="111" spans="1:20" ht="12.75" customHeight="1">
      <c r="A111" s="243"/>
      <c r="B111" s="243"/>
      <c r="C111" s="243"/>
      <c r="D111" s="243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4"/>
    </row>
    <row r="112" spans="1:20" ht="12.75" customHeight="1">
      <c r="A112" s="243"/>
      <c r="B112" s="243"/>
      <c r="C112" s="243"/>
      <c r="D112" s="243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4"/>
    </row>
    <row r="113" spans="1:20" ht="12.75" customHeight="1">
      <c r="A113" s="243"/>
      <c r="B113" s="243"/>
      <c r="C113" s="243"/>
      <c r="D113" s="243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4"/>
    </row>
    <row r="114" spans="1:20" ht="7.5" customHeight="1">
      <c r="A114" s="243"/>
      <c r="B114" s="243"/>
      <c r="C114" s="243"/>
      <c r="D114" s="243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4"/>
    </row>
    <row r="115" spans="1:20" ht="12.75" customHeight="1">
      <c r="A115" s="243"/>
      <c r="B115" s="243"/>
      <c r="C115" s="243"/>
      <c r="D115" s="243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4"/>
    </row>
    <row r="116" spans="1:20" ht="12.75" customHeight="1">
      <c r="A116" s="243"/>
      <c r="B116" s="243"/>
      <c r="C116" s="243"/>
      <c r="D116" s="243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4"/>
    </row>
    <row r="117" spans="1:20" ht="12.75" customHeight="1">
      <c r="A117" s="241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41"/>
      <c r="S117" s="241"/>
      <c r="T117" s="242"/>
    </row>
    <row r="118" spans="1:9" ht="12.75">
      <c r="A118" s="240" t="s">
        <v>126</v>
      </c>
      <c r="B118" s="240"/>
      <c r="C118" s="240"/>
      <c r="D118" s="240"/>
      <c r="E118" s="240"/>
      <c r="F118" s="240"/>
      <c r="G118" s="240"/>
      <c r="I11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87">
    <mergeCell ref="E91:S91"/>
    <mergeCell ref="E92:S92"/>
    <mergeCell ref="E94:S94"/>
    <mergeCell ref="A95:S116"/>
    <mergeCell ref="A117:S117"/>
    <mergeCell ref="A91:D91"/>
    <mergeCell ref="A92:D92"/>
    <mergeCell ref="K1:R1"/>
    <mergeCell ref="R19:S19"/>
    <mergeCell ref="R20:S20"/>
    <mergeCell ref="O83:S83"/>
    <mergeCell ref="O84:S84"/>
    <mergeCell ref="O82:S82"/>
    <mergeCell ref="J82:K82"/>
    <mergeCell ref="K4:L4"/>
    <mergeCell ref="M4:P4"/>
    <mergeCell ref="K5:L5"/>
    <mergeCell ref="M5:P5"/>
    <mergeCell ref="M7:Q7"/>
    <mergeCell ref="P20:Q20"/>
    <mergeCell ref="M12:O12"/>
    <mergeCell ref="K12:L12"/>
    <mergeCell ref="O87:P87"/>
    <mergeCell ref="O88:P88"/>
    <mergeCell ref="J88:M88"/>
    <mergeCell ref="O85:S85"/>
    <mergeCell ref="O86:S8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82:H8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C83:H83"/>
    <mergeCell ref="J83:K83"/>
    <mergeCell ref="C84:H84"/>
    <mergeCell ref="J84:K84"/>
    <mergeCell ref="C85:H85"/>
    <mergeCell ref="J85:K85"/>
    <mergeCell ref="C86:H86"/>
    <mergeCell ref="J86:K86"/>
  </mergeCells>
  <dataValidations count="2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list" allowBlank="1" showInputMessage="1" showErrorMessage="1" sqref="C83:H83">
      <formula1>'MasterData'!$H$1:$H$14</formula1>
    </dataValidation>
    <dataValidation type="list" allowBlank="1" showInputMessage="1" showErrorMessage="1" sqref="C84:H84">
      <formula1>'MasterData'!$H$1:$H$14</formula1>
    </dataValidation>
    <dataValidation type="list" allowBlank="1" showInputMessage="1" showErrorMessage="1" sqref="C85:H85">
      <formula1>'MasterData'!$H$1:$H$14</formula1>
    </dataValidation>
    <dataValidation type="list" allowBlank="1" showInputMessage="1" showErrorMessage="1" sqref="C86:H8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118</v>
      </c>
      <c r="M1" s="300" t="s">
        <v>127</v>
      </c>
      <c r="N1" s="301" t="s">
        <v>0</v>
      </c>
      <c r="O1" s="162" t="s">
        <v>128</v>
      </c>
    </row>
    <row r="2" spans="7:15" ht="12.75">
      <c r="G2" s="162">
        <v>1001310</v>
      </c>
      <c r="H2" s="162" t="s">
        <v>119</v>
      </c>
      <c r="M2" s="300" t="s">
        <v>129</v>
      </c>
      <c r="N2" s="301">
        <v>1020738374</v>
      </c>
      <c r="O2" s="162" t="s">
        <v>130</v>
      </c>
    </row>
    <row r="3" spans="7:15" ht="12.75">
      <c r="G3" s="162">
        <v>1012729</v>
      </c>
      <c r="H3" s="162" t="s">
        <v>131</v>
      </c>
      <c r="M3" s="300" t="s">
        <v>132</v>
      </c>
      <c r="N3" s="301">
        <v>99990000436631</v>
      </c>
      <c r="O3" s="162" t="s">
        <v>133</v>
      </c>
    </row>
    <row r="4" spans="7:15" ht="12.75">
      <c r="G4" s="162">
        <v>1012730</v>
      </c>
      <c r="H4" s="162" t="s">
        <v>134</v>
      </c>
      <c r="M4" s="300" t="s">
        <v>135</v>
      </c>
      <c r="N4" s="301">
        <v>1021859155</v>
      </c>
      <c r="O4" s="162" t="s">
        <v>136</v>
      </c>
    </row>
    <row r="5" spans="7:15" ht="12.75">
      <c r="G5" s="162">
        <v>1012731</v>
      </c>
      <c r="H5" s="162" t="s">
        <v>137</v>
      </c>
      <c r="M5" s="300" t="s">
        <v>138</v>
      </c>
      <c r="N5" s="301"/>
      <c r="O5" s="162" t="s">
        <v>139</v>
      </c>
    </row>
    <row r="6" spans="7:15" ht="12.75">
      <c r="G6" s="162">
        <v>1012732</v>
      </c>
      <c r="H6" s="162" t="s">
        <v>140</v>
      </c>
      <c r="M6" s="300" t="s">
        <v>141</v>
      </c>
      <c r="N6" s="301" t="s">
        <v>142</v>
      </c>
      <c r="O6" s="162" t="s">
        <v>143</v>
      </c>
    </row>
    <row r="7" spans="7:15" ht="12.75">
      <c r="G7" s="162">
        <v>1012733</v>
      </c>
      <c r="H7" s="162" t="s">
        <v>144</v>
      </c>
      <c r="M7" s="300" t="s">
        <v>145</v>
      </c>
      <c r="N7" s="301">
        <v>0</v>
      </c>
      <c r="O7" s="162" t="s">
        <v>146</v>
      </c>
    </row>
    <row r="8" spans="7:15" ht="12.75">
      <c r="G8" s="162">
        <v>1012735</v>
      </c>
      <c r="H8" s="162" t="s">
        <v>147</v>
      </c>
      <c r="O8" s="162" t="s">
        <v>148</v>
      </c>
    </row>
    <row r="9" spans="7:15" ht="12.75">
      <c r="G9" s="162">
        <v>1012736</v>
      </c>
      <c r="H9" s="162" t="s">
        <v>149</v>
      </c>
      <c r="O9" s="162" t="s">
        <v>150</v>
      </c>
    </row>
    <row r="10" spans="7:15" ht="12.75">
      <c r="G10" s="162">
        <v>1012737</v>
      </c>
      <c r="H10" s="162" t="s">
        <v>151</v>
      </c>
      <c r="O10" s="162" t="s">
        <v>152</v>
      </c>
    </row>
    <row r="11" spans="7:15" ht="12.75">
      <c r="G11" s="162">
        <v>1012741</v>
      </c>
      <c r="H11" s="162" t="s">
        <v>153</v>
      </c>
      <c r="O11" s="162" t="s">
        <v>154</v>
      </c>
    </row>
    <row r="12" spans="7:15" ht="12.75">
      <c r="G12" s="162">
        <v>1012742</v>
      </c>
      <c r="H12" s="162" t="s">
        <v>155</v>
      </c>
      <c r="O12" s="162" t="s">
        <v>156</v>
      </c>
    </row>
    <row r="13" spans="7:15" ht="12.75">
      <c r="G13" s="162">
        <v>1012743</v>
      </c>
      <c r="H13" s="162" t="s">
        <v>157</v>
      </c>
      <c r="O13" s="162" t="s">
        <v>158</v>
      </c>
    </row>
    <row r="14" spans="7:15" ht="12.75">
      <c r="G14" s="162">
        <v>1012744</v>
      </c>
      <c r="H14" s="162" t="s">
        <v>159</v>
      </c>
      <c r="O14" s="162" t="s">
        <v>160</v>
      </c>
    </row>
    <row r="15" ht="12.75">
      <c r="O15" s="162" t="s">
        <v>161</v>
      </c>
    </row>
    <row r="16" ht="12.75">
      <c r="O16" s="162" t="s">
        <v>162</v>
      </c>
    </row>
    <row r="17" ht="12.75">
      <c r="O17" s="162" t="s">
        <v>163</v>
      </c>
    </row>
    <row r="18" ht="12.75">
      <c r="O18" s="162" t="s">
        <v>164</v>
      </c>
    </row>
    <row r="19" ht="12.75">
      <c r="O19" s="162" t="s">
        <v>165</v>
      </c>
    </row>
    <row r="20" ht="12.75">
      <c r="O20" s="162" t="s">
        <v>166</v>
      </c>
    </row>
    <row r="21" ht="12.75">
      <c r="O21" s="162" t="s">
        <v>167</v>
      </c>
    </row>
    <row r="22" ht="12.75">
      <c r="O22" s="162" t="s">
        <v>168</v>
      </c>
    </row>
    <row r="23" ht="12.75">
      <c r="O23" s="162" t="s">
        <v>169</v>
      </c>
    </row>
    <row r="24" ht="12.75">
      <c r="O24" s="162" t="s">
        <v>170</v>
      </c>
    </row>
    <row r="25" ht="12.75">
      <c r="O25" s="162" t="s">
        <v>171</v>
      </c>
    </row>
    <row r="26" ht="12.75">
      <c r="O26" s="162" t="s">
        <v>172</v>
      </c>
    </row>
    <row r="27" ht="12.75">
      <c r="O27" s="162" t="s">
        <v>173</v>
      </c>
    </row>
    <row r="28" ht="12.75">
      <c r="O28" s="162" t="s">
        <v>174</v>
      </c>
    </row>
    <row r="29" ht="12.75">
      <c r="O29" s="162" t="s">
        <v>175</v>
      </c>
    </row>
    <row r="30" ht="12.75">
      <c r="O30" s="162" t="s">
        <v>176</v>
      </c>
    </row>
    <row r="31" ht="12.75">
      <c r="O31" s="162" t="s">
        <v>177</v>
      </c>
    </row>
    <row r="32" ht="12.75">
      <c r="O32" s="162" t="s">
        <v>178</v>
      </c>
    </row>
    <row r="33" ht="12.75">
      <c r="O33" s="162" t="s">
        <v>179</v>
      </c>
    </row>
    <row r="34" ht="12.75">
      <c r="O34" s="162" t="s">
        <v>180</v>
      </c>
    </row>
    <row r="35" ht="12.75">
      <c r="O35" s="162" t="s">
        <v>181</v>
      </c>
    </row>
    <row r="36" ht="12.75">
      <c r="O36" s="162" t="s">
        <v>182</v>
      </c>
    </row>
    <row r="37" ht="12.75">
      <c r="O37" s="162" t="s">
        <v>183</v>
      </c>
    </row>
    <row r="38" ht="12.75">
      <c r="O38" s="162" t="s">
        <v>184</v>
      </c>
    </row>
    <row r="39" ht="12.75">
      <c r="O39" s="162" t="s">
        <v>185</v>
      </c>
    </row>
    <row r="40" ht="12.75">
      <c r="O40" s="162" t="s">
        <v>186</v>
      </c>
    </row>
    <row r="41" ht="12.75">
      <c r="O41" s="162" t="s">
        <v>187</v>
      </c>
    </row>
    <row r="42" ht="12.75">
      <c r="O42" s="162" t="s">
        <v>188</v>
      </c>
    </row>
    <row r="43" ht="12.75">
      <c r="O43" s="162" t="s">
        <v>189</v>
      </c>
    </row>
    <row r="44" ht="12.75">
      <c r="O44" s="162" t="s">
        <v>190</v>
      </c>
    </row>
    <row r="45" ht="12.75">
      <c r="O45" s="162" t="s">
        <v>191</v>
      </c>
    </row>
    <row r="46" ht="12.75">
      <c r="O46" s="162" t="s">
        <v>192</v>
      </c>
    </row>
    <row r="47" ht="12.75">
      <c r="O47" s="162" t="s">
        <v>193</v>
      </c>
    </row>
    <row r="48" ht="12.75">
      <c r="O48" s="162" t="s">
        <v>194</v>
      </c>
    </row>
    <row r="49" ht="12.75">
      <c r="O49" s="162" t="s">
        <v>195</v>
      </c>
    </row>
    <row r="50" ht="12.75">
      <c r="O50" s="162" t="s">
        <v>196</v>
      </c>
    </row>
    <row r="51" ht="12.75">
      <c r="O51" s="162" t="s">
        <v>197</v>
      </c>
    </row>
    <row r="52" ht="12.75">
      <c r="O52" s="162" t="s">
        <v>198</v>
      </c>
    </row>
    <row r="53" ht="12.75">
      <c r="O53" s="162" t="s">
        <v>199</v>
      </c>
    </row>
    <row r="54" ht="12.75">
      <c r="O54" s="162" t="s">
        <v>200</v>
      </c>
    </row>
    <row r="55" ht="12.75">
      <c r="O55" s="162" t="s">
        <v>201</v>
      </c>
    </row>
    <row r="56" ht="12.75">
      <c r="O56" s="162" t="s">
        <v>202</v>
      </c>
    </row>
    <row r="57" ht="12.75">
      <c r="O57" s="162" t="s">
        <v>203</v>
      </c>
    </row>
    <row r="58" ht="12.75">
      <c r="O58" s="162" t="s">
        <v>204</v>
      </c>
    </row>
    <row r="59" ht="12.75">
      <c r="O59" s="162" t="s">
        <v>205</v>
      </c>
    </row>
    <row r="60" ht="12.75">
      <c r="O60" s="162" t="s">
        <v>206</v>
      </c>
    </row>
    <row r="61" ht="12.75">
      <c r="O61" s="162" t="s">
        <v>207</v>
      </c>
    </row>
    <row r="62" ht="12.75">
      <c r="O62" s="162" t="s">
        <v>208</v>
      </c>
    </row>
    <row r="63" ht="12.75">
      <c r="O63" s="162" t="s">
        <v>209</v>
      </c>
    </row>
    <row r="64" ht="12.75">
      <c r="O64" s="162" t="s">
        <v>210</v>
      </c>
    </row>
    <row r="65" ht="12.75">
      <c r="O65" s="162" t="s">
        <v>211</v>
      </c>
    </row>
    <row r="66" ht="12.75">
      <c r="O66" s="162" t="s">
        <v>212</v>
      </c>
    </row>
    <row r="67" ht="12.75">
      <c r="O67" s="162" t="s">
        <v>213</v>
      </c>
    </row>
    <row r="68" ht="12.75">
      <c r="O68" s="162" t="s">
        <v>214</v>
      </c>
    </row>
    <row r="69" ht="12.75">
      <c r="O69" s="162" t="s">
        <v>215</v>
      </c>
    </row>
    <row r="70" ht="12.75">
      <c r="O70" s="162" t="s">
        <v>216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