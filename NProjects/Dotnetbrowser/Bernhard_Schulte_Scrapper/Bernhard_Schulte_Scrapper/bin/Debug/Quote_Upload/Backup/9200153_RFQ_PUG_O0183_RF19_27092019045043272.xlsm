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Quote!$A$32</definedName>
    <definedName name="Enquiry_To_Vendor_ID" comment="Enquiry to Vendor ID">Quote!$C$32</definedName>
    <definedName name="GrandTotal">Quote!$N$31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Quote!$A$24</definedName>
    <definedName name="ItemListStartupRow" comment="Item List Start Up Row">Quote!$A$19</definedName>
    <definedName name="ItemSubTotal">Quote!$N$30</definedName>
    <definedName name="ItemSubTotalTitle">Quote!$J$30</definedName>
    <definedName name="LeadDay">Quote!$M$11</definedName>
    <definedName name="Lock">Quote!$M$32</definedName>
    <definedName name="LoggedInEmailID">Quote!$N$32</definedName>
    <definedName name="LoggedInPwd">Quote!$O$32</definedName>
    <definedName name="OtherCharges">Quote!$C$26</definedName>
    <definedName name="OtherChargesLastRow">Quote!$A$30</definedName>
    <definedName name="OtherChargesStartRow">Quote!$A$25</definedName>
    <definedName name="Port">Quote!$P$32</definedName>
    <definedName name="PortOfDelivery" comment="Port of Delivery">Quote!$M$9</definedName>
    <definedName name="PurchaserName">Quote!$J$32</definedName>
    <definedName name="QuoteBefore">Quote!$M$8</definedName>
    <definedName name="QuoteID">MasterData!$N$7</definedName>
    <definedName name="QuoteSubject">Quote!$E$32</definedName>
    <definedName name="Remarks">Quote!$E$34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Quote!$K$32</definedName>
    <definedName name="SentIndex">Quote!$L$32</definedName>
    <definedName name="Server">Quote!$Q$32</definedName>
    <definedName name="Terms">Quote!$A$38:$T$59</definedName>
    <definedName name="ToEmailID">Quote!$I$32</definedName>
    <definedName name="ToEmailPwd">Quote!$H$32</definedName>
    <definedName name="VAL">Quote!$F$32</definedName>
    <definedName name="VAT_All">Quote!$M$16</definedName>
    <definedName name="Vendor_ID" comment="Vendor ID">Quote!$B$32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</definedName>
  </definedNames>
  <calcPr fullCalcOnLoad="1"/>
</workbook>
</file>

<file path=xl/sharedStrings.xml><?xml version="1.0" encoding="utf-8"?>
<sst xmlns="http://schemas.openxmlformats.org/spreadsheetml/2006/main" count="177" uniqueCount="150">
  <si>
    <t>RFQ</t>
  </si>
  <si>
    <t>Request for Quote</t>
  </si>
  <si>
    <t>Invoice To</t>
  </si>
  <si>
    <t>Bernhard Schulte Shipmanagement (Deutschland) GmbH &amp; Co. KG
Containerships - CMA CGM GmbH      
c/o Bernhard Schulte Shipmanagement (Deutschland) GmbH &amp; Co KG
Vorsetzen 54, 
20459 Hamburg, Germany
V.A.T. Number:   DE174496721
PLEASE SEND YOUR INVOICE ELECTRONICALLY TO FOLLOWING EMAIL ADDRESS
============================================================
de-smc-invoices@bs-shipmanagement.com</t>
  </si>
  <si>
    <t>Vessel</t>
  </si>
  <si>
    <t>CMA CGM Puget</t>
  </si>
  <si>
    <t>RFQ No.</t>
  </si>
  <si>
    <t>PUG/O0183/RF19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</si>
  <si>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</si>
  <si>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</si>
  <si>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</si>
  <si>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</si>
  <si>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</si>
  <si>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</si>
  <si>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</si>
  <si>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</si>
  <si>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</si>
  <si>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</si>
  <si>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</si>
  <si>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</si>
  <si>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</si>
  <si>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</si>
  <si>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</si>
  <si>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</si>
  <si>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</si>
  <si>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</si>
  <si>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</si>
  <si>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</si>
  <si>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</si>
  <si>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</si>
  <si>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</si>
  <si>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</si>
  <si>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</si>
  <si>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</si>
  <si>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</si>
  <si>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</si>
  <si>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</si>
  <si>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</si>
  <si>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</si>
  <si>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</si>
  <si>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V-BELT B-93</t>
  </si>
  <si>
    <t>PCS</t>
  </si>
  <si>
    <t>V-BELT A-70</t>
  </si>
  <si>
    <t>V-BELT A-67</t>
  </si>
  <si>
    <t>V-BELT B-84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</si>
  <si>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</si>
  <si>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</si>
  <si>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</si>
  <si>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</si>
  <si>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</si>
  <si>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</si>
  <si>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</si>
  <si>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</si>
  <si>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</si>
  <si>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</si>
  <si>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Necessary replaced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</si>
  <si>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</si>
  <si>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</si>
  <si>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</si>
  <si>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</si>
  <si>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</si>
  <si>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</si>
  <si>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</si>
  <si>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</si>
  <si>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</si>
  <si>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</si>
  <si>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</si>
  <si>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</si>
  <si>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</si>
  <si>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</si>
  <si>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</si>
  <si>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</si>
  <si>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</si>
  <si>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</si>
  <si>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</si>
  <si>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</si>
  <si>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</si>
  <si>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</si>
  <si>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</si>
  <si>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</si>
  <si>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</si>
  <si>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</si>
  <si>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</si>
  <si>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</si>
  <si>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</si>
  <si>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</si>
  <si>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</si>
  <si>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</si>
  <si>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</si>
  <si>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</si>
  <si>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</si>
  <si>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</si>
  <si>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</si>
  <si>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</si>
  <si>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</si>
  <si>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</si>
  <si>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</si>
  <si>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</si>
  <si>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</si>
  <si>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</si>
  <si>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</si>
  <si>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</si>
  <si>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</si>
  <si>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</si>
  <si>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</si>
  <si>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</si>
  <si>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</si>
  <si>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</si>
  <si>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</si>
  <si>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</si>
  <si>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</si>
  <si>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</si>
  <si>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</si>
  <si>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</si>
  <si>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</si>
  <si>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</si>
  <si>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</si>
  <si>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</si>
  <si>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</si>
  <si>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</si>
  <si>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</si>
  <si>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</si>
  <si>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</si>
  <si>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</si>
  <si>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</si>
  <si>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</si>
  <si>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</si>
  <si>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</si>
  <si>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</si>
  <si>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</si>
  <si>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</si>
  <si>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</si>
  <si>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</si>
  <si>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</si>
  <si>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</si>
  <si>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</si>
  <si>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</si>
  <si>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</si>
  <si>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</si>
  <si>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</si>
  <si>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</si>
  <si>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</si>
  <si>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</si>
  <si>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</si>
  <si>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</si>
  <si>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</si>
  <si>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</si>
  <si>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</si>
  <si>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BJD1909271705846LET</t>
  </si>
  <si>
    <t xml:space="preserve">
Date promised : 2019-10-04
Quote validity : 2019-10-31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</si>
</sst>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9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99990011282659</v>
      </c>
      <c r="C20" s="227">
        <v>814264</v>
      </c>
      <c r="D20" s="228" t="s">
        <v>40</v>
      </c>
      <c r="E20" s="229"/>
      <c r="F20" s="229">
        <v>814264</v>
      </c>
      <c r="G20" s="229" t="s">
        <v>41</v>
      </c>
      <c r="H20" s="230">
        <v>0</v>
      </c>
      <c r="I20" s="231">
        <v>6</v>
      </c>
      <c r="J20" s="232">
        <v>3.11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99990008213260</v>
      </c>
      <c r="C21" s="227">
        <v>814154</v>
      </c>
      <c r="D21" s="228" t="s">
        <v>42</v>
      </c>
      <c r="E21" s="229"/>
      <c r="F21" s="229">
        <v>814154</v>
      </c>
      <c r="G21" s="229" t="s">
        <v>41</v>
      </c>
      <c r="H21" s="230">
        <v>0</v>
      </c>
      <c r="I21" s="231">
        <v>6</v>
      </c>
      <c r="J21" s="232">
        <v>1.7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99990008213257</v>
      </c>
      <c r="C22" s="227">
        <v>814151</v>
      </c>
      <c r="D22" s="228" t="s">
        <v>43</v>
      </c>
      <c r="E22" s="229"/>
      <c r="F22" s="229">
        <v>814151</v>
      </c>
      <c r="G22" s="229" t="s">
        <v>41</v>
      </c>
      <c r="H22" s="230">
        <v>0</v>
      </c>
      <c r="I22" s="231">
        <v>6</v>
      </c>
      <c r="J22" s="232">
        <v>1.63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99990010385287</v>
      </c>
      <c r="C23" s="227">
        <v>814255</v>
      </c>
      <c r="D23" s="228" t="s">
        <v>44</v>
      </c>
      <c r="E23" s="229"/>
      <c r="F23" s="229">
        <v>814255</v>
      </c>
      <c r="G23" s="229" t="s">
        <v>41</v>
      </c>
      <c r="H23" s="230">
        <v>0</v>
      </c>
      <c r="I23" s="231">
        <v>6</v>
      </c>
      <c r="J23" s="232">
        <v>2.81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15" customHeight="1">
      <c r="A24" s="32"/>
      <c r="B24" s="295"/>
      <c r="C24" s="296"/>
      <c r="D24" s="296"/>
      <c r="E24" s="296"/>
      <c r="F24" s="296"/>
      <c r="G24" s="296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8"/>
    </row>
    <row r="25" spans="1:20" ht="12.75" customHeight="1">
      <c r="A25" s="289" t="s">
        <v>28</v>
      </c>
      <c r="B25" s="289"/>
      <c r="C25" s="290" t="s">
        <v>45</v>
      </c>
      <c r="D25" s="291"/>
      <c r="E25" s="291"/>
      <c r="F25" s="291"/>
      <c r="G25" s="291"/>
      <c r="H25" s="291"/>
      <c r="I25" s="292"/>
      <c r="J25" s="292" t="s">
        <v>46</v>
      </c>
      <c r="K25" s="292"/>
      <c r="L25" s="292" t="s">
        <v>35</v>
      </c>
      <c r="M25" s="292" t="s">
        <v>36</v>
      </c>
      <c r="N25" s="293" t="s">
        <v>47</v>
      </c>
      <c r="O25" s="294" t="s">
        <v>38</v>
      </c>
      <c r="P25" s="294"/>
      <c r="Q25" s="294"/>
      <c r="R25" s="294"/>
      <c r="S25" s="294"/>
      <c r="T25" s="225"/>
    </row>
    <row r="26" spans="1:20" ht="15" customHeight="1">
      <c r="A26" s="269">
        <v>1</v>
      </c>
      <c r="B26" s="270"/>
      <c r="C26" s="271" t="s">
        <v>48</v>
      </c>
      <c r="D26" s="272" t="s">
        <v>48</v>
      </c>
      <c r="E26" s="272" t="s">
        <v>48</v>
      </c>
      <c r="F26" s="272" t="s">
        <v>48</v>
      </c>
      <c r="G26" s="272" t="s">
        <v>48</v>
      </c>
      <c r="H26" s="273" t="s">
        <v>48</v>
      </c>
      <c r="I26" s="274"/>
      <c r="J26" s="275">
        <v>0</v>
      </c>
      <c r="K26" s="276"/>
      <c r="L26" s="277">
        <v>0</v>
      </c>
      <c r="M26" s="277">
        <v>0</v>
      </c>
      <c r="N26" s="285">
        <f>(J26-(J26*L26/100)+((J26-(J26*L26/100))*M26/100))</f>
      </c>
      <c r="O26" s="286"/>
      <c r="P26" s="287"/>
      <c r="Q26" s="287"/>
      <c r="R26" s="287"/>
      <c r="S26" s="288"/>
      <c r="T26" s="283"/>
    </row>
    <row r="27" spans="1:20" ht="15" customHeight="1">
      <c r="A27" s="269">
        <v>2</v>
      </c>
      <c r="B27" s="270"/>
      <c r="C27" s="271" t="s">
        <v>49</v>
      </c>
      <c r="D27" s="272" t="s">
        <v>49</v>
      </c>
      <c r="E27" s="272" t="s">
        <v>49</v>
      </c>
      <c r="F27" s="272" t="s">
        <v>49</v>
      </c>
      <c r="G27" s="272" t="s">
        <v>49</v>
      </c>
      <c r="H27" s="273" t="s">
        <v>49</v>
      </c>
      <c r="I27" s="28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" customHeight="1">
      <c r="A28" s="269">
        <v>3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.75" customHeight="1">
      <c r="A29" s="269">
        <v>4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8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16" ht="15.95" customHeight="1">
      <c r="A30" s="247"/>
      <c r="B30" s="247"/>
      <c r="C30" s="248"/>
      <c r="D30" s="248"/>
      <c r="I30" s="163"/>
      <c r="J30" s="58" t="s">
        <v>50</v>
      </c>
      <c r="K30" s="59"/>
      <c r="L30" s="58"/>
      <c r="M30" s="59"/>
      <c r="N30" s="264">
        <f>SUM(ItmPrice)</f>
      </c>
      <c r="O30" s="267"/>
      <c r="P30" s="268"/>
    </row>
    <row r="31" spans="1:16" ht="15" customHeight="1">
      <c r="A31" s="247"/>
      <c r="B31" s="247"/>
      <c r="C31" s="248"/>
      <c r="D31" s="248"/>
      <c r="I31" s="163"/>
      <c r="J31" s="123" t="s">
        <v>51</v>
      </c>
      <c r="K31" s="124"/>
      <c r="L31" s="124"/>
      <c r="M31" s="125"/>
      <c r="N31" s="264">
        <f>SUM(N26:N30)</f>
      </c>
      <c r="O31" s="265"/>
      <c r="P31" s="266"/>
    </row>
    <row r="32" spans="1:19" ht="2.25" customHeight="1" hidden="1">
      <c r="A32" s="258">
        <v>0</v>
      </c>
      <c r="B32" s="258">
        <v>0</v>
      </c>
      <c r="C32" s="259">
        <v>0</v>
      </c>
      <c r="D32" s="248"/>
      <c r="E32" s="248"/>
      <c r="F32" s="260">
        <v>1</v>
      </c>
      <c r="G32" s="248"/>
      <c r="H32" s="248"/>
      <c r="I32" s="248"/>
      <c r="J32" s="248"/>
      <c r="K32" s="261"/>
      <c r="L32" s="262">
        <v>0</v>
      </c>
      <c r="M32" s="263">
        <v>0</v>
      </c>
      <c r="N32" s="162" t="s">
        <v>52</v>
      </c>
      <c r="O32" s="257"/>
      <c r="P32" s="263">
        <v>995</v>
      </c>
      <c r="Q32" s="248" t="s">
        <v>53</v>
      </c>
      <c r="R32" s="248"/>
      <c r="S32" s="248"/>
    </row>
    <row r="33" spans="1:19" ht="18.75" customHeight="1">
      <c r="A33" s="247"/>
      <c r="B33" s="247"/>
      <c r="C33" s="247"/>
      <c r="H33" s="257"/>
      <c r="I33" s="163"/>
      <c r="J33" s="248"/>
      <c r="K33" s="248"/>
      <c r="L33" s="248"/>
      <c r="M33" s="248"/>
      <c r="N33" s="248"/>
      <c r="O33" s="248"/>
      <c r="P33" s="248"/>
      <c r="R33" s="248"/>
      <c r="S33" s="248"/>
    </row>
    <row r="34" spans="1:20" ht="127.5" customHeight="1">
      <c r="A34" s="249" t="s">
        <v>54</v>
      </c>
      <c r="B34" s="249"/>
      <c r="C34" s="249"/>
      <c r="D34" s="250"/>
      <c r="E34" s="254" t="s">
        <v>55</v>
      </c>
      <c r="F34" s="255"/>
      <c r="G34" s="255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6"/>
    </row>
    <row r="35" spans="1:20" ht="129.75" customHeight="1">
      <c r="A35" s="249" t="s">
        <v>38</v>
      </c>
      <c r="B35" s="249"/>
      <c r="C35" s="249"/>
      <c r="D35" s="250"/>
      <c r="E35" s="251" t="s">
        <v>149</v>
      </c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3"/>
    </row>
    <row r="36" spans="1:19" ht="15.95" customHeight="1">
      <c r="A36" s="247"/>
      <c r="B36" s="247"/>
      <c r="C36" s="247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</row>
    <row r="37" spans="1:20" ht="15.95" customHeight="1">
      <c r="A37" s="245" t="s">
        <v>56</v>
      </c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6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7.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2"/>
    </row>
    <row r="61" spans="1:9" ht="12.75">
      <c r="A61" s="240" t="s">
        <v>57</v>
      </c>
      <c r="B61" s="240"/>
      <c r="C61" s="240"/>
      <c r="D61" s="240"/>
      <c r="E61" s="240"/>
      <c r="F61" s="240"/>
      <c r="G61" s="240"/>
      <c r="I6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3">
    <mergeCell ref="E34:S34"/>
    <mergeCell ref="E35:S35"/>
    <mergeCell ref="E37:S37"/>
    <mergeCell ref="A38:S59"/>
    <mergeCell ref="A60:S60"/>
    <mergeCell ref="A34:D34"/>
    <mergeCell ref="A35:D35"/>
    <mergeCell ref="K1:R1"/>
    <mergeCell ref="R19:S19"/>
    <mergeCell ref="R20:S20"/>
    <mergeCell ref="O26:S26"/>
    <mergeCell ref="O27:S27"/>
    <mergeCell ref="O25:S25"/>
    <mergeCell ref="J25:K25"/>
    <mergeCell ref="K4:L4"/>
    <mergeCell ref="M4:P4"/>
    <mergeCell ref="K5:L5"/>
    <mergeCell ref="M5:P5"/>
    <mergeCell ref="M7:Q7"/>
    <mergeCell ref="P20:Q20"/>
    <mergeCell ref="M12:O12"/>
    <mergeCell ref="K12:L12"/>
    <mergeCell ref="O30:P30"/>
    <mergeCell ref="O31:P31"/>
    <mergeCell ref="J31:M31"/>
    <mergeCell ref="O28:S28"/>
    <mergeCell ref="O29:S2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5:H2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C26:H26"/>
    <mergeCell ref="J26:K26"/>
    <mergeCell ref="C27:H27"/>
    <mergeCell ref="J27:K27"/>
    <mergeCell ref="C28:H28"/>
    <mergeCell ref="J28:K28"/>
    <mergeCell ref="C29:H29"/>
    <mergeCell ref="J29:K29"/>
  </mergeCells>
  <dataValidations count="27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1020692141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99990000427611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1021753295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