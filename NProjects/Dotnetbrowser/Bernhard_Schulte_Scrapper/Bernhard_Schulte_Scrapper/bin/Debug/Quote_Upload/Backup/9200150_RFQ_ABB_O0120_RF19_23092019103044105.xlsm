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book.xml" ContentType="application/vnd.ms-excel.sheet.macroEnabled.main+xml"/>
  <Override PartName="/xl/vbaProject.bin" ContentType="application/vnd.ms-office.vbaProject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  <Default Extension="bin" ContentType="application/vnd.openxmlformats-officedocument.spreadsheetml.printerSettings"/>
</Types>
</file>

<file path=_rels/.rels><?xml version="1.0" encoding="UTF-8" standalone="yes"?><Relationships xmlns="http://schemas.openxmlformats.org/package/2006/relationships"><Relationship Id="rId1" Type="http://schemas.openxmlformats.org/officeDocument/2006/relationships/officeDocument" Target="xl/workbook.xml" /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/Relationships>
</file>

<file path=xl/workbook.xml><?xml version="1.0" encoding="utf-8"?>
<workbook xmlns="http://schemas.openxmlformats.org/spreadsheetml/2006/main" xmlns:r="http://schemas.openxmlformats.org/officeDocument/2006/relationships" xmlns:x15ac="http://schemas.microsoft.com/office/spreadsheetml/2010/11/ac" xmlns:mc="http://schemas.openxmlformats.org/markup-compatibility/2006" xmlns:x15="http://schemas.microsoft.com/office/spreadsheetml/2010/11/main" xmlns:x="http://schemas.openxmlformats.org/spreadsheetml/2006/main" mc:Ignorable="x15">
  <fileVersion appName="xl" lastEdited="7" lowestEdited="5" rupBuild="18431" codeName="{7A2D7E96-6E34-419A-AE5F-296B3A7E7977}"/>
  <workbookPr codeName="ThisWorkbook" defaultThemeVersion="124226"/>
  <bookViews>
    <workbookView xWindow="65521" yWindow="7245" windowWidth="15570" windowHeight="5145" activeTab="0"/>
  </bookViews>
  <sheets>
    <sheet name="Quote" sheetId="1" r:id="rId1"/>
    <sheet name="MasterData" sheetId="2" state="hidden" r:id="rId2"/>
  </sheets>
  <definedNames>
    <definedName name="_xlnm.Print_Area" localSheetId="0">Quote!$A$1:$R$299</definedName>
    <definedName name="CompanyName" comment="Company Name">Quote!$A$4</definedName>
    <definedName name="Currency" comment="Currency">Quote!$M$14</definedName>
    <definedName name="Days">Quote!$M$11</definedName>
    <definedName name="Daysa">Quote!$M$11</definedName>
    <definedName name="Discount_All">Quote!$M$15</definedName>
    <definedName name="Enquiry_ID" comment="Enquiry_ID">Quote!$A$280</definedName>
    <definedName name="Enquiry_To_Vendor_ID" comment="Enquiry to Vendor ID">Quote!$C$280</definedName>
    <definedName name="GrandTotal">Quote!$N$279</definedName>
    <definedName name="HeaderID">MasterData!$N$4</definedName>
    <definedName name="InvoiceTo">Quote!$A$4:$E$11</definedName>
    <definedName name="ItemID" comment="Item ID">Quote!$B$19</definedName>
    <definedName name="ItemListEndRow" comment="Item List End Row">Quote!$A$272</definedName>
    <definedName name="ItemListStartupRow" comment="Item List Start Up Row">Quote!$A$19</definedName>
    <definedName name="ItemSubTotal">Quote!$N$278</definedName>
    <definedName name="ItemSubTotalTitle">Quote!$J$278</definedName>
    <definedName name="LeadDay">Quote!$M$11</definedName>
    <definedName name="Lock">Quote!$M$280</definedName>
    <definedName name="LoggedInEmailID">Quote!$N$280</definedName>
    <definedName name="LoggedInPwd">Quote!$O$280</definedName>
    <definedName name="OtherCharges">Quote!$C$274</definedName>
    <definedName name="OtherChargesLastRow">Quote!$A$278</definedName>
    <definedName name="OtherChargesStartRow">Quote!$A$273</definedName>
    <definedName name="Port">Quote!$P$280</definedName>
    <definedName name="PortOfDelivery" comment="Port of Delivery">Quote!$M$9</definedName>
    <definedName name="PurchaserName">Quote!$J$280</definedName>
    <definedName name="QuoteBefore">Quote!$M$8</definedName>
    <definedName name="QuoteID">MasterData!$N$7</definedName>
    <definedName name="QuoteSubject">Quote!$E$280</definedName>
    <definedName name="Remarks">Quote!$E$282</definedName>
    <definedName name="ReqNumber" comment="Requisition Number">Quote!$M$7</definedName>
    <definedName name="RequestForQuoteID">MasterData!$N$3</definedName>
    <definedName name="RFQ_ID">MasterData!$N$2</definedName>
    <definedName name="RFQCategory">MasterData!$N$6</definedName>
    <definedName name="RFQDate" comment="RFQ Date">Quote!$M$6</definedName>
    <definedName name="RFQFileType">MasterData!$N$1</definedName>
    <definedName name="RFQNumber" comment="RFQ Number">Quote!$M$5</definedName>
    <definedName name="SentDate">Quote!$K$280</definedName>
    <definedName name="SentIndex">Quote!$L$280</definedName>
    <definedName name="Server">Quote!$Q$280</definedName>
    <definedName name="Terms">Quote!$A$286:$T$307</definedName>
    <definedName name="ToEmailID">Quote!$I$280</definedName>
    <definedName name="ToEmailPwd">Quote!$H$280</definedName>
    <definedName name="VAL">Quote!$F$280</definedName>
    <definedName name="VAT_All">Quote!$M$16</definedName>
    <definedName name="Vendor_ID" comment="Vendor ID">Quote!$B$280</definedName>
    <definedName name="VendorAddress" comment="Vendor Address">Quote!$D$14</definedName>
    <definedName name="VendorAddressCity" comment="Vendor Address City">Quote!$D$15</definedName>
    <definedName name="VendorAddressEmail" comment="Vendor Address Email">Quote!$D$17</definedName>
    <definedName name="VendorAddressPhone" comment="Vendor Address Phone">Quote!$D$16</definedName>
    <definedName name="VendorEmailID">Quote!$D$280</definedName>
    <definedName name="VendorID">MasterData!$N$5</definedName>
    <definedName name="VendorName" comment="Vendor Name">Quote!$D$13</definedName>
    <definedName name="VendorReference" comment="Vendor Reference">Quote!$M$12</definedName>
    <definedName name="VendorRemarks" comment="VendorRemarks">Quote!$E$283</definedName>
    <definedName name="VesselETA" comment="Vessel ETA">Quote!$M$10</definedName>
    <definedName name="VesselName" comment="Vessel Name">Quote!$M$4</definedName>
    <definedName name="ItmPrice">Quote!$N$20:$N$20,Quote!$N$21:$N$21,Quote!$N$22:$N$22,Quote!$N$23:$N$23,Quote!$N$24:$N$24,Quote!$N$25:$N$25,Quote!$N$26:$N$26,Quote!$N$27:$N$27,Quote!$N$28:$N$28,Quote!$N$29:$N$29,Quote!$N$30:$N$30,Quote!$N$31:$N$31,Quote!$N$32:$N$32,Quote!$N$33:$N$33,Quote!$N$34:$N$34,Quote!$N$35:$N$35,Quote!$N$36:$N$36,Quote!$N$37:$N$37,Quote!$N$38:$N$38,Quote!$N$39:$N$39,Quote!$N$40:$N$40,Quote!$N$41:$N$41,Quote!$N$42:$N$42,Quote!$N$43:$N$43,Quote!$N$44:$N$44,Quote!$N$45:$N$45,Quote!$N$46:$N$46,Quote!$N$47:$N$47,Quote!$N$48:$N$48,Quote!$N$49:$N$49,Quote!$N$50:$N$50,Quote!$N$51:$N$51,Quote!$N$52:$N$52,Quote!$N$53:$N$53,Quote!$N$54:$N$54,Quote!$N$55:$N$55,Quote!$N$56:$N$56,Quote!$N$57:$N$57,Quote!$N$58:$N$58,Quote!$N$59:$N$59,Quote!$N$60:$N$60,Quote!$N$61:$N$61,Quote!$N$62:$N$62,Quote!$N$63:$N$63,Quote!$N$64:$N$64,Quote!$N$65:$N$65,Quote!$N$66:$N$66,Quote!$N$67:$N$67,Quote!$N$68:$N$68,Quote!$N$69:$N$69,Quote!$N$70:$N$70,Quote!$N$71:$N$71,Quote!$N$72:$N$72,Quote!$N$73:$N$73,Quote!$N$74:$N$74,Quote!$N$75:$N$75,Quote!$N$76:$N$76,Quote!$N$77:$N$77,Quote!$N$78:$N$78,Quote!$N$79:$N$79,Quote!$N$80:$N$80,Quote!$N$81:$N$81,Quote!$N$82:$N$82,Quote!$N$83:$N$83,Quote!$N$84:$N$84,Quote!$N$85:$N$85,Quote!$N$86:$N$86,Quote!$N$87:$N$87,Quote!$N$88:$N$88,Quote!$N$89:$N$89,Quote!$N$90:$N$90,Quote!$N$91:$N$91,Quote!$N$92:$N$92,Quote!$N$93:$N$93,Quote!$N$94:$N$94,Quote!$N$95:$N$95,Quote!$N$96:$N$96,Quote!$N$97:$N$97,Quote!$N$98:$N$98,Quote!$N$99:$N$99,Quote!$N$100:$N$100,Quote!$N$101:$N$101,Quote!$N$102:$N$102,Quote!$N$103:$N$103,Quote!$N$104:$N$104,Quote!$N$105:$N$105,Quote!$N$106:$N$106,Quote!$N$107:$N$107,Quote!$N$108:$N$108,Quote!$N$109:$N$109,Quote!$N$110:$N$110,Quote!$N$111:$N$111,Quote!$N$112:$N$112,Quote!$N$113:$N$113,Quote!$N$114:$N$114,Quote!$N$115:$N$115,Quote!$N$116:$N$116,Quote!$N$117:$N$117,Quote!$N$118:$N$118,Quote!$N$119:$N$119,Quote!$N$120:$N$120,Quote!$N$121:$N$121,Quote!$N$122:$N$122,Quote!$N$123:$N$123,Quote!$N$124:$N$124,Quote!$N$125:$N$125,Quote!$N$126:$N$126,Quote!$N$127:$N$127,Quote!$N$128:$N$128,Quote!$N$129:$N$129,Quote!$N$130:$N$130,Quote!$N$131:$N$131,Quote!$N$132:$N$132,Quote!$N$133:$N$133,Quote!$N$134:$N$134,Quote!$N$135:$N$135,Quote!$N$136:$N$136,Quote!$N$137:$N$137,Quote!$N$138:$N$138,Quote!$N$139:$N$139,Quote!$N$140:$N$140,Quote!$N$141:$N$141,Quote!$N$142:$N$142,Quote!$N$143:$N$143,Quote!$N$144:$N$144,Quote!$N$145:$N$145,Quote!$N$146:$N$146,Quote!$N$147:$N$147,Quote!$N$148:$N$148,Quote!$N$149:$N$149,Quote!$N$150:$N$150,Quote!$N$151:$N$151,Quote!$N$152:$N$152,Quote!$N$153:$N$153,Quote!$N$154:$N$154,Quote!$N$155:$N$155,Quote!$N$156:$N$156,Quote!$N$157:$N$157,Quote!$N$158:$N$158,Quote!$N$159:$N$159,Quote!$N$160:$N$160,Quote!$N$161:$N$161,Quote!$N$162:$N$162,Quote!$N$163:$N$163,Quote!$N$164:$N$164,Quote!$N$165:$N$165,Quote!$N$166:$N$166,Quote!$N$167:$N$167,Quote!$N$168:$N$168,Quote!$N$169:$N$169,Quote!$N$170:$N$170,Quote!$N$171:$N$171,Quote!$N$172:$N$172,Quote!$N$173:$N$173,Quote!$N$174:$N$174,Quote!$N$175:$N$175,Quote!$N$176:$N$176,Quote!$N$177:$N$177,Quote!$N$178:$N$178,Quote!$N$179:$N$179,Quote!$N$180:$N$180,Quote!$N$181:$N$181,Quote!$N$182:$N$182,Quote!$N$183:$N$183,Quote!$N$184:$N$184,Quote!$N$185:$N$185,Quote!$N$186:$N$186,Quote!$N$187:$N$187,Quote!$N$188:$N$188,Quote!$N$189:$N$189,Quote!$N$190:$N$190,Quote!$N$191:$N$191,Quote!$N$192:$N$192,Quote!$N$193:$N$193,Quote!$N$194:$N$194,Quote!$N$195:$N$195,Quote!$N$196:$N$196,Quote!$N$197:$N$197,Quote!$N$198:$N$198,Quote!$N$199:$N$199,Quote!$N$200:$N$200,Quote!$N$201:$N$201,Quote!$N$202:$N$202,Quote!$N$203:$N$203,Quote!$N$204:$N$204,Quote!$N$205:$N$205,Quote!$N$206:$N$206,Quote!$N$207:$N$207,Quote!$N$208:$N$208,Quote!$N$209:$N$209,Quote!$N$210:$N$210,Quote!$N$211:$N$211,Quote!$N$212:$N$212,Quote!$N$213:$N$213,Quote!$N$214:$N$214,Quote!$N$215:$N$215,Quote!$N$216:$N$216,Quote!$N$217:$N$217,Quote!$N$218:$N$218,Quote!$N$219:$N$219,Quote!$N$220:$N$220,Quote!$N$221:$N$221,Quote!$N$222:$N$222,Quote!$N$223:$N$223,Quote!$N$224:$N$224,Quote!$N$225:$N$225,Quote!$N$226:$N$226,Quote!$N$227:$N$227,Quote!$N$228:$N$228,Quote!$N$229:$N$229,Quote!$N$230:$N$230,Quote!$N$231:$N$231,Quote!$N$232:$N$232,Quote!$N$233:$N$233,Quote!$N$234:$N$234,Quote!$N$235:$N$235,Quote!$N$236:$N$236,Quote!$N$237:$N$237,Quote!$N$238:$N$238,Quote!$N$239:$N$239,Quote!$N$240:$N$240,Quote!$N$241:$N$241,Quote!$N$242:$N$242,Quote!$N$243:$N$243,Quote!$N$244:$N$244,Quote!$N$245:$N$245,Quote!$N$246:$N$246,Quote!$N$247:$N$247,Quote!$N$248:$N$248,Quote!$N$249:$N$249,Quote!$N$250:$N$250,Quote!$N$251:$N$251,Quote!$N$252:$N$252,Quote!$N$253:$N$253,Quote!$N$254:$N$254,Quote!$N$255:$N$255,Quote!$N$256:$N$256,Quote!$N$257:$N$257,Quote!$N$258:$N$258,Quote!$N$259:$N$259,Quote!$N$260:$N$260,Quote!$N$261:$N$261,Quote!$N$262:$N$262,Quote!$N$263:$N$263,Quote!$N$264:$N$264,Quote!$N$265:$N$265,Quote!$N$266:$N$266,Quote!$N$267:$N$267,Quote!$N$268:$N$268,Quote!$N$269:$N$269,Quote!$N$270:$N$270,Quote!$N$271:$N$271</definedName>
  </definedNames>
  <calcPr fullCalcOnLoad="1"/>
</workbook>
</file>

<file path=xl/sharedStrings.xml><?xml version="1.0" encoding="utf-8"?>
<sst xmlns="http://schemas.openxmlformats.org/spreadsheetml/2006/main" count="1050" uniqueCount="531">
  <si>
    <t>RFQ</t>
  </si>
  <si>
    <t>Request for Quote</t>
  </si>
  <si>
    <t>Invoice To</t>
  </si>
  <si>
    <t xml:space="preserve">Bernhard Schulte Shipmanagement (China) Company Ltd.
MASTER &amp; OWNER OF AMBER Beverly
REGD. OWNER: Serpro International Inc. 5565981
Bernhard Schulte Shipmanagement (China) Co., Ltd.
2F, Block 7, 1690, Cai Lun Road,
Zhang Jiang, Pu Dong, Shanghai,
201203, People's Republic of China
Tel: (86) 21 61061333,
Fax: (86) 21 61061300
Invoices to be emailed to: cn-smc-invoices@bs-shipmanagement.com </t>
  </si>
  <si>
    <t>Vessel</t>
  </si>
  <si>
    <t>Amber Beverly</t>
  </si>
  <si>
    <t>RFQ No.</t>
  </si>
  <si>
    <t>ABB/O0120/RF19</t>
  </si>
  <si>
    <t>RFQ Date</t>
  </si>
  <si>
    <t>Submit Quote Before:</t>
  </si>
  <si>
    <t>Port of Delivery</t>
  </si>
  <si>
    <t>Lianyungang</t>
  </si>
  <si>
    <t>Vessel ETA</t>
  </si>
  <si>
    <t>Lead Days</t>
  </si>
  <si>
    <t>Vendor Details</t>
  </si>
  <si>
    <t>Vendor Reference</t>
  </si>
  <si>
    <t>Name</t>
  </si>
  <si>
    <t>RMS MARINE SERVICE COMPANY LTD</t>
  </si>
  <si>
    <t>Address</t>
  </si>
  <si>
    <t>365, Gaodong, No 2 Road, Pudong District,SHANGHAI, CHINA</t>
  </si>
  <si>
    <r>
      <rPr>
        <b/>
        <sz val="10"/>
        <color theme="3"/>
        <rFont val="Calibri"/>
        <family val="2"/>
      </rPr>
      <t xml:space="preserve">Select Currency </t>
    </r>
    <r>
      <rPr>
        <b/>
        <sz val="10"/>
        <color rgb="FFFF0000"/>
        <rFont val="Calibri"/>
        <family val="2"/>
      </rPr>
      <t>*</t>
    </r>
  </si>
  <si>
    <t>City</t>
  </si>
  <si>
    <t>Discount (%) for all items</t>
  </si>
  <si>
    <t>0</t>
  </si>
  <si>
    <t>Phone</t>
  </si>
  <si>
    <t>VAT(%) for all items</t>
  </si>
  <si>
    <t>Email</t>
  </si>
  <si>
    <t>mt@rmsmarineservice.com,mt@rmsmarineservice.com</t>
  </si>
  <si>
    <t>No</t>
  </si>
  <si>
    <t>Product Code</t>
  </si>
  <si>
    <t>Description</t>
  </si>
  <si>
    <t>Part No</t>
  </si>
  <si>
    <t>Unit</t>
  </si>
  <si>
    <t>Contract Price</t>
  </si>
  <si>
    <t>Quantity</t>
  </si>
  <si>
    <t>Discount %</t>
  </si>
  <si>
    <t>VAT %</t>
  </si>
  <si>
    <t>Total Price</t>
  </si>
  <si>
    <t>Vendor Remarks</t>
  </si>
  <si>
    <t>Office Remarks</t>
  </si>
  <si>
    <t>FIRE CONTROL SYMBOL ISO 17631, WATER FIRE HOSE &amp; NOZZLE</t>
  </si>
  <si>
    <t>PCS</t>
  </si>
  <si>
    <t>FIRE CONTROL SYMBOL ISO 17631, FIRE HYDRANT 150X150MM</t>
  </si>
  <si>
    <t>SIGN ISPS CODE RESTRICTED AREA, #8691GM 100X300MM</t>
  </si>
  <si>
    <t>WHITE VINYL SIGN COMBINATION, DANGER #3110 200X300MM</t>
  </si>
  <si>
    <t>HARNESS FP PRO (VEST STYLE X-LARGE)</t>
  </si>
  <si>
    <t>ELBOW COMPRESSION STEEL, 20MM 400KG</t>
  </si>
  <si>
    <t>ELBOW COMPRESSION STEEL, 18MM 400KG</t>
  </si>
  <si>
    <t>ELBOW COMPRESSION STEEL, 16MM 400KG</t>
  </si>
  <si>
    <t>ELBOW COMPRESSION STEEL, 10MM 400KG</t>
  </si>
  <si>
    <t>ELBOW COMPRESSION STEEL, 8MM 400KG</t>
  </si>
  <si>
    <t>STARTER FOR FL LAMP FG-7P</t>
  </si>
  <si>
    <t>FLASHLIGHT RECHARGEABLE AC220V</t>
  </si>
  <si>
    <t>Rechargeable, good type</t>
  </si>
  <si>
    <t>WATER FINDING PASTE 75GRM, YELLOW TO RED</t>
  </si>
  <si>
    <t>TUB</t>
  </si>
  <si>
    <t>CHALK WELDER SQUARE BAR, 100'S</t>
  </si>
  <si>
    <t>BOX</t>
  </si>
  <si>
    <t>SPARE CARTRIDGE FOR GAS TORCH</t>
  </si>
  <si>
    <t>STEEL PLATE UNGALV HOT-ROLLED, 3.2X914X1829MM</t>
  </si>
  <si>
    <t>SHT</t>
  </si>
  <si>
    <t>QUOTED 3.2MM*1.2M*1.5M/SHT</t>
  </si>
  <si>
    <t>WHEEL FREE SWIVEL TYPE 200MM, FOR PLATFORM TRUCK</t>
  </si>
  <si>
    <t>WHEEL FIXED TYPE 200MM, FOR PLATFORM TRUCK</t>
  </si>
  <si>
    <t>ELECTRODE NC-30 2.6MM 2.0KG, FOR STAINLESS STEEL(SUS-310S)</t>
  </si>
  <si>
    <t>PKT</t>
  </si>
  <si>
    <t>GLOVES,COTTON WORKING ORDINARY</t>
  </si>
  <si>
    <t>DOZ</t>
  </si>
  <si>
    <t>BOOTS RUBBER WITH STEEL TOE, LONG 26CM</t>
  </si>
  <si>
    <t>PRS</t>
  </si>
  <si>
    <t>TAPE SEAL TEFLON 0.1X20MMX10MTR</t>
  </si>
  <si>
    <t>CABIN FAN TABLE TYPE 220V</t>
  </si>
  <si>
    <t>SET</t>
  </si>
  <si>
    <t>220V,stand style, not table style</t>
  </si>
  <si>
    <t>FIRE CLAY POWDER 30KG</t>
  </si>
  <si>
    <t>BAG</t>
  </si>
  <si>
    <t>EAR PLUG FOR HI-LOW PITCH, NOISE</t>
  </si>
  <si>
    <t>GOOD TYPE</t>
  </si>
  <si>
    <t>TUBE STAINLESS STEEL SUS-304, SEAMLESS 20X1.5MM</t>
  </si>
  <si>
    <t>MTR</t>
  </si>
  <si>
    <t>BATTERY RECHARGEABLE R6, 1.2V 500MAH</t>
  </si>
  <si>
    <t>3.7V, 2000mAh,D-18mm, L-65mm</t>
  </si>
  <si>
    <t>BATTERY DRY CELL 6F22(S-006P) 9V EVEREADY 1222SW</t>
  </si>
  <si>
    <t>HEX HEAD BOLT/NUT STAINLESS, STEEL M18 X 90MM</t>
  </si>
  <si>
    <t>HEX HEAD BOLT/NUT STAINLESS, STEEL M16 X 90MM</t>
  </si>
  <si>
    <t>SCF-S-PIP313</t>
  </si>
  <si>
    <t>CONNECTOR MALE FLARELESS BRASS, 6MMXPT1/4</t>
  </si>
  <si>
    <t>ELBOW FLARED 90DEG BRASS, W/MALE END 6MMXPT1/8</t>
  </si>
  <si>
    <t>GOGGLE ULTRASONIC UVEX 9302, GRAY FRAME</t>
  </si>
  <si>
    <t>BOILERSUIT DISPOSABLE POLYPROPYLENE SIZE L</t>
  </si>
  <si>
    <t>PLUG NON-WATERTIGHT, 2-ROUND PIN SIEMENS</t>
  </si>
  <si>
    <t>OXALIC ACID 25KGS</t>
  </si>
  <si>
    <t>LAMP REFLECTOR FLAT RF, INDOORUSE E-26 100-110V 300W</t>
  </si>
  <si>
    <t>CARGO LIGHT SINGLE BASE NO.2, E-39 300W</t>
  </si>
  <si>
    <t>LAMP VS CLEAR E-26, 110-120V 20W</t>
  </si>
  <si>
    <t>AC220V-50HZ  13W  E-27</t>
  </si>
  <si>
    <t>LAMP HALOGEN TUBULAR SHAPE, E-39 200-240V 1000W</t>
  </si>
  <si>
    <t>Lamp Type see the attached photos</t>
  </si>
  <si>
    <t>SWITCH ROTARY TYPE #R2 8-POLE</t>
  </si>
  <si>
    <t>PIPE CARBON STEEL SGP GALV, 6"(150A)X5.5MTR</t>
  </si>
  <si>
    <t>LGH</t>
  </si>
  <si>
    <t>PIPE CARBON STEEL SGP GALV 1-1/4"(32A)X5.5MTR</t>
  </si>
  <si>
    <t>STEEL ROUND COLD-FINISHED 20MM, 4MTR</t>
  </si>
  <si>
    <t>TRANSFORMER STEP UP/DOWN, TI-27 550WATT</t>
  </si>
  <si>
    <t>QUICK BONDING ADHESIVE, NO.201 20GRM</t>
  </si>
  <si>
    <t>PIPE-SEAL PSBT-16 16 OZ/BTL, WITH BRUSH TOP</t>
  </si>
  <si>
    <t>BTL</t>
  </si>
  <si>
    <t>FL CEILING LIGHT W.T. W/GLOBE&amp;, GUARD AC100/115V KAW202 20WX2</t>
  </si>
  <si>
    <t>OIL ABSORBENT SHEET 500X500MM, 200SHEET</t>
  </si>
  <si>
    <t>MICROMETER OUTSIDE 0-150MM, W/INTERCHANGEABLE ANVILS</t>
  </si>
  <si>
    <t>PRTCONS</t>
  </si>
  <si>
    <t>HUB USB 4 PORTS</t>
  </si>
  <si>
    <t>MOUSE PAD</t>
  </si>
  <si>
    <t>MOUSE WIRED DOS/V, PS/2 &amp; SERIAL MOUSE</t>
  </si>
  <si>
    <t>GLASS GLOBE SCREW TYPE S120A</t>
  </si>
  <si>
    <t>WIRE COPPER 0.8MM</t>
  </si>
  <si>
    <t>KGS</t>
  </si>
  <si>
    <t>NOZZLE FOG 3 POSITION ALUMI, NAKAJIMA 2" (50A)</t>
  </si>
  <si>
    <t>FIRE EXTINGUISHER ABC POWDER, POWDER CONTENT 6.0KGS</t>
  </si>
  <si>
    <t>TAPE REFLECTIVE SOLAS GRADE, SILVER W:50MM X L:45.7MTR</t>
  </si>
  <si>
    <t>RLS</t>
  </si>
  <si>
    <t>FIRE CONTROL SIGN EMERGENCY, FIRE PUMP 150X150MM</t>
  </si>
  <si>
    <t>FIRE CONTROL SYMBOL ISO 17631, RMT CONT'L F/CL DEVICE F/CA SP</t>
  </si>
  <si>
    <t>FIRE CONTROL SYMBOL ISO 17631, POWDER FIRE EXTINGUISHER</t>
  </si>
  <si>
    <t>FIRE CONTROL SYMBOL ISO 17631, FIX CO2 FIRE EXTING'NG BATTERY</t>
  </si>
  <si>
    <t>FIRE CONTROL SIGN SPACE PRTCTD, BY CO2 150X150MM</t>
  </si>
  <si>
    <t>FIRE CONTROL SIGN EMERGENCY, TELEPHONE STATION 150X150MM</t>
  </si>
  <si>
    <t>SAFETY SIGN ANTI-EXPOSURE SUIT, 150X150MM</t>
  </si>
  <si>
    <t>SAFETY SIGN EMBARKATION LADDER, 150X150MM</t>
  </si>
  <si>
    <t>DIRECTION SIGN ARROW HORIZ(L)/, ASSEMBLY STATION 100X300MM</t>
  </si>
  <si>
    <t>DIRECTION SIGN ASSEM. STATION/, /ARROW HORIZ(R) 100X300MM</t>
  </si>
  <si>
    <t>SAFETY SIGN MEDICAL LOCKER, 150X150MM</t>
  </si>
  <si>
    <t>SIGN FOR LLL ARROW HORIZ(L)/, EXIT 50X100MM 10'S/PKT</t>
  </si>
  <si>
    <t>SIGN FOR LLL EXIT/ARROW HORIZ, (R) 50X100MM 10'S/PKT</t>
  </si>
  <si>
    <t>SILENT DOOR HOOK, HOOK LENGTH 100MM</t>
  </si>
  <si>
    <t>AIR PRESSURE TESTING KIT FOR IMMERSION SUIT WITH FURTHER DETAILS</t>
  </si>
  <si>
    <t>CPS 0281</t>
  </si>
  <si>
    <t>KIT</t>
  </si>
  <si>
    <t>SIGNAL HALYARD (FLAG LINE), VINYLON 1"CIRX300MTR</t>
  </si>
  <si>
    <t>C/L</t>
  </si>
  <si>
    <t>IMO SYMBLE INTERNATIONAL SHORE CONNECTION</t>
  </si>
  <si>
    <t>GLOVES WORKING COTTON ORDINARY(10PCS/DOZ)</t>
  </si>
  <si>
    <t>PLASTIC GARBAGE BAG (CABIN USE) 450x450MM</t>
  </si>
  <si>
    <t>QUOTED 30S/PKT</t>
  </si>
  <si>
    <t>BUCKET PLASTIC 15LTR</t>
  </si>
  <si>
    <t>GLOVES PLASTIC OIL/ACID RESIST SHORT</t>
  </si>
  <si>
    <t>LEATHER PALM WORKING GLOVE</t>
  </si>
  <si>
    <t>BOOTS RUBBER CLOTH-LINING SHORT 25CM</t>
  </si>
  <si>
    <t>POLYPROPYLENE HEAVING 9MM X 200MTR</t>
  </si>
  <si>
    <t>POLYPRO MONO-FILAMENT ROPE 3STRAND 2-3/4"CIRX200MTR</t>
  </si>
  <si>
    <t>POLYPRO MONO-FILAMENT ROPE 3STRAND 2-1/4"CIRX200MTR</t>
  </si>
  <si>
    <t>POLYPRO MONO-FILAMENT ROPE, 3STRAND 1-1/2"CIRX200MTR</t>
  </si>
  <si>
    <t>BOOTS RUBBER WITH STEEL TOE, LONG 27CM</t>
  </si>
  <si>
    <t>RAIN SUITS WITH HOOD NYLON, SIZE XXL (3L)</t>
  </si>
  <si>
    <t>EYEWEAR PROTECTIVE ANTIFOG , CLEAR LENS #10026005</t>
  </si>
  <si>
    <t>TAPE PLASTIC PRINTABLE, 19.0MMX32.9MTRS</t>
  </si>
  <si>
    <t>75mm</t>
  </si>
  <si>
    <t>TAPE SEALING CLOTH 75MMX25MTR</t>
  </si>
  <si>
    <t>GANGWAY NET P.P. 4X16MTR, SAFETY-KNITTED (Solas / USCG compliance)</t>
  </si>
  <si>
    <t>TAPE SEALING KRAFT PAPER, 60MMX50MTR</t>
  </si>
  <si>
    <t>FOG NOZZLE 3 POSITION, BRASS NAKAJIMA 2"</t>
  </si>
  <si>
    <t>SAFETY HARNESS FULL BODY TYPE</t>
  </si>
  <si>
    <t>EAR PLUG, PLASTIC WITH STRING</t>
  </si>
  <si>
    <t>RULE CONVEX STEEL METRIC&amp;INCH, 5MTR/16'</t>
  </si>
  <si>
    <t>OILER PISTOL PUMP CAST-IRON, 330CC</t>
  </si>
  <si>
    <t>GREASE GUN LEVER TYPE KH-35, STANDARD 400CC</t>
  </si>
  <si>
    <t>FLEXIBLE EXTENSION HOSE PT 1/8 FOR HYDRAULIC/STRAIGHT NIPPLE</t>
  </si>
  <si>
    <t>FLEXIBLE EXTENSION HOSE PT 1/8 FOR PIN TYPE GREASE NIPPLE</t>
  </si>
  <si>
    <t>GREASE NIPPLE PIN TYPE, PT 1/8 PLATED STEEL</t>
  </si>
  <si>
    <t>GREASE NIPPLE STRAIGHT A-TYPE PT 1/8 PLATED STEEL</t>
  </si>
  <si>
    <t>SHACKLE D-TYPE SCREW PIN GALV, 19MM SWL 1.0TON</t>
  </si>
  <si>
    <t>SHACKLE D-TYPE SCREW PIN GALV, 32MM SWL 3.2TON</t>
  </si>
  <si>
    <t>SHACKLE D-TYPE SCREW PIN S. STEEL 7MM SWL 0.17TON</t>
  </si>
  <si>
    <t>SHACKLE D-TYPE SCREW PIN S. STEEL 9MM SWL 0.3TON</t>
  </si>
  <si>
    <t>GLUE GENERAL PURPOSE 1.5KG</t>
  </si>
  <si>
    <t>CAN</t>
  </si>
  <si>
    <t>MASTER KEY ONLY FOR MASTER KEY, SYSTEM PADLOCK 50MM</t>
  </si>
  <si>
    <t>DELIVERY TIME 2-3 WORKING DAYS</t>
  </si>
  <si>
    <t>DRILL ELECTRIC PORTABLE 6.5MM, AC220V 1-PHASE</t>
  </si>
  <si>
    <t>SPARE CUTTER BLADES 9MM, 10'S/PKT FOR S-200 &amp; A-300 (SPARE BLADES FOR HANDY CUTTERS)</t>
  </si>
  <si>
    <t>NT CUTTER A-300 LIGHT-DUTY, WITH CLIP BLADE 9MM</t>
  </si>
  <si>
    <t>HELMET SAFETY POLYESTER RESIN, WHITE</t>
  </si>
  <si>
    <t>FLASHLIGHT RECHARGEABLE 12 LED 110/220V 2000MAH</t>
  </si>
  <si>
    <t>792246A</t>
  </si>
  <si>
    <t>FIRE HOSE RUBBER LINED TETORON, 50MMX30MTR 9KGF/CM2</t>
  </si>
  <si>
    <t>SCREWDRIVER PLASTIC HANDLE, SQUARE-BLADE SLOTTED 8X150MM</t>
  </si>
  <si>
    <t>KNIFE HEAVY-DUTY WITH LEATHER, CASE</t>
  </si>
  <si>
    <t>WRENCH PIPE STRAIGHT, HEAVY-DUTY 600MM</t>
  </si>
  <si>
    <t>WRENCH PIPE STRAIGHT, HEAVY-DUTY 350MM</t>
  </si>
  <si>
    <t>PLIER SIDE CUTTING &amp; REAMER, PLASTIC COVERED HANDLE, 175MM</t>
  </si>
  <si>
    <t>SCISSORS CLOTH OVERALL 240MM</t>
  </si>
  <si>
    <t>TRUCK PLATFORM STEEL 1-HANDLE, WITH 4 SOLID TIRES 600X900MM</t>
  </si>
  <si>
    <t>SILICON SEALANT CLEAR 330GRM (300grm)</t>
  </si>
  <si>
    <t>TAPE ANTI-CORROSIVE 100MMX10MTR</t>
  </si>
  <si>
    <t>WRENCH SET OPEN &amp; 12-POINT BOX, 6X6 TO 32X32MM 16'S</t>
  </si>
  <si>
    <t>SCREWDRIVER PLASTIC HANDLE, SQUARE-BLADE (+) NO.3 150MM</t>
  </si>
  <si>
    <t>FILE NEEDLE SET 170MM 12'S, SECOND-CUT</t>
  </si>
  <si>
    <t>RAG COTTON 100% STERILIZED, WHITE</t>
  </si>
  <si>
    <t>QUOTED 25KG/BAG, PRICE PER BAG</t>
  </si>
  <si>
    <t>BURLAP - 6 X WIDTH 115MM</t>
  </si>
  <si>
    <t>CARGO SLING BAGS,POLYESTER, 1X1.2X1.2Mtr</t>
  </si>
  <si>
    <t>PC</t>
  </si>
  <si>
    <t>RAT GUARD 600MM, FOR 65MM ROPE DIA</t>
  </si>
  <si>
    <t>SHACKLE D-TYPE SCREW PIN, S. STEEL 38MM SWL 4.5TON</t>
  </si>
  <si>
    <t>HEAVING LINE POLYPROPYLENE 1-1/4"CIRX200MTR</t>
  </si>
  <si>
    <t>flag line</t>
  </si>
  <si>
    <t>PARKA XXL (3L) SIZE</t>
  </si>
  <si>
    <t>XL-6  XXL-4</t>
  </si>
  <si>
    <t>PAINT ROLLER EXTENSION BARS X LENGTH 5.4 METERS</t>
  </si>
  <si>
    <t>SPARE MINI ROLLER 100MM WIDTH</t>
  </si>
  <si>
    <t>BRUSH PAINT ROLLER MINI, WITH HANDLE 100MM WIDTH</t>
  </si>
  <si>
    <t>PLIER ROUND NOSE BAHCO, #2521G-140 152MM</t>
  </si>
  <si>
    <t>TAPE OIL GAUGE STAINLESS STEEL, METRIC 30MTR</t>
  </si>
  <si>
    <t>PIN SPLIT WITH FURTHER DETAIL</t>
  </si>
  <si>
    <t>LUBRICANT WD-40 SPRAY 360ML</t>
  </si>
  <si>
    <t>TIN</t>
  </si>
  <si>
    <t>ORIGINAL</t>
  </si>
  <si>
    <t>DETERGENT HEAVY DUTY ALVAKRAFT 25KGS</t>
  </si>
  <si>
    <t>QUOTED BRAND SMOOTH SEAS</t>
  </si>
  <si>
    <t>GRATING FRP FIRE/CHEMI RESIST, SPARKLESS W3,007XL1,007XH25MM</t>
  </si>
  <si>
    <t>SCRAPER ANGLE DOUBLE ENDED, 300MM</t>
  </si>
  <si>
    <t>HAMMER CHIPPING WITH HANDLE, 450GRM</t>
  </si>
  <si>
    <t>MARLINE SPIKE STEEL 300MM</t>
  </si>
  <si>
    <t>COUPLER QUICK-CONNECT STAINLESS STEEL 40PH 1/2"</t>
  </si>
  <si>
    <t>WIRE COPPER 1.6MM</t>
  </si>
  <si>
    <t>GRINDER ANGLE ELECTRIC 100MM, AC220V 1-PHASE</t>
  </si>
  <si>
    <t>QUOTED BRAND BOSCH</t>
  </si>
  <si>
    <t>WRENCH ADJUSTABLE HEAVY-DUTY, 375MM</t>
  </si>
  <si>
    <t>WRENCH ADJUSTABLE HEAVY-DUTY, 200MM</t>
  </si>
  <si>
    <t>SCF-S-TOO1199</t>
  </si>
  <si>
    <t>DRILL SET HSS STRAIGHT SHANK, 1.5-6.5MM 13'S IN POLY CASE</t>
  </si>
  <si>
    <t>CHINA BROOM LONG HANDLED</t>
  </si>
  <si>
    <t>DUST MASK DISPOSABLE</t>
  </si>
  <si>
    <t>COUPLER QUICK-CONNECT STAINLESS STEEL 30PH 3/8"</t>
  </si>
  <si>
    <t>RIVET BLIND OPENTYPE ALUM-BODY, STEEL-MANDREL 4.0X8.6MM 50'S</t>
  </si>
  <si>
    <t>GREASE LUBRICATOR AIR POWERED, FOR 400GRM CARTRIDGE</t>
  </si>
  <si>
    <t>WIRE GALVANIZED IRON 3.2MM</t>
  </si>
  <si>
    <t>LADDER WHARF ALUMINIUM ALLOY, WITH FURTHER DETAIL</t>
  </si>
  <si>
    <t>overal length about 2.5m with safety net and handrail stanchions</t>
  </si>
  <si>
    <t>SHOWER HEADS HAND HELD WITH RUBBER HOSE</t>
  </si>
  <si>
    <t>FLAG HINGE FOR DOOR STAINLESS, LEFT HAND L127XW100MM</t>
  </si>
  <si>
    <t>FLAG HINGE FOR DOOR STAINLESS, RIGHT HAND L127XW100MM</t>
  </si>
  <si>
    <t>MEAT GRINDER ELECTRIC AC220V, MINCE CAPACITY 12KGS/10MIN.</t>
  </si>
  <si>
    <t>BRAND WOWKUN</t>
  </si>
  <si>
    <t>WASHING MACHINE FULL AUTOMATIC, 220V, 10KG</t>
  </si>
  <si>
    <t>QUOTED BRAND ELECTROLUX,EWW10912  10KG 1P/220V/60HZ/2100W    600</t>
  </si>
  <si>
    <t>KETTLE ELECTRIC CORDLESS, AC220V 1.5LTR</t>
  </si>
  <si>
    <t>NOODLE BOWL REGULAR PLASTIC, JAPANESE STYLE 155MM DIAM</t>
  </si>
  <si>
    <t>FRUIT KNIFE STAINLESS STEEL BLADE 95MM</t>
  </si>
  <si>
    <t>TOOTH PICK ROUND 150'S</t>
  </si>
  <si>
    <t>BLANKET WOOL 100% 1500X2000MM, BLUE</t>
  </si>
  <si>
    <t>QUOTED CAMEL</t>
  </si>
  <si>
    <t>UNIVERSAL COOKING MIXER (Bowl cap.7ltr) 220V</t>
  </si>
  <si>
    <t>QUOTED BRAND Global</t>
  </si>
  <si>
    <t>SHEET ALL COTTON WHITE, 1600X2600MM</t>
  </si>
  <si>
    <t>SAME AS ITEM 75</t>
  </si>
  <si>
    <t>HAZARD WARNING VEST</t>
  </si>
  <si>
    <t>FLOTATION WORK VEST</t>
  </si>
  <si>
    <t>CABLE GRIP WITH FURTHER DETAIL</t>
  </si>
  <si>
    <t>PILLOW POLYURETHAN FOAM 400X600MM</t>
  </si>
  <si>
    <t>SHEET ALL COTTON WHITE, 1828X2500MM</t>
  </si>
  <si>
    <t>RICE BOWL LARGE W/COVER CHINA, JAPANESE STYLE 155MM DIAM</t>
  </si>
  <si>
    <t>SPONGE YELLOW W/GREEN SCRUBBING PAD</t>
  </si>
  <si>
    <t>QUOTED BRAND 3M</t>
  </si>
  <si>
    <t>PLASTIC BAG TRANSPARENT, 320X380MM 50'S</t>
  </si>
  <si>
    <t>SOAP LIQUID 800CC FOR GALLEY (1 LTR ).</t>
  </si>
  <si>
    <t>DUST PAN PLASTIC FLAT</t>
  </si>
  <si>
    <t>WRINGER MOP BUCKET (Hard Plastic)</t>
  </si>
  <si>
    <t>CLEANER OVEN 300GRM</t>
  </si>
  <si>
    <t>QUOTED EQUIVALENT</t>
  </si>
  <si>
    <t>SOAP LAUNDRY SOLID CAKE 190GRM</t>
  </si>
  <si>
    <t>SOAP TOILET LUX 3OZ</t>
  </si>
  <si>
    <t>BLANKET COVER  COTTON WHITE SIZE: WIDTH 2300 MM X LENGHT 2600MM)</t>
  </si>
  <si>
    <t>DELIVERY TIME 3 WORKING DAYS CUSTOM MADE  NON-RETURNABLE</t>
  </si>
  <si>
    <t>TOILET PAPER 2-PLY SOFT 100'S</t>
  </si>
  <si>
    <t>C/T</t>
  </si>
  <si>
    <t>FACE TOWEL COTTON WHITE 330 X 750MM, 80GRM</t>
  </si>
  <si>
    <t>THICK QUALITY</t>
  </si>
  <si>
    <t>PILLOW CASE WHITE REGULAR, 750X500X200MM</t>
  </si>
  <si>
    <t>NON SKID SHEET MESH, WIDTH 600MM</t>
  </si>
  <si>
    <t>QUOTED W=800MM, TOTAL PRICE FOR 10M</t>
  </si>
  <si>
    <t>FISH SHEARS 200MM LENGTH</t>
  </si>
  <si>
    <t>POTATO PEELERS FRAME</t>
  </si>
  <si>
    <t>TISSUE PAPER ECONOMY SIZE</t>
  </si>
  <si>
    <t>QUOTED 12S/ROL</t>
  </si>
  <si>
    <t>CHOPSTICKS PLASTIC SQUARE, JAPANESE STYLE</t>
  </si>
  <si>
    <t>COFFEE CUP STANDARD WITH BLUE LINE 150CC</t>
  </si>
  <si>
    <t>LAUNDRY STARCH 1KG</t>
  </si>
  <si>
    <t>DISINFECTANT LIQUID CRESOL, 500CC</t>
  </si>
  <si>
    <t>MIXING BOWL STAINLESS STEEL, 450MM DIA</t>
  </si>
  <si>
    <t>MIXING BOWL STAINLESS STEEL 360MM DIA</t>
  </si>
  <si>
    <t>BATH TOWEL COTTON WHITE, 700-800 X 1300-1400MM (300grm )</t>
  </si>
  <si>
    <t>KARAT MAXI PLUS MOORING ROPE, 8-STRAND 9"CIRX220MTR</t>
  </si>
  <si>
    <t>must floating in fresh water ,gravity less 0.98</t>
  </si>
  <si>
    <t>Multi colour Ball point pens</t>
  </si>
  <si>
    <t>RED COLOUR</t>
  </si>
  <si>
    <t>CORRECTION TAPE IN DISPENSER 4.2MM</t>
  </si>
  <si>
    <t>LAMINATING POUCH FILM-A4 SIZE</t>
  </si>
  <si>
    <t>100'S/PKT</t>
  </si>
  <si>
    <t>HP61 BLACK</t>
  </si>
  <si>
    <t>HP802 (BLACK 10 PCS,COLOUR 10 PCS)</t>
  </si>
  <si>
    <t>THERMOMETER CLINICAL Available only in centigrade degrees.</t>
  </si>
  <si>
    <t>Calculator desk TYPE - CANON 12 DIGITS SOLAR</t>
  </si>
  <si>
    <t>DYMO LABEL CASSETTE 9 mm X 7 m   (BLACK / WHITE)</t>
  </si>
  <si>
    <t>S0720680 (40913)</t>
  </si>
  <si>
    <t>DYMO TAPES 9MM*7M</t>
  </si>
  <si>
    <t>WATER =-SOLUBLE BALL POINT PEN-0.5MM BLACK</t>
  </si>
  <si>
    <t>0.5MM</t>
  </si>
  <si>
    <t>SPHYGMOMANOMETER DIGITAL Compact and lightweight, battery operated sphygmomanometer.  Power source is two R6P (UM-3 • AA) batteries.  The measuring range</t>
  </si>
  <si>
    <t>USB Memory sticks</t>
  </si>
  <si>
    <t>472683R</t>
  </si>
  <si>
    <t>AT LEAST 8GB</t>
  </si>
  <si>
    <t>keyboard for computer</t>
  </si>
  <si>
    <t>EA</t>
  </si>
  <si>
    <t>MOUSE WIRELESS DOS V, PS/2 6 SERIAL MOUSE</t>
  </si>
  <si>
    <t>FOR COMPUTER</t>
  </si>
  <si>
    <t>BINOCULARS 7X50IF WATER-PROOF, WITH SCALE</t>
  </si>
  <si>
    <t>7*50</t>
  </si>
  <si>
    <t>FLY SWATTERS OVERALL LENGTH 550 MM</t>
  </si>
  <si>
    <t>MATTING PLASTIC CORRUGATED, 2X910MMX20MTR</t>
  </si>
  <si>
    <t>BROOM CORN LONG HANDLED</t>
  </si>
  <si>
    <t>PLASTIC</t>
  </si>
  <si>
    <t>DOOR ADJUSTER STAINLESS STEEL, OVERALL LENGTH 350MM</t>
  </si>
  <si>
    <t xml:space="preserve">see attachment </t>
  </si>
  <si>
    <t>SCF-S-ELE641</t>
  </si>
  <si>
    <t>RECEPTACLE CABIN SURFACE, DOUBLE</t>
  </si>
  <si>
    <t>"BULL" with cable 5m - 220v</t>
  </si>
  <si>
    <t>SCREWDRIVER ELECTRICIAN'S, WOOD HANDLE SLOTTED 5.5X100MM</t>
  </si>
  <si>
    <t>SAWDUST 10KG/BAG</t>
  </si>
  <si>
    <t>HEAVING LINE COTTON, 1-1/8"CIRX200MTR</t>
  </si>
  <si>
    <t xml:space="preserve">with 6 rubber heads </t>
  </si>
  <si>
    <t>ROPE WIRE BLACK 6X24, 8MM DIAX200MTR</t>
  </si>
  <si>
    <t>for grab tug wire</t>
  </si>
  <si>
    <t>PEDAL FLIP WASTE BASKET; STAINLESS STEEL; 250MM X 395MM (DIAXHT); 12 LTRS</t>
  </si>
  <si>
    <t>PLASTICS BAGS FOR GARBAGE DISPOSAL (10SHTS PER PKT) 650x850MM</t>
  </si>
  <si>
    <t>WRAPPING FOIL CELLOPHANE, 450MMX500MTR</t>
  </si>
  <si>
    <t>HANDHELD MARINE RADIO VHF, HX-370S INTRINSICALLY SAFE</t>
  </si>
  <si>
    <t>QUAN SHENG (MODEL:TM-298PLUS),PLS SUPPLY FOLLOWING ATTACHMENTS</t>
  </si>
  <si>
    <t>JACK HYDRAULIC PORTABLE 2TON</t>
  </si>
  <si>
    <t>this application not for "jack", it's for windlass BHC test tool , pls  supply one set.</t>
  </si>
  <si>
    <t>TABLE TENNIS BALL (12'S)</t>
  </si>
  <si>
    <t xml:space="preserve">this requisition not for "table tennis ball",ball with  diameter 45mm. see attachment </t>
  </si>
  <si>
    <t>CHALK SCHOOL RED 100'S</t>
  </si>
  <si>
    <t>BIG SIZE</t>
  </si>
  <si>
    <t>QUILT WITH FURTHER DETAILS</t>
  </si>
  <si>
    <t>1800*2400=4pcs  1500*2000=19pcs</t>
  </si>
  <si>
    <t>CLEANER DRAIN PIPE 1KG</t>
  </si>
  <si>
    <t>SAUCE PAN STAINLESS STEEL, 1.7LTR</t>
  </si>
  <si>
    <t>water spoon 1.5L</t>
  </si>
  <si>
    <t>CLEAVER CARBON STEEL, BLADE 180MM</t>
  </si>
  <si>
    <t>CLEAVER CARBON STEEL, BLADE 210MM</t>
  </si>
  <si>
    <t>for cuting bone</t>
  </si>
  <si>
    <t>MICROWAVE OVEN 20LTR 220V</t>
  </si>
  <si>
    <t>ELECTRIC HOT PLATE, ELEMENT COVERED 1200W 220V</t>
  </si>
  <si>
    <t>AC220V, induction cooker</t>
  </si>
  <si>
    <t>PLASTIC BAG 260X380MM 100'S, FOR FOOD RESERVATION</t>
  </si>
  <si>
    <t>COOKING PAPER, 380X240MMX75CUT/RL 2RLS/PKT</t>
  </si>
  <si>
    <t>OVEN MITT HEAT PROTECTION, ALUMINIZED CLOTH</t>
  </si>
  <si>
    <t>BASKET ROUND PLASTIC, 290MM DIAM</t>
  </si>
  <si>
    <t>DINNER FORK 18-CHROME STAINLESS STEEL ECONOMY GRADE</t>
  </si>
  <si>
    <t>TABLE SPOON 18-CHROME ; STAINLESS ENGRAVED HANDLE</t>
  </si>
  <si>
    <t>POULTRY SECATEUR 250MM, STAINLESS STEEL</t>
  </si>
  <si>
    <t>CHALK SCHOOL YELLOW 100'S</t>
  </si>
  <si>
    <t>CANVAS COTTON COLOR, WATER-PROOF NO.9 915MM WIDTH</t>
  </si>
  <si>
    <t>HEX HEAD BOLT STEEL UNGALV, M27 X 90MM</t>
  </si>
  <si>
    <t>steel , normal size:12mm length :60-95mm</t>
  </si>
  <si>
    <t>SCRAPER DECK W/HANDLE 50X900MM, NON-SPARK SPECIAL ALUM BRONZE</t>
  </si>
  <si>
    <t>DRAGER 6733181</t>
  </si>
  <si>
    <t>DRAGER TUBE 6733181 Ozone 0.05/b 0.05 - 1.4 ppm,10's</t>
  </si>
  <si>
    <t>DETECTOR TUBE KITAGAWA 109SB, CHLORINE 0.5-10.0PPM 10'S/PKT</t>
  </si>
  <si>
    <t>ASPIRATOR PUMP FOR KITAGAWA, GAS DETECTOR MODEL AP-20</t>
  </si>
  <si>
    <t>SHOVEL SQUARE NON-SPARK, SPECIAL ALUM BRONZE 180X910MM</t>
  </si>
  <si>
    <t>Other Charges</t>
  </si>
  <si>
    <t>Amount</t>
  </si>
  <si>
    <t>Price</t>
  </si>
  <si>
    <t>Packing cost</t>
  </si>
  <si>
    <t>Freight charge</t>
  </si>
  <si>
    <t>Item Sub Total :</t>
  </si>
  <si>
    <t>Grand Total :</t>
  </si>
  <si>
    <t>Pal-pms-quotations@bs-shipmanagement.com</t>
  </si>
  <si>
    <t>194.42.133.180</t>
  </si>
  <si>
    <t>Buyer Remarks</t>
  </si>
  <si>
    <t>Your Quotation is subjected to :</t>
  </si>
  <si>
    <t>“This order is placed for and on behalf of the Owners as Agents only.”</t>
  </si>
  <si>
    <t>RFQFileType</t>
  </si>
  <si>
    <t>ADP</t>
  </si>
  <si>
    <t>RFQ_ID</t>
  </si>
  <si>
    <t>AED</t>
  </si>
  <si>
    <t>ADDITIONAL JOBS</t>
  </si>
  <si>
    <t>RequestForQuoteID</t>
  </si>
  <si>
    <t>AFA</t>
  </si>
  <si>
    <t>AGENCY FEE</t>
  </si>
  <si>
    <t>HeaderID</t>
  </si>
  <si>
    <t>AUD</t>
  </si>
  <si>
    <t>HANDLING CHARGE</t>
  </si>
  <si>
    <t>VendorID</t>
  </si>
  <si>
    <t>BAD</t>
  </si>
  <si>
    <t>PACKING CHARGE</t>
  </si>
  <si>
    <t>RFQCategory</t>
  </si>
  <si>
    <t>SMC - STORES</t>
  </si>
  <si>
    <t>BAM</t>
  </si>
  <si>
    <t>SPARE USED</t>
  </si>
  <si>
    <t>QuoteID</t>
  </si>
  <si>
    <t>BBD</t>
  </si>
  <si>
    <t>WAREHOUSING</t>
  </si>
  <si>
    <t>BHD</t>
  </si>
  <si>
    <t>CRANAGE</t>
  </si>
  <si>
    <t>BMD</t>
  </si>
  <si>
    <t>CUSTOMS</t>
  </si>
  <si>
    <t>BOL</t>
  </si>
  <si>
    <t>LAUNCH HIRE CHARGE</t>
  </si>
  <si>
    <t>BRL</t>
  </si>
  <si>
    <t>ROUNDING ADJUSTMENT</t>
  </si>
  <si>
    <t>BSD</t>
  </si>
  <si>
    <t>BOAT CHARGES</t>
  </si>
  <si>
    <t>CAD</t>
  </si>
  <si>
    <t>MINIMUM QUANTITY CHARGE</t>
  </si>
  <si>
    <t>CDZ</t>
  </si>
  <si>
    <t>CHF</t>
  </si>
  <si>
    <t>CLP</t>
  </si>
  <si>
    <t>CNY</t>
  </si>
  <si>
    <t>CYP</t>
  </si>
  <si>
    <t>CZK</t>
  </si>
  <si>
    <t>DEM</t>
  </si>
  <si>
    <t>DKK</t>
  </si>
  <si>
    <t>EGP</t>
  </si>
  <si>
    <t>ESP</t>
  </si>
  <si>
    <t>ETB</t>
  </si>
  <si>
    <t>EUR</t>
  </si>
  <si>
    <t>FKP</t>
  </si>
  <si>
    <t>GBP</t>
  </si>
  <si>
    <t>GEK</t>
  </si>
  <si>
    <t>GEL</t>
  </si>
  <si>
    <t>GRD</t>
  </si>
  <si>
    <t>HKD</t>
  </si>
  <si>
    <t>HRK</t>
  </si>
  <si>
    <t>IDR</t>
  </si>
  <si>
    <t>INR</t>
  </si>
  <si>
    <t>JPY</t>
  </si>
  <si>
    <t>KRW</t>
  </si>
  <si>
    <t>KWD</t>
  </si>
  <si>
    <t>MAD</t>
  </si>
  <si>
    <t>MDL</t>
  </si>
  <si>
    <t>MXN</t>
  </si>
  <si>
    <t>MYR</t>
  </si>
  <si>
    <t>NAD</t>
  </si>
  <si>
    <t>NOK</t>
  </si>
  <si>
    <t>NZD</t>
  </si>
  <si>
    <t>OMR</t>
  </si>
  <si>
    <t>PGK</t>
  </si>
  <si>
    <t>PHP</t>
  </si>
  <si>
    <t>PLN</t>
  </si>
  <si>
    <t>QAR</t>
  </si>
  <si>
    <t>RON</t>
  </si>
  <si>
    <t>RUB</t>
  </si>
  <si>
    <t>SAR</t>
  </si>
  <si>
    <t>SDG</t>
  </si>
  <si>
    <t>SEK</t>
  </si>
  <si>
    <t>SGD</t>
  </si>
  <si>
    <t>SLL</t>
  </si>
  <si>
    <t>STD</t>
  </si>
  <si>
    <t>THB</t>
  </si>
  <si>
    <t>TRY</t>
  </si>
  <si>
    <t>TWD</t>
  </si>
  <si>
    <t>UAH</t>
  </si>
  <si>
    <t>UAK</t>
  </si>
  <si>
    <t>UGS</t>
  </si>
  <si>
    <t>USD</t>
  </si>
  <si>
    <t>UYU</t>
  </si>
  <si>
    <t>VEF</t>
  </si>
  <si>
    <t>VND</t>
  </si>
  <si>
    <t>ZAR</t>
  </si>
  <si>
    <t>ZRZ</t>
  </si>
  <si>
    <t>ZWD</t>
  </si>
  <si>
    <t>BJD1909231045124LET</t>
  </si>
  <si>
    <t>T3.2MM 1.2M*1.5M</t>
  </si>
  <si>
    <t>1.5V (AM-3) TYPE AA 2500MAH</t>
  </si>
  <si>
    <t>SUS304</t>
  </si>
  <si>
    <t>YONGSHENG</t>
  </si>
  <si>
    <t>6M/LGH</t>
  </si>
  <si>
    <t>LOCTITE</t>
  </si>
  <si>
    <t>HWAYAN BWFY-3</t>
  </si>
  <si>
    <t>75MM*18M/ROLL</t>
  </si>
  <si>
    <t>4*16MTR MESH 200*200/ MESH ROPE 5.5MM/RIM ROPE 8MM,NOT SUITABLE FOR CANADA STANDAR</t>
  </si>
  <si>
    <t>60MM*18M/ROLL</t>
  </si>
  <si>
    <t>250CC</t>
  </si>
  <si>
    <t>0.8KG（1000ML）</t>
  </si>
  <si>
    <t>MUST BE WITH LOCK</t>
  </si>
  <si>
    <t>KENPO KP-ED10,220V 10MM 400W 50/60HZ</t>
  </si>
  <si>
    <t>90%-COTTON 25KG/PKT,NO LOOSE</t>
  </si>
  <si>
    <t>8MM*300M</t>
  </si>
  <si>
    <t>EQUIVALENT</t>
  </si>
  <si>
    <t>PLS ADV SIZE</t>
  </si>
  <si>
    <t>WD-40 ORIGINAL</t>
  </si>
  <si>
    <t>10KG/PKT</t>
  </si>
  <si>
    <t>DELIVERY TIME 4-7 WORKING DAYS</t>
  </si>
  <si>
    <t>146.10 USE WITH ABV | Price-3.45</t>
  </si>
  <si>
    <t>KENPO KP-100,220V 100MM 750W 60HZ</t>
  </si>
  <si>
    <t>154.10 USE WITH ABV | Price-3.27</t>
  </si>
  <si>
    <t>W0.6*L2.5MTR</t>
  </si>
  <si>
    <t>220V/60HZ/15KG/10MIN 330*150*340MM</t>
  </si>
  <si>
    <t>CLARENCE XQB65-6588-A, TOP LOAD,220V/60HZ/6.5KG 380W 530*530*910MM
163.10 CLARENCE XQB100-1088-A, TOP LOAD,220V/60HZ/10KG 400W 600*560*980MM | Price-316.30</t>
  </si>
  <si>
    <t>220V/60HZ 2L 270*180MM</t>
  </si>
  <si>
    <t>100S/PKT</t>
  </si>
  <si>
    <t>220V/60HZ/5.0L 1200W 420*260*410MM</t>
  </si>
  <si>
    <t>RONGGUI RSGY-1,WITH CCS CERT</t>
  </si>
  <si>
    <t>DIAOPAI 206G</t>
  </si>
  <si>
    <t>LUX 80G</t>
  </si>
  <si>
    <t>500G/PKT</t>
  </si>
  <si>
    <t>UNIT PRICE 1458.72USD/CL,BRAND JIULI,POLYESTER &amp; POLYPROPYLENE MIXED,73MM-220M,559KG,820KN,NON-RETURN</t>
  </si>
  <si>
    <t>0.7MM 4 COLORS</t>
  </si>
  <si>
    <t>EQUIVALENT,BLACK
204.10 EQUIVALENT,COLOR | Price-6.82</t>
  </si>
  <si>
    <t>DELI</t>
  </si>
  <si>
    <t>WITHOUT CABLE</t>
  </si>
  <si>
    <t>GALV,6*24+FC-8mm*200M,ROTATING,BOTH END SEIZING,MBL:31.7KN,WITH CCS SOPY CERT,NON-RETURN</t>
  </si>
  <si>
    <t>450MM*300MTR/ROLL</t>
  </si>
  <si>
    <t>QUANSHENG UV2 PLUS,PLS CONFIRM VOLTAGE &amp; PROVIDE FREQUENCY UPON CONFIRMATION</t>
  </si>
  <si>
    <t>PLS ADV DRAWING</t>
  </si>
  <si>
    <t>COLORED</t>
  </si>
  <si>
    <t>1500*2000MM
231.10 1800*2200MM | Price-2.98</t>
  </si>
  <si>
    <t>500G/BTL</t>
  </si>
  <si>
    <t>OD180*110MM 2.7LTR 0.8MM 0.93KG</t>
  </si>
  <si>
    <t>227*125MM 597G</t>
  </si>
  <si>
    <t>SAME AS ABV</t>
  </si>
  <si>
    <t>220V/60HZ 20L 700W 45*31*26CM</t>
  </si>
  <si>
    <t>220V /60Hz</t>
  </si>
  <si>
    <t>W*1MTR T=0.54MM 50M/COIL,NO CUT</t>
  </si>
  <si>
    <t>COMMON TYPE</t>
  </si>
  <si>
    <t>DRAGER</t>
  </si>
  <si>
    <t>SQUARE FIBREGLASS</t>
  </si>
  <si>
    <t xml:space="preserve">
Date promised : 2019-09-26
Quote validity : 2019-10-23
Item Added - 146.10 : COUPLER QUICK-CONNECT STAINLESS STEEL 40PH 1/2 | Ref.No.:351253 | QTY : 0 | UOM : PCS | Price : 3.45 USD | Remarks : USE WITH ABV
Item Added - 154.10 : COUPLER QUICK-CONNECT STAINLESS STEEL 30PH 3/8 | Ref.No.:351252 | QTY : 0 | UOM : PCS | Price : 3.27 USD | Remarks : USE WITH ABV
Item Added - 163.10 : WASHING MACHINE FULL AUTOMATIC, 220V, 10KG | Ref.No.:174707 | QTY : 0 | UOM : SET | Price : 316.3 USD | Remarks : CLARENCE XQB100-1088-A, TOP LOAD,220V/60HZ/10KG 400W 600*560*980MM
Item Added - 204.10 : HP61 BLACK | Ref.No.:472727 | QTY : 20 | UOM : PCS | Price : 6.82 USD | Remarks : EQUIVALENT,COLOR
Item Added - 231.10 : QUILT WITH FURTHER DETAILS | Ref.No.:150387 | QTY : 23 | UOM : PCS | Price : 2.98 USD | Remarks : 1800*2200MM
 Item Total : 13572.02</t>
  </si>
</sst>
</file>

<file path=xl/styles.xml><?xml version="1.0" encoding="utf-8"?>
<styleSheet xmlns="http://schemas.openxmlformats.org/spreadsheetml/2006/main"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16r2="http://schemas.microsoft.com/office/spreadsheetml/2015/02/main" xmlns:x="http://schemas.openxmlformats.org/spreadsheetml/2006/main" mc:Ignorable="x14ac x16r2">
  <numFmts count="12"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[$-409]mmmm\ d\,\ yyyy;@"/>
    <numFmt numFmtId="165" formatCode="m/d/yy;@"/>
    <numFmt numFmtId="166" formatCode="[$-409]d/mmm/yyyy;@"/>
    <numFmt numFmtId="167" formatCode=";;;"/>
    <numFmt numFmtId="168" formatCode="#,##0.000"/>
    <numFmt numFmtId="169" formatCode="0.000"/>
    <numFmt numFmtId="170" formatCode="[$-409]d\-mmm\-yyyy;@"/>
    <numFmt numFmtId="175" formatCode="#,##0.00"/>
  </numFmts>
  <fonts count="45"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indexed="6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i/>
      <sz val="38"/>
      <color indexed="41"/>
      <name val="Calibri"/>
      <family val="2"/>
      <scheme val="minor"/>
    </font>
    <font>
      <sz val="8"/>
      <name val="Calibri"/>
      <family val="2"/>
      <scheme val="minor"/>
    </font>
    <font>
      <b/>
      <sz val="8"/>
      <color indexed="61"/>
      <name val="Calibri"/>
      <family val="2"/>
      <scheme val="minor"/>
    </font>
    <font>
      <i/>
      <sz val="8"/>
      <name val="Calibri"/>
      <family val="2"/>
      <scheme val="minor"/>
    </font>
    <font>
      <b/>
      <sz val="9"/>
      <name val="Calibri"/>
      <family val="2"/>
      <scheme val="minor"/>
    </font>
    <font>
      <b/>
      <sz val="10"/>
      <color theme="3"/>
      <name val="Calibri"/>
      <family val="2"/>
      <scheme val="minor"/>
    </font>
    <font>
      <b/>
      <sz val="8"/>
      <color theme="3" tint="-0.499969989061356"/>
      <name val="Calibri"/>
      <family val="2"/>
      <scheme val="minor"/>
    </font>
    <font>
      <b/>
      <sz val="10"/>
      <color theme="3" tint="-0.499969989061356"/>
      <name val="Calibri"/>
      <family val="2"/>
      <scheme val="minor"/>
    </font>
    <font>
      <sz val="8"/>
      <color theme="3" tint="-0.499969989061356"/>
      <name val="Calibri"/>
      <family val="2"/>
      <scheme val="minor"/>
    </font>
    <font>
      <b/>
      <sz val="9"/>
      <color theme="3" tint="-0.499969989061356"/>
      <name val="Calibri"/>
      <family val="2"/>
      <scheme val="minor"/>
    </font>
    <font>
      <sz val="10"/>
      <color theme="3" tint="-0.499969989061356"/>
      <name val="Calibri"/>
      <family val="2"/>
      <scheme val="minor"/>
    </font>
    <font>
      <b/>
      <i/>
      <sz val="36"/>
      <color indexed="41"/>
      <name val="Calibri"/>
      <family val="2"/>
      <scheme val="minor"/>
    </font>
    <font>
      <b/>
      <sz val="14"/>
      <color theme="3"/>
      <name val="Calibri"/>
      <family val="2"/>
      <scheme val="minor"/>
    </font>
    <font>
      <sz val="9"/>
      <color theme="3" tint="-0.499969989061356"/>
      <name val="Calibri"/>
      <family val="2"/>
      <scheme val="minor"/>
    </font>
    <font>
      <sz val="9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0"/>
      <color theme="3"/>
      <name val="Calibri"/>
      <family val="2"/>
    </font>
    <font>
      <b/>
      <sz val="10"/>
      <color rgb="FFFF0000"/>
      <name val="Calibri"/>
      <family val="2"/>
    </font>
  </fonts>
  <fills count="38">
    <fill>
      <patternFill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79984760284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79984760284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79984760284"/>
        <bgColor indexed="64"/>
      </patternFill>
    </fill>
    <fill>
      <patternFill patternType="solid">
        <fgColor theme="6" tint="0.599990010261536"/>
        <bgColor indexed="64"/>
      </patternFill>
    </fill>
    <fill>
      <patternFill patternType="solid">
        <fgColor theme="6" tint="0.3999800086021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79984760284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7" tint="0.3999800086021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9" tint="0.3999800086021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60029125214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thick">
        <color theme="4"/>
      </bottom>
    </border>
    <border>
      <left/>
      <right/>
      <top/>
      <bottom style="medium">
        <color theme="4" tint="0.399980008602142"/>
      </bottom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/>
      <right/>
      <top/>
      <bottom style="thick">
        <color theme="4" tint="0.499980002641678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/>
      <right/>
      <top/>
      <bottom style="double">
        <color rgb="FFFF8001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/>
      <right/>
      <top style="thin">
        <color theme="4"/>
      </top>
      <bottom style="double">
        <color theme="4"/>
      </bottom>
    </border>
    <border>
      <left/>
      <right/>
      <top style="medium">
        <color theme="4" tint="0.399980008602142"/>
      </top>
      <bottom style="medium">
        <color theme="4" tint="0.399980008602142"/>
      </bottom>
    </border>
    <border>
      <left style="thin">
        <color indexed="41"/>
      </left>
      <right style="thin">
        <color indexed="41"/>
      </right>
      <top style="thin">
        <color indexed="41"/>
      </top>
      <bottom style="thin">
        <color indexed="41"/>
      </bottom>
    </border>
    <border>
      <left style="thin">
        <color indexed="41"/>
      </left>
      <right/>
      <top style="thin">
        <color indexed="41"/>
      </top>
      <bottom style="thin">
        <color indexed="41"/>
      </bottom>
    </border>
    <border>
      <left style="thin">
        <color indexed="41"/>
      </left>
      <right style="thin">
        <color indexed="41"/>
      </right>
      <top/>
      <bottom style="thin">
        <color indexed="41"/>
      </bottom>
    </border>
    <border>
      <left style="thin"/>
      <right style="thin"/>
      <top style="thin"/>
      <bottom style="thin"/>
    </border>
    <border>
      <left style="thin">
        <color indexed="44"/>
      </left>
      <right/>
      <top/>
      <bottom/>
    </border>
    <border>
      <left/>
      <right/>
      <top/>
      <bottom style="thin"/>
    </border>
    <border>
      <left style="thin">
        <color rgb="FF7F7F7F"/>
      </left>
      <right style="thin">
        <color rgb="FF7F7F7F"/>
      </right>
      <top style="medium">
        <color theme="4" tint="0.399980008602142"/>
      </top>
      <bottom/>
    </border>
    <border>
      <left/>
      <right/>
      <top style="medium">
        <color theme="4" tint="0.399949997663498"/>
      </top>
      <bottom style="medium">
        <color theme="4" tint="0.399980008602142"/>
      </bottom>
    </border>
    <border>
      <left/>
      <right style="thin"/>
      <top style="thin"/>
      <bottom style="thin"/>
    </border>
    <border>
      <left style="thin"/>
      <right/>
      <top style="thin"/>
      <bottom style="thin"/>
    </border>
    <border>
      <left/>
      <right style="thin"/>
      <top/>
      <bottom style="thin"/>
    </border>
    <border>
      <left style="thin"/>
      <right/>
      <top/>
      <bottom/>
    </border>
    <border>
      <left/>
      <right style="thin">
        <color rgb="FF7F7F7F"/>
      </right>
      <top style="medium">
        <color theme="4" tint="0.399980008602142"/>
      </top>
      <bottom style="medium">
        <color theme="4" tint="0.399980008602142"/>
      </bottom>
    </border>
    <border>
      <left style="thin">
        <color indexed="44"/>
      </left>
      <right/>
      <top/>
      <bottom style="thin"/>
    </border>
    <border>
      <left/>
      <right/>
      <top style="thin"/>
      <bottom style="thin"/>
    </border>
    <border>
      <left/>
      <right/>
      <top style="thick">
        <color theme="4"/>
      </top>
      <bottom/>
    </border>
    <border>
      <left/>
      <right/>
      <top/>
      <bottom style="medium">
        <color theme="4" tint="0.399949997663498"/>
      </bottom>
    </border>
    <border>
      <left style="thin"/>
      <right/>
      <top style="thin"/>
      <bottom/>
    </border>
    <border>
      <left/>
      <right/>
      <top style="thin"/>
      <bottom/>
    </border>
    <border>
      <left/>
      <right style="thin"/>
      <top style="medium">
        <color theme="4" tint="0.399980008602142"/>
      </top>
      <bottom style="medium">
        <color theme="4" tint="0.399980008602142"/>
      </bottom>
    </border>
    <border>
      <left/>
      <right style="thin">
        <color indexed="44"/>
      </right>
      <top/>
      <bottom/>
    </border>
  </borders>
  <cellStyleXfs count="61">
    <xf numFmtId="0" fontId="0" fillId="0" borderId="0">
      <alignment/>
      <protection/>
    </xf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0" fontId="0" fillId="0" borderId="0" applyNumberFormat="0" applyFill="0" applyBorder="0" applyAlignment="0" applyProtection="0"/>
    <xf numFmtId="9" fontId="0" fillId="0" borderId="0" applyFont="0" applyFill="0" applyBorder="0" applyAlignment="0" applyProtection="0"/>
    <xf numFmtId="44" fontId="0" fillId="0" borderId="0" applyFont="0" applyFill="0" applyBorder="0" applyAlignment="0" applyProtection="0"/>
    <xf numFmtId="42" fontId="0" fillId="0" borderId="0" applyFont="0" applyFill="0" applyBorder="0" applyAlignment="0" applyProtection="0"/>
    <xf numFmtId="43" fontId="0" fillId="0" borderId="0" applyFont="0" applyFill="0" applyBorder="0" applyAlignment="0" applyProtection="0"/>
    <xf numFmtId="41" fontId="0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2" borderId="3" applyNumberFormat="0" applyAlignment="0" applyProtection="0"/>
    <xf numFmtId="0" fontId="1" fillId="3" borderId="0" applyNumberFormat="0" applyBorder="0" applyAlignment="0" applyProtection="0"/>
    <xf numFmtId="0" fontId="28" fillId="0" borderId="0" applyNumberFormat="0" applyFill="0" applyBorder="0" applyAlignment="0" applyProtection="0"/>
    <xf numFmtId="0" fontId="29" fillId="0" borderId="4" applyNumberFormat="0" applyFill="0" applyAlignment="0" applyProtection="0"/>
    <xf numFmtId="0" fontId="4" fillId="0" borderId="0" applyNumberFormat="0" applyFill="0" applyBorder="0" applyAlignment="0" applyProtection="0"/>
    <xf numFmtId="0" fontId="30" fillId="4" borderId="0" applyNumberFormat="0" applyBorder="0" applyAlignment="0" applyProtection="0"/>
    <xf numFmtId="0" fontId="31" fillId="5" borderId="0" applyNumberFormat="0" applyBorder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2" borderId="5" applyNumberFormat="0" applyAlignment="0" applyProtection="0"/>
    <xf numFmtId="0" fontId="35" fillId="0" borderId="6" applyNumberFormat="0" applyFill="0" applyAlignment="0" applyProtection="0"/>
    <xf numFmtId="0" fontId="36" fillId="8" borderId="7" applyNumberFormat="0" applyAlignment="0" applyProtection="0"/>
    <xf numFmtId="0" fontId="37" fillId="0" borderId="0" applyNumberFormat="0" applyFill="0" applyBorder="0" applyAlignment="0" applyProtection="0"/>
    <xf numFmtId="0" fontId="0" fillId="9" borderId="8" applyNumberFormat="0" applyFont="0" applyAlignment="0" applyProtection="0"/>
    <xf numFmtId="0" fontId="38" fillId="0" borderId="0" applyNumberFormat="0" applyFill="0" applyBorder="0" applyAlignment="0" applyProtection="0"/>
    <xf numFmtId="0" fontId="39" fillId="0" borderId="9" applyNumberFormat="0" applyFill="0" applyAlignment="0" applyProtection="0"/>
    <xf numFmtId="0" fontId="40" fillId="10" borderId="0" applyNumberFormat="0" applyBorder="0" applyAlignment="0" applyProtection="0"/>
    <xf numFmtId="0" fontId="1" fillId="11" borderId="0" applyNumberFormat="0" applyBorder="0" applyAlignment="0" applyProtection="0"/>
    <xf numFmtId="0" fontId="40" fillId="12" borderId="0" applyNumberFormat="0" applyBorder="0" applyAlignment="0" applyProtection="0"/>
    <xf numFmtId="0" fontId="40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40" fillId="16" borderId="0" applyNumberFormat="0" applyBorder="0" applyAlignment="0" applyProtection="0"/>
    <xf numFmtId="0" fontId="40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40" fillId="20" borderId="0" applyNumberFormat="0" applyBorder="0" applyAlignment="0" applyProtection="0"/>
    <xf numFmtId="0" fontId="40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40" fillId="24" borderId="0" applyNumberFormat="0" applyBorder="0" applyAlignment="0" applyProtection="0"/>
    <xf numFmtId="0" fontId="40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40" fillId="32" borderId="0" applyNumberFormat="0" applyBorder="0" applyAlignment="0" applyProtection="0"/>
  </cellStyleXfs>
  <cellXfs count="302">
    <xf numFmtId="0" fontId="0" fillId="0" borderId="0" xfId="0"/>
    <xf numFmtId="0" fontId="7" fillId="33" borderId="0" xfId="0" applyFont="1" applyFill="1" applyBorder="1" applyAlignment="1" applyProtection="1">
      <alignment horizontal="left" indent="1"/>
      <protection/>
    </xf>
    <xf numFmtId="0" fontId="8" fillId="0" borderId="0" xfId="0" applyFont="1" applyProtection="1">
      <protection/>
    </xf>
    <xf numFmtId="0" fontId="9" fillId="33" borderId="0" xfId="0" applyFont="1" applyFill="1" applyBorder="1" applyAlignment="1" applyProtection="1">
      <alignment/>
      <protection/>
    </xf>
    <xf numFmtId="0" fontId="7" fillId="33" borderId="0" xfId="0" applyFont="1" applyFill="1" applyBorder="1" applyAlignment="1" applyProtection="1">
      <alignment horizontal="left"/>
      <protection/>
    </xf>
    <xf numFmtId="164" fontId="10" fillId="33" borderId="0" xfId="0" applyNumberFormat="1" applyFont="1" applyFill="1" applyAlignment="1" applyProtection="1">
      <alignment horizontal="left"/>
      <protection/>
    </xf>
    <xf numFmtId="0" fontId="6" fillId="33" borderId="0" xfId="0" applyFont="1" applyFill="1" applyAlignment="1" applyProtection="1">
      <alignment horizontal="left"/>
      <protection/>
    </xf>
    <xf numFmtId="0" fontId="10" fillId="0" borderId="0" xfId="0" applyFont="1" applyProtection="1">
      <protection/>
    </xf>
    <xf numFmtId="0" fontId="6" fillId="33" borderId="0" xfId="0" applyFont="1" applyFill="1" applyAlignment="1" applyProtection="1">
      <alignment vertical="top"/>
      <protection/>
    </xf>
    <xf numFmtId="0" fontId="10" fillId="33" borderId="0" xfId="0" applyFont="1" applyFill="1" applyBorder="1" applyAlignment="1" applyProtection="1">
      <alignment/>
      <protection/>
    </xf>
    <xf numFmtId="0" fontId="6" fillId="33" borderId="0" xfId="0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/>
      <protection/>
    </xf>
    <xf numFmtId="166" fontId="11" fillId="33" borderId="0" xfId="0" applyNumberFormat="1" applyFont="1" applyFill="1" applyAlignment="1" applyProtection="1">
      <alignment horizontal="left"/>
      <protection/>
    </xf>
    <xf numFmtId="0" fontId="8" fillId="0" borderId="0" xfId="0" applyFont="1" applyAlignment="1" applyProtection="1">
      <alignment wrapText="1"/>
      <protection/>
    </xf>
    <xf numFmtId="0" fontId="10" fillId="0" borderId="0" xfId="0" applyNumberFormat="1" applyFont="1" applyBorder="1" applyAlignment="1" applyProtection="1">
      <alignment horizontal="left"/>
      <protection/>
    </xf>
    <xf numFmtId="0" fontId="10" fillId="0" borderId="0" xfId="0" applyFont="1" applyBorder="1" applyAlignment="1" applyProtection="1">
      <alignment horizontal="left"/>
      <protection/>
    </xf>
    <xf numFmtId="0" fontId="6" fillId="0" borderId="0" xfId="0" applyFont="1" applyBorder="1" applyAlignment="1" applyProtection="1">
      <alignment horizontal="right"/>
      <protection/>
    </xf>
    <xf numFmtId="0" fontId="12" fillId="33" borderId="0" xfId="0" applyFont="1" applyFill="1" applyBorder="1" applyProtection="1">
      <protection/>
    </xf>
    <xf numFmtId="44" fontId="13" fillId="33" borderId="0" xfId="0" applyNumberFormat="1" applyFont="1" applyFill="1" applyBorder="1" applyAlignment="1" applyProtection="1">
      <alignment/>
      <protection/>
    </xf>
    <xf numFmtId="0" fontId="10" fillId="0" borderId="0" xfId="0" applyFont="1" applyAlignment="1" applyProtection="1">
      <alignment/>
      <protection/>
    </xf>
    <xf numFmtId="1" fontId="6" fillId="0" borderId="0" xfId="0" applyNumberFormat="1" applyFont="1" applyFill="1" applyBorder="1" applyAlignment="1">
      <alignment horizontal="right" vertical="center"/>
    </xf>
    <xf numFmtId="1" fontId="12" fillId="33" borderId="0" xfId="0" applyNumberFormat="1" applyFont="1" applyFill="1" applyBorder="1" applyProtection="1">
      <protection/>
    </xf>
    <xf numFmtId="1" fontId="13" fillId="33" borderId="0" xfId="0" applyNumberFormat="1" applyFont="1" applyFill="1" applyBorder="1" applyAlignment="1" applyProtection="1">
      <alignment/>
      <protection/>
    </xf>
    <xf numFmtId="0" fontId="14" fillId="33" borderId="0" xfId="0" applyFont="1" applyFill="1" applyAlignment="1" applyProtection="1">
      <alignment/>
      <protection/>
    </xf>
    <xf numFmtId="0" fontId="14" fillId="0" borderId="0" xfId="0" applyFont="1" applyProtection="1">
      <protection/>
    </xf>
    <xf numFmtId="0" fontId="14" fillId="33" borderId="0" xfId="0" applyFont="1" applyFill="1" applyAlignment="1" applyProtection="1">
      <alignment vertical="top"/>
      <protection/>
    </xf>
    <xf numFmtId="166" fontId="14" fillId="33" borderId="10" xfId="0" applyNumberFormat="1" applyFont="1" applyFill="1" applyBorder="1" applyAlignment="1" applyProtection="1">
      <alignment/>
      <protection/>
    </xf>
    <xf numFmtId="1" fontId="17" fillId="34" borderId="11" xfId="0" applyNumberFormat="1" applyFont="1" applyFill="1" applyBorder="1" applyAlignment="1" applyProtection="1">
      <alignment horizontal="right" vertical="center"/>
      <protection/>
    </xf>
    <xf numFmtId="1" fontId="17" fillId="34" borderId="12" xfId="0" applyNumberFormat="1" applyFont="1" applyFill="1" applyBorder="1" applyAlignment="1" applyProtection="1">
      <alignment horizontal="right" vertical="center"/>
      <protection/>
    </xf>
    <xf numFmtId="49" fontId="13" fillId="33" borderId="0" xfId="0" applyNumberFormat="1" applyFont="1" applyFill="1" applyBorder="1" applyAlignment="1" applyProtection="1">
      <alignment/>
      <protection/>
    </xf>
    <xf numFmtId="166" fontId="14" fillId="33" borderId="2" xfId="0" applyNumberFormat="1" applyFont="1" applyFill="1" applyBorder="1" applyAlignment="1" applyProtection="1">
      <alignment/>
      <protection/>
    </xf>
    <xf numFmtId="0" fontId="14" fillId="0" borderId="0" xfId="0" applyFont="1" applyBorder="1" applyAlignment="1" applyProtection="1">
      <alignment horizontal="right"/>
      <protection/>
    </xf>
    <xf numFmtId="1" fontId="6" fillId="0" borderId="13" xfId="0" applyNumberFormat="1" applyFont="1" applyFill="1" applyBorder="1" applyAlignment="1">
      <alignment horizontal="right" vertical="center"/>
    </xf>
    <xf numFmtId="1" fontId="17" fillId="34" borderId="14" xfId="0" applyNumberFormat="1" applyFont="1" applyFill="1" applyBorder="1" applyAlignment="1" applyProtection="1">
      <alignment horizontal="right" vertical="center"/>
      <protection/>
    </xf>
    <xf numFmtId="4" fontId="17" fillId="3" borderId="14" xfId="0" applyNumberFormat="1" applyFont="1" applyFill="1" applyBorder="1" applyAlignment="1" applyProtection="1">
      <alignment vertical="center"/>
      <protection locked="0"/>
    </xf>
    <xf numFmtId="165" fontId="18" fillId="35" borderId="14" xfId="0" applyNumberFormat="1" applyFont="1" applyFill="1" applyBorder="1" applyAlignment="1" applyProtection="1">
      <alignment horizontal="left" wrapText="1"/>
      <protection/>
    </xf>
    <xf numFmtId="49" fontId="17" fillId="34" borderId="14" xfId="0" applyNumberFormat="1" applyFont="1" applyFill="1" applyBorder="1" applyAlignment="1" applyProtection="1">
      <alignment horizontal="left" vertical="center"/>
      <protection/>
    </xf>
    <xf numFmtId="165" fontId="18" fillId="35" borderId="15" xfId="0" applyNumberFormat="1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11" fillId="33" borderId="0" xfId="0" applyFont="1" applyFill="1" applyAlignment="1" applyProtection="1">
      <alignment horizontal="left"/>
      <protection/>
    </xf>
    <xf numFmtId="166" fontId="14" fillId="33" borderId="0" xfId="0" applyNumberFormat="1" applyFont="1" applyFill="1" applyAlignment="1" applyProtection="1">
      <alignment horizontal="left"/>
      <protection/>
    </xf>
    <xf numFmtId="0" fontId="14" fillId="33" borderId="0" xfId="0" applyFont="1" applyFill="1" applyAlignment="1" applyProtection="1">
      <alignment horizontal="left"/>
      <protection/>
    </xf>
    <xf numFmtId="49" fontId="14" fillId="33" borderId="0" xfId="0" applyNumberFormat="1" applyFont="1" applyFill="1" applyAlignment="1" applyProtection="1">
      <alignment horizontal="left"/>
      <protection/>
    </xf>
    <xf numFmtId="0" fontId="18" fillId="35" borderId="14" xfId="0" applyFont="1" applyFill="1" applyBorder="1" applyAlignment="1" applyProtection="1">
      <alignment horizontal="left" wrapText="1"/>
      <protection/>
    </xf>
    <xf numFmtId="0" fontId="4" fillId="33" borderId="0" xfId="0" applyFont="1" applyFill="1" applyAlignment="1" applyProtection="1">
      <alignment horizontal="left"/>
      <protection/>
    </xf>
    <xf numFmtId="0" fontId="18" fillId="35" borderId="16" xfId="0" applyFont="1" applyFill="1" applyBorder="1" applyAlignment="1" applyProtection="1">
      <alignment/>
      <protection/>
    </xf>
    <xf numFmtId="44" fontId="13" fillId="33" borderId="0" xfId="0" applyNumberFormat="1" applyFont="1" applyFill="1" applyBorder="1" applyAlignment="1" applyProtection="1">
      <alignment/>
      <protection locked="0"/>
    </xf>
    <xf numFmtId="4" fontId="27" fillId="3" borderId="17" xfId="0" applyNumberFormat="1" applyFont="1" applyFill="1" applyBorder="1" applyAlignment="1" applyProtection="1">
      <alignment horizontal="right"/>
      <protection locked="0"/>
    </xf>
    <xf numFmtId="3" fontId="13" fillId="33" borderId="0" xfId="0" applyNumberFormat="1" applyFont="1" applyFill="1" applyProtection="1">
      <protection locked="0"/>
    </xf>
    <xf numFmtId="44" fontId="13" fillId="33" borderId="0" xfId="0" applyNumberFormat="1" applyFont="1" applyFill="1" applyProtection="1">
      <protection locked="0"/>
    </xf>
    <xf numFmtId="37" fontId="13" fillId="33" borderId="0" xfId="0" applyNumberFormat="1" applyFont="1" applyFill="1" applyBorder="1" applyAlignment="1" applyProtection="1">
      <alignment/>
      <protection/>
    </xf>
    <xf numFmtId="0" fontId="27" fillId="0" borderId="0" xfId="0" applyFont="1" applyProtection="1">
      <protection/>
    </xf>
    <xf numFmtId="0" fontId="4" fillId="33" borderId="18" xfId="0" applyFont="1" applyFill="1" applyBorder="1" applyAlignment="1" applyProtection="1">
      <alignment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0" fontId="3" fillId="33" borderId="0" xfId="0" applyFont="1" applyFill="1" applyAlignment="1" applyProtection="1">
      <alignment horizontal="left"/>
      <protection/>
    </xf>
    <xf numFmtId="37" fontId="13" fillId="33" borderId="0" xfId="0" applyNumberFormat="1" applyFont="1" applyFill="1" applyBorder="1" applyAlignment="1" applyProtection="1">
      <alignment/>
      <protection locked="0"/>
    </xf>
    <xf numFmtId="0" fontId="10" fillId="0" borderId="0" xfId="0" applyFont="1" applyProtection="1">
      <protection locked="0"/>
    </xf>
    <xf numFmtId="0" fontId="15" fillId="0" borderId="20" xfId="0" applyNumberFormat="1" applyFont="1" applyFill="1" applyBorder="1" applyAlignment="1" applyProtection="1">
      <alignment vertical="center"/>
      <protection/>
    </xf>
    <xf numFmtId="0" fontId="15" fillId="0" borderId="19" xfId="0" applyNumberFormat="1" applyFont="1" applyFill="1" applyBorder="1" applyAlignment="1" applyProtection="1">
      <alignment vertical="center"/>
      <protection/>
    </xf>
    <xf numFmtId="167" fontId="14" fillId="0" borderId="0" xfId="0" applyNumberFormat="1" applyFont="1" applyProtection="1">
      <protection/>
    </xf>
    <xf numFmtId="168" fontId="17" fillId="3" borderId="14" xfId="0" applyNumberFormat="1" applyFont="1" applyFill="1" applyBorder="1" applyAlignment="1" applyProtection="1">
      <alignment vertical="center"/>
      <protection locked="0"/>
    </xf>
    <xf numFmtId="168" fontId="17" fillId="34" borderId="14" xfId="0" applyNumberFormat="1" applyFont="1" applyFill="1" applyBorder="1" applyAlignment="1" applyProtection="1">
      <alignment vertical="center"/>
      <protection/>
    </xf>
    <xf numFmtId="168" fontId="15" fillId="34" borderId="14" xfId="0" applyNumberFormat="1" applyFont="1" applyFill="1" applyBorder="1" applyAlignment="1" applyProtection="1">
      <alignment vertical="center"/>
      <protection/>
    </xf>
    <xf numFmtId="169" fontId="25" fillId="3" borderId="0" xfId="0" applyNumberFormat="1" applyFont="1" applyFill="1" applyAlignment="1" applyProtection="1">
      <alignment horizontal="right"/>
      <protection locked="0"/>
    </xf>
    <xf numFmtId="167" fontId="14" fillId="33" borderId="0" xfId="0" applyNumberFormat="1" applyFont="1" applyFill="1" applyAlignment="1" applyProtection="1">
      <alignment horizontal="left"/>
      <protection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0" fontId="8" fillId="36" borderId="0" xfId="0" applyFont="1" applyFill="1" applyProtection="1">
      <protection/>
    </xf>
    <xf numFmtId="0" fontId="10" fillId="36" borderId="0" xfId="0" applyFont="1" applyFill="1" applyAlignment="1" applyProtection="1">
      <alignment/>
      <protection/>
    </xf>
    <xf numFmtId="169" fontId="25" fillId="3" borderId="14" xfId="0" applyNumberFormat="1" applyFont="1" applyFill="1" applyBorder="1" applyAlignment="1" applyProtection="1">
      <alignment horizontal="right"/>
      <protection/>
    </xf>
    <xf numFmtId="168" fontId="25" fillId="3" borderId="14" xfId="0" applyNumberFormat="1" applyFont="1" applyFill="1" applyBorder="1" applyAlignment="1" applyProtection="1">
      <alignment horizontal="right"/>
      <protection/>
    </xf>
    <xf numFmtId="169" fontId="8" fillId="37" borderId="14" xfId="0" applyNumberFormat="1" applyFont="1" applyFill="1" applyBorder="1" applyProtection="1">
      <protection locked="0"/>
    </xf>
    <xf numFmtId="169" fontId="8" fillId="37" borderId="21" xfId="0" applyNumberFormat="1" applyFont="1" applyFill="1" applyBorder="1" applyProtection="1"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167" fontId="20" fillId="33" borderId="0" xfId="0" applyNumberFormat="1" applyFont="1" applyFill="1" applyBorder="1" applyAlignment="1" applyProtection="1">
      <alignment horizontal="right"/>
      <protection/>
    </xf>
    <xf numFmtId="167" fontId="8" fillId="0" borderId="0" xfId="0" applyNumberFormat="1" applyFont="1" applyBorder="1" applyProtection="1">
      <protection/>
    </xf>
    <xf numFmtId="167" fontId="14" fillId="33" borderId="0" xfId="0" applyNumberFormat="1" applyFont="1" applyFill="1" applyBorder="1" applyAlignment="1" applyProtection="1">
      <alignment horizontal="left"/>
      <protection/>
    </xf>
    <xf numFmtId="167" fontId="14" fillId="33" borderId="0" xfId="0" applyNumberFormat="1" applyFont="1" applyFill="1" applyBorder="1" applyAlignment="1" applyProtection="1">
      <alignment vertical="top"/>
      <protection/>
    </xf>
    <xf numFmtId="167" fontId="10" fillId="0" borderId="0" xfId="0" applyNumberFormat="1" applyFont="1" applyBorder="1" applyProtection="1">
      <protection/>
    </xf>
    <xf numFmtId="167" fontId="18" fillId="36" borderId="0" xfId="0" applyNumberFormat="1" applyFont="1" applyFill="1" applyBorder="1" applyAlignment="1" applyProtection="1">
      <alignment horizontal="left" wrapText="1"/>
      <protection/>
    </xf>
    <xf numFmtId="167" fontId="23" fillId="36" borderId="0" xfId="0" applyNumberFormat="1" applyFont="1" applyFill="1" applyBorder="1" applyAlignment="1" applyProtection="1">
      <alignment horizontal="left"/>
      <protection/>
    </xf>
    <xf numFmtId="167" fontId="8" fillId="36" borderId="0" xfId="0" applyNumberFormat="1" applyFont="1" applyFill="1" applyBorder="1" applyProtection="1">
      <protection/>
    </xf>
    <xf numFmtId="167" fontId="13" fillId="36" borderId="0" xfId="0" applyNumberFormat="1" applyFont="1" applyFill="1" applyBorder="1" applyAlignment="1" applyProtection="1">
      <alignment horizontal="left"/>
      <protection locked="0"/>
    </xf>
    <xf numFmtId="167" fontId="8" fillId="0" borderId="0" xfId="0" applyNumberFormat="1" applyFont="1" applyProtection="1">
      <protection/>
    </xf>
    <xf numFmtId="167" fontId="17" fillId="36" borderId="0" xfId="0" applyNumberFormat="1" applyFont="1" applyFill="1" applyBorder="1" applyAlignment="1" applyProtection="1">
      <alignment horizontal="left" vertical="center" wrapText="1"/>
      <protection/>
    </xf>
    <xf numFmtId="167" fontId="19" fillId="36" borderId="0" xfId="0" applyNumberFormat="1" applyFont="1" applyFill="1" applyBorder="1" applyAlignment="1" applyProtection="1">
      <alignment horizontal="left" vertical="center" wrapText="1"/>
      <protection locked="0"/>
    </xf>
    <xf numFmtId="167" fontId="16" fillId="36" borderId="0" xfId="0" applyNumberFormat="1" applyFont="1" applyFill="1" applyBorder="1" applyAlignment="1" applyProtection="1">
      <alignment horizontal="left" wrapText="1"/>
      <protection/>
    </xf>
    <xf numFmtId="167" fontId="15" fillId="36" borderId="0" xfId="0" applyNumberFormat="1" applyFont="1" applyFill="1" applyBorder="1" applyAlignment="1" applyProtection="1">
      <alignment horizontal="left" vertical="top" wrapText="1"/>
      <protection/>
    </xf>
    <xf numFmtId="167" fontId="17" fillId="36" borderId="0" xfId="0" applyNumberFormat="1" applyFont="1" applyFill="1" applyBorder="1" applyAlignment="1" applyProtection="1">
      <alignment horizontal="center" vertical="top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168" fontId="17" fillId="3" borderId="14" xfId="0" applyNumberFormat="1" applyFont="1" applyFill="1" applyBorder="1" applyAlignment="1" applyProtection="1">
      <alignment vertical="center"/>
      <protection/>
    </xf>
    <xf numFmtId="4" fontId="17" fillId="3" borderId="14" xfId="0" applyNumberFormat="1" applyFont="1" applyFill="1" applyBorder="1" applyAlignment="1" applyProtection="1">
      <alignment vertical="center"/>
      <protection/>
    </xf>
    <xf numFmtId="0" fontId="25" fillId="3" borderId="0" xfId="0" applyFont="1" applyFill="1" applyAlignment="1" applyProtection="1">
      <alignment horizontal="left"/>
      <protection locked="0"/>
    </xf>
    <xf numFmtId="0" fontId="0" fillId="0" borderId="22" xfId="0" applyBorder="1"/>
    <xf numFmtId="49" fontId="0" fillId="0" borderId="0" xfId="0" applyNumberFormat="1" applyBorder="1"/>
    <xf numFmtId="0" fontId="14" fillId="33" borderId="10" xfId="0" applyFont="1" applyFill="1" applyBorder="1" applyAlignment="1" applyProtection="1">
      <alignment horizontal="left"/>
      <protection/>
    </xf>
    <xf numFmtId="0" fontId="14" fillId="33" borderId="23" xfId="0" applyFont="1" applyFill="1" applyBorder="1" applyAlignment="1" applyProtection="1">
      <alignment horizontal="left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49" fontId="14" fillId="33" borderId="0" xfId="0" applyNumberFormat="1" applyFont="1" applyFill="1" applyAlignment="1" applyProtection="1">
      <alignment horizontal="left"/>
      <protection locked="0"/>
    </xf>
    <xf numFmtId="0" fontId="4" fillId="33" borderId="10" xfId="0" applyFont="1" applyFill="1" applyBorder="1" applyAlignment="1" applyProtection="1">
      <alignment horizontal="left"/>
      <protection/>
    </xf>
    <xf numFmtId="0" fontId="3" fillId="33" borderId="0" xfId="0" applyFont="1" applyFill="1" applyAlignment="1" applyProtection="1">
      <alignment horizontal="left"/>
      <protection/>
    </xf>
    <xf numFmtId="165" fontId="18" fillId="35" borderId="24" xfId="0" applyNumberFormat="1" applyFont="1" applyFill="1" applyBorder="1" applyAlignment="1" applyProtection="1">
      <alignment horizontal="left" wrapText="1"/>
      <protection/>
    </xf>
    <xf numFmtId="165" fontId="18" fillId="35" borderId="16" xfId="0" applyNumberFormat="1" applyFont="1" applyFill="1" applyBorder="1" applyAlignment="1" applyProtection="1">
      <alignment horizontal="left" wrapText="1"/>
      <protection/>
    </xf>
    <xf numFmtId="0" fontId="24" fillId="3" borderId="20" xfId="0" applyFont="1" applyFill="1" applyBorder="1" applyAlignment="1" applyProtection="1">
      <alignment horizontal="left"/>
      <protection locked="0"/>
    </xf>
    <xf numFmtId="0" fontId="24" fillId="3" borderId="25" xfId="0" applyFont="1" applyFill="1" applyBorder="1" applyAlignment="1" applyProtection="1">
      <alignment horizontal="left"/>
      <protection locked="0"/>
    </xf>
    <xf numFmtId="0" fontId="24" fillId="3" borderId="19" xfId="0" applyFont="1" applyFill="1" applyBorder="1" applyAlignment="1" applyProtection="1">
      <alignment horizontal="left"/>
      <protection locked="0"/>
    </xf>
    <xf numFmtId="170" fontId="14" fillId="33" borderId="10" xfId="0" applyNumberFormat="1" applyFont="1" applyFill="1" applyBorder="1" applyAlignment="1" applyProtection="1">
      <alignment horizontal="left"/>
      <protection/>
    </xf>
    <xf numFmtId="49" fontId="14" fillId="33" borderId="10" xfId="0" applyNumberFormat="1" applyFont="1" applyFill="1" applyBorder="1" applyAlignment="1" applyProtection="1">
      <alignment horizontal="left"/>
      <protection/>
    </xf>
    <xf numFmtId="0" fontId="11" fillId="33" borderId="16" xfId="0" applyFont="1" applyFill="1" applyBorder="1" applyAlignment="1" applyProtection="1">
      <alignment horizontal="left"/>
      <protection/>
    </xf>
    <xf numFmtId="166" fontId="14" fillId="33" borderId="10" xfId="0" applyNumberFormat="1" applyFont="1" applyFill="1" applyBorder="1" applyAlignment="1" applyProtection="1">
      <alignment horizontal="left"/>
      <protection/>
    </xf>
    <xf numFmtId="49" fontId="4" fillId="33" borderId="26" xfId="0" applyNumberFormat="1" applyFont="1" applyFill="1" applyBorder="1" applyAlignment="1" applyProtection="1">
      <alignment horizontal="left" vertical="top" wrapText="1"/>
      <protection/>
    </xf>
    <xf numFmtId="49" fontId="4" fillId="33" borderId="0" xfId="0" applyNumberFormat="1" applyFont="1" applyFill="1" applyBorder="1" applyAlignment="1" applyProtection="1">
      <alignment horizontal="left" vertical="top" wrapText="1"/>
      <protection/>
    </xf>
    <xf numFmtId="49" fontId="4" fillId="33" borderId="27" xfId="0" applyNumberFormat="1" applyFont="1" applyFill="1" applyBorder="1" applyAlignment="1" applyProtection="1">
      <alignment horizontal="left" vertical="top" wrapText="1"/>
      <protection/>
    </xf>
    <xf numFmtId="0" fontId="4" fillId="33" borderId="18" xfId="0" applyFont="1" applyFill="1" applyBorder="1" applyAlignment="1" applyProtection="1">
      <alignment horizontal="left"/>
      <protection/>
    </xf>
    <xf numFmtId="165" fontId="18" fillId="35" borderId="20" xfId="0" applyNumberFormat="1" applyFont="1" applyFill="1" applyBorder="1" applyAlignment="1" applyProtection="1">
      <alignment horizontal="left" wrapText="1"/>
      <protection/>
    </xf>
    <xf numFmtId="165" fontId="18" fillId="35" borderId="19" xfId="0" applyNumberFormat="1" applyFont="1" applyFill="1" applyBorder="1" applyAlignment="1" applyProtection="1">
      <alignment horizontal="left" wrapText="1"/>
      <protection/>
    </xf>
    <xf numFmtId="49" fontId="17" fillId="34" borderId="20" xfId="0" applyNumberFormat="1" applyFont="1" applyFill="1" applyBorder="1" applyAlignment="1" applyProtection="1">
      <alignment horizontal="left" vertical="center"/>
      <protection/>
    </xf>
    <xf numFmtId="49" fontId="17" fillId="34" borderId="19" xfId="0" applyNumberFormat="1" applyFont="1" applyFill="1" applyBorder="1" applyAlignment="1" applyProtection="1">
      <alignment horizontal="left" vertical="center"/>
      <protection/>
    </xf>
    <xf numFmtId="4" fontId="17" fillId="34" borderId="28" xfId="0" applyNumberFormat="1" applyFont="1" applyFill="1" applyBorder="1" applyAlignment="1" applyProtection="1">
      <alignment horizontal="center" vertical="center"/>
      <protection/>
    </xf>
    <xf numFmtId="4" fontId="17" fillId="34" borderId="29" xfId="0" applyNumberFormat="1" applyFont="1" applyFill="1" applyBorder="1" applyAlignment="1" applyProtection="1">
      <alignment horizontal="center" vertical="center"/>
      <protection/>
    </xf>
    <xf numFmtId="4" fontId="17" fillId="34" borderId="22" xfId="0" applyNumberFormat="1" applyFont="1" applyFill="1" applyBorder="1" applyAlignment="1" applyProtection="1">
      <alignment horizontal="center" vertical="center"/>
      <protection/>
    </xf>
    <xf numFmtId="4" fontId="17" fillId="34" borderId="0" xfId="0" applyNumberFormat="1" applyFont="1" applyFill="1" applyBorder="1" applyAlignment="1" applyProtection="1">
      <alignment horizontal="center" vertical="center"/>
      <protection/>
    </xf>
    <xf numFmtId="0" fontId="15" fillId="0" borderId="20" xfId="0" applyNumberFormat="1" applyFont="1" applyFill="1" applyBorder="1" applyAlignment="1" applyProtection="1">
      <alignment horizontal="left" vertical="center"/>
      <protection/>
    </xf>
    <xf numFmtId="0" fontId="15" fillId="0" borderId="25" xfId="0" applyNumberFormat="1" applyFont="1" applyFill="1" applyBorder="1" applyAlignment="1" applyProtection="1">
      <alignment horizontal="left" vertical="center"/>
      <protection/>
    </xf>
    <xf numFmtId="0" fontId="15" fillId="0" borderId="19" xfId="0" applyNumberFormat="1" applyFont="1" applyFill="1" applyBorder="1" applyAlignment="1" applyProtection="1">
      <alignment horizontal="left" vertical="center"/>
      <protection/>
    </xf>
    <xf numFmtId="169" fontId="8" fillId="37" borderId="20" xfId="0" applyNumberFormat="1" applyFont="1" applyFill="1" applyBorder="1" applyProtection="1">
      <protection locked="0"/>
    </xf>
    <xf numFmtId="169" fontId="8" fillId="37" borderId="19" xfId="0" applyNumberFormat="1" applyFont="1" applyFill="1" applyBorder="1" applyProtection="1">
      <protection locked="0"/>
    </xf>
    <xf numFmtId="4" fontId="13" fillId="3" borderId="20" xfId="0" applyNumberFormat="1" applyFont="1" applyFill="1" applyBorder="1" applyAlignment="1" applyProtection="1">
      <alignment horizontal="left"/>
      <protection locked="0"/>
    </xf>
    <xf numFmtId="4" fontId="13" fillId="3" borderId="25" xfId="0" applyNumberFormat="1" applyFont="1" applyFill="1" applyBorder="1" applyAlignment="1" applyProtection="1">
      <alignment horizontal="left"/>
      <protection locked="0"/>
    </xf>
    <xf numFmtId="4" fontId="13" fillId="3" borderId="19" xfId="0" applyNumberFormat="1" applyFont="1" applyFill="1" applyBorder="1" applyAlignment="1" applyProtection="1">
      <alignment horizontal="left"/>
      <protection locked="0"/>
    </xf>
    <xf numFmtId="0" fontId="20" fillId="33" borderId="0" xfId="0" applyFont="1" applyFill="1" applyBorder="1" applyAlignment="1" applyProtection="1">
      <alignment horizontal="center"/>
      <protection/>
    </xf>
    <xf numFmtId="0" fontId="18" fillId="35" borderId="20" xfId="0" applyFont="1" applyFill="1" applyBorder="1" applyAlignment="1" applyProtection="1">
      <alignment horizontal="left" wrapText="1"/>
      <protection/>
    </xf>
    <xf numFmtId="0" fontId="18" fillId="35" borderId="19" xfId="0" applyFont="1" applyFill="1" applyBorder="1" applyAlignment="1" applyProtection="1">
      <alignment horizontal="left" wrapText="1"/>
      <protection/>
    </xf>
    <xf numFmtId="0" fontId="23" fillId="0" borderId="20" xfId="0" applyFont="1" applyBorder="1" applyAlignment="1" applyProtection="1">
      <alignment horizontal="left"/>
      <protection/>
    </xf>
    <xf numFmtId="0" fontId="23" fillId="0" borderId="19" xfId="0" applyFont="1" applyBorder="1" applyAlignment="1" applyProtection="1">
      <alignment horizontal="left"/>
      <protection/>
    </xf>
    <xf numFmtId="0" fontId="13" fillId="3" borderId="20" xfId="0" applyFont="1" applyFill="1" applyBorder="1" applyAlignment="1" applyProtection="1">
      <alignment horizontal="left"/>
      <protection locked="0"/>
    </xf>
    <xf numFmtId="0" fontId="13" fillId="3" borderId="25" xfId="0" applyFont="1" applyFill="1" applyBorder="1" applyAlignment="1" applyProtection="1">
      <alignment horizontal="left"/>
      <protection locked="0"/>
    </xf>
    <xf numFmtId="0" fontId="13" fillId="3" borderId="19" xfId="0" applyFont="1" applyFill="1" applyBorder="1" applyAlignment="1" applyProtection="1">
      <alignment horizontal="left"/>
      <protection locked="0"/>
    </xf>
    <xf numFmtId="0" fontId="18" fillId="35" borderId="16" xfId="0" applyFont="1" applyFill="1" applyBorder="1" applyAlignment="1" applyProtection="1">
      <alignment horizontal="left" wrapText="1"/>
      <protection/>
    </xf>
    <xf numFmtId="165" fontId="18" fillId="35" borderId="0" xfId="0" applyNumberFormat="1" applyFont="1" applyFill="1" applyBorder="1" applyAlignment="1" applyProtection="1">
      <alignment horizontal="left" wrapText="1"/>
      <protection/>
    </xf>
    <xf numFmtId="0" fontId="21" fillId="33" borderId="0" xfId="0" applyFont="1" applyFill="1" applyAlignment="1" applyProtection="1">
      <alignment horizontal="left"/>
      <protection/>
    </xf>
    <xf numFmtId="49" fontId="21" fillId="33" borderId="0" xfId="0" applyNumberFormat="1" applyFont="1" applyFill="1" applyAlignment="1" applyProtection="1">
      <alignment horizontal="left"/>
      <protection/>
    </xf>
    <xf numFmtId="0" fontId="21" fillId="33" borderId="10" xfId="0" applyFont="1" applyFill="1" applyBorder="1" applyAlignment="1" applyProtection="1">
      <alignment horizontal="left"/>
      <protection/>
    </xf>
    <xf numFmtId="49" fontId="21" fillId="33" borderId="10" xfId="0" applyNumberFormat="1" applyFont="1" applyFill="1" applyBorder="1" applyAlignment="1" applyProtection="1">
      <alignment horizontal="left"/>
      <protection/>
    </xf>
    <xf numFmtId="49" fontId="22" fillId="3" borderId="20" xfId="0" applyNumberFormat="1" applyFont="1" applyFill="1" applyBorder="1" applyAlignment="1" applyProtection="1">
      <alignment horizontal="left" vertical="center"/>
      <protection locked="0"/>
    </xf>
    <xf numFmtId="49" fontId="22" fillId="3" borderId="19" xfId="0" applyNumberFormat="1" applyFont="1" applyFill="1" applyBorder="1" applyAlignment="1" applyProtection="1">
      <alignment horizontal="left" vertical="center"/>
      <protection locked="0"/>
    </xf>
    <xf numFmtId="4" fontId="26" fillId="3" borderId="20" xfId="0" applyNumberFormat="1" applyFont="1" applyFill="1" applyBorder="1" applyAlignment="1" applyProtection="1">
      <alignment horizontal="left"/>
      <protection locked="0"/>
    </xf>
    <xf numFmtId="4" fontId="26" fillId="3" borderId="25" xfId="0" applyNumberFormat="1" applyFont="1" applyFill="1" applyBorder="1" applyAlignment="1" applyProtection="1">
      <alignment horizontal="left"/>
      <protection locked="0"/>
    </xf>
    <xf numFmtId="4" fontId="26" fillId="3" borderId="19" xfId="0" applyNumberFormat="1" applyFont="1" applyFill="1" applyBorder="1" applyAlignment="1" applyProtection="1">
      <alignment horizontal="left"/>
      <protection locked="0"/>
    </xf>
    <xf numFmtId="168" fontId="17" fillId="3" borderId="20" xfId="0" applyNumberFormat="1" applyFont="1" applyFill="1" applyBorder="1" applyAlignment="1" applyProtection="1">
      <alignment horizontal="right" vertical="center"/>
      <protection locked="0"/>
    </xf>
    <xf numFmtId="168" fontId="17" fillId="3" borderId="19" xfId="0" applyNumberFormat="1" applyFont="1" applyFill="1" applyBorder="1" applyAlignment="1" applyProtection="1">
      <alignment horizontal="right" vertical="center"/>
      <protection locked="0"/>
    </xf>
    <xf numFmtId="0" fontId="14" fillId="33" borderId="30" xfId="0" applyFont="1" applyFill="1" applyBorder="1" applyAlignment="1" applyProtection="1">
      <alignment horizontal="left"/>
      <protection/>
    </xf>
    <xf numFmtId="1" fontId="17" fillId="34" borderId="15" xfId="0" applyNumberFormat="1" applyFont="1" applyFill="1" applyBorder="1" applyAlignment="1" applyProtection="1">
      <alignment horizontal="left" vertical="center" wrapText="1"/>
      <protection/>
    </xf>
    <xf numFmtId="1" fontId="17" fillId="34" borderId="0" xfId="0" applyNumberFormat="1" applyFont="1" applyFill="1" applyBorder="1" applyAlignment="1" applyProtection="1">
      <alignment horizontal="left" vertical="center" wrapText="1"/>
      <protection/>
    </xf>
    <xf numFmtId="1" fontId="19" fillId="3" borderId="15" xfId="0" applyNumberFormat="1" applyFont="1" applyFill="1" applyBorder="1" applyAlignment="1" applyProtection="1">
      <alignment vertical="center" wrapText="1"/>
      <protection locked="0"/>
    </xf>
    <xf numFmtId="1" fontId="19" fillId="3" borderId="0" xfId="0" applyNumberFormat="1" applyFont="1" applyFill="1" applyBorder="1" applyAlignment="1" applyProtection="1">
      <alignment vertical="center" wrapText="1"/>
      <protection locked="0"/>
    </xf>
    <xf numFmtId="165" fontId="16" fillId="35" borderId="0" xfId="0" applyNumberFormat="1" applyFont="1" applyFill="1" applyBorder="1" applyAlignment="1" applyProtection="1">
      <alignment horizontal="left" wrapText="1"/>
      <protection/>
    </xf>
    <xf numFmtId="1" fontId="15" fillId="34" borderId="0" xfId="0" applyNumberFormat="1" applyFont="1" applyFill="1" applyBorder="1" applyAlignment="1" applyProtection="1">
      <alignment horizontal="left" vertical="top" wrapText="1"/>
      <protection/>
    </xf>
    <xf numFmtId="1" fontId="17" fillId="34" borderId="0" xfId="0" applyNumberFormat="1" applyFont="1" applyFill="1" applyBorder="1" applyAlignment="1" applyProtection="1">
      <alignment horizontal="center" vertical="top" wrapText="1"/>
      <protection/>
    </xf>
    <xf numFmtId="165" fontId="15" fillId="35" borderId="0" xfId="0" applyNumberFormat="1" applyFont="1" applyFill="1" applyBorder="1" applyAlignment="1" applyProtection="1">
      <alignment horizontal="left" vertical="center" wrapText="1"/>
      <protection/>
    </xf>
    <xf numFmtId="165" fontId="15" fillId="35" borderId="31" xfId="0" applyNumberFormat="1" applyFont="1" applyFill="1" applyBorder="1" applyAlignment="1" applyProtection="1">
      <alignment horizontal="left" vertical="center" wrapText="1"/>
      <protection/>
    </xf>
    <xf numFmtId="0" fontId="0" fillId="0" borderId="0" xfId="0" applyNumberFormat="1" applyFill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/>
      <protection/>
    </xf>
    <xf numFmtId="0" fontId="14" fillId="33" borderId="0" xfId="0" applyNumberFormat="1" applyAlignment="1" applyProtection="1">
      <alignment horizontal="left" vertical="top"/>
      <protection/>
    </xf>
    <xf numFmtId="49" fontId="4" fillId="33" borderId="27" xfId="0" applyNumberFormat="1" applyBorder="1" applyAlignment="1" applyProtection="1">
      <alignment horizontal="left" vertical="top" wrapText="1"/>
      <protection/>
    </xf>
    <xf numFmtId="0" fontId="6" fillId="33" borderId="0" xfId="0" applyNumberFormat="1" applyAlignment="1" applyProtection="1">
      <alignment horizontal="left" vertical="top"/>
      <protection/>
    </xf>
    <xf numFmtId="0" fontId="14" fillId="33" borderId="0" xfId="0" applyNumberFormat="1" applyAlignment="1" applyProtection="1">
      <alignment horizontal="left"/>
      <protection/>
    </xf>
    <xf numFmtId="0" fontId="14" fillId="0" borderId="0" xfId="0" applyNumberFormat="1" applyFill="1" applyAlignment="1" applyProtection="1">
      <alignment horizontal="left"/>
      <protection/>
    </xf>
    <xf numFmtId="4" fontId="27" fillId="3" borderId="17" xfId="0" applyNumberFormat="1" applyBorder="1" applyAlignment="1" applyProtection="1">
      <alignment horizontal="right"/>
      <protection locked="0"/>
    </xf>
    <xf numFmtId="0" fontId="14" fillId="0" borderId="0" xfId="0" applyNumberFormat="1" applyFill="1" applyAlignment="1" applyProtection="1">
      <alignment horizontal="right"/>
      <protection/>
    </xf>
    <xf numFmtId="0" fontId="10" fillId="0" borderId="0" xfId="0" applyNumberFormat="1" applyFill="1" applyAlignment="1" applyProtection="1">
      <alignment horizontal="left"/>
      <protection locked="0"/>
    </xf>
    <xf numFmtId="167" fontId="14" fillId="33" borderId="0" xfId="0" applyNumberFormat="1" applyAlignment="1" applyProtection="1">
      <alignment horizontal="left" vertical="top"/>
      <protection/>
    </xf>
    <xf numFmtId="0" fontId="7" fillId="33" borderId="0" xfId="0" applyNumberFormat="1" applyAlignment="1" applyProtection="1">
      <alignment horizontal="left" indent="1"/>
      <protection/>
    </xf>
    <xf numFmtId="0" fontId="9" fillId="33" borderId="0" xfId="0" applyNumberFormat="1" applyAlignment="1" applyProtection="1">
      <alignment horizontal="left"/>
      <protection/>
    </xf>
    <xf numFmtId="0" fontId="20" fillId="33" borderId="0" xfId="0" applyNumberFormat="1" applyAlignment="1" applyProtection="1">
      <alignment horizontal="left"/>
      <protection/>
    </xf>
    <xf numFmtId="167" fontId="20" fillId="33" borderId="0" xfId="0" applyNumberFormat="1" applyAlignment="1" applyProtection="1">
      <alignment horizontal="right"/>
      <protection/>
    </xf>
    <xf numFmtId="0" fontId="7" fillId="33" borderId="0" xfId="0" applyNumberFormat="1" applyAlignment="1" applyProtection="1">
      <alignment horizontal="left"/>
      <protection/>
    </xf>
    <xf numFmtId="164" fontId="10" fillId="33" borderId="0" xfId="0" applyNumberFormat="1" applyAlignment="1" applyProtection="1">
      <alignment horizontal="left"/>
      <protection/>
    </xf>
    <xf numFmtId="167" fontId="8" fillId="0" borderId="0" xfId="0" applyNumberFormat="1" applyFill="1" applyAlignment="1" applyProtection="1">
      <alignment horizontal="left"/>
      <protection/>
    </xf>
    <xf numFmtId="0" fontId="3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49" fontId="4" fillId="33" borderId="26" xfId="0" applyNumberFormat="1" applyBorder="1" applyAlignment="1" applyProtection="1">
      <alignment horizontal="left" vertical="top" wrapText="1"/>
      <protection/>
    </xf>
    <xf numFmtId="0" fontId="21" fillId="33" borderId="0" xfId="0" applyNumberFormat="1" applyAlignment="1" applyProtection="1">
      <alignment horizontal="left"/>
      <protection/>
    </xf>
    <xf numFmtId="49" fontId="21" fillId="33" borderId="0" xfId="0" applyNumberFormat="1" applyAlignment="1" applyProtection="1">
      <alignment horizontal="left"/>
      <protection/>
    </xf>
    <xf numFmtId="0" fontId="14" fillId="33" borderId="0" xfId="0" applyNumberFormat="1" applyAlignment="1" applyProtection="1">
      <alignment horizontal="left"/>
      <protection/>
    </xf>
    <xf numFmtId="167" fontId="14" fillId="33" borderId="0" xfId="0" applyNumberFormat="1" applyAlignment="1" applyProtection="1">
      <alignment horizontal="left"/>
      <protection/>
    </xf>
    <xf numFmtId="49" fontId="4" fillId="33" borderId="0" xfId="0" applyNumberFormat="1" applyAlignment="1" applyProtection="1">
      <alignment horizontal="left" vertical="top" wrapText="1"/>
      <protection/>
    </xf>
    <xf numFmtId="0" fontId="21" fillId="33" borderId="10" xfId="0" applyNumberFormat="1" applyBorder="1" applyAlignment="1" applyProtection="1">
      <alignment horizontal="left"/>
      <protection/>
    </xf>
    <xf numFmtId="49" fontId="21" fillId="33" borderId="10" xfId="0" applyNumberFormat="1" applyBorder="1" applyAlignment="1" applyProtection="1">
      <alignment horizontal="left"/>
      <protection/>
    </xf>
    <xf numFmtId="0" fontId="14" fillId="33" borderId="10" xfId="0" applyNumberFormat="1" applyBorder="1" applyAlignment="1" applyProtection="1">
      <alignment horizontal="left"/>
      <protection/>
    </xf>
    <xf numFmtId="170" fontId="14" fillId="33" borderId="10" xfId="0" applyNumberFormat="1" applyBorder="1" applyAlignment="1" applyProtection="1">
      <alignment horizontal="left"/>
      <protection/>
    </xf>
    <xf numFmtId="49" fontId="14" fillId="33" borderId="10" xfId="0" applyNumberFormat="1" applyBorder="1" applyAlignment="1" applyProtection="1">
      <alignment horizontal="left"/>
      <protection/>
    </xf>
    <xf numFmtId="0" fontId="10" fillId="0" borderId="0" xfId="0" applyNumberFormat="1" applyFill="1" applyAlignment="1" applyProtection="1">
      <alignment horizontal="left"/>
      <protection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0" xfId="0" applyNumberFormat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18" xfId="0" applyNumberFormat="1" applyBorder="1" applyAlignment="1" applyProtection="1">
      <alignment horizontal="left"/>
      <protection/>
    </xf>
    <xf numFmtId="0" fontId="4" fillId="33" borderId="0" xfId="0" applyNumberFormat="1" applyAlignment="1" applyProtection="1">
      <alignment horizontal="left"/>
      <protection/>
    </xf>
    <xf numFmtId="0" fontId="14" fillId="33" borderId="30" xfId="0" applyNumberFormat="1" applyBorder="1" applyAlignment="1" applyProtection="1">
      <alignment horizontal="left"/>
      <protection/>
    </xf>
    <xf numFmtId="4" fontId="26" fillId="3" borderId="20" xfId="0" applyNumberFormat="1" applyBorder="1" applyAlignment="1" applyProtection="1">
      <alignment horizontal="left"/>
      <protection locked="0"/>
    </xf>
    <xf numFmtId="4" fontId="26" fillId="3" borderId="25" xfId="0" applyNumberFormat="1" applyBorder="1" applyAlignment="1" applyProtection="1">
      <alignment horizontal="left"/>
      <protection locked="0"/>
    </xf>
    <xf numFmtId="4" fontId="26" fillId="3" borderId="19" xfId="0" applyNumberFormat="1" applyBorder="1" applyAlignment="1" applyProtection="1">
      <alignment horizontal="left"/>
      <protection locked="0"/>
    </xf>
    <xf numFmtId="49" fontId="14" fillId="33" borderId="0" xfId="0" applyNumberFormat="1" applyAlignment="1" applyProtection="1">
      <alignment horizontal="left"/>
      <protection/>
    </xf>
    <xf numFmtId="0" fontId="4" fillId="33" borderId="10" xfId="0" applyNumberFormat="1" applyBorder="1" applyAlignment="1" applyProtection="1">
      <alignment horizontal="left"/>
      <protection/>
    </xf>
    <xf numFmtId="49" fontId="14" fillId="33" borderId="0" xfId="0" applyNumberFormat="1" applyAlignment="1" applyProtection="1">
      <alignment horizontal="left"/>
      <protection locked="0"/>
    </xf>
    <xf numFmtId="0" fontId="14" fillId="33" borderId="23" xfId="0" applyNumberFormat="1" applyBorder="1" applyAlignment="1" applyProtection="1">
      <alignment horizontal="left"/>
      <protection/>
    </xf>
    <xf numFmtId="0" fontId="25" fillId="3" borderId="0" xfId="0" applyNumberFormat="1" applyAlignment="1" applyProtection="1">
      <alignment horizontal="left"/>
      <protection locked="0"/>
    </xf>
    <xf numFmtId="167" fontId="14" fillId="0" borderId="0" xfId="0" applyNumberFormat="1" applyFill="1" applyAlignment="1" applyProtection="1">
      <alignment horizontal="left"/>
      <protection/>
    </xf>
    <xf numFmtId="169" fontId="25" fillId="3" borderId="0" xfId="0" applyNumberFormat="1" applyAlignment="1" applyProtection="1">
      <alignment horizontal="right"/>
      <protection locked="0"/>
    </xf>
    <xf numFmtId="166" fontId="14" fillId="33" borderId="10" xfId="0" applyNumberFormat="1" applyBorder="1" applyAlignment="1" applyProtection="1">
      <alignment horizontal="left"/>
      <protection/>
    </xf>
    <xf numFmtId="166" fontId="14" fillId="33" borderId="2" xfId="0" applyNumberFormat="1" applyBorder="1" applyAlignment="1" applyProtection="1">
      <alignment horizontal="left"/>
      <protection/>
    </xf>
    <xf numFmtId="167" fontId="10" fillId="0" borderId="0" xfId="0" applyNumberFormat="1" applyFill="1" applyAlignment="1" applyProtection="1">
      <alignment horizontal="left"/>
      <protection/>
    </xf>
    <xf numFmtId="0" fontId="10" fillId="33" borderId="0" xfId="0" applyNumberFormat="1" applyAlignment="1" applyProtection="1">
      <alignment horizontal="left"/>
      <protection/>
    </xf>
    <xf numFmtId="0" fontId="6" fillId="33" borderId="0" xfId="0" applyNumberFormat="1" applyAlignment="1" applyProtection="1">
      <alignment horizontal="left"/>
      <protection/>
    </xf>
    <xf numFmtId="0" fontId="11" fillId="33" borderId="0" xfId="0" applyNumberFormat="1" applyAlignment="1" applyProtection="1">
      <alignment horizontal="left"/>
      <protection/>
    </xf>
    <xf numFmtId="0" fontId="11" fillId="33" borderId="16" xfId="0" applyNumberFormat="1" applyBorder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6" fontId="11" fillId="33" borderId="0" xfId="0" applyNumberFormat="1" applyAlignment="1" applyProtection="1">
      <alignment horizontal="left"/>
      <protection/>
    </xf>
    <xf numFmtId="165" fontId="18" fillId="35" borderId="14" xfId="0" applyNumberFormat="1" applyBorder="1" applyAlignment="1" applyProtection="1">
      <alignment horizontal="left" wrapText="1"/>
      <protection/>
    </xf>
    <xf numFmtId="165" fontId="18" fillId="35" borderId="20" xfId="0" applyNumberFormat="1" applyBorder="1" applyAlignment="1" applyProtection="1">
      <alignment horizontal="left" wrapText="1"/>
      <protection/>
    </xf>
    <xf numFmtId="165" fontId="18" fillId="35" borderId="19" xfId="0" applyNumberFormat="1" applyBorder="1" applyAlignment="1" applyProtection="1">
      <alignment horizontal="left" wrapText="1"/>
      <protection/>
    </xf>
    <xf numFmtId="0" fontId="18" fillId="35" borderId="14" xfId="0" applyNumberFormat="1" applyBorder="1" applyAlignment="1" applyProtection="1">
      <alignment horizontal="left" wrapText="1"/>
      <protection/>
    </xf>
    <xf numFmtId="0" fontId="18" fillId="35" borderId="20" xfId="0" applyNumberFormat="1" applyBorder="1" applyAlignment="1" applyProtection="1">
      <alignment horizontal="left" wrapText="1"/>
      <protection/>
    </xf>
    <xf numFmtId="0" fontId="18" fillId="35" borderId="19" xfId="0" applyNumberFormat="1" applyBorder="1" applyAlignment="1" applyProtection="1">
      <alignment horizontal="left" wrapText="1"/>
      <protection/>
    </xf>
    <xf numFmtId="167" fontId="18" fillId="36" borderId="0" xfId="0" applyNumberFormat="1" applyAlignment="1" applyProtection="1">
      <alignment horizontal="left" wrapText="1"/>
      <protection/>
    </xf>
    <xf numFmtId="1" fontId="17" fillId="34" borderId="14" xfId="0" applyNumberFormat="1" applyBorder="1" applyAlignment="1" applyProtection="1">
      <alignment horizontal="right" vertical="center"/>
      <protection/>
    </xf>
    <xf numFmtId="49" fontId="17" fillId="34" borderId="14" xfId="0" applyNumberFormat="1" applyBorder="1" applyAlignment="1" applyProtection="1">
      <alignment horizontal="left" vertical="center"/>
      <protection/>
    </xf>
    <xf numFmtId="49" fontId="17" fillId="34" borderId="20" xfId="0" applyNumberFormat="1" applyBorder="1" applyAlignment="1" applyProtection="1">
      <alignment horizontal="left" vertical="center"/>
      <protection/>
    </xf>
    <xf numFmtId="49" fontId="17" fillId="34" borderId="19" xfId="0" applyNumberFormat="1" applyBorder="1" applyAlignment="1" applyProtection="1">
      <alignment horizontal="left" vertical="center"/>
      <protection/>
    </xf>
    <xf numFmtId="4" fontId="17" fillId="3" borderId="14" xfId="0" applyNumberFormat="1" applyBorder="1" applyAlignment="1" applyProtection="1">
      <alignment horizontal="left" vertical="center"/>
      <protection/>
    </xf>
    <xf numFmtId="175" fontId="17" fillId="3" borderId="14" xfId="0" applyNumberFormat="1" applyBorder="1" applyAlignment="1" applyProtection="1">
      <alignment horizontal="left" vertical="center"/>
      <protection locked="0"/>
    </xf>
    <xf numFmtId="175" fontId="17" fillId="3" borderId="20" xfId="0" applyNumberFormat="1" applyBorder="1" applyAlignment="1" applyProtection="1">
      <alignment horizontal="right" vertical="center"/>
      <protection locked="0"/>
    </xf>
    <xf numFmtId="168" fontId="17" fillId="3" borderId="19" xfId="0" applyNumberFormat="1" applyBorder="1" applyAlignment="1" applyProtection="1">
      <alignment horizontal="right" vertical="center"/>
      <protection locked="0"/>
    </xf>
    <xf numFmtId="168" fontId="17" fillId="34" borderId="14" xfId="0" applyNumberFormat="1" applyBorder="1" applyAlignment="1" applyProtection="1">
      <alignment horizontal="left" vertical="center"/>
      <protection/>
    </xf>
    <xf numFmtId="49" fontId="22" fillId="3" borderId="20" xfId="0" applyNumberFormat="1" applyBorder="1" applyAlignment="1" applyProtection="1">
      <alignment horizontal="left" vertical="center"/>
      <protection locked="0"/>
    </xf>
    <xf numFmtId="49" fontId="22" fillId="3" borderId="19" xfId="0" applyNumberFormat="1" applyBorder="1" applyAlignment="1" applyProtection="1">
      <alignment horizontal="left" vertical="center"/>
      <protection locked="0"/>
    </xf>
    <xf numFmtId="0" fontId="23" fillId="0" borderId="20" xfId="0" applyNumberFormat="1" applyFill="1" applyBorder="1" applyAlignment="1" applyProtection="1">
      <alignment horizontal="left"/>
      <protection/>
    </xf>
    <xf numFmtId="0" fontId="23" fillId="0" borderId="19" xfId="0" applyNumberFormat="1" applyFill="1" applyBorder="1" applyAlignment="1" applyProtection="1">
      <alignment horizontal="left"/>
      <protection/>
    </xf>
    <xf numFmtId="167" fontId="23" fillId="36" borderId="0" xfId="0" applyNumberFormat="1" applyAlignment="1" applyProtection="1">
      <alignment horizontal="left"/>
      <protection/>
    </xf>
    <xf numFmtId="0" fontId="27" fillId="0" borderId="0" xfId="0" applyNumberFormat="1" applyFill="1" applyAlignment="1" applyProtection="1">
      <alignment horizontal="left"/>
      <protection/>
    </xf>
    <xf numFmtId="1" fontId="17" fillId="34" borderId="0" xfId="0" applyNumberFormat="1" applyAlignment="1" applyProtection="1">
      <alignment horizontal="left" vertical="top" wrapText="1"/>
      <protection/>
    </xf>
    <xf numFmtId="167" fontId="17" fillId="36" borderId="0" xfId="0" applyNumberFormat="1" applyAlignment="1" applyProtection="1">
      <alignment horizontal="left" vertical="top" wrapText="1"/>
      <protection/>
    </xf>
    <xf numFmtId="1" fontId="15" fillId="34" borderId="0" xfId="0" applyNumberFormat="1" applyAlignment="1" applyProtection="1">
      <alignment horizontal="left" vertical="top" wrapText="1"/>
      <protection/>
    </xf>
    <xf numFmtId="167" fontId="15" fillId="36" borderId="0" xfId="0" applyNumberFormat="1" applyAlignment="1" applyProtection="1">
      <alignment horizontal="left" vertical="top" wrapText="1"/>
      <protection/>
    </xf>
    <xf numFmtId="165" fontId="16" fillId="35" borderId="0" xfId="0" applyNumberFormat="1" applyAlignment="1" applyProtection="1">
      <alignment horizontal="left" wrapText="1"/>
      <protection/>
    </xf>
    <xf numFmtId="167" fontId="16" fillId="36" borderId="0" xfId="0" applyNumberFormat="1" applyAlignment="1" applyProtection="1">
      <alignment horizontal="left" wrapText="1"/>
      <protection/>
    </xf>
    <xf numFmtId="0" fontId="12" fillId="33" borderId="0" xfId="0" applyNumberFormat="1" applyAlignment="1" applyProtection="1">
      <alignment horizontal="left"/>
      <protection/>
    </xf>
    <xf numFmtId="44" fontId="13" fillId="33" borderId="0" xfId="0" applyNumberFormat="1" applyAlignment="1" applyProtection="1">
      <alignment horizontal="left"/>
      <protection/>
    </xf>
    <xf numFmtId="165" fontId="15" fillId="35" borderId="0" xfId="0" applyNumberFormat="1" applyAlignment="1" applyProtection="1">
      <alignment horizontal="left" vertical="center" wrapText="1"/>
      <protection/>
    </xf>
    <xf numFmtId="165" fontId="15" fillId="35" borderId="31" xfId="0" applyNumberFormat="1" applyBorder="1" applyAlignment="1" applyProtection="1">
      <alignment horizontal="left" vertical="center" wrapText="1"/>
      <protection/>
    </xf>
    <xf numFmtId="1" fontId="19" fillId="3" borderId="15" xfId="0" applyNumberFormat="1" applyBorder="1" applyAlignment="1" applyProtection="1">
      <alignment horizontal="left" vertical="center" wrapText="1"/>
      <protection locked="0"/>
    </xf>
    <xf numFmtId="1" fontId="19" fillId="3" borderId="0" xfId="0" applyNumberFormat="1" applyAlignment="1" applyProtection="1">
      <alignment horizontal="left" vertical="center" wrapText="1"/>
      <protection locked="0"/>
    </xf>
    <xf numFmtId="167" fontId="19" fillId="36" borderId="0" xfId="0" applyNumberFormat="1" applyAlignment="1" applyProtection="1">
      <alignment horizontal="left" vertical="center" wrapText="1"/>
      <protection locked="0"/>
    </xf>
    <xf numFmtId="1" fontId="17" fillId="34" borderId="15" xfId="0" applyNumberFormat="1" applyBorder="1" applyAlignment="1" applyProtection="1">
      <alignment horizontal="left" vertical="center" wrapText="1"/>
      <protection/>
    </xf>
    <xf numFmtId="1" fontId="17" fillId="34" borderId="0" xfId="0" applyNumberFormat="1" applyAlignment="1" applyProtection="1">
      <alignment horizontal="left" vertical="center" wrapText="1"/>
      <protection/>
    </xf>
    <xf numFmtId="167" fontId="17" fillId="36" borderId="0" xfId="0" applyNumberFormat="1" applyAlignment="1" applyProtection="1">
      <alignment horizontal="left" vertical="center" wrapText="1"/>
      <protection/>
    </xf>
    <xf numFmtId="44" fontId="13" fillId="33" borderId="0" xfId="0" applyNumberFormat="1" applyAlignment="1" applyProtection="1">
      <alignment horizontal="left"/>
      <protection locked="0"/>
    </xf>
    <xf numFmtId="1" fontId="12" fillId="33" borderId="0" xfId="0" applyNumberFormat="1" applyAlignment="1" applyProtection="1">
      <alignment horizontal="left"/>
      <protection/>
    </xf>
    <xf numFmtId="1" fontId="13" fillId="33" borderId="0" xfId="0" applyNumberFormat="1" applyAlignment="1" applyProtection="1">
      <alignment horizontal="left"/>
      <protection/>
    </xf>
    <xf numFmtId="37" fontId="13" fillId="33" borderId="0" xfId="0" applyNumberFormat="1" applyAlignment="1" applyProtection="1">
      <alignment horizontal="left"/>
      <protection locked="0"/>
    </xf>
    <xf numFmtId="49" fontId="13" fillId="33" borderId="0" xfId="0" applyNumberFormat="1" applyAlignment="1" applyProtection="1">
      <alignment horizontal="left"/>
      <protection/>
    </xf>
    <xf numFmtId="3" fontId="13" fillId="33" borderId="0" xfId="0" applyNumberFormat="1" applyAlignment="1" applyProtection="1">
      <alignment horizontal="left"/>
      <protection locked="0"/>
    </xf>
    <xf numFmtId="37" fontId="13" fillId="33" borderId="0" xfId="0" applyNumberFormat="1" applyAlignment="1" applyProtection="1">
      <alignment horizontal="left"/>
      <protection/>
    </xf>
    <xf numFmtId="168" fontId="15" fillId="34" borderId="14" xfId="0" applyNumberFormat="1" applyBorder="1" applyAlignment="1" applyProtection="1">
      <alignment horizontal="left" vertical="center"/>
      <protection/>
    </xf>
    <xf numFmtId="4" fontId="17" fillId="34" borderId="22" xfId="0" applyNumberFormat="1" applyBorder="1" applyAlignment="1" applyProtection="1">
      <alignment horizontal="left" vertical="center"/>
      <protection/>
    </xf>
    <xf numFmtId="4" fontId="17" fillId="34" borderId="0" xfId="0" applyNumberFormat="1" applyAlignment="1" applyProtection="1">
      <alignment horizontal="left" vertical="center"/>
      <protection/>
    </xf>
    <xf numFmtId="4" fontId="17" fillId="34" borderId="28" xfId="0" applyNumberFormat="1" applyBorder="1" applyAlignment="1" applyProtection="1">
      <alignment horizontal="left" vertical="center"/>
      <protection/>
    </xf>
    <xf numFmtId="4" fontId="17" fillId="34" borderId="29" xfId="0" applyNumberFormat="1" applyBorder="1" applyAlignment="1" applyProtection="1">
      <alignment horizontal="left" vertical="center"/>
      <protection/>
    </xf>
    <xf numFmtId="1" fontId="17" fillId="34" borderId="11" xfId="0" applyNumberFormat="1" applyBorder="1" applyAlignment="1" applyProtection="1">
      <alignment horizontal="right" vertical="center"/>
      <protection/>
    </xf>
    <xf numFmtId="1" fontId="17" fillId="34" borderId="12" xfId="0" applyNumberFormat="1" applyBorder="1" applyAlignment="1" applyProtection="1">
      <alignment horizontal="right" vertical="center"/>
      <protection/>
    </xf>
    <xf numFmtId="0" fontId="24" fillId="3" borderId="20" xfId="0" applyNumberFormat="1" applyBorder="1" applyAlignment="1" applyProtection="1">
      <alignment horizontal="left"/>
      <protection locked="0"/>
    </xf>
    <xf numFmtId="0" fontId="24" fillId="3" borderId="25" xfId="0" applyNumberFormat="1" applyBorder="1" applyAlignment="1" applyProtection="1">
      <alignment horizontal="left"/>
      <protection locked="0"/>
    </xf>
    <xf numFmtId="0" fontId="24" fillId="3" borderId="19" xfId="0" applyNumberFormat="1" applyBorder="1" applyAlignment="1" applyProtection="1">
      <alignment horizontal="left"/>
      <protection locked="0"/>
    </xf>
    <xf numFmtId="0" fontId="8" fillId="36" borderId="0" xfId="0" applyNumberFormat="1" applyAlignment="1" applyProtection="1">
      <alignment horizontal="left"/>
      <protection/>
    </xf>
    <xf numFmtId="175" fontId="8" fillId="37" borderId="20" xfId="0" applyNumberFormat="1" applyBorder="1" applyAlignment="1" applyProtection="1">
      <alignment horizontal="left"/>
      <protection locked="0"/>
    </xf>
    <xf numFmtId="169" fontId="8" fillId="37" borderId="19" xfId="0" applyNumberFormat="1" applyBorder="1" applyAlignment="1" applyProtection="1">
      <alignment horizontal="left"/>
      <protection locked="0"/>
    </xf>
    <xf numFmtId="175" fontId="8" fillId="37" borderId="14" xfId="0" applyNumberFormat="1" applyBorder="1" applyAlignment="1" applyProtection="1">
      <alignment horizontal="left"/>
      <protection locked="0"/>
    </xf>
    <xf numFmtId="175" fontId="8" fillId="37" borderId="21" xfId="0" applyNumberFormat="1" applyBorder="1" applyAlignment="1" applyProtection="1">
      <alignment horizontal="left"/>
      <protection locked="0"/>
    </xf>
    <xf numFmtId="168" fontId="25" fillId="3" borderId="14" xfId="0" applyNumberFormat="1" applyBorder="1" applyAlignment="1" applyProtection="1">
      <alignment horizontal="right"/>
      <protection/>
    </xf>
    <xf numFmtId="4" fontId="13" fillId="3" borderId="20" xfId="0" applyNumberFormat="1" applyBorder="1" applyAlignment="1" applyProtection="1">
      <alignment horizontal="left"/>
      <protection locked="0"/>
    </xf>
    <xf numFmtId="4" fontId="13" fillId="3" borderId="25" xfId="0" applyNumberFormat="1" applyBorder="1" applyAlignment="1" applyProtection="1">
      <alignment horizontal="left"/>
      <protection locked="0"/>
    </xf>
    <xf numFmtId="4" fontId="13" fillId="3" borderId="19" xfId="0" applyNumberFormat="1" applyBorder="1" applyAlignment="1" applyProtection="1">
      <alignment horizontal="left"/>
      <protection locked="0"/>
    </xf>
    <xf numFmtId="167" fontId="13" fillId="36" borderId="0" xfId="0" applyNumberFormat="1" applyAlignment="1" applyProtection="1">
      <alignment horizontal="left"/>
      <protection locked="0"/>
    </xf>
    <xf numFmtId="0" fontId="10" fillId="36" borderId="0" xfId="0" applyNumberFormat="1" applyAlignment="1" applyProtection="1">
      <alignment horizontal="left"/>
      <protection/>
    </xf>
    <xf numFmtId="169" fontId="25" fillId="3" borderId="14" xfId="0" applyNumberFormat="1" applyBorder="1" applyAlignment="1" applyProtection="1">
      <alignment horizontal="right"/>
      <protection/>
    </xf>
    <xf numFmtId="0" fontId="13" fillId="3" borderId="20" xfId="0" applyNumberFormat="1" applyBorder="1" applyAlignment="1" applyProtection="1">
      <alignment horizontal="left"/>
      <protection locked="0"/>
    </xf>
    <xf numFmtId="0" fontId="13" fillId="3" borderId="25" xfId="0" applyNumberFormat="1" applyBorder="1" applyAlignment="1" applyProtection="1">
      <alignment horizontal="left"/>
      <protection locked="0"/>
    </xf>
    <xf numFmtId="0" fontId="13" fillId="3" borderId="19" xfId="0" applyNumberFormat="1" applyBorder="1" applyAlignment="1" applyProtection="1">
      <alignment horizontal="left"/>
      <protection locked="0"/>
    </xf>
    <xf numFmtId="165" fontId="18" fillId="35" borderId="15" xfId="0" applyNumberFormat="1" applyBorder="1" applyAlignment="1" applyProtection="1">
      <alignment horizontal="left" wrapText="1"/>
      <protection/>
    </xf>
    <xf numFmtId="165" fontId="18" fillId="35" borderId="24" xfId="0" applyNumberFormat="1" applyBorder="1" applyAlignment="1" applyProtection="1">
      <alignment horizontal="left" wrapText="1"/>
      <protection/>
    </xf>
    <xf numFmtId="165" fontId="18" fillId="35" borderId="16" xfId="0" applyNumberFormat="1" applyBorder="1" applyAlignment="1" applyProtection="1">
      <alignment horizontal="left" wrapText="1"/>
      <protection/>
    </xf>
    <xf numFmtId="165" fontId="18" fillId="35" borderId="0" xfId="0" applyNumberFormat="1" applyAlignment="1" applyProtection="1">
      <alignment horizontal="left" wrapText="1"/>
      <protection/>
    </xf>
    <xf numFmtId="0" fontId="18" fillId="35" borderId="16" xfId="0" applyNumberFormat="1" applyBorder="1" applyAlignment="1" applyProtection="1">
      <alignment horizontal="left"/>
      <protection/>
    </xf>
    <xf numFmtId="0" fontId="18" fillId="35" borderId="16" xfId="0" applyNumberFormat="1" applyBorder="1" applyAlignment="1" applyProtection="1">
      <alignment horizontal="left" wrapText="1"/>
      <protection/>
    </xf>
    <xf numFmtId="1" fontId="6" fillId="0" borderId="0" xfId="0" applyNumberFormat="1" applyFill="1" applyAlignment="1" applyProtection="1">
      <alignment horizontal="right" vertical="center"/>
      <protection/>
    </xf>
    <xf numFmtId="0" fontId="10" fillId="0" borderId="0" xfId="0" applyNumberFormat="1" applyFill="1" applyAlignment="1" applyProtection="1">
      <alignment horizontal="left"/>
      <protection/>
    </xf>
    <xf numFmtId="0" fontId="6" fillId="0" borderId="0" xfId="0" applyNumberFormat="1" applyFill="1" applyAlignment="1" applyProtection="1">
      <alignment horizontal="right"/>
      <protection/>
    </xf>
    <xf numFmtId="167" fontId="8" fillId="36" borderId="0" xfId="0" applyNumberFormat="1" applyAlignment="1" applyProtection="1">
      <alignment horizontal="left"/>
      <protection/>
    </xf>
    <xf numFmtId="0" fontId="8" fillId="0" borderId="0" xfId="0" applyNumberFormat="1" applyFill="1" applyAlignment="1" applyProtection="1">
      <alignment horizontal="left" wrapText="1"/>
      <protection/>
    </xf>
    <xf numFmtId="0" fontId="0" fillId="0" borderId="22" xfId="0" applyNumberFormat="1" applyFill="1" applyBorder="1" applyAlignment="1" applyProtection="1">
      <alignment horizontal="left"/>
      <protection/>
    </xf>
    <xf numFmtId="49" fontId="0" fillId="0" borderId="0" xfId="0" applyNumberFormat="1" applyFill="1" applyAlignment="1" applyProtection="1">
      <alignment horizontal="left"/>
      <protection/>
    </xf>
  </cellXfs>
  <cellStyles count="47">
    <cellStyle name="Normal" xfId="0"/>
    <cellStyle name="Percent" xfId="15"/>
    <cellStyle name="Currency" xfId="16"/>
    <cellStyle name="Currency [0]" xfId="17"/>
    <cellStyle name="Comma" xfId="18"/>
    <cellStyle name="Comma [0]" xfId="19"/>
    <cellStyle name="Heading 1" xfId="20"/>
    <cellStyle name="Heading 3" xfId="21"/>
    <cellStyle name="Calculation" xfId="22"/>
    <cellStyle name="40% - Accent1" xfId="23"/>
    <cellStyle name="Title" xfId="24"/>
    <cellStyle name="Heading 2" xfId="25"/>
    <cellStyle name="Heading 4" xfId="26"/>
    <cellStyle name="Good" xfId="27"/>
    <cellStyle name="Bad" xfId="28"/>
    <cellStyle name="Neutral" xfId="29"/>
    <cellStyle name="Input" xfId="30"/>
    <cellStyle name="Output" xfId="31"/>
    <cellStyle name="Linked Cell" xfId="32"/>
    <cellStyle name="Check Cell" xfId="33"/>
    <cellStyle name="Warning Text" xfId="34"/>
    <cellStyle name="Note" xfId="35"/>
    <cellStyle name="Explanatory Text" xfId="36"/>
    <cellStyle name="Total" xfId="37"/>
    <cellStyle name="Accent1" xfId="38"/>
    <cellStyle name="20% - Accent1" xfId="39"/>
    <cellStyle name="60% - Accent1" xfId="40"/>
    <cellStyle name="Accent2" xfId="41"/>
    <cellStyle name="20% - Accent2" xfId="42"/>
    <cellStyle name="40% - Accent2" xfId="43"/>
    <cellStyle name="60% - Accent2" xfId="44"/>
    <cellStyle name="Accent3" xfId="45"/>
    <cellStyle name="20% - Accent3" xfId="46"/>
    <cellStyle name="40% - Accent3" xfId="47"/>
    <cellStyle name="60% - Accent3" xfId="48"/>
    <cellStyle name="Accent4" xfId="49"/>
    <cellStyle name="20% - Accent4" xfId="50"/>
    <cellStyle name="40% - Accent4" xfId="51"/>
    <cellStyle name="60% - Accent4" xfId="52"/>
    <cellStyle name="Accent5" xfId="53"/>
    <cellStyle name="20% - Accent5" xfId="54"/>
    <cellStyle name="40% - Accent5" xfId="55"/>
    <cellStyle name="60% - Accent5" xfId="56"/>
    <cellStyle name="Accent6" xfId="57"/>
    <cellStyle name="20% - Accent6" xfId="58"/>
    <cellStyle name="40% - Accent6" xfId="59"/>
    <cellStyle name="60% - Accent6" xfId="6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C0C0C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E3EDED"/>
      <rgbColor rgb="00D6DCE0"/>
      <rgbColor rgb="00CCFFCC"/>
      <rgbColor rgb="00FFFF99"/>
      <rgbColor rgb="009DBEC3"/>
      <rgbColor rgb="00FF99CC"/>
      <rgbColor rgb="00EDF3F3"/>
      <rgbColor rgb="00FFCC99"/>
      <rgbColor rgb="003366FF"/>
      <rgbColor rgb="0033CCCC"/>
      <rgbColor rgb="0099CC00"/>
      <rgbColor rgb="00FFCC00"/>
      <rgbColor rgb="00FF9900"/>
      <rgbColor rgb="00FF6600"/>
      <rgbColor rgb="00969696"/>
      <rgbColor rgb="00969696"/>
      <rgbColor rgb="00003366"/>
      <rgbColor rgb="00339966"/>
      <rgbColor rgb="00003300"/>
      <rgbColor rgb="00333300"/>
      <rgbColor rgb="00993300"/>
      <rgbColor rgb="004B7279"/>
      <rgbColor rgb="00969696"/>
      <rgbColor rgb="00333333"/>
    </indexedColors>
  </colors>
  <extLst>
    <x:ext xmlns:x15="http://schemas.microsoft.com/office/spreadsheetml/2010/11/main" uri="{9260A510-F301-46a8-8635-F512D64BE5F5}">
      <x15:timelineStyles defaultTimelineStyle="TimeSlicerStyleLight1"/>
    </x: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 /><Relationship Id="rId2" Type="http://schemas.openxmlformats.org/officeDocument/2006/relationships/worksheet" Target="worksheets/sheet2.xml" /><Relationship Id="rId3" Type="http://schemas.microsoft.com/office/2006/relationships/vbaProject" Target="vbaProject.bin" /><Relationship Id="rId4" Type="http://schemas.openxmlformats.org/officeDocument/2006/relationships/styles" Target="styles.xml" /><Relationship Id="rId5" Type="http://schemas.openxmlformats.org/officeDocument/2006/relationships/sharedStrings" Target="sharedStrings.xml" /><Relationship Id="rId6" Type="http://schemas.openxmlformats.org/officeDocument/2006/relationships/theme" Target="theme/theme1.xml" 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 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6275" cy="447675"/>
        </a:xfrm>
        <a:prstGeom prst="rect"/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 /><Relationship Id="rId2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14="http://schemas.microsoft.com/office/spreadsheetml/2009/9/main" xmlns:xm="http://schemas.microsoft.com/office/excel/2006/main" xmlns:mc="http://schemas.openxmlformats.org/markup-compatibility/2006" xmlns:x14ac="http://schemas.microsoft.com/office/spreadsheetml/2009/9/ac" xmlns:x="http://schemas.openxmlformats.org/spreadsheetml/2006/main" mc:Ignorable="x14ac">
  <sheetPr codeName="Sheet1"/>
  <dimension ref="A1:X309"/>
  <sheetViews>
    <sheetView showGridLines="0" tabSelected="1" workbookViewId="0" topLeftCell="G4">
      <selection pane="topLeft" activeCell="S11" sqref="S11 S11"/>
    </sheetView>
  </sheetViews>
  <sheetFormatPr defaultColWidth="9.140625" defaultRowHeight="12.75"/>
  <cols>
    <col min="1" max="1" width="5.71428571428571" style="163" customWidth="1"/>
    <col min="2" max="2" width="13" style="163" hidden="1" customWidth="1"/>
    <col min="3" max="3" width="11.1428571428571" style="163" customWidth="1"/>
    <col min="4" max="4" width="14.4285714285714" style="163" customWidth="1"/>
    <col min="5" max="5" width="31.2857142857143" style="163" customWidth="1"/>
    <col min="6" max="6" width="15.8571428571429" style="163" customWidth="1"/>
    <col min="7" max="7" width="19.2857142857143" style="163" customWidth="1"/>
    <col min="8" max="9" width="13.5714285714286" style="163" customWidth="1"/>
    <col min="10" max="10" width="5.71428571428571" style="163" customWidth="1"/>
    <col min="11" max="11" width="10.2857142857143" style="163" customWidth="1"/>
    <col min="12" max="12" width="9.57142857142857" style="163" customWidth="1"/>
    <col min="13" max="13" width="9.42857142857143" style="163" customWidth="1"/>
    <col min="14" max="14" width="18.1428571428571" style="163" customWidth="1"/>
    <col min="15" max="15" width="15.2857142857143" style="163" customWidth="1"/>
    <col min="16" max="16" width="13.5714285714286" style="163" customWidth="1"/>
    <col min="17" max="17" width="8.85714285714286" style="163" bestFit="1" customWidth="1"/>
    <col min="18" max="19" width="9.57142857142857" style="163" customWidth="1"/>
    <col min="20" max="20" width="12" style="179" customWidth="1"/>
    <col min="21" max="21" width="9.14285714285714" style="163" hidden="1" customWidth="1"/>
    <col min="22" max="22" width="9.14285714285714" style="163" hidden="1" customWidth="1"/>
    <col min="23" max="23" width="9.14285714285714" style="163" hidden="1" customWidth="1"/>
    <col min="24" max="16384" width="9.14285714285714" style="163" customWidth="1"/>
  </cols>
  <sheetData>
    <row r="1" spans="1:20" ht="51" customHeight="1">
      <c r="A1" s="173"/>
      <c r="B1" s="173" t="s">
        <v>0</v>
      </c>
      <c r="C1" s="173"/>
      <c r="E1" s="174"/>
      <c r="F1" s="174"/>
      <c r="G1" s="174"/>
      <c r="J1" s="174"/>
      <c r="K1" s="175" t="s">
        <v>1</v>
      </c>
      <c r="L1" s="175"/>
      <c r="M1" s="175"/>
      <c r="N1" s="175"/>
      <c r="O1" s="175"/>
      <c r="P1" s="175"/>
      <c r="Q1" s="175"/>
      <c r="R1" s="175"/>
      <c r="S1" s="175"/>
      <c r="T1" s="176"/>
    </row>
    <row r="2" spans="1:20" ht="5.25" customHeight="1">
      <c r="A2" s="177"/>
      <c r="B2" s="177"/>
      <c r="C2" s="177"/>
      <c r="D2" s="177"/>
      <c r="E2" s="177"/>
      <c r="F2" s="177"/>
      <c r="G2" s="177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S2" s="178"/>
      <c r="T2" s="179"/>
    </row>
    <row r="3" spans="1:20" ht="15" customHeight="1">
      <c r="A3" s="180" t="s">
        <v>2</v>
      </c>
      <c r="B3" s="180"/>
      <c r="C3" s="180"/>
      <c r="D3" s="180"/>
      <c r="E3" s="180"/>
      <c r="F3" s="180"/>
      <c r="G3" s="180"/>
      <c r="Q3" s="181"/>
      <c r="R3" s="181"/>
      <c r="S3" s="181"/>
      <c r="T3" s="179"/>
    </row>
    <row r="4" spans="1:20" ht="22.5" customHeight="1">
      <c r="A4" s="182" t="s">
        <v>3</v>
      </c>
      <c r="B4" s="182"/>
      <c r="C4" s="182"/>
      <c r="D4" s="182"/>
      <c r="E4" s="182"/>
      <c r="F4" s="182"/>
      <c r="G4" s="182"/>
      <c r="H4" s="182"/>
      <c r="I4" s="182"/>
      <c r="K4" s="183" t="s">
        <v>4</v>
      </c>
      <c r="L4" s="183"/>
      <c r="M4" s="184" t="s">
        <v>5</v>
      </c>
      <c r="N4" s="184"/>
      <c r="O4" s="184"/>
      <c r="P4" s="184"/>
      <c r="Q4" s="185"/>
      <c r="R4" s="185"/>
      <c r="S4" s="185"/>
      <c r="T4" s="186"/>
    </row>
    <row r="5" spans="1:20" ht="21" customHeight="1">
      <c r="A5" s="187"/>
      <c r="B5" s="187"/>
      <c r="C5" s="187"/>
      <c r="D5" s="187"/>
      <c r="E5" s="187"/>
      <c r="F5" s="187"/>
      <c r="G5" s="187"/>
      <c r="H5" s="187"/>
      <c r="I5" s="187"/>
      <c r="K5" s="188" t="s">
        <v>6</v>
      </c>
      <c r="L5" s="188"/>
      <c r="M5" s="189" t="s">
        <v>7</v>
      </c>
      <c r="N5" s="189"/>
      <c r="O5" s="189"/>
      <c r="P5" s="189"/>
      <c r="Q5" s="185"/>
      <c r="R5" s="185"/>
      <c r="S5" s="185"/>
      <c r="T5" s="186"/>
    </row>
    <row r="6" spans="1:20" s="193" customFormat="1" ht="14.1" customHeight="1">
      <c r="A6" s="187"/>
      <c r="B6" s="187"/>
      <c r="C6" s="187"/>
      <c r="D6" s="187"/>
      <c r="E6" s="187"/>
      <c r="F6" s="187"/>
      <c r="G6" s="187"/>
      <c r="H6" s="187"/>
      <c r="I6" s="187"/>
      <c r="K6" s="190" t="s">
        <v>8</v>
      </c>
      <c r="L6" s="190"/>
      <c r="M6" s="191">
        <v>43731</v>
      </c>
      <c r="N6" s="191"/>
      <c r="O6" s="191"/>
      <c r="P6" s="191"/>
      <c r="Q6" s="185"/>
      <c r="R6" s="185"/>
      <c r="S6" s="185"/>
      <c r="T6" s="186"/>
    </row>
    <row r="7" spans="1:24" s="193" customFormat="1" ht="14.1" customHeight="1">
      <c r="A7" s="187"/>
      <c r="B7" s="187"/>
      <c r="C7" s="187"/>
      <c r="D7" s="187"/>
      <c r="E7" s="187"/>
      <c r="F7" s="187"/>
      <c r="G7" s="187"/>
      <c r="H7" s="187"/>
      <c r="I7" s="187"/>
      <c r="K7" s="190"/>
      <c r="L7" s="190"/>
      <c r="M7" s="192"/>
      <c r="N7" s="192"/>
      <c r="O7" s="192"/>
      <c r="P7" s="192"/>
      <c r="Q7" s="192"/>
      <c r="R7" s="185"/>
      <c r="S7" s="185"/>
      <c r="T7" s="186"/>
      <c r="U7" s="193"/>
      <c r="V7" s="193"/>
      <c r="W7" s="193"/>
      <c r="X7" s="193"/>
    </row>
    <row r="8" spans="1:20" s="193" customFormat="1" ht="13.5" customHeight="1">
      <c r="A8" s="187"/>
      <c r="B8" s="187"/>
      <c r="C8" s="187"/>
      <c r="D8" s="187"/>
      <c r="E8" s="187"/>
      <c r="F8" s="187"/>
      <c r="G8" s="187"/>
      <c r="H8" s="187"/>
      <c r="I8" s="187"/>
      <c r="J8" s="166"/>
      <c r="K8" s="190" t="s">
        <v>9</v>
      </c>
      <c r="L8" s="190"/>
      <c r="M8" s="194">
        <v>43731</v>
      </c>
      <c r="N8" s="194"/>
      <c r="O8" s="195"/>
      <c r="P8" s="185"/>
      <c r="Q8" s="164"/>
      <c r="R8" s="164"/>
      <c r="S8" s="164"/>
      <c r="T8" s="172"/>
    </row>
    <row r="9" spans="1:20" s="193" customFormat="1" ht="15" customHeight="1">
      <c r="A9" s="187"/>
      <c r="B9" s="187"/>
      <c r="C9" s="187"/>
      <c r="D9" s="187"/>
      <c r="E9" s="187"/>
      <c r="F9" s="187"/>
      <c r="G9" s="187"/>
      <c r="H9" s="187"/>
      <c r="I9" s="187"/>
      <c r="J9" s="166"/>
      <c r="K9" s="167" t="s">
        <v>10</v>
      </c>
      <c r="L9" s="168"/>
      <c r="M9" s="192" t="s">
        <v>11</v>
      </c>
      <c r="N9" s="192"/>
      <c r="O9" s="192"/>
      <c r="P9" s="192"/>
      <c r="Q9" s="192"/>
      <c r="R9" s="164"/>
      <c r="S9" s="164"/>
      <c r="T9" s="172"/>
    </row>
    <row r="10" spans="1:20" s="193" customFormat="1" ht="15" customHeight="1">
      <c r="A10" s="187"/>
      <c r="B10" s="187"/>
      <c r="C10" s="187"/>
      <c r="D10" s="187"/>
      <c r="E10" s="187"/>
      <c r="F10" s="187"/>
      <c r="G10" s="187"/>
      <c r="H10" s="187"/>
      <c r="I10" s="187"/>
      <c r="J10" s="166"/>
      <c r="K10" s="167" t="s">
        <v>12</v>
      </c>
      <c r="L10" s="168"/>
      <c r="M10" s="191"/>
      <c r="N10" s="191"/>
      <c r="O10" s="195"/>
      <c r="P10" s="168"/>
      <c r="Q10" s="164"/>
      <c r="R10" s="164"/>
      <c r="S10" s="164"/>
      <c r="T10" s="172"/>
    </row>
    <row r="11" spans="1:20" s="193" customFormat="1" ht="15" customHeight="1">
      <c r="A11" s="165"/>
      <c r="B11" s="165"/>
      <c r="C11" s="165"/>
      <c r="D11" s="165"/>
      <c r="E11" s="165"/>
      <c r="F11" s="165"/>
      <c r="G11" s="165"/>
      <c r="H11" s="165"/>
      <c r="I11" s="165"/>
      <c r="J11" s="166"/>
      <c r="K11" s="167" t="s">
        <v>13</v>
      </c>
      <c r="L11" s="168"/>
      <c r="M11" s="169">
        <v>0</v>
      </c>
      <c r="N11" s="170"/>
      <c r="O11" s="171"/>
      <c r="P11" s="164"/>
      <c r="Q11" s="164"/>
      <c r="R11" s="164"/>
      <c r="S11" s="164"/>
      <c r="T11" s="172"/>
    </row>
    <row r="12" spans="1:20" s="193" customFormat="1" ht="15.75" customHeight="1">
      <c r="A12" s="196" t="s">
        <v>14</v>
      </c>
      <c r="B12" s="196"/>
      <c r="C12" s="196"/>
      <c r="D12" s="197"/>
      <c r="E12" s="198"/>
      <c r="F12" s="198"/>
      <c r="G12" s="198"/>
      <c r="H12" s="197"/>
      <c r="I12" s="197"/>
      <c r="K12" s="190" t="s">
        <v>15</v>
      </c>
      <c r="L12" s="199"/>
      <c r="M12" s="200" t="s">
        <v>474</v>
      </c>
      <c r="N12" s="201"/>
      <c r="O12" s="202"/>
      <c r="P12" s="164"/>
      <c r="Q12" s="164"/>
      <c r="R12" s="164"/>
      <c r="S12" s="164"/>
      <c r="T12" s="172"/>
    </row>
    <row r="13" spans="1:20" s="193" customFormat="1" ht="12.75" customHeight="1">
      <c r="A13" s="190" t="s">
        <v>16</v>
      </c>
      <c r="B13" s="190"/>
      <c r="C13" s="190"/>
      <c r="D13" s="192" t="s">
        <v>17</v>
      </c>
      <c r="E13" s="192"/>
      <c r="F13" s="192"/>
      <c r="G13" s="192"/>
      <c r="H13" s="192"/>
      <c r="I13" s="203"/>
      <c r="K13" s="204"/>
      <c r="L13" s="204"/>
      <c r="M13" s="205"/>
      <c r="N13" s="205"/>
      <c r="O13" s="205"/>
      <c r="P13" s="205"/>
      <c r="Q13" s="205"/>
      <c r="R13" s="164"/>
      <c r="S13" s="164"/>
      <c r="T13" s="172"/>
    </row>
    <row r="14" spans="1:20" s="193" customFormat="1" ht="12.75" customHeight="1">
      <c r="A14" s="190" t="s">
        <v>18</v>
      </c>
      <c r="B14" s="190"/>
      <c r="C14" s="190"/>
      <c r="D14" s="192" t="s">
        <v>19</v>
      </c>
      <c r="E14" s="192"/>
      <c r="F14" s="192"/>
      <c r="G14" s="192"/>
      <c r="H14" s="192"/>
      <c r="I14" s="203"/>
      <c r="K14" s="190" t="s">
        <v>20</v>
      </c>
      <c r="L14" s="206"/>
      <c r="M14" s="207" t="s">
        <v>467</v>
      </c>
      <c r="N14" s="168"/>
      <c r="O14" s="168"/>
      <c r="P14" s="208"/>
      <c r="Q14" s="186"/>
      <c r="R14" s="164"/>
      <c r="S14" s="164"/>
      <c r="T14" s="172"/>
    </row>
    <row r="15" spans="1:20" s="193" customFormat="1" ht="12.75" customHeight="1">
      <c r="A15" s="190" t="s">
        <v>21</v>
      </c>
      <c r="B15" s="190"/>
      <c r="C15" s="190"/>
      <c r="D15" s="192"/>
      <c r="E15" s="192"/>
      <c r="F15" s="192"/>
      <c r="G15" s="192"/>
      <c r="H15" s="192"/>
      <c r="I15" s="203"/>
      <c r="K15" s="190" t="s">
        <v>22</v>
      </c>
      <c r="L15" s="206"/>
      <c r="M15" s="209">
        <v>0</v>
      </c>
      <c r="N15" s="210"/>
      <c r="O15" s="211"/>
      <c r="P15" s="208" t="s">
        <v>23</v>
      </c>
      <c r="Q15" s="186"/>
      <c r="R15" s="164"/>
      <c r="S15" s="164"/>
      <c r="T15" s="172"/>
    </row>
    <row r="16" spans="1:20" s="193" customFormat="1" ht="12.75" customHeight="1">
      <c r="A16" s="190" t="s">
        <v>24</v>
      </c>
      <c r="B16" s="190"/>
      <c r="C16" s="190"/>
      <c r="D16" s="192"/>
      <c r="E16" s="192"/>
      <c r="F16" s="192"/>
      <c r="G16" s="192"/>
      <c r="H16" s="192"/>
      <c r="I16" s="203"/>
      <c r="K16" s="190" t="s">
        <v>25</v>
      </c>
      <c r="L16" s="206"/>
      <c r="M16" s="209">
        <v>0</v>
      </c>
      <c r="N16" s="210"/>
      <c r="O16" s="211"/>
      <c r="P16" s="168"/>
      <c r="Q16" s="185"/>
      <c r="R16" s="164"/>
      <c r="S16" s="164"/>
      <c r="T16" s="172"/>
    </row>
    <row r="17" spans="1:20" s="193" customFormat="1" ht="12.75" customHeight="1">
      <c r="A17" s="190" t="s">
        <v>26</v>
      </c>
      <c r="B17" s="190"/>
      <c r="C17" s="190"/>
      <c r="D17" s="192" t="s">
        <v>27</v>
      </c>
      <c r="E17" s="192"/>
      <c r="F17" s="192"/>
      <c r="G17" s="192"/>
      <c r="H17" s="192"/>
      <c r="I17" s="203"/>
      <c r="K17" s="181"/>
      <c r="L17" s="181"/>
      <c r="M17" s="181"/>
      <c r="N17" s="181"/>
      <c r="O17" s="181"/>
      <c r="P17" s="181"/>
      <c r="Q17" s="181"/>
      <c r="R17" s="181"/>
      <c r="S17" s="181"/>
      <c r="T17" s="212"/>
    </row>
    <row r="18" spans="1:20" s="193" customFormat="1" ht="30.75" customHeight="1">
      <c r="A18" s="213"/>
      <c r="B18" s="213"/>
      <c r="C18" s="213"/>
      <c r="D18" s="214"/>
      <c r="E18" s="215"/>
      <c r="F18" s="215"/>
      <c r="G18" s="215"/>
      <c r="H18" s="216"/>
      <c r="I18" s="216"/>
      <c r="J18" s="216"/>
      <c r="K18" s="214"/>
      <c r="L18" s="217"/>
      <c r="M18" s="213"/>
      <c r="N18" s="214"/>
      <c r="O18" s="214"/>
      <c r="P18" s="218"/>
      <c r="Q18" s="214"/>
      <c r="R18" s="218"/>
      <c r="S18" s="218"/>
      <c r="T18" s="212"/>
    </row>
    <row r="19" spans="1:20" s="299" customFormat="1" ht="27" customHeight="1">
      <c r="A19" s="219" t="s">
        <v>28</v>
      </c>
      <c r="B19" s="219"/>
      <c r="C19" s="219" t="s">
        <v>29</v>
      </c>
      <c r="D19" s="220" t="s">
        <v>30</v>
      </c>
      <c r="E19" s="221"/>
      <c r="F19" s="221" t="s">
        <v>31</v>
      </c>
      <c r="G19" s="221" t="s">
        <v>32</v>
      </c>
      <c r="H19" s="222" t="s">
        <v>33</v>
      </c>
      <c r="I19" s="222" t="s">
        <v>34</v>
      </c>
      <c r="J19" s="223">
        <f>CONCATENATE("Unit Price ","( ",Currency," )")</f>
      </c>
      <c r="K19" s="224"/>
      <c r="L19" s="222" t="s">
        <v>35</v>
      </c>
      <c r="M19" s="222" t="s">
        <v>36</v>
      </c>
      <c r="N19" s="222" t="s">
        <v>37</v>
      </c>
      <c r="O19" s="222" t="s">
        <v>13</v>
      </c>
      <c r="P19" s="223" t="s">
        <v>38</v>
      </c>
      <c r="Q19" s="224"/>
      <c r="R19" s="223" t="s">
        <v>39</v>
      </c>
      <c r="S19" s="224"/>
      <c r="T19" s="225"/>
    </row>
    <row r="20" spans="1:20" ht="24" customHeight="1">
      <c r="A20" s="226">
        <v>1</v>
      </c>
      <c r="B20" s="226">
        <v>99990009871964</v>
      </c>
      <c r="C20" s="227">
        <v>336846</v>
      </c>
      <c r="D20" s="228" t="s">
        <v>40</v>
      </c>
      <c r="E20" s="229"/>
      <c r="F20" s="229">
        <v>336846</v>
      </c>
      <c r="G20" s="229" t="s">
        <v>41</v>
      </c>
      <c r="H20" s="230">
        <v>0</v>
      </c>
      <c r="I20" s="231">
        <v>50</v>
      </c>
      <c r="J20" s="232">
        <v>0.53</v>
      </c>
      <c r="K20" s="233"/>
      <c r="L20" s="231" t="s">
        <v>23</v>
      </c>
      <c r="M20" s="231">
        <v>0</v>
      </c>
      <c r="N20" s="234">
        <f>ROUND(((I20*J20)-((I20*J20)*L20/100))+(((I20*J20)-((I20*J20)*L20/100))*M20/100),2)</f>
      </c>
      <c r="O20" s="230">
        <f>M11</f>
      </c>
      <c r="P20" s="235"/>
      <c r="Q20" s="236"/>
      <c r="R20" s="237"/>
      <c r="S20" s="238"/>
      <c r="T20" s="239"/>
    </row>
    <row r="21" spans="1:20" ht="24" customHeight="1">
      <c r="A21" s="226">
        <v>2</v>
      </c>
      <c r="B21" s="226">
        <v>99990009871995</v>
      </c>
      <c r="C21" s="227">
        <v>336815</v>
      </c>
      <c r="D21" s="228" t="s">
        <v>42</v>
      </c>
      <c r="E21" s="229"/>
      <c r="F21" s="229">
        <v>336815</v>
      </c>
      <c r="G21" s="229" t="s">
        <v>41</v>
      </c>
      <c r="H21" s="230">
        <v>0</v>
      </c>
      <c r="I21" s="231">
        <v>50</v>
      </c>
      <c r="J21" s="232">
        <v>0.53</v>
      </c>
      <c r="K21" s="233"/>
      <c r="L21" s="231" t="s">
        <v>23</v>
      </c>
      <c r="M21" s="231">
        <v>0</v>
      </c>
      <c r="N21" s="234">
        <f>ROUND(((I21*J21)-((I21*J21)*L21/100))+(((I21*J21)-((I21*J21)*L21/100))*M21/100),2)</f>
      </c>
      <c r="O21" s="230">
        <f>M11</f>
      </c>
      <c r="P21" s="235"/>
      <c r="Q21" s="236"/>
      <c r="R21" s="237"/>
      <c r="S21" s="238"/>
      <c r="T21" s="239"/>
    </row>
    <row r="22" spans="1:20" ht="24" customHeight="1">
      <c r="A22" s="226">
        <v>3</v>
      </c>
      <c r="B22" s="226">
        <v>99990009871639</v>
      </c>
      <c r="C22" s="227">
        <v>338691</v>
      </c>
      <c r="D22" s="228" t="s">
        <v>43</v>
      </c>
      <c r="E22" s="229"/>
      <c r="F22" s="229">
        <v>338691</v>
      </c>
      <c r="G22" s="229" t="s">
        <v>41</v>
      </c>
      <c r="H22" s="230">
        <v>0</v>
      </c>
      <c r="I22" s="231">
        <v>40</v>
      </c>
      <c r="J22" s="232">
        <v>0.72</v>
      </c>
      <c r="K22" s="233"/>
      <c r="L22" s="231" t="s">
        <v>23</v>
      </c>
      <c r="M22" s="231">
        <v>0</v>
      </c>
      <c r="N22" s="234">
        <f>ROUND(((I22*J22)-((I22*J22)*L22/100))+(((I22*J22)-((I22*J22)*L22/100))*M22/100),2)</f>
      </c>
      <c r="O22" s="230">
        <f>M11</f>
      </c>
      <c r="P22" s="235"/>
      <c r="Q22" s="236"/>
      <c r="R22" s="237"/>
      <c r="S22" s="238"/>
      <c r="T22" s="239"/>
    </row>
    <row r="23" spans="1:20" ht="24" customHeight="1">
      <c r="A23" s="226">
        <v>4</v>
      </c>
      <c r="B23" s="226">
        <v>99990009871597</v>
      </c>
      <c r="C23" s="227">
        <v>333110</v>
      </c>
      <c r="D23" s="228" t="s">
        <v>44</v>
      </c>
      <c r="E23" s="229"/>
      <c r="F23" s="229">
        <v>333110</v>
      </c>
      <c r="G23" s="229" t="s">
        <v>41</v>
      </c>
      <c r="H23" s="230">
        <v>0</v>
      </c>
      <c r="I23" s="231">
        <v>10</v>
      </c>
      <c r="J23" s="232">
        <v>0.9</v>
      </c>
      <c r="K23" s="233"/>
      <c r="L23" s="231" t="s">
        <v>23</v>
      </c>
      <c r="M23" s="231">
        <v>0</v>
      </c>
      <c r="N23" s="234">
        <f>ROUND(((I23*J23)-((I23*J23)*L23/100))+(((I23*J23)-((I23*J23)*L23/100))*M23/100),2)</f>
      </c>
      <c r="O23" s="230">
        <f>M11</f>
      </c>
      <c r="P23" s="235"/>
      <c r="Q23" s="236"/>
      <c r="R23" s="237"/>
      <c r="S23" s="238"/>
      <c r="T23" s="239"/>
    </row>
    <row r="24" spans="1:20" ht="24" customHeight="1">
      <c r="A24" s="226">
        <v>5</v>
      </c>
      <c r="B24" s="226">
        <v>99990013695754</v>
      </c>
      <c r="C24" s="227">
        <v>311509</v>
      </c>
      <c r="D24" s="228" t="s">
        <v>45</v>
      </c>
      <c r="E24" s="229"/>
      <c r="F24" s="229">
        <v>311509</v>
      </c>
      <c r="G24" s="229" t="s">
        <v>41</v>
      </c>
      <c r="H24" s="230">
        <v>0</v>
      </c>
      <c r="I24" s="231">
        <v>2</v>
      </c>
      <c r="J24" s="232">
        <v>5.22</v>
      </c>
      <c r="K24" s="233"/>
      <c r="L24" s="231" t="s">
        <v>23</v>
      </c>
      <c r="M24" s="231">
        <v>0</v>
      </c>
      <c r="N24" s="234">
        <f>ROUND(((I24*J24)-((I24*J24)*L24/100))+(((I24*J24)-((I24*J24)*L24/100))*M24/100),2)</f>
      </c>
      <c r="O24" s="230">
        <f>M11</f>
      </c>
      <c r="P24" s="235"/>
      <c r="Q24" s="236"/>
      <c r="R24" s="237"/>
      <c r="S24" s="238"/>
      <c r="T24" s="239"/>
    </row>
    <row r="25" spans="1:20" ht="24" customHeight="1">
      <c r="A25" s="226">
        <v>6</v>
      </c>
      <c r="B25" s="226">
        <v>99990009669283</v>
      </c>
      <c r="C25" s="227">
        <v>733259</v>
      </c>
      <c r="D25" s="228" t="s">
        <v>46</v>
      </c>
      <c r="E25" s="229"/>
      <c r="F25" s="229">
        <v>733259</v>
      </c>
      <c r="G25" s="229" t="s">
        <v>41</v>
      </c>
      <c r="H25" s="230">
        <v>2.73</v>
      </c>
      <c r="I25" s="231">
        <v>6</v>
      </c>
      <c r="J25" s="232">
        <v>2.7</v>
      </c>
      <c r="K25" s="233"/>
      <c r="L25" s="231" t="s">
        <v>23</v>
      </c>
      <c r="M25" s="231">
        <v>0</v>
      </c>
      <c r="N25" s="234">
        <f>ROUND(((I25*J25)-((I25*J25)*L25/100))+(((I25*J25)-((I25*J25)*L25/100))*M25/100),2)</f>
      </c>
      <c r="O25" s="230">
        <f>M11</f>
      </c>
      <c r="P25" s="235"/>
      <c r="Q25" s="236"/>
      <c r="R25" s="237"/>
      <c r="S25" s="238"/>
      <c r="T25" s="239"/>
    </row>
    <row r="26" spans="1:20" ht="24" customHeight="1">
      <c r="A26" s="226">
        <v>7</v>
      </c>
      <c r="B26" s="226">
        <v>99990010264043</v>
      </c>
      <c r="C26" s="227">
        <v>733258</v>
      </c>
      <c r="D26" s="228" t="s">
        <v>47</v>
      </c>
      <c r="E26" s="229"/>
      <c r="F26" s="229">
        <v>733258</v>
      </c>
      <c r="G26" s="229" t="s">
        <v>41</v>
      </c>
      <c r="H26" s="230">
        <v>0</v>
      </c>
      <c r="I26" s="231">
        <v>6</v>
      </c>
      <c r="J26" s="232">
        <v>2.16</v>
      </c>
      <c r="K26" s="233"/>
      <c r="L26" s="231" t="s">
        <v>23</v>
      </c>
      <c r="M26" s="231">
        <v>0</v>
      </c>
      <c r="N26" s="234">
        <f>ROUND(((I26*J26)-((I26*J26)*L26/100))+(((I26*J26)-((I26*J26)*L26/100))*M26/100),2)</f>
      </c>
      <c r="O26" s="230">
        <f>M11</f>
      </c>
      <c r="P26" s="235"/>
      <c r="Q26" s="236"/>
      <c r="R26" s="237"/>
      <c r="S26" s="238"/>
      <c r="T26" s="239"/>
    </row>
    <row r="27" spans="1:20" ht="24" customHeight="1">
      <c r="A27" s="226">
        <v>8</v>
      </c>
      <c r="B27" s="226">
        <v>99990011529586</v>
      </c>
      <c r="C27" s="227">
        <v>733257</v>
      </c>
      <c r="D27" s="228" t="s">
        <v>48</v>
      </c>
      <c r="E27" s="229"/>
      <c r="F27" s="229">
        <v>733257</v>
      </c>
      <c r="G27" s="229" t="s">
        <v>41</v>
      </c>
      <c r="H27" s="230">
        <v>0</v>
      </c>
      <c r="I27" s="231">
        <v>6</v>
      </c>
      <c r="J27" s="232">
        <v>1.97</v>
      </c>
      <c r="K27" s="233"/>
      <c r="L27" s="231" t="s">
        <v>23</v>
      </c>
      <c r="M27" s="231">
        <v>0</v>
      </c>
      <c r="N27" s="234">
        <f>ROUND(((I27*J27)-((I27*J27)*L27/100))+(((I27*J27)-((I27*J27)*L27/100))*M27/100),2)</f>
      </c>
      <c r="O27" s="230">
        <f>M11</f>
      </c>
      <c r="P27" s="235"/>
      <c r="Q27" s="236"/>
      <c r="R27" s="237"/>
      <c r="S27" s="238"/>
      <c r="T27" s="239"/>
    </row>
    <row r="28" spans="1:20" ht="24" customHeight="1">
      <c r="A28" s="226">
        <v>9</v>
      </c>
      <c r="B28" s="226">
        <v>99990010009819</v>
      </c>
      <c r="C28" s="227">
        <v>733254</v>
      </c>
      <c r="D28" s="228" t="s">
        <v>49</v>
      </c>
      <c r="E28" s="229"/>
      <c r="F28" s="229">
        <v>733254</v>
      </c>
      <c r="G28" s="229" t="s">
        <v>41</v>
      </c>
      <c r="H28" s="230">
        <v>0</v>
      </c>
      <c r="I28" s="231">
        <v>10</v>
      </c>
      <c r="J28" s="232">
        <v>1.22</v>
      </c>
      <c r="K28" s="233"/>
      <c r="L28" s="231" t="s">
        <v>23</v>
      </c>
      <c r="M28" s="231">
        <v>0</v>
      </c>
      <c r="N28" s="234">
        <f>ROUND(((I28*J28)-((I28*J28)*L28/100))+(((I28*J28)-((I28*J28)*L28/100))*M28/100),2)</f>
      </c>
      <c r="O28" s="230">
        <f>M11</f>
      </c>
      <c r="P28" s="235"/>
      <c r="Q28" s="236"/>
      <c r="R28" s="237"/>
      <c r="S28" s="238"/>
      <c r="T28" s="239"/>
    </row>
    <row r="29" spans="1:20" ht="24" customHeight="1">
      <c r="A29" s="226">
        <v>10</v>
      </c>
      <c r="B29" s="226">
        <v>99990010009818</v>
      </c>
      <c r="C29" s="227">
        <v>733253</v>
      </c>
      <c r="D29" s="228" t="s">
        <v>50</v>
      </c>
      <c r="E29" s="229"/>
      <c r="F29" s="229">
        <v>733253</v>
      </c>
      <c r="G29" s="229" t="s">
        <v>41</v>
      </c>
      <c r="H29" s="230">
        <v>0</v>
      </c>
      <c r="I29" s="231">
        <v>10</v>
      </c>
      <c r="J29" s="232">
        <v>1.19</v>
      </c>
      <c r="K29" s="233"/>
      <c r="L29" s="231" t="s">
        <v>23</v>
      </c>
      <c r="M29" s="231">
        <v>0</v>
      </c>
      <c r="N29" s="234">
        <f>ROUND(((I29*J29)-((I29*J29)*L29/100))+(((I29*J29)-((I29*J29)*L29/100))*M29/100),2)</f>
      </c>
      <c r="O29" s="230">
        <f>M11</f>
      </c>
      <c r="P29" s="235"/>
      <c r="Q29" s="236"/>
      <c r="R29" s="237"/>
      <c r="S29" s="238"/>
      <c r="T29" s="239"/>
    </row>
    <row r="30" spans="1:20" ht="24" customHeight="1">
      <c r="A30" s="226">
        <v>11</v>
      </c>
      <c r="B30" s="226">
        <v>99990008656735</v>
      </c>
      <c r="C30" s="227">
        <v>791503</v>
      </c>
      <c r="D30" s="228" t="s">
        <v>51</v>
      </c>
      <c r="E30" s="229"/>
      <c r="F30" s="229">
        <v>791503</v>
      </c>
      <c r="G30" s="229" t="s">
        <v>41</v>
      </c>
      <c r="H30" s="230">
        <v>0.12</v>
      </c>
      <c r="I30" s="231">
        <v>100</v>
      </c>
      <c r="J30" s="232">
        <v>0.12</v>
      </c>
      <c r="K30" s="233"/>
      <c r="L30" s="231" t="s">
        <v>23</v>
      </c>
      <c r="M30" s="231">
        <v>0</v>
      </c>
      <c r="N30" s="234">
        <f>ROUND(((I30*J30)-((I30*J30)*L30/100))+(((I30*J30)-((I30*J30)*L30/100))*M30/100),2)</f>
      </c>
      <c r="O30" s="230">
        <f>M11</f>
      </c>
      <c r="P30" s="235"/>
      <c r="Q30" s="236"/>
      <c r="R30" s="237"/>
      <c r="S30" s="238"/>
      <c r="T30" s="239"/>
    </row>
    <row r="31" spans="1:20" ht="24" customHeight="1">
      <c r="A31" s="226">
        <v>12</v>
      </c>
      <c r="B31" s="226">
        <v>99990008656753</v>
      </c>
      <c r="C31" s="227">
        <v>792246</v>
      </c>
      <c r="D31" s="228" t="s">
        <v>52</v>
      </c>
      <c r="E31" s="229"/>
      <c r="F31" s="229">
        <v>792246</v>
      </c>
      <c r="G31" s="229" t="s">
        <v>41</v>
      </c>
      <c r="H31" s="230">
        <v>10.26</v>
      </c>
      <c r="I31" s="231">
        <v>10</v>
      </c>
      <c r="J31" s="232">
        <v>10.26</v>
      </c>
      <c r="K31" s="233"/>
      <c r="L31" s="231" t="s">
        <v>23</v>
      </c>
      <c r="M31" s="231">
        <v>0</v>
      </c>
      <c r="N31" s="234">
        <f>ROUND(((I31*J31)-((I31*J31)*L31/100))+(((I31*J31)-((I31*J31)*L31/100))*M31/100),2)</f>
      </c>
      <c r="O31" s="230">
        <f>M11</f>
      </c>
      <c r="P31" s="235"/>
      <c r="Q31" s="236"/>
      <c r="R31" s="237" t="s">
        <v>53</v>
      </c>
      <c r="S31" s="238"/>
      <c r="T31" s="239"/>
    </row>
    <row r="32" spans="1:20" ht="24" customHeight="1">
      <c r="A32" s="226">
        <v>13</v>
      </c>
      <c r="B32" s="226">
        <v>99990008655762</v>
      </c>
      <c r="C32" s="227">
        <v>650890</v>
      </c>
      <c r="D32" s="228" t="s">
        <v>54</v>
      </c>
      <c r="E32" s="229"/>
      <c r="F32" s="229">
        <v>650890</v>
      </c>
      <c r="G32" s="229" t="s">
        <v>55</v>
      </c>
      <c r="H32" s="230">
        <v>1</v>
      </c>
      <c r="I32" s="231">
        <v>5</v>
      </c>
      <c r="J32" s="232">
        <v>1</v>
      </c>
      <c r="K32" s="233"/>
      <c r="L32" s="231" t="s">
        <v>23</v>
      </c>
      <c r="M32" s="231">
        <v>0</v>
      </c>
      <c r="N32" s="234">
        <f>ROUND(((I32*J32)-((I32*J32)*L32/100))+(((I32*J32)-((I32*J32)*L32/100))*M32/100),2)</f>
      </c>
      <c r="O32" s="230">
        <f>M11</f>
      </c>
      <c r="P32" s="235"/>
      <c r="Q32" s="236"/>
      <c r="R32" s="237"/>
      <c r="S32" s="238"/>
      <c r="T32" s="239"/>
    </row>
    <row r="33" spans="1:20" ht="24" customHeight="1">
      <c r="A33" s="226">
        <v>14</v>
      </c>
      <c r="B33" s="226">
        <v>99990009860337</v>
      </c>
      <c r="C33" s="227">
        <v>851102</v>
      </c>
      <c r="D33" s="228" t="s">
        <v>56</v>
      </c>
      <c r="E33" s="229"/>
      <c r="F33" s="229">
        <v>851102</v>
      </c>
      <c r="G33" s="229" t="s">
        <v>57</v>
      </c>
      <c r="H33" s="230">
        <v>0</v>
      </c>
      <c r="I33" s="231">
        <v>1</v>
      </c>
      <c r="J33" s="232">
        <v>0.94</v>
      </c>
      <c r="K33" s="233"/>
      <c r="L33" s="231" t="s">
        <v>23</v>
      </c>
      <c r="M33" s="231">
        <v>0</v>
      </c>
      <c r="N33" s="234">
        <f>ROUND(((I33*J33)-((I33*J33)*L33/100))+(((I33*J33)-((I33*J33)*L33/100))*M33/100),2)</f>
      </c>
      <c r="O33" s="230">
        <f>M11</f>
      </c>
      <c r="P33" s="235"/>
      <c r="Q33" s="236"/>
      <c r="R33" s="237"/>
      <c r="S33" s="238"/>
      <c r="T33" s="239"/>
    </row>
    <row r="34" spans="1:20" ht="24" customHeight="1">
      <c r="A34" s="226">
        <v>15</v>
      </c>
      <c r="B34" s="226">
        <v>99990008658169</v>
      </c>
      <c r="C34" s="227">
        <v>617017</v>
      </c>
      <c r="D34" s="228" t="s">
        <v>58</v>
      </c>
      <c r="E34" s="229"/>
      <c r="F34" s="229">
        <v>617017</v>
      </c>
      <c r="G34" s="229" t="s">
        <v>41</v>
      </c>
      <c r="H34" s="230">
        <v>1.47</v>
      </c>
      <c r="I34" s="231">
        <v>10</v>
      </c>
      <c r="J34" s="232">
        <v>1.47</v>
      </c>
      <c r="K34" s="233"/>
      <c r="L34" s="231" t="s">
        <v>23</v>
      </c>
      <c r="M34" s="231">
        <v>0</v>
      </c>
      <c r="N34" s="234">
        <f>ROUND(((I34*J34)-((I34*J34)*L34/100))+(((I34*J34)-((I34*J34)*L34/100))*M34/100),2)</f>
      </c>
      <c r="O34" s="230">
        <f>M11</f>
      </c>
      <c r="P34" s="235"/>
      <c r="Q34" s="236"/>
      <c r="R34" s="237"/>
      <c r="S34" s="238"/>
      <c r="T34" s="239"/>
    </row>
    <row r="35" spans="1:20" ht="24" customHeight="1">
      <c r="A35" s="226">
        <v>16</v>
      </c>
      <c r="B35" s="226">
        <v>99990009553257</v>
      </c>
      <c r="C35" s="227">
        <v>2123880</v>
      </c>
      <c r="D35" s="228" t="s">
        <v>59</v>
      </c>
      <c r="E35" s="229"/>
      <c r="F35" s="229">
        <v>670708</v>
      </c>
      <c r="G35" s="229" t="s">
        <v>60</v>
      </c>
      <c r="H35" s="230">
        <v>55.78</v>
      </c>
      <c r="I35" s="231">
        <v>1</v>
      </c>
      <c r="J35" s="232">
        <v>52.36</v>
      </c>
      <c r="K35" s="233"/>
      <c r="L35" s="231" t="s">
        <v>23</v>
      </c>
      <c r="M35" s="231">
        <v>0</v>
      </c>
      <c r="N35" s="234">
        <f>ROUND(((I35*J35)-((I35*J35)*L35/100))+(((I35*J35)-((I35*J35)*L35/100))*M35/100),2)</f>
      </c>
      <c r="O35" s="230">
        <f>M11</f>
      </c>
      <c r="P35" s="235" t="s">
        <v>475</v>
      </c>
      <c r="Q35" s="236"/>
      <c r="R35" s="237" t="s">
        <v>61</v>
      </c>
      <c r="S35" s="238"/>
      <c r="T35" s="239"/>
    </row>
    <row r="36" spans="1:20" ht="24" customHeight="1">
      <c r="A36" s="226">
        <v>17</v>
      </c>
      <c r="B36" s="226">
        <v>99990009608097</v>
      </c>
      <c r="C36" s="227">
        <v>617170</v>
      </c>
      <c r="D36" s="228" t="s">
        <v>62</v>
      </c>
      <c r="E36" s="229"/>
      <c r="F36" s="229">
        <v>617170</v>
      </c>
      <c r="G36" s="229" t="s">
        <v>41</v>
      </c>
      <c r="H36" s="230">
        <v>6.82</v>
      </c>
      <c r="I36" s="231">
        <v>2</v>
      </c>
      <c r="J36" s="232">
        <v>5.99</v>
      </c>
      <c r="K36" s="233"/>
      <c r="L36" s="231" t="s">
        <v>23</v>
      </c>
      <c r="M36" s="231">
        <v>0</v>
      </c>
      <c r="N36" s="234">
        <f>ROUND(((I36*J36)-((I36*J36)*L36/100))+(((I36*J36)-((I36*J36)*L36/100))*M36/100),2)</f>
      </c>
      <c r="O36" s="230">
        <f>M11</f>
      </c>
      <c r="P36" s="235"/>
      <c r="Q36" s="236"/>
      <c r="R36" s="237"/>
      <c r="S36" s="238"/>
      <c r="T36" s="239"/>
    </row>
    <row r="37" spans="1:20" ht="24" customHeight="1">
      <c r="A37" s="226">
        <v>18</v>
      </c>
      <c r="B37" s="226">
        <v>99990010234016</v>
      </c>
      <c r="C37" s="227">
        <v>617178</v>
      </c>
      <c r="D37" s="228" t="s">
        <v>63</v>
      </c>
      <c r="E37" s="229"/>
      <c r="F37" s="229">
        <v>617178</v>
      </c>
      <c r="G37" s="229" t="s">
        <v>41</v>
      </c>
      <c r="H37" s="230">
        <v>0</v>
      </c>
      <c r="I37" s="231">
        <v>2</v>
      </c>
      <c r="J37" s="232">
        <v>5.5</v>
      </c>
      <c r="K37" s="233"/>
      <c r="L37" s="231" t="s">
        <v>23</v>
      </c>
      <c r="M37" s="231">
        <v>0</v>
      </c>
      <c r="N37" s="234">
        <f>ROUND(((I37*J37)-((I37*J37)*L37/100))+(((I37*J37)-((I37*J37)*L37/100))*M37/100),2)</f>
      </c>
      <c r="O37" s="230">
        <f>M11</f>
      </c>
      <c r="P37" s="235"/>
      <c r="Q37" s="236"/>
      <c r="R37" s="237"/>
      <c r="S37" s="238"/>
      <c r="T37" s="239"/>
    </row>
    <row r="38" spans="1:20" ht="24" customHeight="1">
      <c r="A38" s="226">
        <v>19</v>
      </c>
      <c r="B38" s="226">
        <v>99990009860423</v>
      </c>
      <c r="C38" s="227">
        <v>851382</v>
      </c>
      <c r="D38" s="228" t="s">
        <v>64</v>
      </c>
      <c r="E38" s="229"/>
      <c r="F38" s="229">
        <v>851382</v>
      </c>
      <c r="G38" s="229" t="s">
        <v>65</v>
      </c>
      <c r="H38" s="230">
        <v>0</v>
      </c>
      <c r="I38" s="231">
        <v>3</v>
      </c>
      <c r="J38" s="232">
        <v>22.38</v>
      </c>
      <c r="K38" s="233"/>
      <c r="L38" s="231" t="s">
        <v>23</v>
      </c>
      <c r="M38" s="231">
        <v>0</v>
      </c>
      <c r="N38" s="234">
        <f>ROUND(((I38*J38)-((I38*J38)*L38/100))+(((I38*J38)-((I38*J38)*L38/100))*M38/100),2)</f>
      </c>
      <c r="O38" s="230">
        <f>M11</f>
      </c>
      <c r="P38" s="235"/>
      <c r="Q38" s="236"/>
      <c r="R38" s="237"/>
      <c r="S38" s="238"/>
      <c r="T38" s="239"/>
    </row>
    <row r="39" spans="1:20" ht="24" customHeight="1">
      <c r="A39" s="226">
        <v>20</v>
      </c>
      <c r="B39" s="226">
        <v>99990011932463</v>
      </c>
      <c r="C39" s="227">
        <v>2639637</v>
      </c>
      <c r="D39" s="228" t="s">
        <v>66</v>
      </c>
      <c r="E39" s="229"/>
      <c r="F39" s="229">
        <v>190101</v>
      </c>
      <c r="G39" s="229" t="s">
        <v>67</v>
      </c>
      <c r="H39" s="230">
        <v>0</v>
      </c>
      <c r="I39" s="231">
        <v>30</v>
      </c>
      <c r="J39" s="232">
        <v>1.68</v>
      </c>
      <c r="K39" s="233"/>
      <c r="L39" s="231" t="s">
        <v>23</v>
      </c>
      <c r="M39" s="231">
        <v>0</v>
      </c>
      <c r="N39" s="234">
        <f>ROUND(((I39*J39)-((I39*J39)*L39/100))+(((I39*J39)-((I39*J39)*L39/100))*M39/100),2)</f>
      </c>
      <c r="O39" s="230">
        <f>M11</f>
      </c>
      <c r="P39" s="235"/>
      <c r="Q39" s="236"/>
      <c r="R39" s="237"/>
      <c r="S39" s="238"/>
      <c r="T39" s="239"/>
    </row>
    <row r="40" spans="1:20" ht="24" customHeight="1">
      <c r="A40" s="226">
        <v>21</v>
      </c>
      <c r="B40" s="226">
        <v>99990009872862</v>
      </c>
      <c r="C40" s="227">
        <v>190233</v>
      </c>
      <c r="D40" s="228" t="s">
        <v>68</v>
      </c>
      <c r="E40" s="229"/>
      <c r="F40" s="229">
        <v>190233</v>
      </c>
      <c r="G40" s="229" t="s">
        <v>69</v>
      </c>
      <c r="H40" s="230">
        <v>0</v>
      </c>
      <c r="I40" s="231">
        <v>12</v>
      </c>
      <c r="J40" s="232">
        <v>7.59</v>
      </c>
      <c r="K40" s="233"/>
      <c r="L40" s="231" t="s">
        <v>23</v>
      </c>
      <c r="M40" s="231">
        <v>0</v>
      </c>
      <c r="N40" s="234">
        <f>ROUND(((I40*J40)-((I40*J40)*L40/100))+(((I40*J40)-((I40*J40)*L40/100))*M40/100),2)</f>
      </c>
      <c r="O40" s="230">
        <f>M11</f>
      </c>
      <c r="P40" s="235"/>
      <c r="Q40" s="236"/>
      <c r="R40" s="237"/>
      <c r="S40" s="238"/>
      <c r="T40" s="239"/>
    </row>
    <row r="41" spans="1:20" ht="24" customHeight="1">
      <c r="A41" s="226">
        <v>22</v>
      </c>
      <c r="B41" s="226">
        <v>99990008657553</v>
      </c>
      <c r="C41" s="227">
        <v>812502</v>
      </c>
      <c r="D41" s="228" t="s">
        <v>70</v>
      </c>
      <c r="E41" s="229"/>
      <c r="F41" s="229">
        <v>812502</v>
      </c>
      <c r="G41" s="229" t="s">
        <v>41</v>
      </c>
      <c r="H41" s="230">
        <v>0.18</v>
      </c>
      <c r="I41" s="231">
        <v>30</v>
      </c>
      <c r="J41" s="232">
        <v>0.18</v>
      </c>
      <c r="K41" s="233"/>
      <c r="L41" s="231" t="s">
        <v>23</v>
      </c>
      <c r="M41" s="231">
        <v>0</v>
      </c>
      <c r="N41" s="234">
        <f>ROUND(((I41*J41)-((I41*J41)*L41/100))+(((I41*J41)-((I41*J41)*L41/100))*M41/100),2)</f>
      </c>
      <c r="O41" s="230">
        <f>M11</f>
      </c>
      <c r="P41" s="235"/>
      <c r="Q41" s="236"/>
      <c r="R41" s="237"/>
      <c r="S41" s="238"/>
      <c r="T41" s="239"/>
    </row>
    <row r="42" spans="1:20" ht="24" customHeight="1">
      <c r="A42" s="226">
        <v>23</v>
      </c>
      <c r="B42" s="226">
        <v>99990008657398</v>
      </c>
      <c r="C42" s="227">
        <v>174763</v>
      </c>
      <c r="D42" s="228" t="s">
        <v>71</v>
      </c>
      <c r="E42" s="229"/>
      <c r="F42" s="229">
        <v>174763</v>
      </c>
      <c r="G42" s="229" t="s">
        <v>72</v>
      </c>
      <c r="H42" s="230">
        <v>14.26</v>
      </c>
      <c r="I42" s="231">
        <v>6</v>
      </c>
      <c r="J42" s="232">
        <v>14.26</v>
      </c>
      <c r="K42" s="233"/>
      <c r="L42" s="231" t="s">
        <v>23</v>
      </c>
      <c r="M42" s="231">
        <v>0</v>
      </c>
      <c r="N42" s="234">
        <f>ROUND(((I42*J42)-((I42*J42)*L42/100))+(((I42*J42)-((I42*J42)*L42/100))*M42/100),2)</f>
      </c>
      <c r="O42" s="230">
        <f>M11</f>
      </c>
      <c r="P42" s="235"/>
      <c r="Q42" s="236"/>
      <c r="R42" s="237" t="s">
        <v>73</v>
      </c>
      <c r="S42" s="238"/>
      <c r="T42" s="239"/>
    </row>
    <row r="43" spans="1:20" ht="24" customHeight="1">
      <c r="A43" s="226">
        <v>24</v>
      </c>
      <c r="B43" s="226">
        <v>99990010866639</v>
      </c>
      <c r="C43" s="227">
        <v>812435</v>
      </c>
      <c r="D43" s="228" t="s">
        <v>74</v>
      </c>
      <c r="E43" s="229"/>
      <c r="F43" s="229">
        <v>812435</v>
      </c>
      <c r="G43" s="229" t="s">
        <v>75</v>
      </c>
      <c r="H43" s="230">
        <v>0</v>
      </c>
      <c r="I43" s="231">
        <v>1</v>
      </c>
      <c r="J43" s="232">
        <v>5.74</v>
      </c>
      <c r="K43" s="233"/>
      <c r="L43" s="231" t="s">
        <v>23</v>
      </c>
      <c r="M43" s="231">
        <v>0</v>
      </c>
      <c r="N43" s="234">
        <f>ROUND(((I43*J43)-((I43*J43)*L43/100))+(((I43*J43)-((I43*J43)*L43/100))*M43/100),2)</f>
      </c>
      <c r="O43" s="230">
        <f>M11</f>
      </c>
      <c r="P43" s="235"/>
      <c r="Q43" s="236"/>
      <c r="R43" s="237"/>
      <c r="S43" s="238"/>
      <c r="T43" s="239"/>
    </row>
    <row r="44" spans="1:20" ht="24" customHeight="1">
      <c r="A44" s="226">
        <v>25</v>
      </c>
      <c r="B44" s="226">
        <v>99990009866955</v>
      </c>
      <c r="C44" s="227">
        <v>331156</v>
      </c>
      <c r="D44" s="228" t="s">
        <v>76</v>
      </c>
      <c r="E44" s="229"/>
      <c r="F44" s="229">
        <v>331156</v>
      </c>
      <c r="G44" s="229" t="s">
        <v>41</v>
      </c>
      <c r="H44" s="230">
        <v>0</v>
      </c>
      <c r="I44" s="231">
        <v>20</v>
      </c>
      <c r="J44" s="232">
        <v>0.29</v>
      </c>
      <c r="K44" s="233"/>
      <c r="L44" s="231" t="s">
        <v>23</v>
      </c>
      <c r="M44" s="231">
        <v>0</v>
      </c>
      <c r="N44" s="234">
        <f>ROUND(((I44*J44)-((I44*J44)*L44/100))+(((I44*J44)-((I44*J44)*L44/100))*M44/100),2)</f>
      </c>
      <c r="O44" s="230">
        <f>M11</f>
      </c>
      <c r="P44" s="235"/>
      <c r="Q44" s="236"/>
      <c r="R44" s="237" t="s">
        <v>77</v>
      </c>
      <c r="S44" s="238"/>
      <c r="T44" s="239"/>
    </row>
    <row r="45" spans="1:20" ht="24" customHeight="1">
      <c r="A45" s="226">
        <v>26</v>
      </c>
      <c r="B45" s="226">
        <v>99990008201965</v>
      </c>
      <c r="C45" s="227">
        <v>711236</v>
      </c>
      <c r="D45" s="228" t="s">
        <v>78</v>
      </c>
      <c r="E45" s="229"/>
      <c r="F45" s="229">
        <v>711236</v>
      </c>
      <c r="G45" s="229" t="s">
        <v>79</v>
      </c>
      <c r="H45" s="230">
        <v>0</v>
      </c>
      <c r="I45" s="231">
        <v>10</v>
      </c>
      <c r="J45" s="232">
        <v>6.01</v>
      </c>
      <c r="K45" s="233"/>
      <c r="L45" s="231" t="s">
        <v>23</v>
      </c>
      <c r="M45" s="231">
        <v>0</v>
      </c>
      <c r="N45" s="234">
        <f>ROUND(((I45*J45)-((I45*J45)*L45/100))+(((I45*J45)-((I45*J45)*L45/100))*M45/100),2)</f>
      </c>
      <c r="O45" s="230">
        <f>M11</f>
      </c>
      <c r="P45" s="235"/>
      <c r="Q45" s="236"/>
      <c r="R45" s="237"/>
      <c r="S45" s="238"/>
      <c r="T45" s="239"/>
    </row>
    <row r="46" spans="1:20" ht="24" customHeight="1">
      <c r="A46" s="226">
        <v>27</v>
      </c>
      <c r="B46" s="226">
        <v>99990009572165</v>
      </c>
      <c r="C46" s="227">
        <v>2135971</v>
      </c>
      <c r="D46" s="228" t="s">
        <v>80</v>
      </c>
      <c r="E46" s="229"/>
      <c r="F46" s="229">
        <v>792453</v>
      </c>
      <c r="G46" s="229" t="s">
        <v>41</v>
      </c>
      <c r="H46" s="230">
        <v>1.97</v>
      </c>
      <c r="I46" s="231">
        <v>5</v>
      </c>
      <c r="J46" s="232">
        <v>1.77</v>
      </c>
      <c r="K46" s="233"/>
      <c r="L46" s="231" t="s">
        <v>23</v>
      </c>
      <c r="M46" s="231">
        <v>0</v>
      </c>
      <c r="N46" s="234">
        <f>ROUND(((I46*J46)-((I46*J46)*L46/100))+(((I46*J46)-((I46*J46)*L46/100))*M46/100),2)</f>
      </c>
      <c r="O46" s="230">
        <f>M11</f>
      </c>
      <c r="P46" s="235" t="s">
        <v>476</v>
      </c>
      <c r="Q46" s="236"/>
      <c r="R46" s="237" t="s">
        <v>81</v>
      </c>
      <c r="S46" s="238"/>
      <c r="T46" s="239"/>
    </row>
    <row r="47" spans="1:20" ht="24" customHeight="1">
      <c r="A47" s="226">
        <v>28</v>
      </c>
      <c r="B47" s="226">
        <v>99990008656765</v>
      </c>
      <c r="C47" s="227">
        <v>792405</v>
      </c>
      <c r="D47" s="228" t="s">
        <v>82</v>
      </c>
      <c r="E47" s="229"/>
      <c r="F47" s="229">
        <v>792405</v>
      </c>
      <c r="G47" s="229" t="s">
        <v>41</v>
      </c>
      <c r="H47" s="230">
        <v>0.61</v>
      </c>
      <c r="I47" s="231">
        <v>5</v>
      </c>
      <c r="J47" s="232">
        <v>0.61</v>
      </c>
      <c r="K47" s="233"/>
      <c r="L47" s="231" t="s">
        <v>23</v>
      </c>
      <c r="M47" s="231">
        <v>0</v>
      </c>
      <c r="N47" s="234">
        <f>ROUND(((I47*J47)-((I47*J47)*L47/100))+(((I47*J47)-((I47*J47)*L47/100))*M47/100),2)</f>
      </c>
      <c r="O47" s="230">
        <f>M11</f>
      </c>
      <c r="P47" s="235"/>
      <c r="Q47" s="236"/>
      <c r="R47" s="237"/>
      <c r="S47" s="238"/>
      <c r="T47" s="239"/>
    </row>
    <row r="48" spans="1:20" ht="24" customHeight="1">
      <c r="A48" s="226">
        <v>29</v>
      </c>
      <c r="B48" s="226">
        <v>99990013352602</v>
      </c>
      <c r="C48" s="227">
        <v>692958</v>
      </c>
      <c r="D48" s="228" t="s">
        <v>83</v>
      </c>
      <c r="E48" s="229"/>
      <c r="F48" s="229">
        <v>692958</v>
      </c>
      <c r="G48" s="229" t="s">
        <v>72</v>
      </c>
      <c r="H48" s="230">
        <v>0</v>
      </c>
      <c r="I48" s="231">
        <v>50</v>
      </c>
      <c r="J48" s="232">
        <v>1.35</v>
      </c>
      <c r="K48" s="233"/>
      <c r="L48" s="231" t="s">
        <v>23</v>
      </c>
      <c r="M48" s="231">
        <v>0</v>
      </c>
      <c r="N48" s="234">
        <f>ROUND(((I48*J48)-((I48*J48)*L48/100))+(((I48*J48)-((I48*J48)*L48/100))*M48/100),2)</f>
      </c>
      <c r="O48" s="230">
        <f>M11</f>
      </c>
      <c r="P48" s="235" t="s">
        <v>477</v>
      </c>
      <c r="Q48" s="236"/>
      <c r="R48" s="237"/>
      <c r="S48" s="238"/>
      <c r="T48" s="239"/>
    </row>
    <row r="49" spans="1:20" ht="24" customHeight="1">
      <c r="A49" s="226">
        <v>30</v>
      </c>
      <c r="B49" s="226">
        <v>99990013352601</v>
      </c>
      <c r="C49" s="227">
        <v>692929</v>
      </c>
      <c r="D49" s="228" t="s">
        <v>84</v>
      </c>
      <c r="E49" s="229"/>
      <c r="F49" s="229">
        <v>692929</v>
      </c>
      <c r="G49" s="229" t="s">
        <v>72</v>
      </c>
      <c r="H49" s="230">
        <v>0</v>
      </c>
      <c r="I49" s="231">
        <v>30</v>
      </c>
      <c r="J49" s="232">
        <v>1.21</v>
      </c>
      <c r="K49" s="233"/>
      <c r="L49" s="231" t="s">
        <v>23</v>
      </c>
      <c r="M49" s="231">
        <v>0</v>
      </c>
      <c r="N49" s="234">
        <f>ROUND(((I49*J49)-((I49*J49)*L49/100))+(((I49*J49)-((I49*J49)*L49/100))*M49/100),2)</f>
      </c>
      <c r="O49" s="230">
        <f>M11</f>
      </c>
      <c r="P49" s="235" t="s">
        <v>477</v>
      </c>
      <c r="Q49" s="236"/>
      <c r="R49" s="237"/>
      <c r="S49" s="238"/>
      <c r="T49" s="239"/>
    </row>
    <row r="50" spans="1:20" ht="24" customHeight="1">
      <c r="A50" s="226">
        <v>31</v>
      </c>
      <c r="B50" s="226">
        <v>99990009864578</v>
      </c>
      <c r="C50" s="227" t="s">
        <v>85</v>
      </c>
      <c r="D50" s="228" t="s">
        <v>86</v>
      </c>
      <c r="E50" s="229"/>
      <c r="F50" s="229">
        <v>734002</v>
      </c>
      <c r="G50" s="229" t="s">
        <v>41</v>
      </c>
      <c r="H50" s="230">
        <v>0</v>
      </c>
      <c r="I50" s="231">
        <v>5</v>
      </c>
      <c r="J50" s="232">
        <v>0.23</v>
      </c>
      <c r="K50" s="233"/>
      <c r="L50" s="231" t="s">
        <v>23</v>
      </c>
      <c r="M50" s="231">
        <v>0</v>
      </c>
      <c r="N50" s="234">
        <f>ROUND(((I50*J50)-((I50*J50)*L50/100))+(((I50*J50)-((I50*J50)*L50/100))*M50/100),2)</f>
      </c>
      <c r="O50" s="230">
        <f>M11</f>
      </c>
      <c r="P50" s="235"/>
      <c r="Q50" s="236"/>
      <c r="R50" s="237"/>
      <c r="S50" s="238"/>
      <c r="T50" s="239"/>
    </row>
    <row r="51" spans="1:20" ht="24" customHeight="1">
      <c r="A51" s="226">
        <v>32</v>
      </c>
      <c r="B51" s="226">
        <v>99990011529751</v>
      </c>
      <c r="C51" s="227">
        <v>733751</v>
      </c>
      <c r="D51" s="228" t="s">
        <v>87</v>
      </c>
      <c r="E51" s="229"/>
      <c r="F51" s="229">
        <v>733751</v>
      </c>
      <c r="G51" s="229" t="s">
        <v>41</v>
      </c>
      <c r="H51" s="230">
        <v>0</v>
      </c>
      <c r="I51" s="231">
        <v>5</v>
      </c>
      <c r="J51" s="232">
        <v>0.44</v>
      </c>
      <c r="K51" s="233"/>
      <c r="L51" s="231" t="s">
        <v>23</v>
      </c>
      <c r="M51" s="231">
        <v>0</v>
      </c>
      <c r="N51" s="234">
        <f>ROUND(((I51*J51)-((I51*J51)*L51/100))+(((I51*J51)-((I51*J51)*L51/100))*M51/100),2)</f>
      </c>
      <c r="O51" s="230">
        <f>M11</f>
      </c>
      <c r="P51" s="235"/>
      <c r="Q51" s="236"/>
      <c r="R51" s="237"/>
      <c r="S51" s="238"/>
      <c r="T51" s="239"/>
    </row>
    <row r="52" spans="1:20" ht="24" customHeight="1">
      <c r="A52" s="226">
        <v>33</v>
      </c>
      <c r="B52" s="226">
        <v>99990009873258</v>
      </c>
      <c r="C52" s="227">
        <v>311102</v>
      </c>
      <c r="D52" s="228" t="s">
        <v>88</v>
      </c>
      <c r="E52" s="229"/>
      <c r="F52" s="229">
        <v>311102</v>
      </c>
      <c r="G52" s="229" t="s">
        <v>69</v>
      </c>
      <c r="H52" s="230">
        <v>0</v>
      </c>
      <c r="I52" s="231">
        <v>10</v>
      </c>
      <c r="J52" s="232">
        <v>3.8</v>
      </c>
      <c r="K52" s="233"/>
      <c r="L52" s="231" t="s">
        <v>23</v>
      </c>
      <c r="M52" s="231">
        <v>0</v>
      </c>
      <c r="N52" s="234">
        <f>ROUND(((I52*J52)-((I52*J52)*L52/100))+(((I52*J52)-((I52*J52)*L52/100))*M52/100),2)</f>
      </c>
      <c r="O52" s="230">
        <f>M11</f>
      </c>
      <c r="P52" s="235" t="s">
        <v>478</v>
      </c>
      <c r="Q52" s="236"/>
      <c r="R52" s="237"/>
      <c r="S52" s="238"/>
      <c r="T52" s="239"/>
    </row>
    <row r="53" spans="1:20" ht="24" customHeight="1">
      <c r="A53" s="226">
        <v>34</v>
      </c>
      <c r="B53" s="226">
        <v>99990005569004</v>
      </c>
      <c r="C53" s="227">
        <v>1778805</v>
      </c>
      <c r="D53" s="228" t="s">
        <v>89</v>
      </c>
      <c r="E53" s="229"/>
      <c r="F53" s="229">
        <v>190569</v>
      </c>
      <c r="G53" s="229" t="s">
        <v>41</v>
      </c>
      <c r="H53" s="230">
        <v>0</v>
      </c>
      <c r="I53" s="231">
        <v>10</v>
      </c>
      <c r="J53" s="232">
        <v>1.3</v>
      </c>
      <c r="K53" s="233"/>
      <c r="L53" s="231" t="s">
        <v>23</v>
      </c>
      <c r="M53" s="231">
        <v>0</v>
      </c>
      <c r="N53" s="234">
        <f>ROUND(((I53*J53)-((I53*J53)*L53/100))+(((I53*J53)-((I53*J53)*L53/100))*M53/100),2)</f>
      </c>
      <c r="O53" s="230">
        <f>M11</f>
      </c>
      <c r="P53" s="235"/>
      <c r="Q53" s="236"/>
      <c r="R53" s="237"/>
      <c r="S53" s="238"/>
      <c r="T53" s="239"/>
    </row>
    <row r="54" spans="1:20" ht="24" customHeight="1">
      <c r="A54" s="226">
        <v>35</v>
      </c>
      <c r="B54" s="226">
        <v>99990008656788</v>
      </c>
      <c r="C54" s="227">
        <v>792921</v>
      </c>
      <c r="D54" s="228" t="s">
        <v>90</v>
      </c>
      <c r="E54" s="229"/>
      <c r="F54" s="229">
        <v>792921</v>
      </c>
      <c r="G54" s="229" t="s">
        <v>41</v>
      </c>
      <c r="H54" s="230">
        <v>0.40</v>
      </c>
      <c r="I54" s="231">
        <v>10</v>
      </c>
      <c r="J54" s="232">
        <v>0.4</v>
      </c>
      <c r="K54" s="233"/>
      <c r="L54" s="231" t="s">
        <v>23</v>
      </c>
      <c r="M54" s="231">
        <v>0</v>
      </c>
      <c r="N54" s="234">
        <f>ROUND(((I54*J54)-((I54*J54)*L54/100))+(((I54*J54)-((I54*J54)*L54/100))*M54/100),2)</f>
      </c>
      <c r="O54" s="230">
        <f>M11</f>
      </c>
      <c r="P54" s="235"/>
      <c r="Q54" s="236"/>
      <c r="R54" s="237"/>
      <c r="S54" s="238"/>
      <c r="T54" s="239"/>
    </row>
    <row r="55" spans="1:20" ht="24" customHeight="1">
      <c r="A55" s="226">
        <v>36</v>
      </c>
      <c r="B55" s="226">
        <v>99990008655341</v>
      </c>
      <c r="C55" s="227">
        <v>550942</v>
      </c>
      <c r="D55" s="228" t="s">
        <v>91</v>
      </c>
      <c r="E55" s="229"/>
      <c r="F55" s="229">
        <v>550942</v>
      </c>
      <c r="G55" s="229" t="s">
        <v>75</v>
      </c>
      <c r="H55" s="230">
        <v>23.32</v>
      </c>
      <c r="I55" s="231">
        <v>2</v>
      </c>
      <c r="J55" s="232">
        <v>23.32</v>
      </c>
      <c r="K55" s="233"/>
      <c r="L55" s="231" t="s">
        <v>23</v>
      </c>
      <c r="M55" s="231">
        <v>0</v>
      </c>
      <c r="N55" s="234">
        <f>ROUND(((I55*J55)-((I55*J55)*L55/100))+(((I55*J55)-((I55*J55)*L55/100))*M55/100),2)</f>
      </c>
      <c r="O55" s="230">
        <f>M11</f>
      </c>
      <c r="P55" s="235"/>
      <c r="Q55" s="236"/>
      <c r="R55" s="237"/>
      <c r="S55" s="238"/>
      <c r="T55" s="239"/>
    </row>
    <row r="56" spans="1:20" ht="24" customHeight="1">
      <c r="A56" s="226">
        <v>37</v>
      </c>
      <c r="B56" s="226">
        <v>99990008209543</v>
      </c>
      <c r="C56" s="227">
        <v>790904</v>
      </c>
      <c r="D56" s="228" t="s">
        <v>92</v>
      </c>
      <c r="E56" s="229"/>
      <c r="F56" s="229">
        <v>790904</v>
      </c>
      <c r="G56" s="229" t="s">
        <v>41</v>
      </c>
      <c r="H56" s="230">
        <v>0</v>
      </c>
      <c r="I56" s="231">
        <v>50</v>
      </c>
      <c r="J56" s="232">
        <v>2.15</v>
      </c>
      <c r="K56" s="233"/>
      <c r="L56" s="231" t="s">
        <v>23</v>
      </c>
      <c r="M56" s="231">
        <v>0</v>
      </c>
      <c r="N56" s="234">
        <f>ROUND(((I56*J56)-((I56*J56)*L56/100))+(((I56*J56)-((I56*J56)*L56/100))*M56/100),2)</f>
      </c>
      <c r="O56" s="230">
        <f>M11</f>
      </c>
      <c r="P56" s="235"/>
      <c r="Q56" s="236"/>
      <c r="R56" s="237"/>
      <c r="S56" s="238"/>
      <c r="T56" s="239"/>
    </row>
    <row r="57" spans="1:20" ht="24" customHeight="1">
      <c r="A57" s="226">
        <v>38</v>
      </c>
      <c r="B57" s="226">
        <v>99990010866634</v>
      </c>
      <c r="C57" s="227">
        <v>792003</v>
      </c>
      <c r="D57" s="228" t="s">
        <v>93</v>
      </c>
      <c r="E57" s="229"/>
      <c r="F57" s="229">
        <v>792003</v>
      </c>
      <c r="G57" s="229" t="s">
        <v>41</v>
      </c>
      <c r="H57" s="230">
        <v>0</v>
      </c>
      <c r="I57" s="231">
        <v>10</v>
      </c>
      <c r="J57" s="232">
        <v>13.43</v>
      </c>
      <c r="K57" s="233"/>
      <c r="L57" s="231" t="s">
        <v>23</v>
      </c>
      <c r="M57" s="231">
        <v>0</v>
      </c>
      <c r="N57" s="234">
        <f>ROUND(((I57*J57)-((I57*J57)*L57/100))+(((I57*J57)-((I57*J57)*L57/100))*M57/100),2)</f>
      </c>
      <c r="O57" s="230">
        <f>M11</f>
      </c>
      <c r="P57" s="235"/>
      <c r="Q57" s="236"/>
      <c r="R57" s="237"/>
      <c r="S57" s="238"/>
      <c r="T57" s="239"/>
    </row>
    <row r="58" spans="1:20" ht="24" customHeight="1">
      <c r="A58" s="226">
        <v>39</v>
      </c>
      <c r="B58" s="226">
        <v>99990008209043</v>
      </c>
      <c r="C58" s="227">
        <v>790181</v>
      </c>
      <c r="D58" s="228" t="s">
        <v>94</v>
      </c>
      <c r="E58" s="229"/>
      <c r="F58" s="229">
        <v>790181</v>
      </c>
      <c r="G58" s="229" t="s">
        <v>41</v>
      </c>
      <c r="H58" s="230">
        <v>0</v>
      </c>
      <c r="I58" s="231">
        <v>300</v>
      </c>
      <c r="J58" s="232">
        <v>0.34</v>
      </c>
      <c r="K58" s="233"/>
      <c r="L58" s="231" t="s">
        <v>23</v>
      </c>
      <c r="M58" s="231">
        <v>0</v>
      </c>
      <c r="N58" s="234">
        <f>ROUND(((I58*J58)-((I58*J58)*L58/100))+(((I58*J58)-((I58*J58)*L58/100))*M58/100),2)</f>
      </c>
      <c r="O58" s="230">
        <f>M11</f>
      </c>
      <c r="P58" s="235"/>
      <c r="Q58" s="236"/>
      <c r="R58" s="237" t="s">
        <v>95</v>
      </c>
      <c r="S58" s="238"/>
      <c r="T58" s="239"/>
    </row>
    <row r="59" spans="1:20" ht="24" customHeight="1">
      <c r="A59" s="226">
        <v>40</v>
      </c>
      <c r="B59" s="226">
        <v>99990009608131</v>
      </c>
      <c r="C59" s="227">
        <v>791273</v>
      </c>
      <c r="D59" s="228" t="s">
        <v>96</v>
      </c>
      <c r="E59" s="229"/>
      <c r="F59" s="229">
        <v>791273</v>
      </c>
      <c r="G59" s="229" t="s">
        <v>41</v>
      </c>
      <c r="H59" s="230">
        <v>1.97</v>
      </c>
      <c r="I59" s="231">
        <v>2</v>
      </c>
      <c r="J59" s="232">
        <v>1.83</v>
      </c>
      <c r="K59" s="233"/>
      <c r="L59" s="231" t="s">
        <v>23</v>
      </c>
      <c r="M59" s="231">
        <v>0</v>
      </c>
      <c r="N59" s="234">
        <f>ROUND(((I59*J59)-((I59*J59)*L59/100))+(((I59*J59)-((I59*J59)*L59/100))*M59/100),2)</f>
      </c>
      <c r="O59" s="230">
        <f>M11</f>
      </c>
      <c r="P59" s="235"/>
      <c r="Q59" s="236"/>
      <c r="R59" s="237" t="s">
        <v>97</v>
      </c>
      <c r="S59" s="238"/>
      <c r="T59" s="239"/>
    </row>
    <row r="60" spans="1:20" ht="24" customHeight="1">
      <c r="A60" s="226">
        <v>41</v>
      </c>
      <c r="B60" s="226">
        <v>99990008210273</v>
      </c>
      <c r="C60" s="227">
        <v>793038</v>
      </c>
      <c r="D60" s="228" t="s">
        <v>98</v>
      </c>
      <c r="E60" s="229"/>
      <c r="F60" s="229">
        <v>793038</v>
      </c>
      <c r="G60" s="229" t="s">
        <v>41</v>
      </c>
      <c r="H60" s="230">
        <v>0</v>
      </c>
      <c r="I60" s="231">
        <v>5</v>
      </c>
      <c r="J60" s="232">
        <v>18.25</v>
      </c>
      <c r="K60" s="233"/>
      <c r="L60" s="231" t="s">
        <v>23</v>
      </c>
      <c r="M60" s="231">
        <v>0</v>
      </c>
      <c r="N60" s="234">
        <f>ROUND(((I60*J60)-((I60*J60)*L60/100))+(((I60*J60)-((I60*J60)*L60/100))*M60/100),2)</f>
      </c>
      <c r="O60" s="230">
        <f>M11</f>
      </c>
      <c r="P60" s="235"/>
      <c r="Q60" s="236"/>
      <c r="R60" s="237"/>
      <c r="S60" s="238"/>
      <c r="T60" s="239"/>
    </row>
    <row r="61" spans="1:20" ht="24" customHeight="1">
      <c r="A61" s="226">
        <v>42</v>
      </c>
      <c r="B61" s="226">
        <v>99990011124692</v>
      </c>
      <c r="C61" s="227">
        <v>710115</v>
      </c>
      <c r="D61" s="228" t="s">
        <v>99</v>
      </c>
      <c r="E61" s="229"/>
      <c r="F61" s="229">
        <v>710115</v>
      </c>
      <c r="G61" s="229" t="s">
        <v>100</v>
      </c>
      <c r="H61" s="230">
        <v>0</v>
      </c>
      <c r="I61" s="231">
        <v>1</v>
      </c>
      <c r="J61" s="232">
        <v>110.8</v>
      </c>
      <c r="K61" s="233"/>
      <c r="L61" s="231" t="s">
        <v>23</v>
      </c>
      <c r="M61" s="231">
        <v>0</v>
      </c>
      <c r="N61" s="234">
        <f>ROUND(((I61*J61)-((I61*J61)*L61/100))+(((I61*J61)-((I61*J61)*L61/100))*M61/100),2)</f>
      </c>
      <c r="O61" s="230">
        <f>M11</f>
      </c>
      <c r="P61" s="235"/>
      <c r="Q61" s="236"/>
      <c r="R61" s="237"/>
      <c r="S61" s="238"/>
      <c r="T61" s="239"/>
    </row>
    <row r="62" spans="1:20" ht="24" customHeight="1">
      <c r="A62" s="226">
        <v>43</v>
      </c>
      <c r="B62" s="226">
        <v>99990008655952</v>
      </c>
      <c r="C62" s="227">
        <v>710107</v>
      </c>
      <c r="D62" s="228" t="s">
        <v>101</v>
      </c>
      <c r="E62" s="229"/>
      <c r="F62" s="229">
        <v>710107</v>
      </c>
      <c r="G62" s="229" t="s">
        <v>100</v>
      </c>
      <c r="H62" s="230">
        <v>22</v>
      </c>
      <c r="I62" s="231">
        <v>5</v>
      </c>
      <c r="J62" s="232">
        <v>22</v>
      </c>
      <c r="K62" s="233"/>
      <c r="L62" s="231" t="s">
        <v>23</v>
      </c>
      <c r="M62" s="231">
        <v>0</v>
      </c>
      <c r="N62" s="234">
        <f>ROUND(((I62*J62)-((I62*J62)*L62/100))+(((I62*J62)-((I62*J62)*L62/100))*M62/100),2)</f>
      </c>
      <c r="O62" s="230">
        <f>M11</f>
      </c>
      <c r="P62" s="235"/>
      <c r="Q62" s="236"/>
      <c r="R62" s="237"/>
      <c r="S62" s="238"/>
      <c r="T62" s="239"/>
    </row>
    <row r="63" spans="1:20" ht="24" customHeight="1">
      <c r="A63" s="226">
        <v>44</v>
      </c>
      <c r="B63" s="226">
        <v>99990010185159</v>
      </c>
      <c r="C63" s="227">
        <v>670116</v>
      </c>
      <c r="D63" s="228" t="s">
        <v>102</v>
      </c>
      <c r="E63" s="229"/>
      <c r="F63" s="229">
        <v>670116</v>
      </c>
      <c r="G63" s="229" t="s">
        <v>100</v>
      </c>
      <c r="H63" s="230">
        <v>0</v>
      </c>
      <c r="I63" s="231">
        <v>5</v>
      </c>
      <c r="J63" s="232">
        <v>15.82</v>
      </c>
      <c r="K63" s="233"/>
      <c r="L63" s="231" t="s">
        <v>23</v>
      </c>
      <c r="M63" s="231">
        <v>0</v>
      </c>
      <c r="N63" s="234">
        <f>ROUND(((I63*J63)-((I63*J63)*L63/100))+(((I63*J63)-((I63*J63)*L63/100))*M63/100),2)</f>
      </c>
      <c r="O63" s="230">
        <f>M11</f>
      </c>
      <c r="P63" s="235" t="s">
        <v>479</v>
      </c>
      <c r="Q63" s="236"/>
      <c r="R63" s="237"/>
      <c r="S63" s="238"/>
      <c r="T63" s="239"/>
    </row>
    <row r="64" spans="1:20" ht="24" customHeight="1">
      <c r="A64" s="226">
        <v>45</v>
      </c>
      <c r="B64" s="226">
        <v>99990010264589</v>
      </c>
      <c r="C64" s="227">
        <v>793331</v>
      </c>
      <c r="D64" s="228" t="s">
        <v>103</v>
      </c>
      <c r="E64" s="229"/>
      <c r="F64" s="229">
        <v>793331</v>
      </c>
      <c r="G64" s="229" t="s">
        <v>41</v>
      </c>
      <c r="H64" s="230">
        <v>0</v>
      </c>
      <c r="I64" s="231">
        <v>1</v>
      </c>
      <c r="J64" s="232">
        <v>14.92</v>
      </c>
      <c r="K64" s="233"/>
      <c r="L64" s="231" t="s">
        <v>23</v>
      </c>
      <c r="M64" s="231">
        <v>0</v>
      </c>
      <c r="N64" s="234">
        <f>ROUND(((I64*J64)-((I64*J64)*L64/100))+(((I64*J64)-((I64*J64)*L64/100))*M64/100),2)</f>
      </c>
      <c r="O64" s="230">
        <f>M11</f>
      </c>
      <c r="P64" s="235"/>
      <c r="Q64" s="236"/>
      <c r="R64" s="237"/>
      <c r="S64" s="238"/>
      <c r="T64" s="239"/>
    </row>
    <row r="65" spans="1:20" ht="24" customHeight="1">
      <c r="A65" s="226">
        <v>46</v>
      </c>
      <c r="B65" s="226">
        <v>99990009572810</v>
      </c>
      <c r="C65" s="227">
        <v>2136360</v>
      </c>
      <c r="D65" s="228" t="s">
        <v>104</v>
      </c>
      <c r="E65" s="229"/>
      <c r="F65" s="229">
        <v>812726</v>
      </c>
      <c r="G65" s="229" t="s">
        <v>55</v>
      </c>
      <c r="H65" s="230">
        <v>3.15</v>
      </c>
      <c r="I65" s="231">
        <v>5</v>
      </c>
      <c r="J65" s="232">
        <v>2.93</v>
      </c>
      <c r="K65" s="233"/>
      <c r="L65" s="231" t="s">
        <v>23</v>
      </c>
      <c r="M65" s="231">
        <v>0</v>
      </c>
      <c r="N65" s="234">
        <f>ROUND(((I65*J65)-((I65*J65)*L65/100))+(((I65*J65)-((I65*J65)*L65/100))*M65/100),2)</f>
      </c>
      <c r="O65" s="230">
        <f>M11</f>
      </c>
      <c r="P65" s="235"/>
      <c r="Q65" s="236"/>
      <c r="R65" s="237"/>
      <c r="S65" s="238"/>
      <c r="T65" s="239"/>
    </row>
    <row r="66" spans="1:20" ht="24" customHeight="1">
      <c r="A66" s="226">
        <v>47</v>
      </c>
      <c r="B66" s="226">
        <v>99990010195751</v>
      </c>
      <c r="C66" s="227">
        <v>812652</v>
      </c>
      <c r="D66" s="228" t="s">
        <v>105</v>
      </c>
      <c r="E66" s="229"/>
      <c r="F66" s="229">
        <v>812652</v>
      </c>
      <c r="G66" s="229" t="s">
        <v>106</v>
      </c>
      <c r="H66" s="230">
        <v>0</v>
      </c>
      <c r="I66" s="231">
        <v>2</v>
      </c>
      <c r="J66" s="232">
        <v>36.01</v>
      </c>
      <c r="K66" s="233"/>
      <c r="L66" s="231" t="s">
        <v>23</v>
      </c>
      <c r="M66" s="231">
        <v>0</v>
      </c>
      <c r="N66" s="234">
        <f>ROUND(((I66*J66)-((I66*J66)*L66/100))+(((I66*J66)-((I66*J66)*L66/100))*M66/100),2)</f>
      </c>
      <c r="O66" s="230">
        <f>M11</f>
      </c>
      <c r="P66" s="235" t="s">
        <v>480</v>
      </c>
      <c r="Q66" s="236"/>
      <c r="R66" s="237"/>
      <c r="S66" s="238"/>
      <c r="T66" s="239"/>
    </row>
    <row r="67" spans="1:20" ht="24" customHeight="1">
      <c r="A67" s="226">
        <v>48</v>
      </c>
      <c r="B67" s="226">
        <v>99990008209827</v>
      </c>
      <c r="C67" s="227">
        <v>791872</v>
      </c>
      <c r="D67" s="228" t="s">
        <v>107</v>
      </c>
      <c r="E67" s="229"/>
      <c r="F67" s="229">
        <v>791872</v>
      </c>
      <c r="G67" s="229" t="s">
        <v>41</v>
      </c>
      <c r="H67" s="230">
        <v>0</v>
      </c>
      <c r="I67" s="231">
        <v>20</v>
      </c>
      <c r="J67" s="232">
        <v>31.71</v>
      </c>
      <c r="K67" s="233"/>
      <c r="L67" s="231" t="s">
        <v>23</v>
      </c>
      <c r="M67" s="231">
        <v>0</v>
      </c>
      <c r="N67" s="234">
        <f>ROUND(((I67*J67)-((I67*J67)*L67/100))+(((I67*J67)-((I67*J67)*L67/100))*M67/100),2)</f>
      </c>
      <c r="O67" s="230">
        <f>M11</f>
      </c>
      <c r="P67" s="235"/>
      <c r="Q67" s="236"/>
      <c r="R67" s="237"/>
      <c r="S67" s="238"/>
      <c r="T67" s="239"/>
    </row>
    <row r="68" spans="1:20" ht="24" customHeight="1">
      <c r="A68" s="226">
        <v>49</v>
      </c>
      <c r="B68" s="226">
        <v>99990008655496</v>
      </c>
      <c r="C68" s="227">
        <v>232519</v>
      </c>
      <c r="D68" s="228" t="s">
        <v>108</v>
      </c>
      <c r="E68" s="229"/>
      <c r="F68" s="229">
        <v>232519</v>
      </c>
      <c r="G68" s="229" t="s">
        <v>57</v>
      </c>
      <c r="H68" s="230">
        <v>16.95</v>
      </c>
      <c r="I68" s="231">
        <v>1</v>
      </c>
      <c r="J68" s="232">
        <v>16.95</v>
      </c>
      <c r="K68" s="233"/>
      <c r="L68" s="231" t="s">
        <v>23</v>
      </c>
      <c r="M68" s="231">
        <v>0</v>
      </c>
      <c r="N68" s="234">
        <f>ROUND(((I68*J68)-((I68*J68)*L68/100))+(((I68*J68)-((I68*J68)*L68/100))*M68/100),2)</f>
      </c>
      <c r="O68" s="230">
        <f>M11</f>
      </c>
      <c r="P68" s="235"/>
      <c r="Q68" s="236"/>
      <c r="R68" s="237"/>
      <c r="S68" s="238"/>
      <c r="T68" s="239"/>
    </row>
    <row r="69" spans="1:20" ht="24" customHeight="1">
      <c r="A69" s="226">
        <v>50</v>
      </c>
      <c r="B69" s="226">
        <v>99990011491593</v>
      </c>
      <c r="C69" s="227">
        <v>650382</v>
      </c>
      <c r="D69" s="228" t="s">
        <v>109</v>
      </c>
      <c r="E69" s="229"/>
      <c r="F69" s="229">
        <v>650382</v>
      </c>
      <c r="G69" s="229" t="s">
        <v>72</v>
      </c>
      <c r="H69" s="230">
        <v>0</v>
      </c>
      <c r="I69" s="231">
        <v>1</v>
      </c>
      <c r="J69" s="232">
        <v>39.17</v>
      </c>
      <c r="K69" s="233"/>
      <c r="L69" s="231" t="s">
        <v>23</v>
      </c>
      <c r="M69" s="231">
        <v>0</v>
      </c>
      <c r="N69" s="234">
        <f>ROUND(((I69*J69)-((I69*J69)*L69/100))+(((I69*J69)-((I69*J69)*L69/100))*M69/100),2)</f>
      </c>
      <c r="O69" s="230">
        <f>M11</f>
      </c>
      <c r="P69" s="235"/>
      <c r="Q69" s="236"/>
      <c r="R69" s="237"/>
      <c r="S69" s="238"/>
      <c r="T69" s="239"/>
    </row>
    <row r="70" spans="1:20" ht="24" customHeight="1">
      <c r="A70" s="226">
        <v>51</v>
      </c>
      <c r="B70" s="226">
        <v>99990009573556</v>
      </c>
      <c r="C70" s="227" t="s">
        <v>110</v>
      </c>
      <c r="D70" s="228" t="s">
        <v>111</v>
      </c>
      <c r="E70" s="229"/>
      <c r="F70" s="229">
        <v>472857</v>
      </c>
      <c r="G70" s="229" t="s">
        <v>41</v>
      </c>
      <c r="H70" s="230">
        <v>3.93</v>
      </c>
      <c r="I70" s="231">
        <v>2</v>
      </c>
      <c r="J70" s="232">
        <v>4.66</v>
      </c>
      <c r="K70" s="233"/>
      <c r="L70" s="231" t="s">
        <v>23</v>
      </c>
      <c r="M70" s="231">
        <v>0</v>
      </c>
      <c r="N70" s="234">
        <f>ROUND(((I70*J70)-((I70*J70)*L70/100))+(((I70*J70)-((I70*J70)*L70/100))*M70/100),2)</f>
      </c>
      <c r="O70" s="230">
        <f>M11</f>
      </c>
      <c r="P70" s="235"/>
      <c r="Q70" s="236"/>
      <c r="R70" s="237"/>
      <c r="S70" s="238"/>
      <c r="T70" s="239"/>
    </row>
    <row r="71" spans="1:20" ht="24" customHeight="1">
      <c r="A71" s="226">
        <v>52</v>
      </c>
      <c r="B71" s="226">
        <v>99990009566737</v>
      </c>
      <c r="C71" s="227" t="s">
        <v>110</v>
      </c>
      <c r="D71" s="228" t="s">
        <v>112</v>
      </c>
      <c r="E71" s="229"/>
      <c r="F71" s="229">
        <v>472785</v>
      </c>
      <c r="G71" s="229" t="s">
        <v>41</v>
      </c>
      <c r="H71" s="230">
        <v>0.33</v>
      </c>
      <c r="I71" s="231">
        <v>3</v>
      </c>
      <c r="J71" s="232">
        <v>0.19</v>
      </c>
      <c r="K71" s="233"/>
      <c r="L71" s="231" t="s">
        <v>23</v>
      </c>
      <c r="M71" s="231">
        <v>0</v>
      </c>
      <c r="N71" s="234">
        <f>ROUND(((I71*J71)-((I71*J71)*L71/100))+(((I71*J71)-((I71*J71)*L71/100))*M71/100),2)</f>
      </c>
      <c r="O71" s="230">
        <f>M11</f>
      </c>
      <c r="P71" s="235"/>
      <c r="Q71" s="236"/>
      <c r="R71" s="237"/>
      <c r="S71" s="238"/>
      <c r="T71" s="239"/>
    </row>
    <row r="72" spans="1:20" ht="24" customHeight="1">
      <c r="A72" s="226">
        <v>53</v>
      </c>
      <c r="B72" s="226">
        <v>99990009566733</v>
      </c>
      <c r="C72" s="227" t="s">
        <v>110</v>
      </c>
      <c r="D72" s="228" t="s">
        <v>113</v>
      </c>
      <c r="E72" s="229"/>
      <c r="F72" s="229">
        <v>472781</v>
      </c>
      <c r="G72" s="229" t="s">
        <v>41</v>
      </c>
      <c r="H72" s="230">
        <v>4.92</v>
      </c>
      <c r="I72" s="231">
        <v>2</v>
      </c>
      <c r="J72" s="232">
        <v>4.66</v>
      </c>
      <c r="K72" s="233"/>
      <c r="L72" s="231" t="s">
        <v>23</v>
      </c>
      <c r="M72" s="231">
        <v>0</v>
      </c>
      <c r="N72" s="234">
        <f>ROUND(((I72*J72)-((I72*J72)*L72/100))+(((I72*J72)-((I72*J72)*L72/100))*M72/100),2)</f>
      </c>
      <c r="O72" s="230">
        <f>M11</f>
      </c>
      <c r="P72" s="235"/>
      <c r="Q72" s="236"/>
      <c r="R72" s="237"/>
      <c r="S72" s="238"/>
      <c r="T72" s="239"/>
    </row>
    <row r="73" spans="1:20" ht="24" customHeight="1">
      <c r="A73" s="226">
        <v>54</v>
      </c>
      <c r="B73" s="226">
        <v>99990010060481</v>
      </c>
      <c r="C73" s="227">
        <v>792089</v>
      </c>
      <c r="D73" s="228" t="s">
        <v>114</v>
      </c>
      <c r="E73" s="229"/>
      <c r="F73" s="229">
        <v>792089</v>
      </c>
      <c r="G73" s="229" t="s">
        <v>41</v>
      </c>
      <c r="H73" s="230">
        <v>0</v>
      </c>
      <c r="I73" s="231">
        <v>20</v>
      </c>
      <c r="J73" s="232">
        <v>3.27</v>
      </c>
      <c r="K73" s="233"/>
      <c r="L73" s="231" t="s">
        <v>23</v>
      </c>
      <c r="M73" s="231">
        <v>0</v>
      </c>
      <c r="N73" s="234">
        <f>ROUND(((I73*J73)-((I73*J73)*L73/100))+(((I73*J73)-((I73*J73)*L73/100))*M73/100),2)</f>
      </c>
      <c r="O73" s="230">
        <f>M11</f>
      </c>
      <c r="P73" s="235"/>
      <c r="Q73" s="236"/>
      <c r="R73" s="237"/>
      <c r="S73" s="238"/>
      <c r="T73" s="239"/>
    </row>
    <row r="74" spans="1:20" ht="24" customHeight="1">
      <c r="A74" s="226">
        <v>55</v>
      </c>
      <c r="B74" s="226">
        <v>99990010100430</v>
      </c>
      <c r="C74" s="227">
        <v>671856</v>
      </c>
      <c r="D74" s="228" t="s">
        <v>115</v>
      </c>
      <c r="E74" s="229"/>
      <c r="F74" s="229">
        <v>671856</v>
      </c>
      <c r="G74" s="229" t="s">
        <v>116</v>
      </c>
      <c r="H74" s="230">
        <v>0</v>
      </c>
      <c r="I74" s="231">
        <v>10</v>
      </c>
      <c r="J74" s="232">
        <v>12.68</v>
      </c>
      <c r="K74" s="233"/>
      <c r="L74" s="231" t="s">
        <v>23</v>
      </c>
      <c r="M74" s="231">
        <v>0</v>
      </c>
      <c r="N74" s="234">
        <f>ROUND(((I74*J74)-((I74*J74)*L74/100))+(((I74*J74)-((I74*J74)*L74/100))*M74/100),2)</f>
      </c>
      <c r="O74" s="230">
        <f>M11</f>
      </c>
      <c r="P74" s="235"/>
      <c r="Q74" s="236"/>
      <c r="R74" s="237"/>
      <c r="S74" s="238"/>
      <c r="T74" s="239"/>
    </row>
    <row r="75" spans="1:20" ht="24" customHeight="1">
      <c r="A75" s="226">
        <v>56</v>
      </c>
      <c r="B75" s="226">
        <v>99990009868130</v>
      </c>
      <c r="C75" s="227">
        <v>333556</v>
      </c>
      <c r="D75" s="228" t="s">
        <v>117</v>
      </c>
      <c r="E75" s="229"/>
      <c r="F75" s="229">
        <v>333556</v>
      </c>
      <c r="G75" s="229" t="s">
        <v>41</v>
      </c>
      <c r="H75" s="230">
        <v>0</v>
      </c>
      <c r="I75" s="231">
        <v>10</v>
      </c>
      <c r="J75" s="232">
        <v>49.43</v>
      </c>
      <c r="K75" s="233"/>
      <c r="L75" s="231" t="s">
        <v>23</v>
      </c>
      <c r="M75" s="231">
        <v>0</v>
      </c>
      <c r="N75" s="234">
        <f>ROUND(((I75*J75)-((I75*J75)*L75/100))+(((I75*J75)-((I75*J75)*L75/100))*M75/100),2)</f>
      </c>
      <c r="O75" s="230">
        <f>M11</f>
      </c>
      <c r="P75" s="235"/>
      <c r="Q75" s="236"/>
      <c r="R75" s="237"/>
      <c r="S75" s="238"/>
      <c r="T75" s="239"/>
    </row>
    <row r="76" spans="1:20" ht="24" customHeight="1">
      <c r="A76" s="226">
        <v>57</v>
      </c>
      <c r="B76" s="226">
        <v>99990009867122</v>
      </c>
      <c r="C76" s="227">
        <v>331018</v>
      </c>
      <c r="D76" s="228" t="s">
        <v>118</v>
      </c>
      <c r="E76" s="229"/>
      <c r="F76" s="229">
        <v>331018</v>
      </c>
      <c r="G76" s="229" t="s">
        <v>41</v>
      </c>
      <c r="H76" s="230">
        <v>0</v>
      </c>
      <c r="I76" s="231">
        <v>5</v>
      </c>
      <c r="J76" s="232">
        <v>16.79</v>
      </c>
      <c r="K76" s="233"/>
      <c r="L76" s="231" t="s">
        <v>23</v>
      </c>
      <c r="M76" s="231">
        <v>0</v>
      </c>
      <c r="N76" s="234">
        <f>ROUND(((I76*J76)-((I76*J76)*L76/100))+(((I76*J76)-((I76*J76)*L76/100))*M76/100),2)</f>
      </c>
      <c r="O76" s="230">
        <f>M11</f>
      </c>
      <c r="P76" s="235"/>
      <c r="Q76" s="236"/>
      <c r="R76" s="237"/>
      <c r="S76" s="238"/>
      <c r="T76" s="239"/>
    </row>
    <row r="77" spans="1:20" ht="24" customHeight="1">
      <c r="A77" s="226">
        <v>58</v>
      </c>
      <c r="B77" s="226">
        <v>99990009872739</v>
      </c>
      <c r="C77" s="227">
        <v>330189</v>
      </c>
      <c r="D77" s="228" t="s">
        <v>119</v>
      </c>
      <c r="E77" s="229"/>
      <c r="F77" s="229">
        <v>330189</v>
      </c>
      <c r="G77" s="229" t="s">
        <v>120</v>
      </c>
      <c r="H77" s="230">
        <v>0</v>
      </c>
      <c r="I77" s="231">
        <v>2</v>
      </c>
      <c r="J77" s="232">
        <v>24.88</v>
      </c>
      <c r="K77" s="233"/>
      <c r="L77" s="231" t="s">
        <v>23</v>
      </c>
      <c r="M77" s="231">
        <v>0</v>
      </c>
      <c r="N77" s="234">
        <f>ROUND(((I77*J77)-((I77*J77)*L77/100))+(((I77*J77)-((I77*J77)*L77/100))*M77/100),2)</f>
      </c>
      <c r="O77" s="230">
        <f>M11</f>
      </c>
      <c r="P77" s="235"/>
      <c r="Q77" s="236"/>
      <c r="R77" s="237"/>
      <c r="S77" s="238"/>
      <c r="T77" s="239"/>
    </row>
    <row r="78" spans="1:20" ht="24" customHeight="1">
      <c r="A78" s="226">
        <v>59</v>
      </c>
      <c r="B78" s="226">
        <v>99990009872128</v>
      </c>
      <c r="C78" s="227">
        <v>336019</v>
      </c>
      <c r="D78" s="228" t="s">
        <v>121</v>
      </c>
      <c r="E78" s="229"/>
      <c r="F78" s="229">
        <v>336019</v>
      </c>
      <c r="G78" s="229" t="s">
        <v>41</v>
      </c>
      <c r="H78" s="230">
        <v>0</v>
      </c>
      <c r="I78" s="231">
        <v>10</v>
      </c>
      <c r="J78" s="232">
        <v>0.53</v>
      </c>
      <c r="K78" s="233"/>
      <c r="L78" s="231" t="s">
        <v>23</v>
      </c>
      <c r="M78" s="231">
        <v>0</v>
      </c>
      <c r="N78" s="234">
        <f>ROUND(((I78*J78)-((I78*J78)*L78/100))+(((I78*J78)-((I78*J78)*L78/100))*M78/100),2)</f>
      </c>
      <c r="O78" s="230">
        <f>M11</f>
      </c>
      <c r="P78" s="235"/>
      <c r="Q78" s="236"/>
      <c r="R78" s="237"/>
      <c r="S78" s="238"/>
      <c r="T78" s="239"/>
    </row>
    <row r="79" spans="1:20" ht="24" customHeight="1">
      <c r="A79" s="226">
        <v>60</v>
      </c>
      <c r="B79" s="226">
        <v>99990009872011</v>
      </c>
      <c r="C79" s="227">
        <v>336795</v>
      </c>
      <c r="D79" s="228" t="s">
        <v>122</v>
      </c>
      <c r="E79" s="229"/>
      <c r="F79" s="229">
        <v>336795</v>
      </c>
      <c r="G79" s="229" t="s">
        <v>41</v>
      </c>
      <c r="H79" s="230">
        <v>0</v>
      </c>
      <c r="I79" s="231">
        <v>20</v>
      </c>
      <c r="J79" s="232">
        <v>0.53</v>
      </c>
      <c r="K79" s="233"/>
      <c r="L79" s="231" t="s">
        <v>23</v>
      </c>
      <c r="M79" s="231">
        <v>0</v>
      </c>
      <c r="N79" s="234">
        <f>ROUND(((I79*J79)-((I79*J79)*L79/100))+(((I79*J79)-((I79*J79)*L79/100))*M79/100),2)</f>
      </c>
      <c r="O79" s="230">
        <f>M11</f>
      </c>
      <c r="P79" s="235"/>
      <c r="Q79" s="236"/>
      <c r="R79" s="237"/>
      <c r="S79" s="238"/>
      <c r="T79" s="239"/>
    </row>
    <row r="80" spans="1:20" ht="24" customHeight="1">
      <c r="A80" s="226">
        <v>61</v>
      </c>
      <c r="B80" s="226">
        <v>99990009871960</v>
      </c>
      <c r="C80" s="227">
        <v>336850</v>
      </c>
      <c r="D80" s="228" t="s">
        <v>123</v>
      </c>
      <c r="E80" s="229"/>
      <c r="F80" s="229">
        <v>336850</v>
      </c>
      <c r="G80" s="229" t="s">
        <v>41</v>
      </c>
      <c r="H80" s="230">
        <v>0</v>
      </c>
      <c r="I80" s="231">
        <v>20</v>
      </c>
      <c r="J80" s="232">
        <v>0.53</v>
      </c>
      <c r="K80" s="233"/>
      <c r="L80" s="231" t="s">
        <v>23</v>
      </c>
      <c r="M80" s="231">
        <v>0</v>
      </c>
      <c r="N80" s="234">
        <f>ROUND(((I80*J80)-((I80*J80)*L80/100))+(((I80*J80)-((I80*J80)*L80/100))*M80/100),2)</f>
      </c>
      <c r="O80" s="230">
        <f>M11</f>
      </c>
      <c r="P80" s="235"/>
      <c r="Q80" s="236"/>
      <c r="R80" s="237"/>
      <c r="S80" s="238"/>
      <c r="T80" s="239"/>
    </row>
    <row r="81" spans="1:20" ht="24" customHeight="1">
      <c r="A81" s="226">
        <v>62</v>
      </c>
      <c r="B81" s="226">
        <v>99990009871983</v>
      </c>
      <c r="C81" s="227">
        <v>336826</v>
      </c>
      <c r="D81" s="228" t="s">
        <v>124</v>
      </c>
      <c r="E81" s="229"/>
      <c r="F81" s="229">
        <v>336826</v>
      </c>
      <c r="G81" s="229" t="s">
        <v>41</v>
      </c>
      <c r="H81" s="230">
        <v>0</v>
      </c>
      <c r="I81" s="231">
        <v>10</v>
      </c>
      <c r="J81" s="232">
        <v>0.53</v>
      </c>
      <c r="K81" s="233"/>
      <c r="L81" s="231" t="s">
        <v>23</v>
      </c>
      <c r="M81" s="231">
        <v>0</v>
      </c>
      <c r="N81" s="234">
        <f>ROUND(((I81*J81)-((I81*J81)*L81/100))+(((I81*J81)-((I81*J81)*L81/100))*M81/100),2)</f>
      </c>
      <c r="O81" s="230">
        <f>M11</f>
      </c>
      <c r="P81" s="235"/>
      <c r="Q81" s="236"/>
      <c r="R81" s="237"/>
      <c r="S81" s="238"/>
      <c r="T81" s="239"/>
    </row>
    <row r="82" spans="1:20" ht="24" customHeight="1">
      <c r="A82" s="226">
        <v>63</v>
      </c>
      <c r="B82" s="226">
        <v>99990009872443</v>
      </c>
      <c r="C82" s="227">
        <v>336007</v>
      </c>
      <c r="D82" s="228" t="s">
        <v>125</v>
      </c>
      <c r="E82" s="229"/>
      <c r="F82" s="229">
        <v>336007</v>
      </c>
      <c r="G82" s="229" t="s">
        <v>41</v>
      </c>
      <c r="H82" s="230">
        <v>0</v>
      </c>
      <c r="I82" s="231">
        <v>20</v>
      </c>
      <c r="J82" s="232">
        <v>0.53</v>
      </c>
      <c r="K82" s="233"/>
      <c r="L82" s="231" t="s">
        <v>23</v>
      </c>
      <c r="M82" s="231">
        <v>0</v>
      </c>
      <c r="N82" s="234">
        <f>ROUND(((I82*J82)-((I82*J82)*L82/100))+(((I82*J82)-((I82*J82)*L82/100))*M82/100),2)</f>
      </c>
      <c r="O82" s="230">
        <f>M11</f>
      </c>
      <c r="P82" s="235"/>
      <c r="Q82" s="236"/>
      <c r="R82" s="237"/>
      <c r="S82" s="238"/>
      <c r="T82" s="239"/>
    </row>
    <row r="83" spans="1:20" ht="24" customHeight="1">
      <c r="A83" s="226">
        <v>64</v>
      </c>
      <c r="B83" s="226">
        <v>99990009872122</v>
      </c>
      <c r="C83" s="227">
        <v>336025</v>
      </c>
      <c r="D83" s="228" t="s">
        <v>126</v>
      </c>
      <c r="E83" s="229"/>
      <c r="F83" s="229">
        <v>336025</v>
      </c>
      <c r="G83" s="229" t="s">
        <v>41</v>
      </c>
      <c r="H83" s="230">
        <v>0</v>
      </c>
      <c r="I83" s="231">
        <v>10</v>
      </c>
      <c r="J83" s="232">
        <v>0.53</v>
      </c>
      <c r="K83" s="233"/>
      <c r="L83" s="231" t="s">
        <v>23</v>
      </c>
      <c r="M83" s="231">
        <v>0</v>
      </c>
      <c r="N83" s="234">
        <f>ROUND(((I83*J83)-((I83*J83)*L83/100))+(((I83*J83)-((I83*J83)*L83/100))*M83/100),2)</f>
      </c>
      <c r="O83" s="230">
        <f>M11</f>
      </c>
      <c r="P83" s="235"/>
      <c r="Q83" s="236"/>
      <c r="R83" s="237"/>
      <c r="S83" s="238"/>
      <c r="T83" s="239"/>
    </row>
    <row r="84" spans="1:20" ht="24" customHeight="1">
      <c r="A84" s="226">
        <v>65</v>
      </c>
      <c r="B84" s="226">
        <v>99990009872656</v>
      </c>
      <c r="C84" s="227">
        <v>334126</v>
      </c>
      <c r="D84" s="228" t="s">
        <v>127</v>
      </c>
      <c r="E84" s="229"/>
      <c r="F84" s="229">
        <v>334126</v>
      </c>
      <c r="G84" s="229" t="s">
        <v>41</v>
      </c>
      <c r="H84" s="230">
        <v>0</v>
      </c>
      <c r="I84" s="231">
        <v>20</v>
      </c>
      <c r="J84" s="232">
        <v>0.53</v>
      </c>
      <c r="K84" s="233"/>
      <c r="L84" s="231" t="s">
        <v>23</v>
      </c>
      <c r="M84" s="231">
        <v>0</v>
      </c>
      <c r="N84" s="234">
        <f>ROUND(((I84*J84)-((I84*J84)*L84/100))+(((I84*J84)-((I84*J84)*L84/100))*M84/100),2)</f>
      </c>
      <c r="O84" s="230">
        <f>M11</f>
      </c>
      <c r="P84" s="235"/>
      <c r="Q84" s="236"/>
      <c r="R84" s="237"/>
      <c r="S84" s="238"/>
      <c r="T84" s="239"/>
    </row>
    <row r="85" spans="1:20" ht="24" customHeight="1">
      <c r="A85" s="226">
        <v>66</v>
      </c>
      <c r="B85" s="226">
        <v>99990009872678</v>
      </c>
      <c r="C85" s="227">
        <v>334104</v>
      </c>
      <c r="D85" s="228" t="s">
        <v>128</v>
      </c>
      <c r="E85" s="229"/>
      <c r="F85" s="229">
        <v>334104</v>
      </c>
      <c r="G85" s="229" t="s">
        <v>41</v>
      </c>
      <c r="H85" s="230">
        <v>0</v>
      </c>
      <c r="I85" s="231">
        <v>10</v>
      </c>
      <c r="J85" s="232">
        <v>0.53</v>
      </c>
      <c r="K85" s="233"/>
      <c r="L85" s="231" t="s">
        <v>23</v>
      </c>
      <c r="M85" s="231">
        <v>0</v>
      </c>
      <c r="N85" s="234">
        <f>ROUND(((I85*J85)-((I85*J85)*L85/100))+(((I85*J85)-((I85*J85)*L85/100))*M85/100),2)</f>
      </c>
      <c r="O85" s="230">
        <f>M11</f>
      </c>
      <c r="P85" s="235"/>
      <c r="Q85" s="236"/>
      <c r="R85" s="237"/>
      <c r="S85" s="238"/>
      <c r="T85" s="239"/>
    </row>
    <row r="86" spans="1:20" ht="24" customHeight="1">
      <c r="A86" s="226">
        <v>67</v>
      </c>
      <c r="B86" s="226">
        <v>99990009872506</v>
      </c>
      <c r="C86" s="227">
        <v>334324</v>
      </c>
      <c r="D86" s="228" t="s">
        <v>129</v>
      </c>
      <c r="E86" s="229"/>
      <c r="F86" s="229">
        <v>334324</v>
      </c>
      <c r="G86" s="229" t="s">
        <v>41</v>
      </c>
      <c r="H86" s="230">
        <v>0</v>
      </c>
      <c r="I86" s="231">
        <v>10</v>
      </c>
      <c r="J86" s="232">
        <v>0.72</v>
      </c>
      <c r="K86" s="233"/>
      <c r="L86" s="231" t="s">
        <v>23</v>
      </c>
      <c r="M86" s="231">
        <v>0</v>
      </c>
      <c r="N86" s="234">
        <f>ROUND(((I86*J86)-((I86*J86)*L86/100))+(((I86*J86)-((I86*J86)*L86/100))*M86/100),2)</f>
      </c>
      <c r="O86" s="230">
        <f>M11</f>
      </c>
      <c r="P86" s="235"/>
      <c r="Q86" s="236"/>
      <c r="R86" s="237"/>
      <c r="S86" s="238"/>
      <c r="T86" s="239"/>
    </row>
    <row r="87" spans="1:20" ht="24" customHeight="1">
      <c r="A87" s="226">
        <v>68</v>
      </c>
      <c r="B87" s="226">
        <v>99990009872503</v>
      </c>
      <c r="C87" s="227">
        <v>334325</v>
      </c>
      <c r="D87" s="228" t="s">
        <v>130</v>
      </c>
      <c r="E87" s="229"/>
      <c r="F87" s="229">
        <v>334325</v>
      </c>
      <c r="G87" s="229" t="s">
        <v>41</v>
      </c>
      <c r="H87" s="230">
        <v>0</v>
      </c>
      <c r="I87" s="231">
        <v>10</v>
      </c>
      <c r="J87" s="232">
        <v>0.72</v>
      </c>
      <c r="K87" s="233"/>
      <c r="L87" s="231" t="s">
        <v>23</v>
      </c>
      <c r="M87" s="231">
        <v>0</v>
      </c>
      <c r="N87" s="234">
        <f>ROUND(((I87*J87)-((I87*J87)*L87/100))+(((I87*J87)-((I87*J87)*L87/100))*M87/100),2)</f>
      </c>
      <c r="O87" s="230">
        <f>M11</f>
      </c>
      <c r="P87" s="235"/>
      <c r="Q87" s="236"/>
      <c r="R87" s="237"/>
      <c r="S87" s="238"/>
      <c r="T87" s="239"/>
    </row>
    <row r="88" spans="1:20" ht="24" customHeight="1">
      <c r="A88" s="226">
        <v>69</v>
      </c>
      <c r="B88" s="226">
        <v>99990009872655</v>
      </c>
      <c r="C88" s="227">
        <v>334127</v>
      </c>
      <c r="D88" s="228" t="s">
        <v>131</v>
      </c>
      <c r="E88" s="229"/>
      <c r="F88" s="229">
        <v>334127</v>
      </c>
      <c r="G88" s="229" t="s">
        <v>41</v>
      </c>
      <c r="H88" s="230">
        <v>0</v>
      </c>
      <c r="I88" s="231">
        <v>5</v>
      </c>
      <c r="J88" s="232">
        <v>0.53</v>
      </c>
      <c r="K88" s="233"/>
      <c r="L88" s="231" t="s">
        <v>23</v>
      </c>
      <c r="M88" s="231">
        <v>0</v>
      </c>
      <c r="N88" s="234">
        <f>ROUND(((I88*J88)-((I88*J88)*L88/100))+(((I88*J88)-((I88*J88)*L88/100))*M88/100),2)</f>
      </c>
      <c r="O88" s="230">
        <f>M11</f>
      </c>
      <c r="P88" s="235"/>
      <c r="Q88" s="236"/>
      <c r="R88" s="237"/>
      <c r="S88" s="238"/>
      <c r="T88" s="239"/>
    </row>
    <row r="89" spans="1:20" ht="24" customHeight="1">
      <c r="A89" s="226">
        <v>70</v>
      </c>
      <c r="B89" s="226">
        <v>99990009872458</v>
      </c>
      <c r="C89" s="227">
        <v>332382</v>
      </c>
      <c r="D89" s="228" t="s">
        <v>132</v>
      </c>
      <c r="E89" s="229"/>
      <c r="F89" s="229">
        <v>332382</v>
      </c>
      <c r="G89" s="229" t="s">
        <v>65</v>
      </c>
      <c r="H89" s="230">
        <v>0</v>
      </c>
      <c r="I89" s="231">
        <v>20</v>
      </c>
      <c r="J89" s="232">
        <v>0.12</v>
      </c>
      <c r="K89" s="233"/>
      <c r="L89" s="231" t="s">
        <v>23</v>
      </c>
      <c r="M89" s="231">
        <v>0</v>
      </c>
      <c r="N89" s="234">
        <f>ROUND(((I89*J89)-((I89*J89)*L89/100))+(((I89*J89)-((I89*J89)*L89/100))*M89/100),2)</f>
      </c>
      <c r="O89" s="230">
        <f>M11</f>
      </c>
      <c r="P89" s="235"/>
      <c r="Q89" s="236"/>
      <c r="R89" s="237"/>
      <c r="S89" s="238"/>
      <c r="T89" s="239"/>
    </row>
    <row r="90" spans="1:20" ht="24" customHeight="1">
      <c r="A90" s="226">
        <v>71</v>
      </c>
      <c r="B90" s="226">
        <v>99990009872457</v>
      </c>
      <c r="C90" s="227">
        <v>332383</v>
      </c>
      <c r="D90" s="228" t="s">
        <v>133</v>
      </c>
      <c r="E90" s="229"/>
      <c r="F90" s="229">
        <v>332383</v>
      </c>
      <c r="G90" s="229" t="s">
        <v>65</v>
      </c>
      <c r="H90" s="230">
        <v>0</v>
      </c>
      <c r="I90" s="231">
        <v>20</v>
      </c>
      <c r="J90" s="232">
        <v>0.12</v>
      </c>
      <c r="K90" s="233"/>
      <c r="L90" s="231" t="s">
        <v>23</v>
      </c>
      <c r="M90" s="231">
        <v>0</v>
      </c>
      <c r="N90" s="234">
        <f>ROUND(((I90*J90)-((I90*J90)*L90/100))+(((I90*J90)-((I90*J90)*L90/100))*M90/100),2)</f>
      </c>
      <c r="O90" s="230">
        <f>M11</f>
      </c>
      <c r="P90" s="235"/>
      <c r="Q90" s="236"/>
      <c r="R90" s="237"/>
      <c r="S90" s="238"/>
      <c r="T90" s="239"/>
    </row>
    <row r="91" spans="1:20" ht="24" customHeight="1">
      <c r="A91" s="226">
        <v>72</v>
      </c>
      <c r="B91" s="226">
        <v>99990009574278</v>
      </c>
      <c r="C91" s="227">
        <v>2137149</v>
      </c>
      <c r="D91" s="228" t="s">
        <v>134</v>
      </c>
      <c r="E91" s="229"/>
      <c r="F91" s="229">
        <v>490531</v>
      </c>
      <c r="G91" s="229" t="s">
        <v>72</v>
      </c>
      <c r="H91" s="230">
        <v>2.44</v>
      </c>
      <c r="I91" s="231">
        <v>20</v>
      </c>
      <c r="J91" s="232">
        <v>3.83</v>
      </c>
      <c r="K91" s="233"/>
      <c r="L91" s="231" t="s">
        <v>23</v>
      </c>
      <c r="M91" s="231">
        <v>0</v>
      </c>
      <c r="N91" s="234">
        <f>ROUND(((I91*J91)-((I91*J91)*L91/100))+(((I91*J91)-((I91*J91)*L91/100))*M91/100),2)</f>
      </c>
      <c r="O91" s="230">
        <f>M11</f>
      </c>
      <c r="P91" s="235"/>
      <c r="Q91" s="236"/>
      <c r="R91" s="237"/>
      <c r="S91" s="238"/>
      <c r="T91" s="239"/>
    </row>
    <row r="92" spans="1:20" ht="24" customHeight="1">
      <c r="A92" s="226">
        <v>73</v>
      </c>
      <c r="B92" s="226">
        <v>99990010822782</v>
      </c>
      <c r="C92" s="227">
        <v>2398379</v>
      </c>
      <c r="D92" s="228" t="s">
        <v>135</v>
      </c>
      <c r="E92" s="229"/>
      <c r="F92" s="229" t="s">
        <v>136</v>
      </c>
      <c r="G92" s="229" t="s">
        <v>137</v>
      </c>
      <c r="H92" s="230">
        <v>0</v>
      </c>
      <c r="I92" s="231">
        <v>1</v>
      </c>
      <c r="J92" s="232">
        <v>118.74</v>
      </c>
      <c r="K92" s="233"/>
      <c r="L92" s="231" t="s">
        <v>23</v>
      </c>
      <c r="M92" s="231">
        <v>0</v>
      </c>
      <c r="N92" s="234">
        <f>ROUND(((I92*J92)-((I92*J92)*L92/100))+(((I92*J92)-((I92*J92)*L92/100))*M92/100),2)</f>
      </c>
      <c r="O92" s="230">
        <f>M11</f>
      </c>
      <c r="P92" s="235" t="s">
        <v>481</v>
      </c>
      <c r="Q92" s="236"/>
      <c r="R92" s="237"/>
      <c r="S92" s="238"/>
      <c r="T92" s="239"/>
    </row>
    <row r="93" spans="1:20" ht="24" customHeight="1">
      <c r="A93" s="226">
        <v>74</v>
      </c>
      <c r="B93" s="226">
        <v>99990011118833</v>
      </c>
      <c r="C93" s="227">
        <v>211312</v>
      </c>
      <c r="D93" s="228" t="s">
        <v>138</v>
      </c>
      <c r="E93" s="229"/>
      <c r="F93" s="229">
        <v>211312</v>
      </c>
      <c r="G93" s="229" t="s">
        <v>139</v>
      </c>
      <c r="H93" s="230">
        <v>0</v>
      </c>
      <c r="I93" s="231">
        <v>2</v>
      </c>
      <c r="J93" s="232">
        <v>28.4</v>
      </c>
      <c r="K93" s="233"/>
      <c r="L93" s="231" t="s">
        <v>23</v>
      </c>
      <c r="M93" s="231">
        <v>0</v>
      </c>
      <c r="N93" s="234">
        <f>ROUND(((I93*J93)-((I93*J93)*L93/100))+(((I93*J93)-((I93*J93)*L93/100))*M93/100),2)</f>
      </c>
      <c r="O93" s="230">
        <f>M11</f>
      </c>
      <c r="P93" s="235"/>
      <c r="Q93" s="236"/>
      <c r="R93" s="237"/>
      <c r="S93" s="238"/>
      <c r="T93" s="239"/>
    </row>
    <row r="94" spans="1:20" ht="24" customHeight="1">
      <c r="A94" s="226">
        <v>75</v>
      </c>
      <c r="B94" s="226">
        <v>99990013728673</v>
      </c>
      <c r="C94" s="227">
        <v>336059</v>
      </c>
      <c r="D94" s="228" t="s">
        <v>140</v>
      </c>
      <c r="E94" s="229"/>
      <c r="F94" s="229">
        <v>336059</v>
      </c>
      <c r="G94" s="229" t="s">
        <v>41</v>
      </c>
      <c r="H94" s="230">
        <v>0</v>
      </c>
      <c r="I94" s="231">
        <v>10</v>
      </c>
      <c r="J94" s="232">
        <v>0.53</v>
      </c>
      <c r="K94" s="233"/>
      <c r="L94" s="231" t="s">
        <v>23</v>
      </c>
      <c r="M94" s="231">
        <v>0</v>
      </c>
      <c r="N94" s="234">
        <f>ROUND(((I94*J94)-((I94*J94)*L94/100))+(((I94*J94)-((I94*J94)*L94/100))*M94/100),2)</f>
      </c>
      <c r="O94" s="230">
        <f>M11</f>
      </c>
      <c r="P94" s="235"/>
      <c r="Q94" s="236"/>
      <c r="R94" s="237"/>
      <c r="S94" s="238"/>
      <c r="T94" s="239"/>
    </row>
    <row r="95" spans="1:20" ht="24" customHeight="1">
      <c r="A95" s="226">
        <v>76</v>
      </c>
      <c r="B95" s="226">
        <v>99990013729263</v>
      </c>
      <c r="C95" s="227">
        <v>190101</v>
      </c>
      <c r="D95" s="228" t="s">
        <v>141</v>
      </c>
      <c r="E95" s="229"/>
      <c r="F95" s="229">
        <v>190101</v>
      </c>
      <c r="G95" s="229" t="s">
        <v>67</v>
      </c>
      <c r="H95" s="230">
        <v>0</v>
      </c>
      <c r="I95" s="231">
        <v>20</v>
      </c>
      <c r="J95" s="232">
        <v>1.68</v>
      </c>
      <c r="K95" s="233"/>
      <c r="L95" s="231" t="s">
        <v>23</v>
      </c>
      <c r="M95" s="231">
        <v>0</v>
      </c>
      <c r="N95" s="234">
        <f>ROUND(((I95*J95)-((I95*J95)*L95/100))+(((I95*J95)-((I95*J95)*L95/100))*M95/100),2)</f>
      </c>
      <c r="O95" s="230">
        <f>M11</f>
      </c>
      <c r="P95" s="235"/>
      <c r="Q95" s="236"/>
      <c r="R95" s="237"/>
      <c r="S95" s="238"/>
      <c r="T95" s="239"/>
    </row>
    <row r="96" spans="1:20" ht="24" customHeight="1">
      <c r="A96" s="226">
        <v>77</v>
      </c>
      <c r="B96" s="226">
        <v>99990008655442</v>
      </c>
      <c r="C96" s="227">
        <v>174173</v>
      </c>
      <c r="D96" s="228" t="s">
        <v>142</v>
      </c>
      <c r="E96" s="229"/>
      <c r="F96" s="229">
        <v>174173</v>
      </c>
      <c r="G96" s="229" t="s">
        <v>65</v>
      </c>
      <c r="H96" s="230">
        <v>1.55</v>
      </c>
      <c r="I96" s="231">
        <v>10</v>
      </c>
      <c r="J96" s="232">
        <v>0.78</v>
      </c>
      <c r="K96" s="233"/>
      <c r="L96" s="231" t="s">
        <v>23</v>
      </c>
      <c r="M96" s="231">
        <v>0</v>
      </c>
      <c r="N96" s="234">
        <f>ROUND(((I96*J96)-((I96*J96)*L96/100))+(((I96*J96)-((I96*J96)*L96/100))*M96/100),2)</f>
      </c>
      <c r="O96" s="230">
        <f>M11</f>
      </c>
      <c r="P96" s="235"/>
      <c r="Q96" s="236"/>
      <c r="R96" s="237" t="s">
        <v>143</v>
      </c>
      <c r="S96" s="238"/>
      <c r="T96" s="239"/>
    </row>
    <row r="97" spans="1:20" ht="24" customHeight="1">
      <c r="A97" s="226">
        <v>78</v>
      </c>
      <c r="B97" s="226">
        <v>99990013728511</v>
      </c>
      <c r="C97" s="227">
        <v>174124</v>
      </c>
      <c r="D97" s="228" t="s">
        <v>144</v>
      </c>
      <c r="E97" s="229"/>
      <c r="F97" s="229">
        <v>174124</v>
      </c>
      <c r="G97" s="229" t="s">
        <v>41</v>
      </c>
      <c r="H97" s="230">
        <v>0</v>
      </c>
      <c r="I97" s="231">
        <v>10</v>
      </c>
      <c r="J97" s="232">
        <v>1.6</v>
      </c>
      <c r="K97" s="233"/>
      <c r="L97" s="231" t="s">
        <v>23</v>
      </c>
      <c r="M97" s="231">
        <v>0</v>
      </c>
      <c r="N97" s="234">
        <f>ROUND(((I97*J97)-((I97*J97)*L97/100))+(((I97*J97)-((I97*J97)*L97/100))*M97/100),2)</f>
      </c>
      <c r="O97" s="230">
        <f>M11</f>
      </c>
      <c r="P97" s="235"/>
      <c r="Q97" s="236"/>
      <c r="R97" s="237"/>
      <c r="S97" s="238"/>
      <c r="T97" s="239"/>
    </row>
    <row r="98" spans="1:20" ht="24" customHeight="1">
      <c r="A98" s="226">
        <v>79</v>
      </c>
      <c r="B98" s="226">
        <v>99990005569005</v>
      </c>
      <c r="C98" s="227">
        <v>1778806</v>
      </c>
      <c r="D98" s="228" t="s">
        <v>145</v>
      </c>
      <c r="E98" s="229"/>
      <c r="F98" s="229">
        <v>190131</v>
      </c>
      <c r="G98" s="229" t="s">
        <v>69</v>
      </c>
      <c r="H98" s="230">
        <v>0</v>
      </c>
      <c r="I98" s="231">
        <v>15</v>
      </c>
      <c r="J98" s="232">
        <v>1.24</v>
      </c>
      <c r="K98" s="233"/>
      <c r="L98" s="231" t="s">
        <v>23</v>
      </c>
      <c r="M98" s="231">
        <v>0</v>
      </c>
      <c r="N98" s="234">
        <f>ROUND(((I98*J98)-((I98*J98)*L98/100))+(((I98*J98)-((I98*J98)*L98/100))*M98/100),2)</f>
      </c>
      <c r="O98" s="230">
        <f>M11</f>
      </c>
      <c r="P98" s="235"/>
      <c r="Q98" s="236"/>
      <c r="R98" s="237"/>
      <c r="S98" s="238"/>
      <c r="T98" s="239"/>
    </row>
    <row r="99" spans="1:20" ht="24" customHeight="1">
      <c r="A99" s="226">
        <v>80</v>
      </c>
      <c r="B99" s="226">
        <v>99990013732328</v>
      </c>
      <c r="C99" s="227">
        <v>190111</v>
      </c>
      <c r="D99" s="228" t="s">
        <v>146</v>
      </c>
      <c r="E99" s="229"/>
      <c r="F99" s="229">
        <v>190111</v>
      </c>
      <c r="G99" s="229" t="s">
        <v>69</v>
      </c>
      <c r="H99" s="230">
        <v>0</v>
      </c>
      <c r="I99" s="231">
        <v>120</v>
      </c>
      <c r="J99" s="232">
        <v>0.77</v>
      </c>
      <c r="K99" s="233"/>
      <c r="L99" s="231" t="s">
        <v>23</v>
      </c>
      <c r="M99" s="231">
        <v>0</v>
      </c>
      <c r="N99" s="234">
        <f>ROUND(((I99*J99)-((I99*J99)*L99/100))+(((I99*J99)-((I99*J99)*L99/100))*M99/100),2)</f>
      </c>
      <c r="O99" s="230">
        <f>M11</f>
      </c>
      <c r="P99" s="235"/>
      <c r="Q99" s="236"/>
      <c r="R99" s="237"/>
      <c r="S99" s="238"/>
      <c r="T99" s="239"/>
    </row>
    <row r="100" spans="1:20" ht="24" customHeight="1">
      <c r="A100" s="226">
        <v>81</v>
      </c>
      <c r="B100" s="226">
        <v>99990005569008</v>
      </c>
      <c r="C100" s="227">
        <v>1778809</v>
      </c>
      <c r="D100" s="228" t="s">
        <v>147</v>
      </c>
      <c r="E100" s="229"/>
      <c r="F100" s="229">
        <v>190201</v>
      </c>
      <c r="G100" s="229" t="s">
        <v>69</v>
      </c>
      <c r="H100" s="230">
        <v>0</v>
      </c>
      <c r="I100" s="231">
        <v>12</v>
      </c>
      <c r="J100" s="232">
        <v>5.06</v>
      </c>
      <c r="K100" s="233"/>
      <c r="L100" s="231" t="s">
        <v>23</v>
      </c>
      <c r="M100" s="231">
        <v>0</v>
      </c>
      <c r="N100" s="234">
        <f>ROUND(((I100*J100)-((I100*J100)*L100/100))+(((I100*J100)-((I100*J100)*L100/100))*M100/100),2)</f>
      </c>
      <c r="O100" s="230">
        <f>M11</f>
      </c>
      <c r="P100" s="235"/>
      <c r="Q100" s="236"/>
      <c r="R100" s="237"/>
      <c r="S100" s="238"/>
      <c r="T100" s="239"/>
    </row>
    <row r="101" spans="1:20" ht="24" customHeight="1">
      <c r="A101" s="226">
        <v>82</v>
      </c>
      <c r="B101" s="226">
        <v>99990009554093</v>
      </c>
      <c r="C101" s="227">
        <v>2124628</v>
      </c>
      <c r="D101" s="228" t="s">
        <v>148</v>
      </c>
      <c r="E101" s="229"/>
      <c r="F101" s="229">
        <v>211272</v>
      </c>
      <c r="G101" s="229" t="s">
        <v>139</v>
      </c>
      <c r="H101" s="230">
        <v>24.36</v>
      </c>
      <c r="I101" s="231">
        <v>1</v>
      </c>
      <c r="J101" s="232">
        <v>24.36</v>
      </c>
      <c r="K101" s="233"/>
      <c r="L101" s="231" t="s">
        <v>23</v>
      </c>
      <c r="M101" s="231">
        <v>0</v>
      </c>
      <c r="N101" s="234">
        <f>ROUND(((I101*J101)-((I101*J101)*L101/100))+(((I101*J101)-((I101*J101)*L101/100))*M101/100),2)</f>
      </c>
      <c r="O101" s="230">
        <f>M11</f>
      </c>
      <c r="P101" s="235"/>
      <c r="Q101" s="236"/>
      <c r="R101" s="237"/>
      <c r="S101" s="238"/>
      <c r="T101" s="239"/>
    </row>
    <row r="102" spans="1:20" ht="24" customHeight="1">
      <c r="A102" s="226">
        <v>83</v>
      </c>
      <c r="B102" s="226">
        <v>99990009554088</v>
      </c>
      <c r="C102" s="227">
        <v>2124623</v>
      </c>
      <c r="D102" s="228" t="s">
        <v>149</v>
      </c>
      <c r="E102" s="229"/>
      <c r="F102" s="229">
        <v>210209</v>
      </c>
      <c r="G102" s="229" t="s">
        <v>139</v>
      </c>
      <c r="H102" s="230">
        <v>137.92</v>
      </c>
      <c r="I102" s="231">
        <v>1</v>
      </c>
      <c r="J102" s="232">
        <v>137.92</v>
      </c>
      <c r="K102" s="233"/>
      <c r="L102" s="231" t="s">
        <v>23</v>
      </c>
      <c r="M102" s="231">
        <v>0</v>
      </c>
      <c r="N102" s="234">
        <f>ROUND(((I102*J102)-((I102*J102)*L102/100))+(((I102*J102)-((I102*J102)*L102/100))*M102/100),2)</f>
      </c>
      <c r="O102" s="230">
        <f>M11</f>
      </c>
      <c r="P102" s="235"/>
      <c r="Q102" s="236"/>
      <c r="R102" s="237"/>
      <c r="S102" s="238"/>
      <c r="T102" s="239"/>
    </row>
    <row r="103" spans="1:20" ht="24" customHeight="1">
      <c r="A103" s="226">
        <v>84</v>
      </c>
      <c r="B103" s="226">
        <v>99990009554086</v>
      </c>
      <c r="C103" s="227">
        <v>2124621</v>
      </c>
      <c r="D103" s="228" t="s">
        <v>150</v>
      </c>
      <c r="E103" s="229"/>
      <c r="F103" s="229">
        <v>210207</v>
      </c>
      <c r="G103" s="229" t="s">
        <v>139</v>
      </c>
      <c r="H103" s="230">
        <v>94.31</v>
      </c>
      <c r="I103" s="231">
        <v>1</v>
      </c>
      <c r="J103" s="232">
        <v>94.31</v>
      </c>
      <c r="K103" s="233"/>
      <c r="L103" s="231" t="s">
        <v>23</v>
      </c>
      <c r="M103" s="231">
        <v>0</v>
      </c>
      <c r="N103" s="234">
        <f>ROUND(((I103*J103)-((I103*J103)*L103/100))+(((I103*J103)-((I103*J103)*L103/100))*M103/100),2)</f>
      </c>
      <c r="O103" s="230">
        <f>M11</f>
      </c>
      <c r="P103" s="235"/>
      <c r="Q103" s="236"/>
      <c r="R103" s="237"/>
      <c r="S103" s="238"/>
      <c r="T103" s="239"/>
    </row>
    <row r="104" spans="1:20" ht="24" customHeight="1">
      <c r="A104" s="226">
        <v>85</v>
      </c>
      <c r="B104" s="226">
        <v>99990010275223</v>
      </c>
      <c r="C104" s="227">
        <v>210204</v>
      </c>
      <c r="D104" s="228" t="s">
        <v>151</v>
      </c>
      <c r="E104" s="229"/>
      <c r="F104" s="229">
        <v>210204</v>
      </c>
      <c r="G104" s="229" t="s">
        <v>139</v>
      </c>
      <c r="H104" s="230">
        <v>0</v>
      </c>
      <c r="I104" s="231">
        <v>1</v>
      </c>
      <c r="J104" s="232">
        <v>25.18</v>
      </c>
      <c r="K104" s="233"/>
      <c r="L104" s="231" t="s">
        <v>23</v>
      </c>
      <c r="M104" s="231">
        <v>0</v>
      </c>
      <c r="N104" s="234">
        <f>ROUND(((I104*J104)-((I104*J104)*L104/100))+(((I104*J104)-((I104*J104)*L104/100))*M104/100),2)</f>
      </c>
      <c r="O104" s="230">
        <f>M11</f>
      </c>
      <c r="P104" s="235"/>
      <c r="Q104" s="236"/>
      <c r="R104" s="237"/>
      <c r="S104" s="238"/>
      <c r="T104" s="239"/>
    </row>
    <row r="105" spans="1:20" ht="24" customHeight="1">
      <c r="A105" s="226">
        <v>86</v>
      </c>
      <c r="B105" s="226">
        <v>99990009872861</v>
      </c>
      <c r="C105" s="227">
        <v>190234</v>
      </c>
      <c r="D105" s="228" t="s">
        <v>152</v>
      </c>
      <c r="E105" s="229"/>
      <c r="F105" s="229">
        <v>190234</v>
      </c>
      <c r="G105" s="229" t="s">
        <v>69</v>
      </c>
      <c r="H105" s="230">
        <v>0</v>
      </c>
      <c r="I105" s="231">
        <v>6</v>
      </c>
      <c r="J105" s="232">
        <v>7.59</v>
      </c>
      <c r="K105" s="233"/>
      <c r="L105" s="231" t="s">
        <v>23</v>
      </c>
      <c r="M105" s="231">
        <v>0</v>
      </c>
      <c r="N105" s="234">
        <f>ROUND(((I105*J105)-((I105*J105)*L105/100))+(((I105*J105)-((I105*J105)*L105/100))*M105/100),2)</f>
      </c>
      <c r="O105" s="230">
        <f>M11</f>
      </c>
      <c r="P105" s="235"/>
      <c r="Q105" s="236"/>
      <c r="R105" s="237"/>
      <c r="S105" s="238"/>
      <c r="T105" s="239"/>
    </row>
    <row r="106" spans="1:20" ht="24" customHeight="1">
      <c r="A106" s="226">
        <v>87</v>
      </c>
      <c r="B106" s="226">
        <v>99990009872434</v>
      </c>
      <c r="C106" s="227">
        <v>190409</v>
      </c>
      <c r="D106" s="228" t="s">
        <v>153</v>
      </c>
      <c r="E106" s="229"/>
      <c r="F106" s="229">
        <v>190409</v>
      </c>
      <c r="G106" s="229" t="s">
        <v>72</v>
      </c>
      <c r="H106" s="230">
        <v>0</v>
      </c>
      <c r="I106" s="231">
        <v>12</v>
      </c>
      <c r="J106" s="232">
        <v>5.22</v>
      </c>
      <c r="K106" s="233"/>
      <c r="L106" s="231" t="s">
        <v>23</v>
      </c>
      <c r="M106" s="231">
        <v>0</v>
      </c>
      <c r="N106" s="234">
        <f>ROUND(((I106*J106)-((I106*J106)*L106/100))+(((I106*J106)-((I106*J106)*L106/100))*M106/100),2)</f>
      </c>
      <c r="O106" s="230">
        <f>M11</f>
      </c>
      <c r="P106" s="235"/>
      <c r="Q106" s="236"/>
      <c r="R106" s="237"/>
      <c r="S106" s="238"/>
      <c r="T106" s="239"/>
    </row>
    <row r="107" spans="1:20" ht="24" customHeight="1">
      <c r="A107" s="226">
        <v>88</v>
      </c>
      <c r="B107" s="226">
        <v>99990009873263</v>
      </c>
      <c r="C107" s="227">
        <v>311051</v>
      </c>
      <c r="D107" s="228" t="s">
        <v>154</v>
      </c>
      <c r="E107" s="229"/>
      <c r="F107" s="229">
        <v>311051</v>
      </c>
      <c r="G107" s="229" t="s">
        <v>69</v>
      </c>
      <c r="H107" s="230">
        <v>0</v>
      </c>
      <c r="I107" s="231">
        <v>20</v>
      </c>
      <c r="J107" s="232">
        <v>0.53</v>
      </c>
      <c r="K107" s="233"/>
      <c r="L107" s="231" t="s">
        <v>23</v>
      </c>
      <c r="M107" s="231">
        <v>0</v>
      </c>
      <c r="N107" s="234">
        <f>ROUND(((I107*J107)-((I107*J107)*L107/100))+(((I107*J107)-((I107*J107)*L107/100))*M107/100),2)</f>
      </c>
      <c r="O107" s="230">
        <f>M11</f>
      </c>
      <c r="P107" s="235"/>
      <c r="Q107" s="236"/>
      <c r="R107" s="237"/>
      <c r="S107" s="238"/>
      <c r="T107" s="239"/>
    </row>
    <row r="108" spans="1:20" ht="24" customHeight="1">
      <c r="A108" s="226">
        <v>89</v>
      </c>
      <c r="B108" s="226">
        <v>99990008657854</v>
      </c>
      <c r="C108" s="227" t="s">
        <v>110</v>
      </c>
      <c r="D108" s="228" t="s">
        <v>155</v>
      </c>
      <c r="E108" s="229"/>
      <c r="F108" s="229">
        <v>471262</v>
      </c>
      <c r="G108" s="229" t="s">
        <v>120</v>
      </c>
      <c r="H108" s="230">
        <v>0.84</v>
      </c>
      <c r="I108" s="231">
        <v>5</v>
      </c>
      <c r="J108" s="232">
        <v>0.84</v>
      </c>
      <c r="K108" s="233"/>
      <c r="L108" s="231" t="s">
        <v>23</v>
      </c>
      <c r="M108" s="231">
        <v>0</v>
      </c>
      <c r="N108" s="234">
        <f>ROUND(((I108*J108)-((I108*J108)*L108/100))+(((I108*J108)-((I108*J108)*L108/100))*M108/100),2)</f>
      </c>
      <c r="O108" s="230">
        <f>M11</f>
      </c>
      <c r="P108" s="235"/>
      <c r="Q108" s="236"/>
      <c r="R108" s="237" t="s">
        <v>156</v>
      </c>
      <c r="S108" s="238"/>
      <c r="T108" s="239"/>
    </row>
    <row r="109" spans="1:20" ht="24" customHeight="1">
      <c r="A109" s="226">
        <v>90</v>
      </c>
      <c r="B109" s="226">
        <v>99990010212717</v>
      </c>
      <c r="C109" s="227" t="s">
        <v>110</v>
      </c>
      <c r="D109" s="228" t="s">
        <v>157</v>
      </c>
      <c r="E109" s="229"/>
      <c r="F109" s="229">
        <v>471285</v>
      </c>
      <c r="G109" s="229" t="s">
        <v>120</v>
      </c>
      <c r="H109" s="230">
        <v>0</v>
      </c>
      <c r="I109" s="231">
        <v>20</v>
      </c>
      <c r="J109" s="232">
        <v>1.74</v>
      </c>
      <c r="K109" s="233"/>
      <c r="L109" s="231" t="s">
        <v>23</v>
      </c>
      <c r="M109" s="231">
        <v>0</v>
      </c>
      <c r="N109" s="234">
        <f>ROUND(((I109*J109)-((I109*J109)*L109/100))+(((I109*J109)-((I109*J109)*L109/100))*M109/100),2)</f>
      </c>
      <c r="O109" s="230">
        <f>M11</f>
      </c>
      <c r="P109" s="235" t="s">
        <v>482</v>
      </c>
      <c r="Q109" s="236"/>
      <c r="R109" s="237"/>
      <c r="S109" s="238"/>
      <c r="T109" s="239"/>
    </row>
    <row r="110" spans="1:20" ht="24" customHeight="1">
      <c r="A110" s="226">
        <v>91</v>
      </c>
      <c r="B110" s="226">
        <v>99990008656083</v>
      </c>
      <c r="C110" s="227">
        <v>232162</v>
      </c>
      <c r="D110" s="228" t="s">
        <v>158</v>
      </c>
      <c r="E110" s="229"/>
      <c r="F110" s="229">
        <v>232162</v>
      </c>
      <c r="G110" s="229" t="s">
        <v>60</v>
      </c>
      <c r="H110" s="230">
        <v>55.90</v>
      </c>
      <c r="I110" s="231">
        <v>1</v>
      </c>
      <c r="J110" s="232">
        <v>55.9</v>
      </c>
      <c r="K110" s="233"/>
      <c r="L110" s="231" t="s">
        <v>23</v>
      </c>
      <c r="M110" s="231">
        <v>0</v>
      </c>
      <c r="N110" s="234">
        <f>ROUND(((I110*J110)-((I110*J110)*L110/100))+(((I110*J110)-((I110*J110)*L110/100))*M110/100),2)</f>
      </c>
      <c r="O110" s="230">
        <f>M11</f>
      </c>
      <c r="P110" s="235" t="s">
        <v>483</v>
      </c>
      <c r="Q110" s="236"/>
      <c r="R110" s="237"/>
      <c r="S110" s="238"/>
      <c r="T110" s="239"/>
    </row>
    <row r="111" spans="1:20" ht="24" customHeight="1">
      <c r="A111" s="226">
        <v>92</v>
      </c>
      <c r="B111" s="226">
        <v>99990009838716</v>
      </c>
      <c r="C111" s="227" t="s">
        <v>110</v>
      </c>
      <c r="D111" s="228" t="s">
        <v>159</v>
      </c>
      <c r="E111" s="229"/>
      <c r="F111" s="229">
        <v>471274</v>
      </c>
      <c r="G111" s="229" t="s">
        <v>120</v>
      </c>
      <c r="H111" s="230">
        <v>0</v>
      </c>
      <c r="I111" s="231">
        <v>10</v>
      </c>
      <c r="J111" s="232">
        <v>0.51</v>
      </c>
      <c r="K111" s="233"/>
      <c r="L111" s="231" t="s">
        <v>23</v>
      </c>
      <c r="M111" s="231">
        <v>0</v>
      </c>
      <c r="N111" s="234">
        <f>ROUND(((I111*J111)-((I111*J111)*L111/100))+(((I111*J111)-((I111*J111)*L111/100))*M111/100),2)</f>
      </c>
      <c r="O111" s="230">
        <f>M11</f>
      </c>
      <c r="P111" s="235" t="s">
        <v>484</v>
      </c>
      <c r="Q111" s="236"/>
      <c r="R111" s="237"/>
      <c r="S111" s="238"/>
      <c r="T111" s="239"/>
    </row>
    <row r="112" spans="1:20" ht="24" customHeight="1">
      <c r="A112" s="226">
        <v>93</v>
      </c>
      <c r="B112" s="226">
        <v>99990009868144</v>
      </c>
      <c r="C112" s="227">
        <v>330832</v>
      </c>
      <c r="D112" s="228" t="s">
        <v>160</v>
      </c>
      <c r="E112" s="229"/>
      <c r="F112" s="229">
        <v>330832</v>
      </c>
      <c r="G112" s="229" t="s">
        <v>41</v>
      </c>
      <c r="H112" s="230">
        <v>0</v>
      </c>
      <c r="I112" s="231">
        <v>4</v>
      </c>
      <c r="J112" s="232">
        <v>49.43</v>
      </c>
      <c r="K112" s="233"/>
      <c r="L112" s="231" t="s">
        <v>23</v>
      </c>
      <c r="M112" s="231">
        <v>0</v>
      </c>
      <c r="N112" s="234">
        <f>ROUND(((I112*J112)-((I112*J112)*L112/100))+(((I112*J112)-((I112*J112)*L112/100))*M112/100),2)</f>
      </c>
      <c r="O112" s="230">
        <f>M11</f>
      </c>
      <c r="P112" s="235"/>
      <c r="Q112" s="236"/>
      <c r="R112" s="237"/>
      <c r="S112" s="238"/>
      <c r="T112" s="239"/>
    </row>
    <row r="113" spans="1:20" ht="24" customHeight="1">
      <c r="A113" s="226">
        <v>94</v>
      </c>
      <c r="B113" s="226">
        <v>99990005569076</v>
      </c>
      <c r="C113" s="227">
        <v>1778877</v>
      </c>
      <c r="D113" s="228" t="s">
        <v>161</v>
      </c>
      <c r="E113" s="229"/>
      <c r="F113" s="229">
        <v>331104</v>
      </c>
      <c r="G113" s="229" t="s">
        <v>41</v>
      </c>
      <c r="H113" s="230">
        <v>0</v>
      </c>
      <c r="I113" s="231">
        <v>5</v>
      </c>
      <c r="J113" s="232">
        <v>5.22</v>
      </c>
      <c r="K113" s="233"/>
      <c r="L113" s="231" t="s">
        <v>23</v>
      </c>
      <c r="M113" s="231">
        <v>0</v>
      </c>
      <c r="N113" s="234">
        <f>ROUND(((I113*J113)-((I113*J113)*L113/100))+(((I113*J113)-((I113*J113)*L113/100))*M113/100),2)</f>
      </c>
      <c r="O113" s="230">
        <f>M11</f>
      </c>
      <c r="P113" s="235"/>
      <c r="Q113" s="236"/>
      <c r="R113" s="237"/>
      <c r="S113" s="238"/>
      <c r="T113" s="239"/>
    </row>
    <row r="114" spans="1:20" ht="24" customHeight="1">
      <c r="A114" s="226">
        <v>95</v>
      </c>
      <c r="B114" s="226">
        <v>99990013729280</v>
      </c>
      <c r="C114" s="227">
        <v>331156</v>
      </c>
      <c r="D114" s="228" t="s">
        <v>162</v>
      </c>
      <c r="E114" s="229"/>
      <c r="F114" s="229">
        <v>331156</v>
      </c>
      <c r="G114" s="229" t="s">
        <v>41</v>
      </c>
      <c r="H114" s="230">
        <v>0</v>
      </c>
      <c r="I114" s="231">
        <v>20</v>
      </c>
      <c r="J114" s="232">
        <v>0.29</v>
      </c>
      <c r="K114" s="233"/>
      <c r="L114" s="231" t="s">
        <v>23</v>
      </c>
      <c r="M114" s="231">
        <v>0</v>
      </c>
      <c r="N114" s="234">
        <f>ROUND(((I114*J114)-((I114*J114)*L114/100))+(((I114*J114)-((I114*J114)*L114/100))*M114/100),2)</f>
      </c>
      <c r="O114" s="230">
        <f>M11</f>
      </c>
      <c r="P114" s="235"/>
      <c r="Q114" s="236"/>
      <c r="R114" s="237"/>
      <c r="S114" s="238"/>
      <c r="T114" s="239"/>
    </row>
    <row r="115" spans="1:20" ht="24" customHeight="1">
      <c r="A115" s="226">
        <v>96</v>
      </c>
      <c r="B115" s="226">
        <v>99990008655755</v>
      </c>
      <c r="C115" s="227">
        <v>650828</v>
      </c>
      <c r="D115" s="228" t="s">
        <v>163</v>
      </c>
      <c r="E115" s="229"/>
      <c r="F115" s="229">
        <v>650828</v>
      </c>
      <c r="G115" s="229" t="s">
        <v>41</v>
      </c>
      <c r="H115" s="230">
        <v>1.20</v>
      </c>
      <c r="I115" s="231">
        <v>2</v>
      </c>
      <c r="J115" s="232">
        <v>1.2</v>
      </c>
      <c r="K115" s="233"/>
      <c r="L115" s="231" t="s">
        <v>23</v>
      </c>
      <c r="M115" s="231">
        <v>0</v>
      </c>
      <c r="N115" s="234">
        <f>ROUND(((I115*J115)-((I115*J115)*L115/100))+(((I115*J115)-((I115*J115)*L115/100))*M115/100),2)</f>
      </c>
      <c r="O115" s="230">
        <f>M11</f>
      </c>
      <c r="P115" s="235"/>
      <c r="Q115" s="236"/>
      <c r="R115" s="237"/>
      <c r="S115" s="238"/>
      <c r="T115" s="239"/>
    </row>
    <row r="116" spans="1:20" ht="24" customHeight="1">
      <c r="A116" s="226">
        <v>97</v>
      </c>
      <c r="B116" s="226">
        <v>99990011487389</v>
      </c>
      <c r="C116" s="227">
        <v>617734</v>
      </c>
      <c r="D116" s="228" t="s">
        <v>164</v>
      </c>
      <c r="E116" s="229"/>
      <c r="F116" s="229">
        <v>617734</v>
      </c>
      <c r="G116" s="229" t="s">
        <v>41</v>
      </c>
      <c r="H116" s="230">
        <v>0</v>
      </c>
      <c r="I116" s="231">
        <v>2</v>
      </c>
      <c r="J116" s="232">
        <v>0.86</v>
      </c>
      <c r="K116" s="233"/>
      <c r="L116" s="231" t="s">
        <v>23</v>
      </c>
      <c r="M116" s="231">
        <v>0</v>
      </c>
      <c r="N116" s="234">
        <f>ROUND(((I116*J116)-((I116*J116)*L116/100))+(((I116*J116)-((I116*J116)*L116/100))*M116/100),2)</f>
      </c>
      <c r="O116" s="230">
        <f>M11</f>
      </c>
      <c r="P116" s="235" t="s">
        <v>485</v>
      </c>
      <c r="Q116" s="236"/>
      <c r="R116" s="237"/>
      <c r="S116" s="238"/>
      <c r="T116" s="239"/>
    </row>
    <row r="117" spans="1:20" ht="24" customHeight="1">
      <c r="A117" s="226">
        <v>98</v>
      </c>
      <c r="B117" s="226">
        <v>99990008655678</v>
      </c>
      <c r="C117" s="227">
        <v>617702</v>
      </c>
      <c r="D117" s="228" t="s">
        <v>165</v>
      </c>
      <c r="E117" s="229"/>
      <c r="F117" s="229">
        <v>617702</v>
      </c>
      <c r="G117" s="229" t="s">
        <v>41</v>
      </c>
      <c r="H117" s="230">
        <v>5.53</v>
      </c>
      <c r="I117" s="231">
        <v>4</v>
      </c>
      <c r="J117" s="232">
        <v>4.38</v>
      </c>
      <c r="K117" s="233"/>
      <c r="L117" s="231" t="s">
        <v>23</v>
      </c>
      <c r="M117" s="231">
        <v>0</v>
      </c>
      <c r="N117" s="234">
        <f>ROUND(((I117*J117)-((I117*J117)*L117/100))+(((I117*J117)-((I117*J117)*L117/100))*M117/100),2)</f>
      </c>
      <c r="O117" s="230">
        <f>M11</f>
      </c>
      <c r="P117" s="235"/>
      <c r="Q117" s="236"/>
      <c r="R117" s="237"/>
      <c r="S117" s="238"/>
      <c r="T117" s="239"/>
    </row>
    <row r="118" spans="1:20" ht="24" customHeight="1">
      <c r="A118" s="226">
        <v>99</v>
      </c>
      <c r="B118" s="226">
        <v>99990008658183</v>
      </c>
      <c r="C118" s="227">
        <v>617682</v>
      </c>
      <c r="D118" s="228" t="s">
        <v>166</v>
      </c>
      <c r="E118" s="229"/>
      <c r="F118" s="229">
        <v>617682</v>
      </c>
      <c r="G118" s="229" t="s">
        <v>41</v>
      </c>
      <c r="H118" s="230">
        <v>0.50</v>
      </c>
      <c r="I118" s="231">
        <v>10</v>
      </c>
      <c r="J118" s="232">
        <v>0.5</v>
      </c>
      <c r="K118" s="233"/>
      <c r="L118" s="231" t="s">
        <v>23</v>
      </c>
      <c r="M118" s="231">
        <v>0</v>
      </c>
      <c r="N118" s="234">
        <f>ROUND(((I118*J118)-((I118*J118)*L118/100))+(((I118*J118)-((I118*J118)*L118/100))*M118/100),2)</f>
      </c>
      <c r="O118" s="230">
        <f>M11</f>
      </c>
      <c r="P118" s="235"/>
      <c r="Q118" s="236"/>
      <c r="R118" s="237"/>
      <c r="S118" s="238"/>
      <c r="T118" s="239"/>
    </row>
    <row r="119" spans="1:20" ht="24" customHeight="1">
      <c r="A119" s="226">
        <v>100</v>
      </c>
      <c r="B119" s="226">
        <v>99990008658181</v>
      </c>
      <c r="C119" s="227">
        <v>617680</v>
      </c>
      <c r="D119" s="228" t="s">
        <v>167</v>
      </c>
      <c r="E119" s="229"/>
      <c r="F119" s="229">
        <v>617680</v>
      </c>
      <c r="G119" s="229" t="s">
        <v>41</v>
      </c>
      <c r="H119" s="230">
        <v>1.99</v>
      </c>
      <c r="I119" s="231">
        <v>10</v>
      </c>
      <c r="J119" s="232">
        <v>1.99</v>
      </c>
      <c r="K119" s="233"/>
      <c r="L119" s="231" t="s">
        <v>23</v>
      </c>
      <c r="M119" s="231">
        <v>0</v>
      </c>
      <c r="N119" s="234">
        <f>ROUND(((I119*J119)-((I119*J119)*L119/100))+(((I119*J119)-((I119*J119)*L119/100))*M119/100),2)</f>
      </c>
      <c r="O119" s="230">
        <f>M11</f>
      </c>
      <c r="P119" s="235"/>
      <c r="Q119" s="236"/>
      <c r="R119" s="237"/>
      <c r="S119" s="238"/>
      <c r="T119" s="239"/>
    </row>
    <row r="120" spans="1:20" ht="24" customHeight="1">
      <c r="A120" s="226">
        <v>101</v>
      </c>
      <c r="B120" s="226">
        <v>99990009647163</v>
      </c>
      <c r="C120" s="227">
        <v>617624</v>
      </c>
      <c r="D120" s="228" t="s">
        <v>168</v>
      </c>
      <c r="E120" s="229"/>
      <c r="F120" s="229">
        <v>617624</v>
      </c>
      <c r="G120" s="229" t="s">
        <v>41</v>
      </c>
      <c r="H120" s="230">
        <v>0.22</v>
      </c>
      <c r="I120" s="231">
        <v>20</v>
      </c>
      <c r="J120" s="232">
        <v>0.21</v>
      </c>
      <c r="K120" s="233"/>
      <c r="L120" s="231" t="s">
        <v>23</v>
      </c>
      <c r="M120" s="231">
        <v>0</v>
      </c>
      <c r="N120" s="234">
        <f>ROUND(((I120*J120)-((I120*J120)*L120/100))+(((I120*J120)-((I120*J120)*L120/100))*M120/100),2)</f>
      </c>
      <c r="O120" s="230">
        <f>M11</f>
      </c>
      <c r="P120" s="235"/>
      <c r="Q120" s="236"/>
      <c r="R120" s="237"/>
      <c r="S120" s="238"/>
      <c r="T120" s="239"/>
    </row>
    <row r="121" spans="1:20" ht="24" customHeight="1">
      <c r="A121" s="226">
        <v>102</v>
      </c>
      <c r="B121" s="226">
        <v>99990008658178</v>
      </c>
      <c r="C121" s="227">
        <v>617607</v>
      </c>
      <c r="D121" s="228" t="s">
        <v>169</v>
      </c>
      <c r="E121" s="229"/>
      <c r="F121" s="229">
        <v>617607</v>
      </c>
      <c r="G121" s="229" t="s">
        <v>41</v>
      </c>
      <c r="H121" s="230">
        <v>0.08</v>
      </c>
      <c r="I121" s="231">
        <v>40</v>
      </c>
      <c r="J121" s="232">
        <v>0.08</v>
      </c>
      <c r="K121" s="233"/>
      <c r="L121" s="231" t="s">
        <v>23</v>
      </c>
      <c r="M121" s="231">
        <v>0</v>
      </c>
      <c r="N121" s="234">
        <f>ROUND(((I121*J121)-((I121*J121)*L121/100))+(((I121*J121)-((I121*J121)*L121/100))*M121/100),2)</f>
      </c>
      <c r="O121" s="230">
        <f>M11</f>
      </c>
      <c r="P121" s="235"/>
      <c r="Q121" s="236"/>
      <c r="R121" s="237"/>
      <c r="S121" s="238"/>
      <c r="T121" s="239"/>
    </row>
    <row r="122" spans="1:20" ht="24" customHeight="1">
      <c r="A122" s="226">
        <v>103</v>
      </c>
      <c r="B122" s="226">
        <v>99990010100424</v>
      </c>
      <c r="C122" s="227">
        <v>230346</v>
      </c>
      <c r="D122" s="228" t="s">
        <v>170</v>
      </c>
      <c r="E122" s="229"/>
      <c r="F122" s="229">
        <v>230346</v>
      </c>
      <c r="G122" s="229" t="s">
        <v>41</v>
      </c>
      <c r="H122" s="230">
        <v>0</v>
      </c>
      <c r="I122" s="231">
        <v>20</v>
      </c>
      <c r="J122" s="232">
        <v>1.56</v>
      </c>
      <c r="K122" s="233"/>
      <c r="L122" s="231" t="s">
        <v>23</v>
      </c>
      <c r="M122" s="231">
        <v>0</v>
      </c>
      <c r="N122" s="234">
        <f>ROUND(((I122*J122)-((I122*J122)*L122/100))+(((I122*J122)-((I122*J122)*L122/100))*M122/100),2)</f>
      </c>
      <c r="O122" s="230">
        <f>M11</f>
      </c>
      <c r="P122" s="235"/>
      <c r="Q122" s="236"/>
      <c r="R122" s="237"/>
      <c r="S122" s="238"/>
      <c r="T122" s="239"/>
    </row>
    <row r="123" spans="1:20" ht="24" customHeight="1">
      <c r="A123" s="226">
        <v>104</v>
      </c>
      <c r="B123" s="226">
        <v>99990011433875</v>
      </c>
      <c r="C123" s="227">
        <v>230350</v>
      </c>
      <c r="D123" s="228" t="s">
        <v>171</v>
      </c>
      <c r="E123" s="229"/>
      <c r="F123" s="229">
        <v>230350</v>
      </c>
      <c r="G123" s="229" t="s">
        <v>41</v>
      </c>
      <c r="H123" s="230">
        <v>0</v>
      </c>
      <c r="I123" s="231">
        <v>20</v>
      </c>
      <c r="J123" s="232">
        <v>3.02</v>
      </c>
      <c r="K123" s="233"/>
      <c r="L123" s="231" t="s">
        <v>23</v>
      </c>
      <c r="M123" s="231">
        <v>0</v>
      </c>
      <c r="N123" s="234">
        <f>ROUND(((I123*J123)-((I123*J123)*L123/100))+(((I123*J123)-((I123*J123)*L123/100))*M123/100),2)</f>
      </c>
      <c r="O123" s="230">
        <f>M11</f>
      </c>
      <c r="P123" s="235"/>
      <c r="Q123" s="236"/>
      <c r="R123" s="237"/>
      <c r="S123" s="238"/>
      <c r="T123" s="239"/>
    </row>
    <row r="124" spans="1:20" ht="24" customHeight="1">
      <c r="A124" s="226">
        <v>105</v>
      </c>
      <c r="B124" s="226">
        <v>99990008656116</v>
      </c>
      <c r="C124" s="227">
        <v>233501</v>
      </c>
      <c r="D124" s="228" t="s">
        <v>172</v>
      </c>
      <c r="E124" s="229"/>
      <c r="F124" s="229">
        <v>233501</v>
      </c>
      <c r="G124" s="229" t="s">
        <v>41</v>
      </c>
      <c r="H124" s="230">
        <v>1.10</v>
      </c>
      <c r="I124" s="231">
        <v>10</v>
      </c>
      <c r="J124" s="232">
        <v>1.1</v>
      </c>
      <c r="K124" s="233"/>
      <c r="L124" s="231" t="s">
        <v>23</v>
      </c>
      <c r="M124" s="231">
        <v>0</v>
      </c>
      <c r="N124" s="234">
        <f>ROUND(((I124*J124)-((I124*J124)*L124/100))+(((I124*J124)-((I124*J124)*L124/100))*M124/100),2)</f>
      </c>
      <c r="O124" s="230">
        <f>M11</f>
      </c>
      <c r="P124" s="235"/>
      <c r="Q124" s="236"/>
      <c r="R124" s="237"/>
      <c r="S124" s="238"/>
      <c r="T124" s="239"/>
    </row>
    <row r="125" spans="1:20" ht="24" customHeight="1">
      <c r="A125" s="226">
        <v>106</v>
      </c>
      <c r="B125" s="226">
        <v>99990008656117</v>
      </c>
      <c r="C125" s="227">
        <v>233503</v>
      </c>
      <c r="D125" s="228" t="s">
        <v>173</v>
      </c>
      <c r="E125" s="229"/>
      <c r="F125" s="229">
        <v>233503</v>
      </c>
      <c r="G125" s="229" t="s">
        <v>41</v>
      </c>
      <c r="H125" s="230">
        <v>1.42</v>
      </c>
      <c r="I125" s="231">
        <v>20</v>
      </c>
      <c r="J125" s="232">
        <v>1.42</v>
      </c>
      <c r="K125" s="233"/>
      <c r="L125" s="231" t="s">
        <v>23</v>
      </c>
      <c r="M125" s="231">
        <v>0</v>
      </c>
      <c r="N125" s="234">
        <f>ROUND(((I125*J125)-((I125*J125)*L125/100))+(((I125*J125)-((I125*J125)*L125/100))*M125/100),2)</f>
      </c>
      <c r="O125" s="230">
        <f>M11</f>
      </c>
      <c r="P125" s="235"/>
      <c r="Q125" s="236"/>
      <c r="R125" s="237"/>
      <c r="S125" s="238"/>
      <c r="T125" s="239"/>
    </row>
    <row r="126" spans="1:20" ht="24" customHeight="1">
      <c r="A126" s="226">
        <v>107</v>
      </c>
      <c r="B126" s="226">
        <v>99990009813406</v>
      </c>
      <c r="C126" s="227">
        <v>812704</v>
      </c>
      <c r="D126" s="228" t="s">
        <v>174</v>
      </c>
      <c r="E126" s="229"/>
      <c r="F126" s="229">
        <v>812704</v>
      </c>
      <c r="G126" s="229" t="s">
        <v>175</v>
      </c>
      <c r="H126" s="230">
        <v>0</v>
      </c>
      <c r="I126" s="231">
        <v>4</v>
      </c>
      <c r="J126" s="232">
        <v>4.06</v>
      </c>
      <c r="K126" s="233"/>
      <c r="L126" s="231" t="s">
        <v>23</v>
      </c>
      <c r="M126" s="231">
        <v>0</v>
      </c>
      <c r="N126" s="234">
        <f>ROUND(((I126*J126)-((I126*J126)*L126/100))+(((I126*J126)-((I126*J126)*L126/100))*M126/100),2)</f>
      </c>
      <c r="O126" s="230">
        <f>M11</f>
      </c>
      <c r="P126" s="235" t="s">
        <v>486</v>
      </c>
      <c r="Q126" s="236"/>
      <c r="R126" s="237"/>
      <c r="S126" s="238"/>
      <c r="T126" s="239"/>
    </row>
    <row r="127" spans="1:20" ht="24" customHeight="1">
      <c r="A127" s="226">
        <v>108</v>
      </c>
      <c r="B127" s="226">
        <v>99990008655532</v>
      </c>
      <c r="C127" s="227">
        <v>490509</v>
      </c>
      <c r="D127" s="228" t="s">
        <v>176</v>
      </c>
      <c r="E127" s="229"/>
      <c r="F127" s="229">
        <v>490509</v>
      </c>
      <c r="G127" s="229" t="s">
        <v>41</v>
      </c>
      <c r="H127" s="230">
        <v>1.64</v>
      </c>
      <c r="I127" s="231">
        <v>10</v>
      </c>
      <c r="J127" s="232">
        <v>0</v>
      </c>
      <c r="K127" s="233"/>
      <c r="L127" s="231" t="s">
        <v>23</v>
      </c>
      <c r="M127" s="231">
        <v>0</v>
      </c>
      <c r="N127" s="234">
        <f>ROUND(((I127*J127)-((I127*J127)*L127/100))+(((I127*J127)-((I127*J127)*L127/100))*M127/100),2)</f>
      </c>
      <c r="O127" s="230">
        <f>M11</f>
      </c>
      <c r="P127" s="235" t="s">
        <v>487</v>
      </c>
      <c r="Q127" s="236"/>
      <c r="R127" s="237" t="s">
        <v>177</v>
      </c>
      <c r="S127" s="238"/>
      <c r="T127" s="239"/>
    </row>
    <row r="128" spans="1:20" ht="24" customHeight="1">
      <c r="A128" s="226">
        <v>109</v>
      </c>
      <c r="B128" s="226">
        <v>99990010839543</v>
      </c>
      <c r="C128" s="227">
        <v>591011</v>
      </c>
      <c r="D128" s="228" t="s">
        <v>178</v>
      </c>
      <c r="E128" s="229"/>
      <c r="F128" s="229">
        <v>591011</v>
      </c>
      <c r="G128" s="229" t="s">
        <v>72</v>
      </c>
      <c r="H128" s="230">
        <v>0</v>
      </c>
      <c r="I128" s="231">
        <v>1</v>
      </c>
      <c r="J128" s="232">
        <v>20.96</v>
      </c>
      <c r="K128" s="233"/>
      <c r="L128" s="231" t="s">
        <v>23</v>
      </c>
      <c r="M128" s="231">
        <v>0</v>
      </c>
      <c r="N128" s="234">
        <f>ROUND(((I128*J128)-((I128*J128)*L128/100))+(((I128*J128)-((I128*J128)*L128/100))*M128/100),2)</f>
      </c>
      <c r="O128" s="230">
        <f>M11</f>
      </c>
      <c r="P128" s="235" t="s">
        <v>488</v>
      </c>
      <c r="Q128" s="236"/>
      <c r="R128" s="237"/>
      <c r="S128" s="238"/>
      <c r="T128" s="239"/>
    </row>
    <row r="129" spans="1:20" ht="24" customHeight="1">
      <c r="A129" s="226">
        <v>110</v>
      </c>
      <c r="B129" s="226">
        <v>99990008657807</v>
      </c>
      <c r="C129" s="227" t="s">
        <v>110</v>
      </c>
      <c r="D129" s="228" t="s">
        <v>179</v>
      </c>
      <c r="E129" s="229"/>
      <c r="F129" s="229">
        <v>471014</v>
      </c>
      <c r="G129" s="229" t="s">
        <v>65</v>
      </c>
      <c r="H129" s="230">
        <v>0.24</v>
      </c>
      <c r="I129" s="231">
        <v>4</v>
      </c>
      <c r="J129" s="232">
        <v>0.24</v>
      </c>
      <c r="K129" s="233"/>
      <c r="L129" s="231" t="s">
        <v>23</v>
      </c>
      <c r="M129" s="231">
        <v>0</v>
      </c>
      <c r="N129" s="234">
        <f>ROUND(((I129*J129)-((I129*J129)*L129/100))+(((I129*J129)-((I129*J129)*L129/100))*M129/100),2)</f>
      </c>
      <c r="O129" s="230">
        <f>M11</f>
      </c>
      <c r="P129" s="235"/>
      <c r="Q129" s="236"/>
      <c r="R129" s="237"/>
      <c r="S129" s="238"/>
      <c r="T129" s="239"/>
    </row>
    <row r="130" spans="1:20" ht="24" customHeight="1">
      <c r="A130" s="226">
        <v>111</v>
      </c>
      <c r="B130" s="226">
        <v>99990009573535</v>
      </c>
      <c r="C130" s="227" t="s">
        <v>110</v>
      </c>
      <c r="D130" s="228" t="s">
        <v>180</v>
      </c>
      <c r="E130" s="229"/>
      <c r="F130" s="229">
        <v>471012</v>
      </c>
      <c r="G130" s="229" t="s">
        <v>41</v>
      </c>
      <c r="H130" s="230">
        <v>0.29</v>
      </c>
      <c r="I130" s="231">
        <v>4</v>
      </c>
      <c r="J130" s="232">
        <v>0.31</v>
      </c>
      <c r="K130" s="233"/>
      <c r="L130" s="231" t="s">
        <v>23</v>
      </c>
      <c r="M130" s="231">
        <v>0</v>
      </c>
      <c r="N130" s="234">
        <f>ROUND(((I130*J130)-((I130*J130)*L130/100))+(((I130*J130)-((I130*J130)*L130/100))*M130/100),2)</f>
      </c>
      <c r="O130" s="230">
        <f>M11</f>
      </c>
      <c r="P130" s="235"/>
      <c r="Q130" s="236"/>
      <c r="R130" s="237"/>
      <c r="S130" s="238"/>
      <c r="T130" s="239"/>
    </row>
    <row r="131" spans="1:20" ht="24" customHeight="1">
      <c r="A131" s="226">
        <v>112</v>
      </c>
      <c r="B131" s="226">
        <v>99990009866952</v>
      </c>
      <c r="C131" s="227">
        <v>331159</v>
      </c>
      <c r="D131" s="228" t="s">
        <v>181</v>
      </c>
      <c r="E131" s="229"/>
      <c r="F131" s="229">
        <v>331159</v>
      </c>
      <c r="G131" s="229" t="s">
        <v>41</v>
      </c>
      <c r="H131" s="230">
        <v>0</v>
      </c>
      <c r="I131" s="231">
        <v>10</v>
      </c>
      <c r="J131" s="232">
        <v>2.67</v>
      </c>
      <c r="K131" s="233"/>
      <c r="L131" s="231" t="s">
        <v>23</v>
      </c>
      <c r="M131" s="231">
        <v>0</v>
      </c>
      <c r="N131" s="234">
        <f>ROUND(((I131*J131)-((I131*J131)*L131/100))+(((I131*J131)-((I131*J131)*L131/100))*M131/100),2)</f>
      </c>
      <c r="O131" s="230">
        <f>M11</f>
      </c>
      <c r="P131" s="235"/>
      <c r="Q131" s="236"/>
      <c r="R131" s="237"/>
      <c r="S131" s="238"/>
      <c r="T131" s="239"/>
    </row>
    <row r="132" spans="1:20" ht="24" customHeight="1">
      <c r="A132" s="226">
        <v>113</v>
      </c>
      <c r="B132" s="226">
        <v>99990014641344</v>
      </c>
      <c r="C132" s="227">
        <v>2942986</v>
      </c>
      <c r="D132" s="228" t="s">
        <v>182</v>
      </c>
      <c r="E132" s="229"/>
      <c r="F132" s="229" t="s">
        <v>183</v>
      </c>
      <c r="G132" s="229" t="s">
        <v>41</v>
      </c>
      <c r="H132" s="230">
        <v>0</v>
      </c>
      <c r="I132" s="231">
        <v>10</v>
      </c>
      <c r="J132" s="232">
        <v>10.26</v>
      </c>
      <c r="K132" s="233"/>
      <c r="L132" s="231" t="s">
        <v>23</v>
      </c>
      <c r="M132" s="231">
        <v>0</v>
      </c>
      <c r="N132" s="234">
        <f>ROUND(((I132*J132)-((I132*J132)*L132/100))+(((I132*J132)-((I132*J132)*L132/100))*M132/100),2)</f>
      </c>
      <c r="O132" s="230">
        <f>M11</f>
      </c>
      <c r="P132" s="235"/>
      <c r="Q132" s="236"/>
      <c r="R132" s="237"/>
      <c r="S132" s="238"/>
      <c r="T132" s="239"/>
    </row>
    <row r="133" spans="1:20" ht="24" customHeight="1">
      <c r="A133" s="226">
        <v>114</v>
      </c>
      <c r="B133" s="226">
        <v>99990009868296</v>
      </c>
      <c r="C133" s="227">
        <v>330711</v>
      </c>
      <c r="D133" s="228" t="s">
        <v>184</v>
      </c>
      <c r="E133" s="229"/>
      <c r="F133" s="229">
        <v>330711</v>
      </c>
      <c r="G133" s="229" t="s">
        <v>139</v>
      </c>
      <c r="H133" s="230">
        <v>0</v>
      </c>
      <c r="I133" s="231">
        <v>4</v>
      </c>
      <c r="J133" s="232">
        <v>64.88</v>
      </c>
      <c r="K133" s="233"/>
      <c r="L133" s="231" t="s">
        <v>23</v>
      </c>
      <c r="M133" s="231">
        <v>0</v>
      </c>
      <c r="N133" s="234">
        <f>ROUND(((I133*J133)-((I133*J133)*L133/100))+(((I133*J133)-((I133*J133)*L133/100))*M133/100),2)</f>
      </c>
      <c r="O133" s="230">
        <f>M11</f>
      </c>
      <c r="P133" s="235"/>
      <c r="Q133" s="236"/>
      <c r="R133" s="237"/>
      <c r="S133" s="238"/>
      <c r="T133" s="239"/>
    </row>
    <row r="134" spans="1:20" ht="24" customHeight="1">
      <c r="A134" s="226">
        <v>115</v>
      </c>
      <c r="B134" s="226">
        <v>99990008657923</v>
      </c>
      <c r="C134" s="227">
        <v>612292</v>
      </c>
      <c r="D134" s="228" t="s">
        <v>185</v>
      </c>
      <c r="E134" s="229"/>
      <c r="F134" s="229">
        <v>612292</v>
      </c>
      <c r="G134" s="229" t="s">
        <v>41</v>
      </c>
      <c r="H134" s="230">
        <v>0.36</v>
      </c>
      <c r="I134" s="231">
        <v>2</v>
      </c>
      <c r="J134" s="232">
        <v>0.6</v>
      </c>
      <c r="K134" s="233"/>
      <c r="L134" s="231" t="s">
        <v>23</v>
      </c>
      <c r="M134" s="231">
        <v>0</v>
      </c>
      <c r="N134" s="234">
        <f>ROUND(((I134*J134)-((I134*J134)*L134/100))+(((I134*J134)-((I134*J134)*L134/100))*M134/100),2)</f>
      </c>
      <c r="O134" s="230">
        <f>M11</f>
      </c>
      <c r="P134" s="235"/>
      <c r="Q134" s="236"/>
      <c r="R134" s="237"/>
      <c r="S134" s="238"/>
      <c r="T134" s="239"/>
    </row>
    <row r="135" spans="1:20" ht="24" customHeight="1">
      <c r="A135" s="226">
        <v>116</v>
      </c>
      <c r="B135" s="226">
        <v>99990008656482</v>
      </c>
      <c r="C135" s="227">
        <v>611855</v>
      </c>
      <c r="D135" s="228" t="s">
        <v>186</v>
      </c>
      <c r="E135" s="229"/>
      <c r="F135" s="229">
        <v>611855</v>
      </c>
      <c r="G135" s="229" t="s">
        <v>41</v>
      </c>
      <c r="H135" s="230">
        <v>2.70</v>
      </c>
      <c r="I135" s="231">
        <v>2</v>
      </c>
      <c r="J135" s="232">
        <v>2.7</v>
      </c>
      <c r="K135" s="233"/>
      <c r="L135" s="231" t="s">
        <v>23</v>
      </c>
      <c r="M135" s="231">
        <v>0</v>
      </c>
      <c r="N135" s="234">
        <f>ROUND(((I135*J135)-((I135*J135)*L135/100))+(((I135*J135)-((I135*J135)*L135/100))*M135/100),2)</f>
      </c>
      <c r="O135" s="230">
        <f>M11</f>
      </c>
      <c r="P135" s="235"/>
      <c r="Q135" s="236"/>
      <c r="R135" s="237"/>
      <c r="S135" s="238"/>
      <c r="T135" s="239"/>
    </row>
    <row r="136" spans="1:20" ht="24" customHeight="1">
      <c r="A136" s="226">
        <v>117</v>
      </c>
      <c r="B136" s="226">
        <v>99990008656393</v>
      </c>
      <c r="C136" s="227">
        <v>611307</v>
      </c>
      <c r="D136" s="228" t="s">
        <v>187</v>
      </c>
      <c r="E136" s="229"/>
      <c r="F136" s="229">
        <v>611307</v>
      </c>
      <c r="G136" s="229" t="s">
        <v>41</v>
      </c>
      <c r="H136" s="230">
        <v>7.08</v>
      </c>
      <c r="I136" s="231">
        <v>1</v>
      </c>
      <c r="J136" s="232">
        <v>8.76</v>
      </c>
      <c r="K136" s="233"/>
      <c r="L136" s="231" t="s">
        <v>23</v>
      </c>
      <c r="M136" s="231">
        <v>0</v>
      </c>
      <c r="N136" s="234">
        <f>ROUND(((I136*J136)-((I136*J136)*L136/100))+(((I136*J136)-((I136*J136)*L136/100))*M136/100),2)</f>
      </c>
      <c r="O136" s="230">
        <f>M11</f>
      </c>
      <c r="P136" s="235"/>
      <c r="Q136" s="236"/>
      <c r="R136" s="237"/>
      <c r="S136" s="238"/>
      <c r="T136" s="239"/>
    </row>
    <row r="137" spans="1:20" ht="24" customHeight="1">
      <c r="A137" s="226">
        <v>118</v>
      </c>
      <c r="B137" s="226">
        <v>99990008656391</v>
      </c>
      <c r="C137" s="227">
        <v>611305</v>
      </c>
      <c r="D137" s="228" t="s">
        <v>188</v>
      </c>
      <c r="E137" s="229"/>
      <c r="F137" s="229">
        <v>611305</v>
      </c>
      <c r="G137" s="229" t="s">
        <v>41</v>
      </c>
      <c r="H137" s="230">
        <v>3.54</v>
      </c>
      <c r="I137" s="231">
        <v>1</v>
      </c>
      <c r="J137" s="232">
        <v>4.48</v>
      </c>
      <c r="K137" s="233"/>
      <c r="L137" s="231" t="s">
        <v>23</v>
      </c>
      <c r="M137" s="231">
        <v>0</v>
      </c>
      <c r="N137" s="234">
        <f>ROUND(((I137*J137)-((I137*J137)*L137/100))+(((I137*J137)-((I137*J137)*L137/100))*M137/100),2)</f>
      </c>
      <c r="O137" s="230">
        <f>M11</f>
      </c>
      <c r="P137" s="235"/>
      <c r="Q137" s="236"/>
      <c r="R137" s="237"/>
      <c r="S137" s="238"/>
      <c r="T137" s="239"/>
    </row>
    <row r="138" spans="1:20" ht="24" customHeight="1">
      <c r="A138" s="226">
        <v>119</v>
      </c>
      <c r="B138" s="226">
        <v>99990008656426</v>
      </c>
      <c r="C138" s="227">
        <v>611672</v>
      </c>
      <c r="D138" s="228" t="s">
        <v>189</v>
      </c>
      <c r="E138" s="229"/>
      <c r="F138" s="229">
        <v>611672</v>
      </c>
      <c r="G138" s="229" t="s">
        <v>69</v>
      </c>
      <c r="H138" s="230">
        <v>1.67</v>
      </c>
      <c r="I138" s="231">
        <v>2</v>
      </c>
      <c r="J138" s="232">
        <v>2.27</v>
      </c>
      <c r="K138" s="233"/>
      <c r="L138" s="231" t="s">
        <v>23</v>
      </c>
      <c r="M138" s="231">
        <v>0</v>
      </c>
      <c r="N138" s="234">
        <f>ROUND(((I138*J138)-((I138*J138)*L138/100))+(((I138*J138)-((I138*J138)*L138/100))*M138/100),2)</f>
      </c>
      <c r="O138" s="230">
        <f>M11</f>
      </c>
      <c r="P138" s="235"/>
      <c r="Q138" s="236"/>
      <c r="R138" s="237"/>
      <c r="S138" s="238"/>
      <c r="T138" s="239"/>
    </row>
    <row r="139" spans="1:20" ht="24" customHeight="1">
      <c r="A139" s="226">
        <v>120</v>
      </c>
      <c r="B139" s="226">
        <v>99990008656477</v>
      </c>
      <c r="C139" s="227">
        <v>611843</v>
      </c>
      <c r="D139" s="228" t="s">
        <v>190</v>
      </c>
      <c r="E139" s="229"/>
      <c r="F139" s="229">
        <v>611843</v>
      </c>
      <c r="G139" s="229" t="s">
        <v>69</v>
      </c>
      <c r="H139" s="230">
        <v>3.39</v>
      </c>
      <c r="I139" s="231">
        <v>4</v>
      </c>
      <c r="J139" s="232">
        <v>3.39</v>
      </c>
      <c r="K139" s="233"/>
      <c r="L139" s="231" t="s">
        <v>23</v>
      </c>
      <c r="M139" s="231">
        <v>0</v>
      </c>
      <c r="N139" s="234">
        <f>ROUND(((I139*J139)-((I139*J139)*L139/100))+(((I139*J139)-((I139*J139)*L139/100))*M139/100),2)</f>
      </c>
      <c r="O139" s="230">
        <f>M11</f>
      </c>
      <c r="P139" s="235"/>
      <c r="Q139" s="236"/>
      <c r="R139" s="237"/>
      <c r="S139" s="238"/>
      <c r="T139" s="239"/>
    </row>
    <row r="140" spans="1:20" ht="24" customHeight="1">
      <c r="A140" s="226">
        <v>121</v>
      </c>
      <c r="B140" s="226">
        <v>99990008655672</v>
      </c>
      <c r="C140" s="227">
        <v>617152</v>
      </c>
      <c r="D140" s="228" t="s">
        <v>191</v>
      </c>
      <c r="E140" s="229"/>
      <c r="F140" s="229">
        <v>617152</v>
      </c>
      <c r="G140" s="229" t="s">
        <v>41</v>
      </c>
      <c r="H140" s="230">
        <v>28.95</v>
      </c>
      <c r="I140" s="231">
        <v>1</v>
      </c>
      <c r="J140" s="232">
        <v>28.95</v>
      </c>
      <c r="K140" s="233"/>
      <c r="L140" s="231" t="s">
        <v>23</v>
      </c>
      <c r="M140" s="231">
        <v>0</v>
      </c>
      <c r="N140" s="234">
        <f>ROUND(((I140*J140)-((I140*J140)*L140/100))+(((I140*J140)-((I140*J140)*L140/100))*M140/100),2)</f>
      </c>
      <c r="O140" s="230">
        <f>M11</f>
      </c>
      <c r="P140" s="235"/>
      <c r="Q140" s="236"/>
      <c r="R140" s="237"/>
      <c r="S140" s="238"/>
      <c r="T140" s="239"/>
    </row>
    <row r="141" spans="1:20" ht="24" customHeight="1">
      <c r="A141" s="226">
        <v>122</v>
      </c>
      <c r="B141" s="226">
        <v>99990008656937</v>
      </c>
      <c r="C141" s="227">
        <v>812602</v>
      </c>
      <c r="D141" s="228" t="s">
        <v>192</v>
      </c>
      <c r="E141" s="229"/>
      <c r="F141" s="229">
        <v>812602</v>
      </c>
      <c r="G141" s="229" t="s">
        <v>55</v>
      </c>
      <c r="H141" s="230">
        <v>1.08</v>
      </c>
      <c r="I141" s="231">
        <v>10</v>
      </c>
      <c r="J141" s="232">
        <v>1.08</v>
      </c>
      <c r="K141" s="233"/>
      <c r="L141" s="231" t="s">
        <v>23</v>
      </c>
      <c r="M141" s="231">
        <v>0</v>
      </c>
      <c r="N141" s="234">
        <f>ROUND(((I141*J141)-((I141*J141)*L141/100))+(((I141*J141)-((I141*J141)*L141/100))*M141/100),2)</f>
      </c>
      <c r="O141" s="230">
        <f>M11</f>
      </c>
      <c r="P141" s="235"/>
      <c r="Q141" s="236"/>
      <c r="R141" s="237"/>
      <c r="S141" s="238"/>
      <c r="T141" s="239"/>
    </row>
    <row r="142" spans="1:20" ht="24" customHeight="1">
      <c r="A142" s="226">
        <v>123</v>
      </c>
      <c r="B142" s="226">
        <v>99990008657552</v>
      </c>
      <c r="C142" s="227">
        <v>812472</v>
      </c>
      <c r="D142" s="228" t="s">
        <v>193</v>
      </c>
      <c r="E142" s="229"/>
      <c r="F142" s="229">
        <v>812472</v>
      </c>
      <c r="G142" s="229" t="s">
        <v>120</v>
      </c>
      <c r="H142" s="230">
        <v>5.98</v>
      </c>
      <c r="I142" s="231">
        <v>10</v>
      </c>
      <c r="J142" s="232">
        <v>5.98</v>
      </c>
      <c r="K142" s="233"/>
      <c r="L142" s="231" t="s">
        <v>23</v>
      </c>
      <c r="M142" s="231">
        <v>0</v>
      </c>
      <c r="N142" s="234">
        <f>ROUND(((I142*J142)-((I142*J142)*L142/100))+(((I142*J142)-((I142*J142)*L142/100))*M142/100),2)</f>
      </c>
      <c r="O142" s="230">
        <f>M11</f>
      </c>
      <c r="P142" s="235"/>
      <c r="Q142" s="236"/>
      <c r="R142" s="237"/>
      <c r="S142" s="238"/>
      <c r="T142" s="239"/>
    </row>
    <row r="143" spans="1:20" ht="24" customHeight="1">
      <c r="A143" s="226">
        <v>124</v>
      </c>
      <c r="B143" s="226">
        <v>99990009575723</v>
      </c>
      <c r="C143" s="227">
        <v>2138436</v>
      </c>
      <c r="D143" s="228" t="s">
        <v>194</v>
      </c>
      <c r="E143" s="229"/>
      <c r="F143" s="229">
        <v>610536</v>
      </c>
      <c r="G143" s="229" t="s">
        <v>72</v>
      </c>
      <c r="H143" s="230">
        <v>17.70</v>
      </c>
      <c r="I143" s="231">
        <v>1</v>
      </c>
      <c r="J143" s="232">
        <v>17.52</v>
      </c>
      <c r="K143" s="233"/>
      <c r="L143" s="231" t="s">
        <v>23</v>
      </c>
      <c r="M143" s="231">
        <v>0</v>
      </c>
      <c r="N143" s="234">
        <f>ROUND(((I143*J143)-((I143*J143)*L143/100))+(((I143*J143)-((I143*J143)*L143/100))*M143/100),2)</f>
      </c>
      <c r="O143" s="230">
        <f>M11</f>
      </c>
      <c r="P143" s="235"/>
      <c r="Q143" s="236"/>
      <c r="R143" s="237"/>
      <c r="S143" s="238"/>
      <c r="T143" s="239"/>
    </row>
    <row r="144" spans="1:20" ht="24" customHeight="1">
      <c r="A144" s="226">
        <v>125</v>
      </c>
      <c r="B144" s="226">
        <v>99990008657926</v>
      </c>
      <c r="C144" s="227">
        <v>612297</v>
      </c>
      <c r="D144" s="228" t="s">
        <v>195</v>
      </c>
      <c r="E144" s="229"/>
      <c r="F144" s="229">
        <v>612297</v>
      </c>
      <c r="G144" s="229" t="s">
        <v>41</v>
      </c>
      <c r="H144" s="230">
        <v>0.36</v>
      </c>
      <c r="I144" s="231">
        <v>2</v>
      </c>
      <c r="J144" s="232">
        <v>1.2</v>
      </c>
      <c r="K144" s="233"/>
      <c r="L144" s="231" t="s">
        <v>23</v>
      </c>
      <c r="M144" s="231">
        <v>0</v>
      </c>
      <c r="N144" s="234">
        <f>ROUND(((I144*J144)-((I144*J144)*L144/100))+(((I144*J144)-((I144*J144)*L144/100))*M144/100),2)</f>
      </c>
      <c r="O144" s="230">
        <f>M11</f>
      </c>
      <c r="P144" s="235"/>
      <c r="Q144" s="236"/>
      <c r="R144" s="237"/>
      <c r="S144" s="238"/>
      <c r="T144" s="239"/>
    </row>
    <row r="145" spans="1:20" ht="24" customHeight="1">
      <c r="A145" s="226">
        <v>126</v>
      </c>
      <c r="B145" s="226">
        <v>99990008658123</v>
      </c>
      <c r="C145" s="227">
        <v>614540</v>
      </c>
      <c r="D145" s="228" t="s">
        <v>196</v>
      </c>
      <c r="E145" s="229"/>
      <c r="F145" s="229">
        <v>614540</v>
      </c>
      <c r="G145" s="229" t="s">
        <v>72</v>
      </c>
      <c r="H145" s="230">
        <v>2.95</v>
      </c>
      <c r="I145" s="231">
        <v>1</v>
      </c>
      <c r="J145" s="232">
        <v>2.92</v>
      </c>
      <c r="K145" s="233"/>
      <c r="L145" s="231" t="s">
        <v>23</v>
      </c>
      <c r="M145" s="231">
        <v>0</v>
      </c>
      <c r="N145" s="234">
        <f>ROUND(((I145*J145)-((I145*J145)*L145/100))+(((I145*J145)-((I145*J145)*L145/100))*M145/100),2)</f>
      </c>
      <c r="O145" s="230">
        <f>M11</f>
      </c>
      <c r="P145" s="235"/>
      <c r="Q145" s="236"/>
      <c r="R145" s="237"/>
      <c r="S145" s="238"/>
      <c r="T145" s="239"/>
    </row>
    <row r="146" spans="1:20" ht="24" customHeight="1">
      <c r="A146" s="226">
        <v>127</v>
      </c>
      <c r="B146" s="226">
        <v>99990008655515</v>
      </c>
      <c r="C146" s="227">
        <v>232907</v>
      </c>
      <c r="D146" s="228" t="s">
        <v>197</v>
      </c>
      <c r="E146" s="229"/>
      <c r="F146" s="229">
        <v>232907</v>
      </c>
      <c r="G146" s="229" t="s">
        <v>116</v>
      </c>
      <c r="H146" s="230">
        <v>39</v>
      </c>
      <c r="I146" s="231">
        <v>50</v>
      </c>
      <c r="J146" s="232">
        <v>1</v>
      </c>
      <c r="K146" s="233"/>
      <c r="L146" s="231" t="s">
        <v>23</v>
      </c>
      <c r="M146" s="231">
        <v>0</v>
      </c>
      <c r="N146" s="234">
        <f>ROUND(((I146*J146)-((I146*J146)*L146/100))+(((I146*J146)-((I146*J146)*L146/100))*M146/100),2)</f>
      </c>
      <c r="O146" s="230">
        <f>M11</f>
      </c>
      <c r="P146" s="235" t="s">
        <v>489</v>
      </c>
      <c r="Q146" s="236"/>
      <c r="R146" s="237" t="s">
        <v>198</v>
      </c>
      <c r="S146" s="238"/>
      <c r="T146" s="239"/>
    </row>
    <row r="147" spans="1:20" ht="24" customHeight="1">
      <c r="A147" s="226">
        <v>128</v>
      </c>
      <c r="B147" s="226">
        <v>99990008655521</v>
      </c>
      <c r="C147" s="227">
        <v>232987</v>
      </c>
      <c r="D147" s="228" t="s">
        <v>199</v>
      </c>
      <c r="E147" s="229"/>
      <c r="F147" s="229">
        <v>232987</v>
      </c>
      <c r="G147" s="229" t="s">
        <v>79</v>
      </c>
      <c r="H147" s="230">
        <v>0.66</v>
      </c>
      <c r="I147" s="231">
        <v>100</v>
      </c>
      <c r="J147" s="232">
        <v>0.6</v>
      </c>
      <c r="K147" s="233"/>
      <c r="L147" s="231" t="s">
        <v>23</v>
      </c>
      <c r="M147" s="231">
        <v>0</v>
      </c>
      <c r="N147" s="234">
        <f>ROUND(((I147*J147)-((I147*J147)*L147/100))+(((I147*J147)-((I147*J147)*L147/100))*M147/100),2)</f>
      </c>
      <c r="O147" s="230">
        <f>M11</f>
      </c>
      <c r="P147" s="235"/>
      <c r="Q147" s="236"/>
      <c r="R147" s="237"/>
      <c r="S147" s="238"/>
      <c r="T147" s="239"/>
    </row>
    <row r="148" spans="1:20" ht="24" customHeight="1">
      <c r="A148" s="226">
        <v>129</v>
      </c>
      <c r="B148" s="226">
        <v>99990010163139</v>
      </c>
      <c r="C148" s="227">
        <v>232181</v>
      </c>
      <c r="D148" s="228" t="s">
        <v>200</v>
      </c>
      <c r="E148" s="229"/>
      <c r="F148" s="229">
        <v>232181</v>
      </c>
      <c r="G148" s="229" t="s">
        <v>201</v>
      </c>
      <c r="H148" s="230">
        <v>0</v>
      </c>
      <c r="I148" s="231">
        <v>30</v>
      </c>
      <c r="J148" s="232">
        <v>5.32</v>
      </c>
      <c r="K148" s="233"/>
      <c r="L148" s="231" t="s">
        <v>23</v>
      </c>
      <c r="M148" s="231">
        <v>0</v>
      </c>
      <c r="N148" s="234">
        <f>ROUND(((I148*J148)-((I148*J148)*L148/100))+(((I148*J148)-((I148*J148)*L148/100))*M148/100),2)</f>
      </c>
      <c r="O148" s="230">
        <f>M11</f>
      </c>
      <c r="P148" s="235"/>
      <c r="Q148" s="236"/>
      <c r="R148" s="237"/>
      <c r="S148" s="238"/>
      <c r="T148" s="239"/>
    </row>
    <row r="149" spans="1:20" ht="24" customHeight="1">
      <c r="A149" s="226">
        <v>130</v>
      </c>
      <c r="B149" s="226">
        <v>99990008655488</v>
      </c>
      <c r="C149" s="227">
        <v>232362</v>
      </c>
      <c r="D149" s="228" t="s">
        <v>202</v>
      </c>
      <c r="E149" s="229"/>
      <c r="F149" s="229">
        <v>232362</v>
      </c>
      <c r="G149" s="229" t="s">
        <v>41</v>
      </c>
      <c r="H149" s="230">
        <v>3.99</v>
      </c>
      <c r="I149" s="231">
        <v>10</v>
      </c>
      <c r="J149" s="232">
        <v>10.71</v>
      </c>
      <c r="K149" s="233"/>
      <c r="L149" s="231" t="s">
        <v>23</v>
      </c>
      <c r="M149" s="231">
        <v>0</v>
      </c>
      <c r="N149" s="234">
        <f>ROUND(((I149*J149)-((I149*J149)*L149/100))+(((I149*J149)-((I149*J149)*L149/100))*M149/100),2)</f>
      </c>
      <c r="O149" s="230">
        <f>M11</f>
      </c>
      <c r="P149" s="235"/>
      <c r="Q149" s="236"/>
      <c r="R149" s="237"/>
      <c r="S149" s="238"/>
      <c r="T149" s="239"/>
    </row>
    <row r="150" spans="1:20" ht="24" customHeight="1">
      <c r="A150" s="226">
        <v>131</v>
      </c>
      <c r="B150" s="226">
        <v>99990010275222</v>
      </c>
      <c r="C150" s="227">
        <v>233512</v>
      </c>
      <c r="D150" s="228" t="s">
        <v>203</v>
      </c>
      <c r="E150" s="229"/>
      <c r="F150" s="229">
        <v>233512</v>
      </c>
      <c r="G150" s="229" t="s">
        <v>41</v>
      </c>
      <c r="H150" s="230">
        <v>0</v>
      </c>
      <c r="I150" s="231">
        <v>6</v>
      </c>
      <c r="J150" s="232">
        <v>78.83</v>
      </c>
      <c r="K150" s="233"/>
      <c r="L150" s="231" t="s">
        <v>23</v>
      </c>
      <c r="M150" s="231">
        <v>0</v>
      </c>
      <c r="N150" s="234">
        <f>ROUND(((I150*J150)-((I150*J150)*L150/100))+(((I150*J150)-((I150*J150)*L150/100))*M150/100),2)</f>
      </c>
      <c r="O150" s="230">
        <f>M11</f>
      </c>
      <c r="P150" s="235"/>
      <c r="Q150" s="236"/>
      <c r="R150" s="237"/>
      <c r="S150" s="238"/>
      <c r="T150" s="239"/>
    </row>
    <row r="151" spans="1:20" ht="24" customHeight="1">
      <c r="A151" s="226">
        <v>132</v>
      </c>
      <c r="B151" s="226">
        <v>99990009554099</v>
      </c>
      <c r="C151" s="227">
        <v>2124634</v>
      </c>
      <c r="D151" s="228" t="s">
        <v>204</v>
      </c>
      <c r="E151" s="229"/>
      <c r="F151" s="229">
        <v>211302</v>
      </c>
      <c r="G151" s="229" t="s">
        <v>139</v>
      </c>
      <c r="H151" s="230">
        <v>22.31</v>
      </c>
      <c r="I151" s="231">
        <v>1</v>
      </c>
      <c r="J151" s="232">
        <v>28.4</v>
      </c>
      <c r="K151" s="233"/>
      <c r="L151" s="231" t="s">
        <v>23</v>
      </c>
      <c r="M151" s="231">
        <v>0</v>
      </c>
      <c r="N151" s="234">
        <f>ROUND(((I151*J151)-((I151*J151)*L151/100))+(((I151*J151)-((I151*J151)*L151/100))*M151/100),2)</f>
      </c>
      <c r="O151" s="230">
        <f>M11</f>
      </c>
      <c r="P151" s="235" t="s">
        <v>490</v>
      </c>
      <c r="Q151" s="236"/>
      <c r="R151" s="237" t="s">
        <v>205</v>
      </c>
      <c r="S151" s="238"/>
      <c r="T151" s="239"/>
    </row>
    <row r="152" spans="1:20" ht="24" customHeight="1">
      <c r="A152" s="226">
        <v>133</v>
      </c>
      <c r="B152" s="226">
        <v>99990009872306</v>
      </c>
      <c r="C152" s="227">
        <v>190614</v>
      </c>
      <c r="D152" s="228" t="s">
        <v>206</v>
      </c>
      <c r="E152" s="229"/>
      <c r="F152" s="229">
        <v>190614</v>
      </c>
      <c r="G152" s="229" t="s">
        <v>41</v>
      </c>
      <c r="H152" s="230">
        <v>0</v>
      </c>
      <c r="I152" s="231">
        <v>10</v>
      </c>
      <c r="J152" s="232">
        <v>11.19</v>
      </c>
      <c r="K152" s="233"/>
      <c r="L152" s="231" t="s">
        <v>23</v>
      </c>
      <c r="M152" s="231">
        <v>0</v>
      </c>
      <c r="N152" s="234">
        <f>ROUND(((I152*J152)-((I152*J152)*L152/100))+(((I152*J152)-((I152*J152)*L152/100))*M152/100),2)</f>
      </c>
      <c r="O152" s="230">
        <f>M11</f>
      </c>
      <c r="P152" s="235"/>
      <c r="Q152" s="236"/>
      <c r="R152" s="237" t="s">
        <v>207</v>
      </c>
      <c r="S152" s="238"/>
      <c r="T152" s="239"/>
    </row>
    <row r="153" spans="1:20" ht="24" customHeight="1">
      <c r="A153" s="226">
        <v>134</v>
      </c>
      <c r="B153" s="226">
        <v>99990008655910</v>
      </c>
      <c r="C153" s="227">
        <v>510493</v>
      </c>
      <c r="D153" s="228" t="s">
        <v>208</v>
      </c>
      <c r="E153" s="229"/>
      <c r="F153" s="229">
        <v>510493</v>
      </c>
      <c r="G153" s="229" t="s">
        <v>41</v>
      </c>
      <c r="H153" s="230">
        <v>6.49</v>
      </c>
      <c r="I153" s="231">
        <v>3</v>
      </c>
      <c r="J153" s="232">
        <v>6.49</v>
      </c>
      <c r="K153" s="233"/>
      <c r="L153" s="231" t="s">
        <v>23</v>
      </c>
      <c r="M153" s="231">
        <v>0</v>
      </c>
      <c r="N153" s="234">
        <f>ROUND(((I153*J153)-((I153*J153)*L153/100))+(((I153*J153)-((I153*J153)*L153/100))*M153/100),2)</f>
      </c>
      <c r="O153" s="230">
        <f>M11</f>
      </c>
      <c r="P153" s="235"/>
      <c r="Q153" s="236"/>
      <c r="R153" s="237"/>
      <c r="S153" s="238"/>
      <c r="T153" s="239"/>
    </row>
    <row r="154" spans="1:20" ht="24" customHeight="1">
      <c r="A154" s="226">
        <v>135</v>
      </c>
      <c r="B154" s="226">
        <v>99990008655906</v>
      </c>
      <c r="C154" s="227">
        <v>510462</v>
      </c>
      <c r="D154" s="228" t="s">
        <v>209</v>
      </c>
      <c r="E154" s="229"/>
      <c r="F154" s="229">
        <v>510462</v>
      </c>
      <c r="G154" s="229" t="s">
        <v>41</v>
      </c>
      <c r="H154" s="230">
        <v>0.14</v>
      </c>
      <c r="I154" s="231">
        <v>100</v>
      </c>
      <c r="J154" s="232">
        <v>0.14</v>
      </c>
      <c r="K154" s="233"/>
      <c r="L154" s="231" t="s">
        <v>23</v>
      </c>
      <c r="M154" s="231">
        <v>0</v>
      </c>
      <c r="N154" s="234">
        <f>ROUND(((I154*J154)-((I154*J154)*L154/100))+(((I154*J154)-((I154*J154)*L154/100))*M154/100),2)</f>
      </c>
      <c r="O154" s="230">
        <f>M11</f>
      </c>
      <c r="P154" s="235"/>
      <c r="Q154" s="236"/>
      <c r="R154" s="237"/>
      <c r="S154" s="238"/>
      <c r="T154" s="239"/>
    </row>
    <row r="155" spans="1:20" ht="24" customHeight="1">
      <c r="A155" s="226">
        <v>136</v>
      </c>
      <c r="B155" s="226">
        <v>99990008655905</v>
      </c>
      <c r="C155" s="227">
        <v>510461</v>
      </c>
      <c r="D155" s="228" t="s">
        <v>210</v>
      </c>
      <c r="E155" s="229"/>
      <c r="F155" s="229">
        <v>510461</v>
      </c>
      <c r="G155" s="229" t="s">
        <v>72</v>
      </c>
      <c r="H155" s="230">
        <v>0.42</v>
      </c>
      <c r="I155" s="231">
        <v>15</v>
      </c>
      <c r="J155" s="232">
        <v>0.42</v>
      </c>
      <c r="K155" s="233"/>
      <c r="L155" s="231" t="s">
        <v>23</v>
      </c>
      <c r="M155" s="231">
        <v>0</v>
      </c>
      <c r="N155" s="234">
        <f>ROUND(((I155*J155)-((I155*J155)*L155/100))+(((I155*J155)-((I155*J155)*L155/100))*M155/100),2)</f>
      </c>
      <c r="O155" s="230">
        <f>M11</f>
      </c>
      <c r="P155" s="235"/>
      <c r="Q155" s="236"/>
      <c r="R155" s="237"/>
      <c r="S155" s="238"/>
      <c r="T155" s="239"/>
    </row>
    <row r="156" spans="1:20" ht="24" customHeight="1">
      <c r="A156" s="226">
        <v>137</v>
      </c>
      <c r="B156" s="226">
        <v>99990011578160</v>
      </c>
      <c r="C156" s="227">
        <v>616221</v>
      </c>
      <c r="D156" s="228" t="s">
        <v>211</v>
      </c>
      <c r="E156" s="229"/>
      <c r="F156" s="229">
        <v>616221</v>
      </c>
      <c r="G156" s="229" t="s">
        <v>69</v>
      </c>
      <c r="H156" s="230">
        <v>0</v>
      </c>
      <c r="I156" s="231">
        <v>1</v>
      </c>
      <c r="J156" s="232">
        <v>1.9</v>
      </c>
      <c r="K156" s="233"/>
      <c r="L156" s="231" t="s">
        <v>23</v>
      </c>
      <c r="M156" s="231">
        <v>0</v>
      </c>
      <c r="N156" s="234">
        <f>ROUND(((I156*J156)-((I156*J156)*L156/100))+(((I156*J156)-((I156*J156)*L156/100))*M156/100),2)</f>
      </c>
      <c r="O156" s="230">
        <f>M11</f>
      </c>
      <c r="P156" s="235" t="s">
        <v>491</v>
      </c>
      <c r="Q156" s="236"/>
      <c r="R156" s="237"/>
      <c r="S156" s="238"/>
      <c r="T156" s="239"/>
    </row>
    <row r="157" spans="1:20" ht="24" customHeight="1">
      <c r="A157" s="226">
        <v>138</v>
      </c>
      <c r="B157" s="226">
        <v>99990008655761</v>
      </c>
      <c r="C157" s="227">
        <v>650873</v>
      </c>
      <c r="D157" s="228" t="s">
        <v>212</v>
      </c>
      <c r="E157" s="229"/>
      <c r="F157" s="229">
        <v>650873</v>
      </c>
      <c r="G157" s="229" t="s">
        <v>41</v>
      </c>
      <c r="H157" s="230">
        <v>18.58</v>
      </c>
      <c r="I157" s="231">
        <v>2</v>
      </c>
      <c r="J157" s="232">
        <v>18.06</v>
      </c>
      <c r="K157" s="233"/>
      <c r="L157" s="231" t="s">
        <v>23</v>
      </c>
      <c r="M157" s="231">
        <v>0</v>
      </c>
      <c r="N157" s="234">
        <f>ROUND(((I157*J157)-((I157*J157)*L157/100))+(((I157*J157)-((I157*J157)*L157/100))*M157/100),2)</f>
      </c>
      <c r="O157" s="230">
        <f>M11</f>
      </c>
      <c r="P157" s="235"/>
      <c r="Q157" s="236"/>
      <c r="R157" s="237"/>
      <c r="S157" s="238"/>
      <c r="T157" s="239"/>
    </row>
    <row r="158" spans="1:20" ht="24" customHeight="1">
      <c r="A158" s="226">
        <v>139</v>
      </c>
      <c r="B158" s="226">
        <v>99990009355665</v>
      </c>
      <c r="C158" s="227">
        <v>2093306</v>
      </c>
      <c r="D158" s="228" t="s">
        <v>213</v>
      </c>
      <c r="E158" s="229"/>
      <c r="F158" s="229">
        <v>695801</v>
      </c>
      <c r="G158" s="229" t="s">
        <v>41</v>
      </c>
      <c r="H158" s="230">
        <v>0</v>
      </c>
      <c r="I158" s="231">
        <v>20</v>
      </c>
      <c r="J158" s="232">
        <v>0</v>
      </c>
      <c r="K158" s="233"/>
      <c r="L158" s="231" t="s">
        <v>23</v>
      </c>
      <c r="M158" s="231">
        <v>0</v>
      </c>
      <c r="N158" s="234">
        <f>ROUND(((I158*J158)-((I158*J158)*L158/100))+(((I158*J158)-((I158*J158)*L158/100))*M158/100),2)</f>
      </c>
      <c r="O158" s="230">
        <f>M11</f>
      </c>
      <c r="P158" s="235" t="s">
        <v>492</v>
      </c>
      <c r="Q158" s="236"/>
      <c r="R158" s="237"/>
      <c r="S158" s="238"/>
      <c r="T158" s="239"/>
    </row>
    <row r="159" spans="1:20" ht="24" customHeight="1">
      <c r="A159" s="226">
        <v>140</v>
      </c>
      <c r="B159" s="226">
        <v>99990008655559</v>
      </c>
      <c r="C159" s="227">
        <v>450702</v>
      </c>
      <c r="D159" s="228" t="s">
        <v>214</v>
      </c>
      <c r="E159" s="229"/>
      <c r="F159" s="229">
        <v>450702</v>
      </c>
      <c r="G159" s="229" t="s">
        <v>215</v>
      </c>
      <c r="H159" s="230">
        <v>1.24</v>
      </c>
      <c r="I159" s="231">
        <v>10</v>
      </c>
      <c r="J159" s="232">
        <v>1.24</v>
      </c>
      <c r="K159" s="233"/>
      <c r="L159" s="231" t="s">
        <v>23</v>
      </c>
      <c r="M159" s="231">
        <v>0</v>
      </c>
      <c r="N159" s="234">
        <f>ROUND(((I159*J159)-((I159*J159)*L159/100))+(((I159*J159)-((I159*J159)*L159/100))*M159/100),2)</f>
      </c>
      <c r="O159" s="230">
        <f>M11</f>
      </c>
      <c r="P159" s="235" t="s">
        <v>493</v>
      </c>
      <c r="Q159" s="236"/>
      <c r="R159" s="237" t="s">
        <v>216</v>
      </c>
      <c r="S159" s="238"/>
      <c r="T159" s="239"/>
    </row>
    <row r="160" spans="1:20" ht="24" customHeight="1">
      <c r="A160" s="226">
        <v>141</v>
      </c>
      <c r="B160" s="226">
        <v>99990008655313</v>
      </c>
      <c r="C160" s="227">
        <v>550133</v>
      </c>
      <c r="D160" s="228" t="s">
        <v>217</v>
      </c>
      <c r="E160" s="229"/>
      <c r="F160" s="229">
        <v>550133</v>
      </c>
      <c r="G160" s="229" t="s">
        <v>75</v>
      </c>
      <c r="H160" s="230">
        <v>8.86</v>
      </c>
      <c r="I160" s="231">
        <v>1</v>
      </c>
      <c r="J160" s="232">
        <v>4.43</v>
      </c>
      <c r="K160" s="233"/>
      <c r="L160" s="231" t="s">
        <v>23</v>
      </c>
      <c r="M160" s="231">
        <v>0</v>
      </c>
      <c r="N160" s="234">
        <f>ROUND(((I160*J160)-((I160*J160)*L160/100))+(((I160*J160)-((I160*J160)*L160/100))*M160/100),2)</f>
      </c>
      <c r="O160" s="230">
        <f>M11</f>
      </c>
      <c r="P160" s="235" t="s">
        <v>494</v>
      </c>
      <c r="Q160" s="236"/>
      <c r="R160" s="237" t="s">
        <v>218</v>
      </c>
      <c r="S160" s="238"/>
      <c r="T160" s="239"/>
    </row>
    <row r="161" spans="1:20" ht="24" customHeight="1">
      <c r="A161" s="226">
        <v>142</v>
      </c>
      <c r="B161" s="226">
        <v>99990010955314</v>
      </c>
      <c r="C161" s="227">
        <v>2407439</v>
      </c>
      <c r="D161" s="228" t="s">
        <v>219</v>
      </c>
      <c r="E161" s="229"/>
      <c r="F161" s="229">
        <v>673815</v>
      </c>
      <c r="G161" s="229" t="s">
        <v>60</v>
      </c>
      <c r="H161" s="230">
        <v>0</v>
      </c>
      <c r="I161" s="231">
        <v>4</v>
      </c>
      <c r="J161" s="232">
        <v>158.03</v>
      </c>
      <c r="K161" s="233"/>
      <c r="L161" s="231" t="s">
        <v>23</v>
      </c>
      <c r="M161" s="231">
        <v>0</v>
      </c>
      <c r="N161" s="234">
        <f>ROUND(((I161*J161)-((I161*J161)*L161/100))+(((I161*J161)-((I161*J161)*L161/100))*M161/100),2)</f>
      </c>
      <c r="O161" s="230">
        <f>M11</f>
      </c>
      <c r="P161" s="235" t="s">
        <v>495</v>
      </c>
      <c r="Q161" s="236"/>
      <c r="R161" s="237"/>
      <c r="S161" s="238"/>
      <c r="T161" s="239"/>
    </row>
    <row r="162" spans="1:20" ht="24" customHeight="1">
      <c r="A162" s="226">
        <v>143</v>
      </c>
      <c r="B162" s="226">
        <v>99990008655936</v>
      </c>
      <c r="C162" s="227">
        <v>613243</v>
      </c>
      <c r="D162" s="228" t="s">
        <v>220</v>
      </c>
      <c r="E162" s="229"/>
      <c r="F162" s="229">
        <v>613243</v>
      </c>
      <c r="G162" s="229" t="s">
        <v>41</v>
      </c>
      <c r="H162" s="230">
        <v>1.52</v>
      </c>
      <c r="I162" s="231">
        <v>10</v>
      </c>
      <c r="J162" s="232">
        <v>1.52</v>
      </c>
      <c r="K162" s="233"/>
      <c r="L162" s="231" t="s">
        <v>23</v>
      </c>
      <c r="M162" s="231">
        <v>0</v>
      </c>
      <c r="N162" s="234">
        <f>ROUND(((I162*J162)-((I162*J162)*L162/100))+(((I162*J162)-((I162*J162)*L162/100))*M162/100),2)</f>
      </c>
      <c r="O162" s="230">
        <f>M11</f>
      </c>
      <c r="P162" s="235"/>
      <c r="Q162" s="236"/>
      <c r="R162" s="237"/>
      <c r="S162" s="238"/>
      <c r="T162" s="239"/>
    </row>
    <row r="163" spans="1:20" ht="24" customHeight="1">
      <c r="A163" s="226">
        <v>144</v>
      </c>
      <c r="B163" s="226">
        <v>99990008657971</v>
      </c>
      <c r="C163" s="227">
        <v>612612</v>
      </c>
      <c r="D163" s="228" t="s">
        <v>221</v>
      </c>
      <c r="E163" s="229"/>
      <c r="F163" s="229">
        <v>612612</v>
      </c>
      <c r="G163" s="229" t="s">
        <v>41</v>
      </c>
      <c r="H163" s="230">
        <v>1.54</v>
      </c>
      <c r="I163" s="231">
        <v>10</v>
      </c>
      <c r="J163" s="232">
        <v>1.54</v>
      </c>
      <c r="K163" s="233"/>
      <c r="L163" s="231" t="s">
        <v>23</v>
      </c>
      <c r="M163" s="231">
        <v>0</v>
      </c>
      <c r="N163" s="234">
        <f>ROUND(((I163*J163)-((I163*J163)*L163/100))+(((I163*J163)-((I163*J163)*L163/100))*M163/100),2)</f>
      </c>
      <c r="O163" s="230">
        <f>M11</f>
      </c>
      <c r="P163" s="235"/>
      <c r="Q163" s="236"/>
      <c r="R163" s="237"/>
      <c r="S163" s="238"/>
      <c r="T163" s="239"/>
    </row>
    <row r="164" spans="1:20" ht="24" customHeight="1">
      <c r="A164" s="226">
        <v>145</v>
      </c>
      <c r="B164" s="226">
        <v>99990008655486</v>
      </c>
      <c r="C164" s="227">
        <v>232334</v>
      </c>
      <c r="D164" s="228" t="s">
        <v>222</v>
      </c>
      <c r="E164" s="229"/>
      <c r="F164" s="229">
        <v>232334</v>
      </c>
      <c r="G164" s="229" t="s">
        <v>41</v>
      </c>
      <c r="H164" s="230">
        <v>3.19</v>
      </c>
      <c r="I164" s="231">
        <v>2</v>
      </c>
      <c r="J164" s="232">
        <v>3.19</v>
      </c>
      <c r="K164" s="233"/>
      <c r="L164" s="231" t="s">
        <v>23</v>
      </c>
      <c r="M164" s="231">
        <v>0</v>
      </c>
      <c r="N164" s="234">
        <f>ROUND(((I164*J164)-((I164*J164)*L164/100))+(((I164*J164)-((I164*J164)*L164/100))*M164/100),2)</f>
      </c>
      <c r="O164" s="230">
        <f>M11</f>
      </c>
      <c r="P164" s="235"/>
      <c r="Q164" s="236"/>
      <c r="R164" s="237"/>
      <c r="S164" s="238"/>
      <c r="T164" s="239"/>
    </row>
    <row r="165" spans="1:20" ht="24" customHeight="1">
      <c r="A165" s="226">
        <v>146</v>
      </c>
      <c r="B165" s="226">
        <v>99990008657471</v>
      </c>
      <c r="C165" s="227">
        <v>351253</v>
      </c>
      <c r="D165" s="228" t="s">
        <v>223</v>
      </c>
      <c r="E165" s="229"/>
      <c r="F165" s="229">
        <v>351253</v>
      </c>
      <c r="G165" s="229" t="s">
        <v>41</v>
      </c>
      <c r="H165" s="230">
        <v>0.90</v>
      </c>
      <c r="I165" s="231">
        <v>10</v>
      </c>
      <c r="J165" s="232">
        <v>0.91</v>
      </c>
      <c r="K165" s="233"/>
      <c r="L165" s="231" t="s">
        <v>23</v>
      </c>
      <c r="M165" s="231">
        <v>0</v>
      </c>
      <c r="N165" s="234">
        <f>ROUND(((I165*J165)-((I165*J165)*L165/100))+(((I165*J165)-((I165*J165)*L165/100))*M165/100),2)</f>
      </c>
      <c r="O165" s="230">
        <f>M11</f>
      </c>
      <c r="P165" s="235" t="s">
        <v>496</v>
      </c>
      <c r="Q165" s="236"/>
      <c r="R165" s="237"/>
      <c r="S165" s="238"/>
      <c r="T165" s="239"/>
    </row>
    <row r="166" spans="1:20" ht="24" customHeight="1">
      <c r="A166" s="226">
        <v>147</v>
      </c>
      <c r="B166" s="226">
        <v>99990010975339</v>
      </c>
      <c r="C166" s="227">
        <v>671861</v>
      </c>
      <c r="D166" s="228" t="s">
        <v>224</v>
      </c>
      <c r="E166" s="229"/>
      <c r="F166" s="229">
        <v>671861</v>
      </c>
      <c r="G166" s="229" t="s">
        <v>116</v>
      </c>
      <c r="H166" s="230">
        <v>0</v>
      </c>
      <c r="I166" s="231">
        <v>2</v>
      </c>
      <c r="J166" s="232">
        <v>12.68</v>
      </c>
      <c r="K166" s="233"/>
      <c r="L166" s="231" t="s">
        <v>23</v>
      </c>
      <c r="M166" s="231">
        <v>0</v>
      </c>
      <c r="N166" s="234">
        <f>ROUND(((I166*J166)-((I166*J166)*L166/100))+(((I166*J166)-((I166*J166)*L166/100))*M166/100),2)</f>
      </c>
      <c r="O166" s="230">
        <f>M11</f>
      </c>
      <c r="P166" s="235"/>
      <c r="Q166" s="236"/>
      <c r="R166" s="237"/>
      <c r="S166" s="238"/>
      <c r="T166" s="239"/>
    </row>
    <row r="167" spans="1:20" ht="24" customHeight="1">
      <c r="A167" s="226">
        <v>148</v>
      </c>
      <c r="B167" s="226">
        <v>99990009630989</v>
      </c>
      <c r="C167" s="227">
        <v>591031</v>
      </c>
      <c r="D167" s="228" t="s">
        <v>225</v>
      </c>
      <c r="E167" s="229"/>
      <c r="F167" s="229">
        <v>591031</v>
      </c>
      <c r="G167" s="229" t="s">
        <v>72</v>
      </c>
      <c r="H167" s="230">
        <v>61.11</v>
      </c>
      <c r="I167" s="231">
        <v>3</v>
      </c>
      <c r="J167" s="232">
        <v>24.33</v>
      </c>
      <c r="K167" s="233"/>
      <c r="L167" s="231" t="s">
        <v>23</v>
      </c>
      <c r="M167" s="231">
        <v>0</v>
      </c>
      <c r="N167" s="234">
        <f>ROUND(((I167*J167)-((I167*J167)*L167/100))+(((I167*J167)-((I167*J167)*L167/100))*M167/100),2)</f>
      </c>
      <c r="O167" s="230">
        <f>M11</f>
      </c>
      <c r="P167" s="235" t="s">
        <v>497</v>
      </c>
      <c r="Q167" s="236"/>
      <c r="R167" s="237" t="s">
        <v>226</v>
      </c>
      <c r="S167" s="238"/>
      <c r="T167" s="239"/>
    </row>
    <row r="168" spans="1:20" ht="24" customHeight="1">
      <c r="A168" s="226">
        <v>149</v>
      </c>
      <c r="B168" s="226">
        <v>99990009573589</v>
      </c>
      <c r="C168" s="227">
        <v>2136539</v>
      </c>
      <c r="D168" s="228" t="s">
        <v>227</v>
      </c>
      <c r="E168" s="229"/>
      <c r="F168" s="229">
        <v>611336</v>
      </c>
      <c r="G168" s="229" t="s">
        <v>41</v>
      </c>
      <c r="H168" s="230">
        <v>8.65</v>
      </c>
      <c r="I168" s="231">
        <v>2</v>
      </c>
      <c r="J168" s="232">
        <v>8.21</v>
      </c>
      <c r="K168" s="233"/>
      <c r="L168" s="231" t="s">
        <v>23</v>
      </c>
      <c r="M168" s="231">
        <v>0</v>
      </c>
      <c r="N168" s="234">
        <f>ROUND(((I168*J168)-((I168*J168)*L168/100))+(((I168*J168)-((I168*J168)*L168/100))*M168/100),2)</f>
      </c>
      <c r="O168" s="230">
        <f>M11</f>
      </c>
      <c r="P168" s="235"/>
      <c r="Q168" s="236"/>
      <c r="R168" s="237"/>
      <c r="S168" s="238"/>
      <c r="T168" s="239"/>
    </row>
    <row r="169" spans="1:20" ht="24" customHeight="1">
      <c r="A169" s="226">
        <v>150</v>
      </c>
      <c r="B169" s="226">
        <v>99990008656397</v>
      </c>
      <c r="C169" s="227">
        <v>611333</v>
      </c>
      <c r="D169" s="228" t="s">
        <v>228</v>
      </c>
      <c r="E169" s="229"/>
      <c r="F169" s="229">
        <v>611333</v>
      </c>
      <c r="G169" s="229" t="s">
        <v>41</v>
      </c>
      <c r="H169" s="230">
        <v>1.75</v>
      </c>
      <c r="I169" s="231">
        <v>2</v>
      </c>
      <c r="J169" s="232">
        <v>1.75</v>
      </c>
      <c r="K169" s="233"/>
      <c r="L169" s="231" t="s">
        <v>23</v>
      </c>
      <c r="M169" s="231">
        <v>0</v>
      </c>
      <c r="N169" s="234">
        <f>ROUND(((I169*J169)-((I169*J169)*L169/100))+(((I169*J169)-((I169*J169)*L169/100))*M169/100),2)</f>
      </c>
      <c r="O169" s="230">
        <f>M11</f>
      </c>
      <c r="P169" s="235"/>
      <c r="Q169" s="236"/>
      <c r="R169" s="237"/>
      <c r="S169" s="238"/>
      <c r="T169" s="239"/>
    </row>
    <row r="170" spans="1:20" ht="24" customHeight="1">
      <c r="A170" s="226">
        <v>151</v>
      </c>
      <c r="B170" s="226">
        <v>99990009864536</v>
      </c>
      <c r="C170" s="227" t="s">
        <v>229</v>
      </c>
      <c r="D170" s="228" t="s">
        <v>230</v>
      </c>
      <c r="E170" s="229"/>
      <c r="F170" s="229">
        <v>630252</v>
      </c>
      <c r="G170" s="229" t="s">
        <v>72</v>
      </c>
      <c r="H170" s="230">
        <v>0</v>
      </c>
      <c r="I170" s="231">
        <v>2</v>
      </c>
      <c r="J170" s="232">
        <v>3.36</v>
      </c>
      <c r="K170" s="233"/>
      <c r="L170" s="231" t="s">
        <v>23</v>
      </c>
      <c r="M170" s="231">
        <v>0</v>
      </c>
      <c r="N170" s="234">
        <f>ROUND(((I170*J170)-((I170*J170)*L170/100))+(((I170*J170)-((I170*J170)*L170/100))*M170/100),2)</f>
      </c>
      <c r="O170" s="230">
        <f>M11</f>
      </c>
      <c r="P170" s="235"/>
      <c r="Q170" s="236"/>
      <c r="R170" s="237"/>
      <c r="S170" s="238"/>
      <c r="T170" s="239"/>
    </row>
    <row r="171" spans="1:20" ht="24" customHeight="1">
      <c r="A171" s="226">
        <v>152</v>
      </c>
      <c r="B171" s="226">
        <v>99990008655537</v>
      </c>
      <c r="C171" s="227">
        <v>510802</v>
      </c>
      <c r="D171" s="228" t="s">
        <v>231</v>
      </c>
      <c r="E171" s="229"/>
      <c r="F171" s="229">
        <v>510802</v>
      </c>
      <c r="G171" s="229" t="s">
        <v>41</v>
      </c>
      <c r="H171" s="230">
        <v>0.96</v>
      </c>
      <c r="I171" s="231">
        <v>10</v>
      </c>
      <c r="J171" s="232">
        <v>1.68</v>
      </c>
      <c r="K171" s="233"/>
      <c r="L171" s="231" t="s">
        <v>23</v>
      </c>
      <c r="M171" s="231">
        <v>0</v>
      </c>
      <c r="N171" s="234">
        <f>ROUND(((I171*J171)-((I171*J171)*L171/100))+(((I171*J171)-((I171*J171)*L171/100))*M171/100),2)</f>
      </c>
      <c r="O171" s="230">
        <f>M11</f>
      </c>
      <c r="P171" s="235"/>
      <c r="Q171" s="236"/>
      <c r="R171" s="237"/>
      <c r="S171" s="238"/>
      <c r="T171" s="239"/>
    </row>
    <row r="172" spans="1:20" ht="24" customHeight="1">
      <c r="A172" s="226">
        <v>153</v>
      </c>
      <c r="B172" s="226">
        <v>99990013729277</v>
      </c>
      <c r="C172" s="227">
        <v>331128</v>
      </c>
      <c r="D172" s="228" t="s">
        <v>232</v>
      </c>
      <c r="E172" s="229"/>
      <c r="F172" s="229">
        <v>331128</v>
      </c>
      <c r="G172" s="229" t="s">
        <v>41</v>
      </c>
      <c r="H172" s="230">
        <v>0</v>
      </c>
      <c r="I172" s="231">
        <v>100</v>
      </c>
      <c r="J172" s="232">
        <v>0.03</v>
      </c>
      <c r="K172" s="233"/>
      <c r="L172" s="231" t="s">
        <v>23</v>
      </c>
      <c r="M172" s="231">
        <v>0</v>
      </c>
      <c r="N172" s="234">
        <f>ROUND(((I172*J172)-((I172*J172)*L172/100))+(((I172*J172)-((I172*J172)*L172/100))*M172/100),2)</f>
      </c>
      <c r="O172" s="230">
        <f>M11</f>
      </c>
      <c r="P172" s="235"/>
      <c r="Q172" s="236"/>
      <c r="R172" s="237"/>
      <c r="S172" s="238"/>
      <c r="T172" s="239"/>
    </row>
    <row r="173" spans="1:20" ht="24" customHeight="1">
      <c r="A173" s="226">
        <v>154</v>
      </c>
      <c r="B173" s="226">
        <v>99990008657470</v>
      </c>
      <c r="C173" s="227">
        <v>351252</v>
      </c>
      <c r="D173" s="228" t="s">
        <v>233</v>
      </c>
      <c r="E173" s="229"/>
      <c r="F173" s="229">
        <v>351252</v>
      </c>
      <c r="G173" s="229" t="s">
        <v>41</v>
      </c>
      <c r="H173" s="230">
        <v>0.79</v>
      </c>
      <c r="I173" s="231">
        <v>10</v>
      </c>
      <c r="J173" s="232">
        <v>0.82</v>
      </c>
      <c r="K173" s="233"/>
      <c r="L173" s="231" t="s">
        <v>23</v>
      </c>
      <c r="M173" s="231">
        <v>0</v>
      </c>
      <c r="N173" s="234">
        <f>ROUND(((I173*J173)-((I173*J173)*L173/100))+(((I173*J173)-((I173*J173)*L173/100))*M173/100),2)</f>
      </c>
      <c r="O173" s="230">
        <f>M11</f>
      </c>
      <c r="P173" s="235" t="s">
        <v>498</v>
      </c>
      <c r="Q173" s="236"/>
      <c r="R173" s="237"/>
      <c r="S173" s="238"/>
      <c r="T173" s="239"/>
    </row>
    <row r="174" spans="1:20" ht="24" customHeight="1">
      <c r="A174" s="226">
        <v>155</v>
      </c>
      <c r="B174" s="226">
        <v>99990010309927</v>
      </c>
      <c r="C174" s="227">
        <v>615242</v>
      </c>
      <c r="D174" s="228" t="s">
        <v>234</v>
      </c>
      <c r="E174" s="229"/>
      <c r="F174" s="229">
        <v>615242</v>
      </c>
      <c r="G174" s="229" t="s">
        <v>65</v>
      </c>
      <c r="H174" s="230">
        <v>0</v>
      </c>
      <c r="I174" s="231">
        <v>4</v>
      </c>
      <c r="J174" s="232">
        <v>0.97</v>
      </c>
      <c r="K174" s="233"/>
      <c r="L174" s="231" t="s">
        <v>23</v>
      </c>
      <c r="M174" s="231">
        <v>0</v>
      </c>
      <c r="N174" s="234">
        <f>ROUND(((I174*J174)-((I174*J174)*L174/100))+(((I174*J174)-((I174*J174)*L174/100))*M174/100),2)</f>
      </c>
      <c r="O174" s="230">
        <f>M11</f>
      </c>
      <c r="P174" s="235"/>
      <c r="Q174" s="236"/>
      <c r="R174" s="237"/>
      <c r="S174" s="238"/>
      <c r="T174" s="239"/>
    </row>
    <row r="175" spans="1:20" ht="24" customHeight="1">
      <c r="A175" s="226">
        <v>156</v>
      </c>
      <c r="B175" s="226">
        <v>99990008191964</v>
      </c>
      <c r="C175" s="227">
        <v>617691</v>
      </c>
      <c r="D175" s="228" t="s">
        <v>235</v>
      </c>
      <c r="E175" s="229"/>
      <c r="F175" s="229">
        <v>617691</v>
      </c>
      <c r="G175" s="229" t="s">
        <v>72</v>
      </c>
      <c r="H175" s="230">
        <v>0</v>
      </c>
      <c r="I175" s="231">
        <v>2</v>
      </c>
      <c r="J175" s="232">
        <v>21.19</v>
      </c>
      <c r="K175" s="233"/>
      <c r="L175" s="231" t="s">
        <v>23</v>
      </c>
      <c r="M175" s="231">
        <v>0</v>
      </c>
      <c r="N175" s="234">
        <f>ROUND(((I175*J175)-((I175*J175)*L175/100))+(((I175*J175)-((I175*J175)*L175/100))*M175/100),2)</f>
      </c>
      <c r="O175" s="230">
        <f>M11</f>
      </c>
      <c r="P175" s="235"/>
      <c r="Q175" s="236"/>
      <c r="R175" s="237"/>
      <c r="S175" s="238"/>
      <c r="T175" s="239"/>
    </row>
    <row r="176" spans="1:20" ht="24" customHeight="1">
      <c r="A176" s="226">
        <v>157</v>
      </c>
      <c r="B176" s="226">
        <v>99990010910354</v>
      </c>
      <c r="C176" s="227">
        <v>671124</v>
      </c>
      <c r="D176" s="228" t="s">
        <v>236</v>
      </c>
      <c r="E176" s="229"/>
      <c r="F176" s="229">
        <v>671124</v>
      </c>
      <c r="G176" s="229" t="s">
        <v>116</v>
      </c>
      <c r="H176" s="230">
        <v>0</v>
      </c>
      <c r="I176" s="231">
        <v>3</v>
      </c>
      <c r="J176" s="232">
        <v>1.19</v>
      </c>
      <c r="K176" s="233"/>
      <c r="L176" s="231" t="s">
        <v>23</v>
      </c>
      <c r="M176" s="231">
        <v>0</v>
      </c>
      <c r="N176" s="234">
        <f>ROUND(((I176*J176)-((I176*J176)*L176/100))+(((I176*J176)-((I176*J176)*L176/100))*M176/100),2)</f>
      </c>
      <c r="O176" s="230">
        <f>M11</f>
      </c>
      <c r="P176" s="235"/>
      <c r="Q176" s="236"/>
      <c r="R176" s="237"/>
      <c r="S176" s="238"/>
      <c r="T176" s="239"/>
    </row>
    <row r="177" spans="1:20" ht="24" customHeight="1">
      <c r="A177" s="226">
        <v>158</v>
      </c>
      <c r="B177" s="226">
        <v>99990008175965</v>
      </c>
      <c r="C177" s="227">
        <v>232076</v>
      </c>
      <c r="D177" s="228" t="s">
        <v>237</v>
      </c>
      <c r="E177" s="229"/>
      <c r="F177" s="229">
        <v>232076</v>
      </c>
      <c r="G177" s="229" t="s">
        <v>72</v>
      </c>
      <c r="H177" s="230">
        <v>0</v>
      </c>
      <c r="I177" s="231">
        <v>1</v>
      </c>
      <c r="J177" s="232">
        <v>303.13</v>
      </c>
      <c r="K177" s="233"/>
      <c r="L177" s="231" t="s">
        <v>23</v>
      </c>
      <c r="M177" s="231">
        <v>0</v>
      </c>
      <c r="N177" s="234">
        <f>ROUND(((I177*J177)-((I177*J177)*L177/100))+(((I177*J177)-((I177*J177)*L177/100))*M177/100),2)</f>
      </c>
      <c r="O177" s="230">
        <f>M11</f>
      </c>
      <c r="P177" s="235" t="s">
        <v>499</v>
      </c>
      <c r="Q177" s="236"/>
      <c r="R177" s="237" t="s">
        <v>238</v>
      </c>
      <c r="S177" s="238"/>
      <c r="T177" s="239"/>
    </row>
    <row r="178" spans="1:20" ht="24" customHeight="1">
      <c r="A178" s="226">
        <v>159</v>
      </c>
      <c r="B178" s="226">
        <v>99990008655281</v>
      </c>
      <c r="C178" s="227">
        <v>530375</v>
      </c>
      <c r="D178" s="228" t="s">
        <v>239</v>
      </c>
      <c r="E178" s="229"/>
      <c r="F178" s="229">
        <v>530375</v>
      </c>
      <c r="G178" s="229" t="s">
        <v>41</v>
      </c>
      <c r="H178" s="230">
        <v>2.71</v>
      </c>
      <c r="I178" s="231">
        <v>12</v>
      </c>
      <c r="J178" s="232">
        <v>2.71</v>
      </c>
      <c r="K178" s="233"/>
      <c r="L178" s="231" t="s">
        <v>23</v>
      </c>
      <c r="M178" s="231">
        <v>0</v>
      </c>
      <c r="N178" s="234">
        <f>ROUND(((I178*J178)-((I178*J178)*L178/100))+(((I178*J178)-((I178*J178)*L178/100))*M178/100),2)</f>
      </c>
      <c r="O178" s="230">
        <f>M11</f>
      </c>
      <c r="P178" s="235"/>
      <c r="Q178" s="236"/>
      <c r="R178" s="237"/>
      <c r="S178" s="238"/>
      <c r="T178" s="239"/>
    </row>
    <row r="179" spans="1:20" ht="24" customHeight="1">
      <c r="A179" s="226">
        <v>160</v>
      </c>
      <c r="B179" s="226">
        <v>99990009608079</v>
      </c>
      <c r="C179" s="227">
        <v>490437</v>
      </c>
      <c r="D179" s="228" t="s">
        <v>240</v>
      </c>
      <c r="E179" s="229"/>
      <c r="F179" s="229">
        <v>490437</v>
      </c>
      <c r="G179" s="229" t="s">
        <v>69</v>
      </c>
      <c r="H179" s="230">
        <v>3.87</v>
      </c>
      <c r="I179" s="231">
        <v>6</v>
      </c>
      <c r="J179" s="232">
        <v>3.89</v>
      </c>
      <c r="K179" s="233"/>
      <c r="L179" s="231" t="s">
        <v>23</v>
      </c>
      <c r="M179" s="231">
        <v>0</v>
      </c>
      <c r="N179" s="234">
        <f>ROUND(((I179*J179)-((I179*J179)*L179/100))+(((I179*J179)-((I179*J179)*L179/100))*M179/100),2)</f>
      </c>
      <c r="O179" s="230">
        <f>M11</f>
      </c>
      <c r="P179" s="235"/>
      <c r="Q179" s="236"/>
      <c r="R179" s="237"/>
      <c r="S179" s="238"/>
      <c r="T179" s="239"/>
    </row>
    <row r="180" spans="1:20" ht="24" customHeight="1">
      <c r="A180" s="226">
        <v>161</v>
      </c>
      <c r="B180" s="226">
        <v>99990009647025</v>
      </c>
      <c r="C180" s="227">
        <v>490436</v>
      </c>
      <c r="D180" s="228" t="s">
        <v>241</v>
      </c>
      <c r="E180" s="229"/>
      <c r="F180" s="229">
        <v>490436</v>
      </c>
      <c r="G180" s="229" t="s">
        <v>69</v>
      </c>
      <c r="H180" s="230">
        <v>3.87</v>
      </c>
      <c r="I180" s="231">
        <v>10</v>
      </c>
      <c r="J180" s="232">
        <v>3.89</v>
      </c>
      <c r="K180" s="233"/>
      <c r="L180" s="231" t="s">
        <v>23</v>
      </c>
      <c r="M180" s="231">
        <v>0</v>
      </c>
      <c r="N180" s="234">
        <f>ROUND(((I180*J180)-((I180*J180)*L180/100))+(((I180*J180)-((I180*J180)*L180/100))*M180/100),2)</f>
      </c>
      <c r="O180" s="230">
        <f>M11</f>
      </c>
      <c r="P180" s="235"/>
      <c r="Q180" s="236"/>
      <c r="R180" s="237"/>
      <c r="S180" s="238"/>
      <c r="T180" s="239"/>
    </row>
    <row r="181" spans="1:20" ht="24" customHeight="1">
      <c r="A181" s="226">
        <v>162</v>
      </c>
      <c r="B181" s="226">
        <v>99990009574799</v>
      </c>
      <c r="C181" s="227">
        <v>2137664</v>
      </c>
      <c r="D181" s="228" t="s">
        <v>242</v>
      </c>
      <c r="E181" s="229"/>
      <c r="F181" s="229">
        <v>175025</v>
      </c>
      <c r="G181" s="229" t="s">
        <v>72</v>
      </c>
      <c r="H181" s="230">
        <v>60.64</v>
      </c>
      <c r="I181" s="231">
        <v>1</v>
      </c>
      <c r="J181" s="232">
        <v>51.91</v>
      </c>
      <c r="K181" s="233"/>
      <c r="L181" s="231" t="s">
        <v>23</v>
      </c>
      <c r="M181" s="231">
        <v>0</v>
      </c>
      <c r="N181" s="234">
        <f>ROUND(((I181*J181)-((I181*J181)*L181/100))+(((I181*J181)-((I181*J181)*L181/100))*M181/100),2)</f>
      </c>
      <c r="O181" s="230">
        <f>M11</f>
      </c>
      <c r="P181" s="235" t="s">
        <v>500</v>
      </c>
      <c r="Q181" s="236"/>
      <c r="R181" s="237" t="s">
        <v>243</v>
      </c>
      <c r="S181" s="238"/>
      <c r="T181" s="239"/>
    </row>
    <row r="182" spans="1:20" ht="24" customHeight="1">
      <c r="A182" s="226">
        <v>163</v>
      </c>
      <c r="B182" s="226">
        <v>99990008657394</v>
      </c>
      <c r="C182" s="227">
        <v>174707</v>
      </c>
      <c r="D182" s="228" t="s">
        <v>244</v>
      </c>
      <c r="E182" s="229"/>
      <c r="F182" s="229">
        <v>174707</v>
      </c>
      <c r="G182" s="229" t="s">
        <v>72</v>
      </c>
      <c r="H182" s="230">
        <v>1307.69</v>
      </c>
      <c r="I182" s="231">
        <v>1</v>
      </c>
      <c r="J182" s="232">
        <v>163.12</v>
      </c>
      <c r="K182" s="233"/>
      <c r="L182" s="231" t="s">
        <v>23</v>
      </c>
      <c r="M182" s="231">
        <v>0</v>
      </c>
      <c r="N182" s="234">
        <f>ROUND(((I182*J182)-((I182*J182)*L182/100))+(((I182*J182)-((I182*J182)*L182/100))*M182/100),2)</f>
      </c>
      <c r="O182" s="230">
        <f>M11</f>
      </c>
      <c r="P182" s="235" t="s">
        <v>501</v>
      </c>
      <c r="Q182" s="236"/>
      <c r="R182" s="237" t="s">
        <v>245</v>
      </c>
      <c r="S182" s="238"/>
      <c r="T182" s="239"/>
    </row>
    <row r="183" spans="1:20" ht="24" customHeight="1">
      <c r="A183" s="226">
        <v>164</v>
      </c>
      <c r="B183" s="226">
        <v>99990008657379</v>
      </c>
      <c r="C183" s="227">
        <v>174508</v>
      </c>
      <c r="D183" s="228" t="s">
        <v>246</v>
      </c>
      <c r="E183" s="229"/>
      <c r="F183" s="229">
        <v>174508</v>
      </c>
      <c r="G183" s="229" t="s">
        <v>41</v>
      </c>
      <c r="H183" s="230">
        <v>9.98</v>
      </c>
      <c r="I183" s="231">
        <v>6</v>
      </c>
      <c r="J183" s="232">
        <v>9.98</v>
      </c>
      <c r="K183" s="233"/>
      <c r="L183" s="231" t="s">
        <v>23</v>
      </c>
      <c r="M183" s="231">
        <v>0</v>
      </c>
      <c r="N183" s="234">
        <f>ROUND(((I183*J183)-((I183*J183)*L183/100))+(((I183*J183)-((I183*J183)*L183/100))*M183/100),2)</f>
      </c>
      <c r="O183" s="230">
        <f>M11</f>
      </c>
      <c r="P183" s="235" t="s">
        <v>502</v>
      </c>
      <c r="Q183" s="236"/>
      <c r="R183" s="237"/>
      <c r="S183" s="238"/>
      <c r="T183" s="239"/>
    </row>
    <row r="184" spans="1:20" ht="24" customHeight="1">
      <c r="A184" s="226">
        <v>165</v>
      </c>
      <c r="B184" s="226">
        <v>99990008657305</v>
      </c>
      <c r="C184" s="227">
        <v>173131</v>
      </c>
      <c r="D184" s="228" t="s">
        <v>247</v>
      </c>
      <c r="E184" s="229"/>
      <c r="F184" s="229">
        <v>173131</v>
      </c>
      <c r="G184" s="229" t="s">
        <v>41</v>
      </c>
      <c r="H184" s="230">
        <v>0.50</v>
      </c>
      <c r="I184" s="231">
        <v>25</v>
      </c>
      <c r="J184" s="232">
        <v>0.5</v>
      </c>
      <c r="K184" s="233"/>
      <c r="L184" s="231" t="s">
        <v>23</v>
      </c>
      <c r="M184" s="231">
        <v>0</v>
      </c>
      <c r="N184" s="234">
        <f>ROUND(((I184*J184)-((I184*J184)*L184/100))+(((I184*J184)-((I184*J184)*L184/100))*M184/100),2)</f>
      </c>
      <c r="O184" s="230">
        <f>M11</f>
      </c>
      <c r="P184" s="235"/>
      <c r="Q184" s="236"/>
      <c r="R184" s="237"/>
      <c r="S184" s="238"/>
      <c r="T184" s="239"/>
    </row>
    <row r="185" spans="1:20" ht="24" customHeight="1">
      <c r="A185" s="226">
        <v>166</v>
      </c>
      <c r="B185" s="226">
        <v>99990008657229</v>
      </c>
      <c r="C185" s="227">
        <v>172342</v>
      </c>
      <c r="D185" s="228" t="s">
        <v>248</v>
      </c>
      <c r="E185" s="229"/>
      <c r="F185" s="229">
        <v>172342</v>
      </c>
      <c r="G185" s="229" t="s">
        <v>41</v>
      </c>
      <c r="H185" s="230">
        <v>0.39</v>
      </c>
      <c r="I185" s="231">
        <v>30</v>
      </c>
      <c r="J185" s="232">
        <v>0.39</v>
      </c>
      <c r="K185" s="233"/>
      <c r="L185" s="231" t="s">
        <v>23</v>
      </c>
      <c r="M185" s="231">
        <v>0</v>
      </c>
      <c r="N185" s="234">
        <f>ROUND(((I185*J185)-((I185*J185)*L185/100))+(((I185*J185)-((I185*J185)*L185/100))*M185/100),2)</f>
      </c>
      <c r="O185" s="230">
        <f>M11</f>
      </c>
      <c r="P185" s="235"/>
      <c r="Q185" s="236"/>
      <c r="R185" s="237"/>
      <c r="S185" s="238"/>
      <c r="T185" s="239"/>
    </row>
    <row r="186" spans="1:20" ht="24" customHeight="1">
      <c r="A186" s="226">
        <v>167</v>
      </c>
      <c r="B186" s="226">
        <v>99990008657116</v>
      </c>
      <c r="C186" s="227">
        <v>171090</v>
      </c>
      <c r="D186" s="228" t="s">
        <v>249</v>
      </c>
      <c r="E186" s="229"/>
      <c r="F186" s="229">
        <v>171090</v>
      </c>
      <c r="G186" s="229" t="s">
        <v>65</v>
      </c>
      <c r="H186" s="230">
        <v>0.18</v>
      </c>
      <c r="I186" s="231">
        <v>30</v>
      </c>
      <c r="J186" s="232">
        <v>0.18</v>
      </c>
      <c r="K186" s="233"/>
      <c r="L186" s="231" t="s">
        <v>23</v>
      </c>
      <c r="M186" s="231">
        <v>0</v>
      </c>
      <c r="N186" s="234">
        <f>ROUND(((I186*J186)-((I186*J186)*L186/100))+(((I186*J186)-((I186*J186)*L186/100))*M186/100),2)</f>
      </c>
      <c r="O186" s="230">
        <f>M11</f>
      </c>
      <c r="P186" s="235" t="s">
        <v>503</v>
      </c>
      <c r="Q186" s="236"/>
      <c r="R186" s="237"/>
      <c r="S186" s="238"/>
      <c r="T186" s="239"/>
    </row>
    <row r="187" spans="1:20" ht="24" customHeight="1">
      <c r="A187" s="226">
        <v>168</v>
      </c>
      <c r="B187" s="226">
        <v>99990009546104</v>
      </c>
      <c r="C187" s="227">
        <v>2120875</v>
      </c>
      <c r="D187" s="228" t="s">
        <v>250</v>
      </c>
      <c r="E187" s="229"/>
      <c r="F187" s="229">
        <v>150306</v>
      </c>
      <c r="G187" s="229" t="s">
        <v>60</v>
      </c>
      <c r="H187" s="230">
        <v>9.21</v>
      </c>
      <c r="I187" s="231">
        <v>8</v>
      </c>
      <c r="J187" s="232">
        <v>9.21</v>
      </c>
      <c r="K187" s="233"/>
      <c r="L187" s="231" t="s">
        <v>23</v>
      </c>
      <c r="M187" s="231">
        <v>0</v>
      </c>
      <c r="N187" s="234">
        <f>ROUND(((I187*J187)-((I187*J187)*L187/100))+(((I187*J187)-((I187*J187)*L187/100))*M187/100),2)</f>
      </c>
      <c r="O187" s="230">
        <f>M11</f>
      </c>
      <c r="P187" s="235"/>
      <c r="Q187" s="236"/>
      <c r="R187" s="237" t="s">
        <v>251</v>
      </c>
      <c r="S187" s="238"/>
      <c r="T187" s="239"/>
    </row>
    <row r="188" spans="1:20" ht="24" customHeight="1">
      <c r="A188" s="226">
        <v>169</v>
      </c>
      <c r="B188" s="226">
        <v>99990008657387</v>
      </c>
      <c r="C188" s="227">
        <v>174577</v>
      </c>
      <c r="D188" s="228" t="s">
        <v>252</v>
      </c>
      <c r="E188" s="229"/>
      <c r="F188" s="229">
        <v>174577</v>
      </c>
      <c r="G188" s="229" t="s">
        <v>41</v>
      </c>
      <c r="H188" s="230">
        <v>117.52</v>
      </c>
      <c r="I188" s="231">
        <v>1</v>
      </c>
      <c r="J188" s="232">
        <v>293.52</v>
      </c>
      <c r="K188" s="233"/>
      <c r="L188" s="231" t="s">
        <v>23</v>
      </c>
      <c r="M188" s="231">
        <v>0</v>
      </c>
      <c r="N188" s="234">
        <f>ROUND(((I188*J188)-((I188*J188)*L188/100))+(((I188*J188)-((I188*J188)*L188/100))*M188/100),2)</f>
      </c>
      <c r="O188" s="230">
        <f>M11</f>
      </c>
      <c r="P188" s="235" t="s">
        <v>504</v>
      </c>
      <c r="Q188" s="236"/>
      <c r="R188" s="237" t="s">
        <v>253</v>
      </c>
      <c r="S188" s="238"/>
      <c r="T188" s="239"/>
    </row>
    <row r="189" spans="1:20" ht="24" customHeight="1">
      <c r="A189" s="226">
        <v>170</v>
      </c>
      <c r="B189" s="226">
        <v>99990009638798</v>
      </c>
      <c r="C189" s="227">
        <v>150112</v>
      </c>
      <c r="D189" s="228" t="s">
        <v>254</v>
      </c>
      <c r="E189" s="229"/>
      <c r="F189" s="229">
        <v>150112</v>
      </c>
      <c r="G189" s="229" t="s">
        <v>60</v>
      </c>
      <c r="H189" s="230">
        <v>4.73</v>
      </c>
      <c r="I189" s="231">
        <v>25</v>
      </c>
      <c r="J189" s="232">
        <v>4.73</v>
      </c>
      <c r="K189" s="233"/>
      <c r="L189" s="231" t="s">
        <v>23</v>
      </c>
      <c r="M189" s="231">
        <v>0</v>
      </c>
      <c r="N189" s="234">
        <f>ROUND(((I189*J189)-((I189*J189)*L189/100))+(((I189*J189)-((I189*J189)*L189/100))*M189/100),2)</f>
      </c>
      <c r="O189" s="230">
        <f>M11</f>
      </c>
      <c r="P189" s="235"/>
      <c r="Q189" s="236"/>
      <c r="R189" s="237" t="s">
        <v>255</v>
      </c>
      <c r="S189" s="238"/>
      <c r="T189" s="239"/>
    </row>
    <row r="190" spans="1:20" ht="24" customHeight="1">
      <c r="A190" s="226">
        <v>171</v>
      </c>
      <c r="B190" s="226">
        <v>99990009866936</v>
      </c>
      <c r="C190" s="227">
        <v>331172</v>
      </c>
      <c r="D190" s="228" t="s">
        <v>256</v>
      </c>
      <c r="E190" s="229"/>
      <c r="F190" s="229">
        <v>331172</v>
      </c>
      <c r="G190" s="229" t="s">
        <v>41</v>
      </c>
      <c r="H190" s="230">
        <v>0</v>
      </c>
      <c r="I190" s="231">
        <v>10</v>
      </c>
      <c r="J190" s="232">
        <v>0.87</v>
      </c>
      <c r="K190" s="233"/>
      <c r="L190" s="231" t="s">
        <v>23</v>
      </c>
      <c r="M190" s="231">
        <v>0</v>
      </c>
      <c r="N190" s="234">
        <f>ROUND(((I190*J190)-((I190*J190)*L190/100))+(((I190*J190)-((I190*J190)*L190/100))*M190/100),2)</f>
      </c>
      <c r="O190" s="230">
        <f>M11</f>
      </c>
      <c r="P190" s="235"/>
      <c r="Q190" s="236"/>
      <c r="R190" s="237"/>
      <c r="S190" s="238"/>
      <c r="T190" s="239"/>
    </row>
    <row r="191" spans="1:20" ht="24" customHeight="1">
      <c r="A191" s="226">
        <v>172</v>
      </c>
      <c r="B191" s="226">
        <v>99990009866937</v>
      </c>
      <c r="C191" s="227">
        <v>331171</v>
      </c>
      <c r="D191" s="228" t="s">
        <v>257</v>
      </c>
      <c r="E191" s="229"/>
      <c r="F191" s="229">
        <v>331171</v>
      </c>
      <c r="G191" s="229" t="s">
        <v>41</v>
      </c>
      <c r="H191" s="230">
        <v>0</v>
      </c>
      <c r="I191" s="231">
        <v>6</v>
      </c>
      <c r="J191" s="232">
        <v>5.82</v>
      </c>
      <c r="K191" s="233"/>
      <c r="L191" s="231" t="s">
        <v>23</v>
      </c>
      <c r="M191" s="231">
        <v>0</v>
      </c>
      <c r="N191" s="234">
        <f>ROUND(((I191*J191)-((I191*J191)*L191/100))+(((I191*J191)-((I191*J191)*L191/100))*M191/100),2)</f>
      </c>
      <c r="O191" s="230">
        <f>M11</f>
      </c>
      <c r="P191" s="235" t="s">
        <v>505</v>
      </c>
      <c r="Q191" s="236"/>
      <c r="R191" s="237"/>
      <c r="S191" s="238"/>
      <c r="T191" s="239"/>
    </row>
    <row r="192" spans="1:20" ht="24" customHeight="1">
      <c r="A192" s="226">
        <v>173</v>
      </c>
      <c r="B192" s="226">
        <v>99990010004251</v>
      </c>
      <c r="C192" s="227">
        <v>214506</v>
      </c>
      <c r="D192" s="228" t="s">
        <v>258</v>
      </c>
      <c r="E192" s="229"/>
      <c r="F192" s="229">
        <v>214506</v>
      </c>
      <c r="G192" s="229" t="s">
        <v>41</v>
      </c>
      <c r="H192" s="230">
        <v>0</v>
      </c>
      <c r="I192" s="231">
        <v>12</v>
      </c>
      <c r="J192" s="232">
        <v>0</v>
      </c>
      <c r="K192" s="233"/>
      <c r="L192" s="231" t="s">
        <v>23</v>
      </c>
      <c r="M192" s="231">
        <v>0</v>
      </c>
      <c r="N192" s="234">
        <f>ROUND(((I192*J192)-((I192*J192)*L192/100))+(((I192*J192)-((I192*J192)*L192/100))*M192/100),2)</f>
      </c>
      <c r="O192" s="230">
        <f>M11</f>
      </c>
      <c r="P192" s="235" t="s">
        <v>492</v>
      </c>
      <c r="Q192" s="236"/>
      <c r="R192" s="237"/>
      <c r="S192" s="238"/>
      <c r="T192" s="239"/>
    </row>
    <row r="193" spans="1:20" ht="24" customHeight="1">
      <c r="A193" s="226">
        <v>174</v>
      </c>
      <c r="B193" s="226">
        <v>99990008655228</v>
      </c>
      <c r="C193" s="227">
        <v>150281</v>
      </c>
      <c r="D193" s="228" t="s">
        <v>259</v>
      </c>
      <c r="E193" s="229"/>
      <c r="F193" s="229">
        <v>150281</v>
      </c>
      <c r="G193" s="229" t="s">
        <v>41</v>
      </c>
      <c r="H193" s="230">
        <v>2.56</v>
      </c>
      <c r="I193" s="231">
        <v>10</v>
      </c>
      <c r="J193" s="232">
        <v>2.56</v>
      </c>
      <c r="K193" s="233"/>
      <c r="L193" s="231" t="s">
        <v>23</v>
      </c>
      <c r="M193" s="231">
        <v>0</v>
      </c>
      <c r="N193" s="234">
        <f>ROUND(((I193*J193)-((I193*J193)*L193/100))+(((I193*J193)-((I193*J193)*L193/100))*M193/100),2)</f>
      </c>
      <c r="O193" s="230">
        <f>M11</f>
      </c>
      <c r="P193" s="235"/>
      <c r="Q193" s="236"/>
      <c r="R193" s="237"/>
      <c r="S193" s="238"/>
      <c r="T193" s="239"/>
    </row>
    <row r="194" spans="1:20" ht="24" customHeight="1">
      <c r="A194" s="226">
        <v>175</v>
      </c>
      <c r="B194" s="226">
        <v>99990008655216</v>
      </c>
      <c r="C194" s="227">
        <v>150117</v>
      </c>
      <c r="D194" s="228" t="s">
        <v>260</v>
      </c>
      <c r="E194" s="229"/>
      <c r="F194" s="229">
        <v>150117</v>
      </c>
      <c r="G194" s="229" t="s">
        <v>60</v>
      </c>
      <c r="H194" s="230">
        <v>6.26</v>
      </c>
      <c r="I194" s="231">
        <v>10</v>
      </c>
      <c r="J194" s="232">
        <v>5.65</v>
      </c>
      <c r="K194" s="233"/>
      <c r="L194" s="231" t="s">
        <v>23</v>
      </c>
      <c r="M194" s="231">
        <v>0</v>
      </c>
      <c r="N194" s="234">
        <f>ROUND(((I194*J194)-((I194*J194)*L194/100))+(((I194*J194)-((I194*J194)*L194/100))*M194/100),2)</f>
      </c>
      <c r="O194" s="230">
        <f>M11</f>
      </c>
      <c r="P194" s="235"/>
      <c r="Q194" s="236"/>
      <c r="R194" s="237" t="s">
        <v>255</v>
      </c>
      <c r="S194" s="238"/>
      <c r="T194" s="239"/>
    </row>
    <row r="195" spans="1:20" ht="24" customHeight="1">
      <c r="A195" s="226">
        <v>176</v>
      </c>
      <c r="B195" s="226">
        <v>99990008171018</v>
      </c>
      <c r="C195" s="227">
        <v>173102</v>
      </c>
      <c r="D195" s="228" t="s">
        <v>261</v>
      </c>
      <c r="E195" s="229"/>
      <c r="F195" s="229">
        <v>173102</v>
      </c>
      <c r="G195" s="229" t="s">
        <v>41</v>
      </c>
      <c r="H195" s="230">
        <v>0</v>
      </c>
      <c r="I195" s="231">
        <v>30</v>
      </c>
      <c r="J195" s="232">
        <v>0.32</v>
      </c>
      <c r="K195" s="233"/>
      <c r="L195" s="231" t="s">
        <v>23</v>
      </c>
      <c r="M195" s="231">
        <v>0</v>
      </c>
      <c r="N195" s="234">
        <f>ROUND(((I195*J195)-((I195*J195)*L195/100))+(((I195*J195)-((I195*J195)*L195/100))*M195/100),2)</f>
      </c>
      <c r="O195" s="230">
        <f>M11</f>
      </c>
      <c r="P195" s="235"/>
      <c r="Q195" s="236"/>
      <c r="R195" s="237"/>
      <c r="S195" s="238"/>
      <c r="T195" s="239"/>
    </row>
    <row r="196" spans="1:20" ht="24" customHeight="1">
      <c r="A196" s="226">
        <v>177</v>
      </c>
      <c r="B196" s="226">
        <v>99990008657338</v>
      </c>
      <c r="C196" s="227">
        <v>174073</v>
      </c>
      <c r="D196" s="228" t="s">
        <v>262</v>
      </c>
      <c r="E196" s="229"/>
      <c r="F196" s="229">
        <v>174073</v>
      </c>
      <c r="G196" s="229" t="s">
        <v>41</v>
      </c>
      <c r="H196" s="230">
        <v>0.63</v>
      </c>
      <c r="I196" s="231">
        <v>100</v>
      </c>
      <c r="J196" s="232">
        <v>0.06</v>
      </c>
      <c r="K196" s="233"/>
      <c r="L196" s="231" t="s">
        <v>23</v>
      </c>
      <c r="M196" s="231">
        <v>0</v>
      </c>
      <c r="N196" s="234">
        <f>ROUND(((I196*J196)-((I196*J196)*L196/100))+(((I196*J196)-((I196*J196)*L196/100))*M196/100),2)</f>
      </c>
      <c r="O196" s="230">
        <f>M11</f>
      </c>
      <c r="P196" s="235"/>
      <c r="Q196" s="236"/>
      <c r="R196" s="237" t="s">
        <v>263</v>
      </c>
      <c r="S196" s="238"/>
      <c r="T196" s="239"/>
    </row>
    <row r="197" spans="1:20" ht="24" customHeight="1">
      <c r="A197" s="226">
        <v>178</v>
      </c>
      <c r="B197" s="226">
        <v>99990008655441</v>
      </c>
      <c r="C197" s="227">
        <v>174172</v>
      </c>
      <c r="D197" s="228" t="s">
        <v>264</v>
      </c>
      <c r="E197" s="229"/>
      <c r="F197" s="229">
        <v>174172</v>
      </c>
      <c r="G197" s="229" t="s">
        <v>65</v>
      </c>
      <c r="H197" s="230">
        <v>1.50</v>
      </c>
      <c r="I197" s="231">
        <v>10</v>
      </c>
      <c r="J197" s="232">
        <v>0.62</v>
      </c>
      <c r="K197" s="233"/>
      <c r="L197" s="231" t="s">
        <v>23</v>
      </c>
      <c r="M197" s="231">
        <v>0</v>
      </c>
      <c r="N197" s="234">
        <f>ROUND(((I197*J197)-((I197*J197)*L197/100))+(((I197*J197)-((I197*J197)*L197/100))*M197/100),2)</f>
      </c>
      <c r="O197" s="230">
        <f>M11</f>
      </c>
      <c r="P197" s="235"/>
      <c r="Q197" s="236"/>
      <c r="R197" s="237"/>
      <c r="S197" s="238"/>
      <c r="T197" s="239"/>
    </row>
    <row r="198" spans="1:20" ht="24" customHeight="1">
      <c r="A198" s="226">
        <v>179</v>
      </c>
      <c r="B198" s="226">
        <v>99990008657416</v>
      </c>
      <c r="C198" s="227">
        <v>550141</v>
      </c>
      <c r="D198" s="228" t="s">
        <v>265</v>
      </c>
      <c r="E198" s="229"/>
      <c r="F198" s="229">
        <v>550141</v>
      </c>
      <c r="G198" s="229" t="s">
        <v>106</v>
      </c>
      <c r="H198" s="230">
        <v>0.84</v>
      </c>
      <c r="I198" s="231">
        <v>5</v>
      </c>
      <c r="J198" s="232">
        <v>0.84</v>
      </c>
      <c r="K198" s="233"/>
      <c r="L198" s="231" t="s">
        <v>23</v>
      </c>
      <c r="M198" s="231">
        <v>0</v>
      </c>
      <c r="N198" s="234">
        <f>ROUND(((I198*J198)-((I198*J198)*L198/100))+(((I198*J198)-((I198*J198)*L198/100))*M198/100),2)</f>
      </c>
      <c r="O198" s="230">
        <f>M11</f>
      </c>
      <c r="P198" s="235"/>
      <c r="Q198" s="236"/>
      <c r="R198" s="237"/>
      <c r="S198" s="238"/>
      <c r="T198" s="239"/>
    </row>
    <row r="199" spans="1:20" ht="24" customHeight="1">
      <c r="A199" s="226">
        <v>180</v>
      </c>
      <c r="B199" s="226">
        <v>99990008655430</v>
      </c>
      <c r="C199" s="227">
        <v>174141</v>
      </c>
      <c r="D199" s="228" t="s">
        <v>266</v>
      </c>
      <c r="E199" s="229"/>
      <c r="F199" s="229">
        <v>174141</v>
      </c>
      <c r="G199" s="229" t="s">
        <v>41</v>
      </c>
      <c r="H199" s="230">
        <v>0.58</v>
      </c>
      <c r="I199" s="231">
        <v>6</v>
      </c>
      <c r="J199" s="232">
        <v>0.58</v>
      </c>
      <c r="K199" s="233"/>
      <c r="L199" s="231" t="s">
        <v>23</v>
      </c>
      <c r="M199" s="231">
        <v>0</v>
      </c>
      <c r="N199" s="234">
        <f>ROUND(((I199*J199)-((I199*J199)*L199/100))+(((I199*J199)-((I199*J199)*L199/100))*M199/100),2)</f>
      </c>
      <c r="O199" s="230">
        <f>M11</f>
      </c>
      <c r="P199" s="235"/>
      <c r="Q199" s="236"/>
      <c r="R199" s="237"/>
      <c r="S199" s="238"/>
      <c r="T199" s="239"/>
    </row>
    <row r="200" spans="1:20" ht="24" customHeight="1">
      <c r="A200" s="226">
        <v>181</v>
      </c>
      <c r="B200" s="226">
        <v>99990008655459</v>
      </c>
      <c r="C200" s="227">
        <v>174280</v>
      </c>
      <c r="D200" s="228" t="s">
        <v>267</v>
      </c>
      <c r="E200" s="229"/>
      <c r="F200" s="229">
        <v>174280</v>
      </c>
      <c r="G200" s="229" t="s">
        <v>41</v>
      </c>
      <c r="H200" s="230">
        <v>6.59</v>
      </c>
      <c r="I200" s="231">
        <v>30</v>
      </c>
      <c r="J200" s="232">
        <v>6.59</v>
      </c>
      <c r="K200" s="233"/>
      <c r="L200" s="231" t="s">
        <v>23</v>
      </c>
      <c r="M200" s="231">
        <v>0</v>
      </c>
      <c r="N200" s="234">
        <f>ROUND(((I200*J200)-((I200*J200)*L200/100))+(((I200*J200)-((I200*J200)*L200/100))*M200/100),2)</f>
      </c>
      <c r="O200" s="230">
        <f>M11</f>
      </c>
      <c r="P200" s="235"/>
      <c r="Q200" s="236"/>
      <c r="R200" s="237"/>
      <c r="S200" s="238"/>
      <c r="T200" s="239"/>
    </row>
    <row r="201" spans="1:20" ht="24" customHeight="1">
      <c r="A201" s="226">
        <v>182</v>
      </c>
      <c r="B201" s="226">
        <v>99990008655326</v>
      </c>
      <c r="C201" s="227">
        <v>550301</v>
      </c>
      <c r="D201" s="228" t="s">
        <v>268</v>
      </c>
      <c r="E201" s="229"/>
      <c r="F201" s="229">
        <v>550301</v>
      </c>
      <c r="G201" s="229" t="s">
        <v>215</v>
      </c>
      <c r="H201" s="230">
        <v>0.97</v>
      </c>
      <c r="I201" s="231">
        <v>20</v>
      </c>
      <c r="J201" s="232">
        <v>0.75</v>
      </c>
      <c r="K201" s="233"/>
      <c r="L201" s="231" t="s">
        <v>23</v>
      </c>
      <c r="M201" s="231">
        <v>0</v>
      </c>
      <c r="N201" s="234">
        <f>ROUND(((I201*J201)-((I201*J201)*L201/100))+(((I201*J201)-((I201*J201)*L201/100))*M201/100),2)</f>
      </c>
      <c r="O201" s="230">
        <f>M11</f>
      </c>
      <c r="P201" s="235"/>
      <c r="Q201" s="236"/>
      <c r="R201" s="237" t="s">
        <v>269</v>
      </c>
      <c r="S201" s="238"/>
      <c r="T201" s="239"/>
    </row>
    <row r="202" spans="1:20" ht="24" customHeight="1">
      <c r="A202" s="226">
        <v>183</v>
      </c>
      <c r="B202" s="226">
        <v>99990010171825</v>
      </c>
      <c r="C202" s="227">
        <v>550101</v>
      </c>
      <c r="D202" s="228" t="s">
        <v>270</v>
      </c>
      <c r="E202" s="229"/>
      <c r="F202" s="229">
        <v>550101</v>
      </c>
      <c r="G202" s="229" t="s">
        <v>41</v>
      </c>
      <c r="H202" s="230">
        <v>0</v>
      </c>
      <c r="I202" s="231">
        <v>80</v>
      </c>
      <c r="J202" s="232">
        <v>0.56</v>
      </c>
      <c r="K202" s="233"/>
      <c r="L202" s="231" t="s">
        <v>23</v>
      </c>
      <c r="M202" s="231">
        <v>0</v>
      </c>
      <c r="N202" s="234">
        <f>ROUND(((I202*J202)-((I202*J202)*L202/100))+(((I202*J202)-((I202*J202)*L202/100))*M202/100),2)</f>
      </c>
      <c r="O202" s="230">
        <f>M11</f>
      </c>
      <c r="P202" s="235" t="s">
        <v>506</v>
      </c>
      <c r="Q202" s="236"/>
      <c r="R202" s="237"/>
      <c r="S202" s="238"/>
      <c r="T202" s="239"/>
    </row>
    <row r="203" spans="1:20" ht="24" customHeight="1">
      <c r="A203" s="226">
        <v>184</v>
      </c>
      <c r="B203" s="226">
        <v>99990008655291</v>
      </c>
      <c r="C203" s="227">
        <v>550252</v>
      </c>
      <c r="D203" s="228" t="s">
        <v>271</v>
      </c>
      <c r="E203" s="229"/>
      <c r="F203" s="229">
        <v>550252</v>
      </c>
      <c r="G203" s="229" t="s">
        <v>41</v>
      </c>
      <c r="H203" s="230">
        <v>0.45</v>
      </c>
      <c r="I203" s="231">
        <v>100</v>
      </c>
      <c r="J203" s="232">
        <v>0.45</v>
      </c>
      <c r="K203" s="233"/>
      <c r="L203" s="231" t="s">
        <v>23</v>
      </c>
      <c r="M203" s="231">
        <v>0</v>
      </c>
      <c r="N203" s="234">
        <f>ROUND(((I203*J203)-((I203*J203)*L203/100))+(((I203*J203)-((I203*J203)*L203/100))*M203/100),2)</f>
      </c>
      <c r="O203" s="230">
        <f>M11</f>
      </c>
      <c r="P203" s="235" t="s">
        <v>507</v>
      </c>
      <c r="Q203" s="236"/>
      <c r="R203" s="237"/>
      <c r="S203" s="238"/>
      <c r="T203" s="239"/>
    </row>
    <row r="204" spans="1:20" ht="24" customHeight="1">
      <c r="A204" s="226">
        <v>185</v>
      </c>
      <c r="B204" s="226">
        <v>99990008657428</v>
      </c>
      <c r="C204" s="227">
        <v>150355</v>
      </c>
      <c r="D204" s="228" t="s">
        <v>272</v>
      </c>
      <c r="E204" s="229"/>
      <c r="F204" s="229">
        <v>150355</v>
      </c>
      <c r="G204" s="229" t="s">
        <v>41</v>
      </c>
      <c r="H204" s="230">
        <v>16.39</v>
      </c>
      <c r="I204" s="231">
        <v>10</v>
      </c>
      <c r="J204" s="232">
        <v>8.51</v>
      </c>
      <c r="K204" s="233"/>
      <c r="L204" s="231" t="s">
        <v>23</v>
      </c>
      <c r="M204" s="231">
        <v>0</v>
      </c>
      <c r="N204" s="234">
        <f>ROUND(((I204*J204)-((I204*J204)*L204/100))+(((I204*J204)-((I204*J204)*L204/100))*M204/100),2)</f>
      </c>
      <c r="O204" s="230">
        <f>M11</f>
      </c>
      <c r="P204" s="235"/>
      <c r="Q204" s="236"/>
      <c r="R204" s="237" t="s">
        <v>273</v>
      </c>
      <c r="S204" s="238"/>
      <c r="T204" s="239"/>
    </row>
    <row r="205" spans="1:20" ht="24" customHeight="1">
      <c r="A205" s="226">
        <v>186</v>
      </c>
      <c r="B205" s="226">
        <v>99990008655265</v>
      </c>
      <c r="C205" s="227">
        <v>174243</v>
      </c>
      <c r="D205" s="228" t="s">
        <v>274</v>
      </c>
      <c r="E205" s="229"/>
      <c r="F205" s="229">
        <v>174243</v>
      </c>
      <c r="G205" s="229" t="s">
        <v>275</v>
      </c>
      <c r="H205" s="230">
        <v>30</v>
      </c>
      <c r="I205" s="231">
        <v>3</v>
      </c>
      <c r="J205" s="232">
        <v>26</v>
      </c>
      <c r="K205" s="233"/>
      <c r="L205" s="231" t="s">
        <v>23</v>
      </c>
      <c r="M205" s="231">
        <v>0</v>
      </c>
      <c r="N205" s="234">
        <f>ROUND(((I205*J205)-((I205*J205)*L205/100))+(((I205*J205)-((I205*J205)*L205/100))*M205/100),2)</f>
      </c>
      <c r="O205" s="230">
        <f>M11</f>
      </c>
      <c r="P205" s="235"/>
      <c r="Q205" s="236"/>
      <c r="R205" s="237"/>
      <c r="S205" s="238"/>
      <c r="T205" s="239"/>
    </row>
    <row r="206" spans="1:20" ht="24" customHeight="1">
      <c r="A206" s="226">
        <v>187</v>
      </c>
      <c r="B206" s="226">
        <v>99990008655252</v>
      </c>
      <c r="C206" s="227">
        <v>150606</v>
      </c>
      <c r="D206" s="228" t="s">
        <v>276</v>
      </c>
      <c r="E206" s="229"/>
      <c r="F206" s="229">
        <v>150606</v>
      </c>
      <c r="G206" s="229" t="s">
        <v>41</v>
      </c>
      <c r="H206" s="230">
        <v>0.97</v>
      </c>
      <c r="I206" s="231">
        <v>30</v>
      </c>
      <c r="J206" s="232">
        <v>0.97</v>
      </c>
      <c r="K206" s="233"/>
      <c r="L206" s="231" t="s">
        <v>23</v>
      </c>
      <c r="M206" s="231">
        <v>0</v>
      </c>
      <c r="N206" s="234">
        <f>ROUND(((I206*J206)-((I206*J206)*L206/100))+(((I206*J206)-((I206*J206)*L206/100))*M206/100),2)</f>
      </c>
      <c r="O206" s="230">
        <f>M11</f>
      </c>
      <c r="P206" s="235"/>
      <c r="Q206" s="236"/>
      <c r="R206" s="237" t="s">
        <v>277</v>
      </c>
      <c r="S206" s="238"/>
      <c r="T206" s="239"/>
    </row>
    <row r="207" spans="1:20" ht="24" customHeight="1">
      <c r="A207" s="226">
        <v>188</v>
      </c>
      <c r="B207" s="226">
        <v>99990008655231</v>
      </c>
      <c r="C207" s="227">
        <v>150286</v>
      </c>
      <c r="D207" s="228" t="s">
        <v>278</v>
      </c>
      <c r="E207" s="229"/>
      <c r="F207" s="229">
        <v>150286</v>
      </c>
      <c r="G207" s="229" t="s">
        <v>41</v>
      </c>
      <c r="H207" s="230">
        <v>1.20</v>
      </c>
      <c r="I207" s="231">
        <v>10</v>
      </c>
      <c r="J207" s="232">
        <v>1.2</v>
      </c>
      <c r="K207" s="233"/>
      <c r="L207" s="231" t="s">
        <v>23</v>
      </c>
      <c r="M207" s="231">
        <v>0</v>
      </c>
      <c r="N207" s="234">
        <f>ROUND(((I207*J207)-((I207*J207)*L207/100))+(((I207*J207)-((I207*J207)*L207/100))*M207/100),2)</f>
      </c>
      <c r="O207" s="230">
        <f>M11</f>
      </c>
      <c r="P207" s="235"/>
      <c r="Q207" s="236"/>
      <c r="R207" s="237"/>
      <c r="S207" s="238"/>
      <c r="T207" s="239"/>
    </row>
    <row r="208" spans="1:20" ht="24" customHeight="1">
      <c r="A208" s="226">
        <v>189</v>
      </c>
      <c r="B208" s="226">
        <v>99990008656979</v>
      </c>
      <c r="C208" s="227">
        <v>150690</v>
      </c>
      <c r="D208" s="228" t="s">
        <v>279</v>
      </c>
      <c r="E208" s="229"/>
      <c r="F208" s="229">
        <v>150690</v>
      </c>
      <c r="G208" s="229" t="s">
        <v>79</v>
      </c>
      <c r="H208" s="230">
        <v>0.68</v>
      </c>
      <c r="I208" s="231">
        <v>50</v>
      </c>
      <c r="J208" s="232">
        <v>0.51</v>
      </c>
      <c r="K208" s="233"/>
      <c r="L208" s="231" t="s">
        <v>23</v>
      </c>
      <c r="M208" s="231">
        <v>0</v>
      </c>
      <c r="N208" s="234">
        <f>ROUND(((I208*J208)-((I208*J208)*L208/100))+(((I208*J208)-((I208*J208)*L208/100))*M208/100),2)</f>
      </c>
      <c r="O208" s="230">
        <f>M11</f>
      </c>
      <c r="P208" s="235"/>
      <c r="Q208" s="236"/>
      <c r="R208" s="237" t="s">
        <v>280</v>
      </c>
      <c r="S208" s="238"/>
      <c r="T208" s="239"/>
    </row>
    <row r="209" spans="1:20" ht="24" customHeight="1">
      <c r="A209" s="226">
        <v>190</v>
      </c>
      <c r="B209" s="226">
        <v>99990008657238</v>
      </c>
      <c r="C209" s="227">
        <v>172370</v>
      </c>
      <c r="D209" s="228" t="s">
        <v>281</v>
      </c>
      <c r="E209" s="229"/>
      <c r="F209" s="229">
        <v>172370</v>
      </c>
      <c r="G209" s="229" t="s">
        <v>69</v>
      </c>
      <c r="H209" s="230">
        <v>0.80</v>
      </c>
      <c r="I209" s="231">
        <v>2</v>
      </c>
      <c r="J209" s="232">
        <v>0.8</v>
      </c>
      <c r="K209" s="233"/>
      <c r="L209" s="231" t="s">
        <v>23</v>
      </c>
      <c r="M209" s="231">
        <v>0</v>
      </c>
      <c r="N209" s="234">
        <f>ROUND(((I209*J209)-((I209*J209)*L209/100))+(((I209*J209)-((I209*J209)*L209/100))*M209/100),2)</f>
      </c>
      <c r="O209" s="230">
        <f>M11</f>
      </c>
      <c r="P209" s="235"/>
      <c r="Q209" s="236"/>
      <c r="R209" s="237"/>
      <c r="S209" s="238"/>
      <c r="T209" s="239"/>
    </row>
    <row r="210" spans="1:20" ht="24" customHeight="1">
      <c r="A210" s="226">
        <v>191</v>
      </c>
      <c r="B210" s="226">
        <v>99990008657235</v>
      </c>
      <c r="C210" s="227">
        <v>172362</v>
      </c>
      <c r="D210" s="228" t="s">
        <v>282</v>
      </c>
      <c r="E210" s="229"/>
      <c r="F210" s="229">
        <v>172362</v>
      </c>
      <c r="G210" s="229" t="s">
        <v>41</v>
      </c>
      <c r="H210" s="230">
        <v>0.53</v>
      </c>
      <c r="I210" s="231">
        <v>10</v>
      </c>
      <c r="J210" s="232">
        <v>0.53</v>
      </c>
      <c r="K210" s="233"/>
      <c r="L210" s="231" t="s">
        <v>23</v>
      </c>
      <c r="M210" s="231">
        <v>0</v>
      </c>
      <c r="N210" s="234">
        <f>ROUND(((I210*J210)-((I210*J210)*L210/100))+(((I210*J210)-((I210*J210)*L210/100))*M210/100),2)</f>
      </c>
      <c r="O210" s="230">
        <f>M11</f>
      </c>
      <c r="P210" s="235"/>
      <c r="Q210" s="236"/>
      <c r="R210" s="237"/>
      <c r="S210" s="238"/>
      <c r="T210" s="239"/>
    </row>
    <row r="211" spans="1:20" ht="24" customHeight="1">
      <c r="A211" s="226">
        <v>192</v>
      </c>
      <c r="B211" s="226">
        <v>99990008655450</v>
      </c>
      <c r="C211" s="227">
        <v>174220</v>
      </c>
      <c r="D211" s="228" t="s">
        <v>283</v>
      </c>
      <c r="E211" s="229"/>
      <c r="F211" s="229">
        <v>174220</v>
      </c>
      <c r="G211" s="229" t="s">
        <v>57</v>
      </c>
      <c r="H211" s="230">
        <v>0.37</v>
      </c>
      <c r="I211" s="231">
        <v>2</v>
      </c>
      <c r="J211" s="232">
        <v>37</v>
      </c>
      <c r="K211" s="233"/>
      <c r="L211" s="231" t="s">
        <v>23</v>
      </c>
      <c r="M211" s="231">
        <v>0</v>
      </c>
      <c r="N211" s="234">
        <f>ROUND(((I211*J211)-((I211*J211)*L211/100))+(((I211*J211)-((I211*J211)*L211/100))*M211/100),2)</f>
      </c>
      <c r="O211" s="230">
        <f>M11</f>
      </c>
      <c r="P211" s="235"/>
      <c r="Q211" s="236"/>
      <c r="R211" s="237" t="s">
        <v>284</v>
      </c>
      <c r="S211" s="238"/>
      <c r="T211" s="239"/>
    </row>
    <row r="212" spans="1:20" ht="24" customHeight="1">
      <c r="A212" s="226">
        <v>193</v>
      </c>
      <c r="B212" s="226">
        <v>99990010195766</v>
      </c>
      <c r="C212" s="227">
        <v>173403</v>
      </c>
      <c r="D212" s="228" t="s">
        <v>285</v>
      </c>
      <c r="E212" s="229"/>
      <c r="F212" s="229">
        <v>173403</v>
      </c>
      <c r="G212" s="229" t="s">
        <v>69</v>
      </c>
      <c r="H212" s="230">
        <v>0</v>
      </c>
      <c r="I212" s="231">
        <v>30</v>
      </c>
      <c r="J212" s="232">
        <v>0.11</v>
      </c>
      <c r="K212" s="233"/>
      <c r="L212" s="231" t="s">
        <v>23</v>
      </c>
      <c r="M212" s="231">
        <v>0</v>
      </c>
      <c r="N212" s="234">
        <f>ROUND(((I212*J212)-((I212*J212)*L212/100))+(((I212*J212)-((I212*J212)*L212/100))*M212/100),2)</f>
      </c>
      <c r="O212" s="230">
        <f>M11</f>
      </c>
      <c r="P212" s="235"/>
      <c r="Q212" s="236"/>
      <c r="R212" s="237"/>
      <c r="S212" s="238"/>
      <c r="T212" s="239"/>
    </row>
    <row r="213" spans="1:20" ht="24" customHeight="1">
      <c r="A213" s="226">
        <v>194</v>
      </c>
      <c r="B213" s="226">
        <v>99990008657043</v>
      </c>
      <c r="C213" s="227">
        <v>170362</v>
      </c>
      <c r="D213" s="228" t="s">
        <v>286</v>
      </c>
      <c r="E213" s="229"/>
      <c r="F213" s="229">
        <v>170362</v>
      </c>
      <c r="G213" s="229" t="s">
        <v>41</v>
      </c>
      <c r="H213" s="230">
        <v>0.70</v>
      </c>
      <c r="I213" s="231">
        <v>20</v>
      </c>
      <c r="J213" s="232">
        <v>0.7</v>
      </c>
      <c r="K213" s="233"/>
      <c r="L213" s="231" t="s">
        <v>23</v>
      </c>
      <c r="M213" s="231">
        <v>0</v>
      </c>
      <c r="N213" s="234">
        <f>ROUND(((I213*J213)-((I213*J213)*L213/100))+(((I213*J213)-((I213*J213)*L213/100))*M213/100),2)</f>
      </c>
      <c r="O213" s="230">
        <f>M11</f>
      </c>
      <c r="P213" s="235"/>
      <c r="Q213" s="236"/>
      <c r="R213" s="237"/>
      <c r="S213" s="238"/>
      <c r="T213" s="239"/>
    </row>
    <row r="214" spans="1:20" ht="24" customHeight="1">
      <c r="A214" s="226">
        <v>195</v>
      </c>
      <c r="B214" s="226">
        <v>99990010100427</v>
      </c>
      <c r="C214" s="227">
        <v>550118</v>
      </c>
      <c r="D214" s="228" t="s">
        <v>287</v>
      </c>
      <c r="E214" s="229"/>
      <c r="F214" s="229">
        <v>550118</v>
      </c>
      <c r="G214" s="229" t="s">
        <v>75</v>
      </c>
      <c r="H214" s="230">
        <v>0</v>
      </c>
      <c r="I214" s="231">
        <v>6</v>
      </c>
      <c r="J214" s="232">
        <v>0.45</v>
      </c>
      <c r="K214" s="233"/>
      <c r="L214" s="231" t="s">
        <v>23</v>
      </c>
      <c r="M214" s="231">
        <v>0</v>
      </c>
      <c r="N214" s="234">
        <f>ROUND(((I214*J214)-((I214*J214)*L214/100))+(((I214*J214)-((I214*J214)*L214/100))*M214/100),2)</f>
      </c>
      <c r="O214" s="230">
        <f>M11</f>
      </c>
      <c r="P214" s="235" t="s">
        <v>508</v>
      </c>
      <c r="Q214" s="236"/>
      <c r="R214" s="237"/>
      <c r="S214" s="238"/>
      <c r="T214" s="239"/>
    </row>
    <row r="215" spans="1:20" ht="24" customHeight="1">
      <c r="A215" s="226">
        <v>196</v>
      </c>
      <c r="B215" s="226">
        <v>99990010163190</v>
      </c>
      <c r="C215" s="227">
        <v>550611</v>
      </c>
      <c r="D215" s="228" t="s">
        <v>288</v>
      </c>
      <c r="E215" s="229"/>
      <c r="F215" s="229">
        <v>550611</v>
      </c>
      <c r="G215" s="229" t="s">
        <v>106</v>
      </c>
      <c r="H215" s="230">
        <v>0</v>
      </c>
      <c r="I215" s="231">
        <v>24</v>
      </c>
      <c r="J215" s="232">
        <v>0.36</v>
      </c>
      <c r="K215" s="233"/>
      <c r="L215" s="231" t="s">
        <v>23</v>
      </c>
      <c r="M215" s="231">
        <v>0</v>
      </c>
      <c r="N215" s="234">
        <f>ROUND(((I215*J215)-((I215*J215)*L215/100))+(((I215*J215)-((I215*J215)*L215/100))*M215/100),2)</f>
      </c>
      <c r="O215" s="230">
        <f>M11</f>
      </c>
      <c r="P215" s="235"/>
      <c r="Q215" s="236"/>
      <c r="R215" s="237"/>
      <c r="S215" s="238"/>
      <c r="T215" s="239"/>
    </row>
    <row r="216" spans="1:20" ht="24" customHeight="1">
      <c r="A216" s="226">
        <v>197</v>
      </c>
      <c r="B216" s="226">
        <v>99990010178551</v>
      </c>
      <c r="C216" s="227">
        <v>172166</v>
      </c>
      <c r="D216" s="228" t="s">
        <v>289</v>
      </c>
      <c r="E216" s="229"/>
      <c r="F216" s="229">
        <v>172166</v>
      </c>
      <c r="G216" s="229" t="s">
        <v>41</v>
      </c>
      <c r="H216" s="230">
        <v>0</v>
      </c>
      <c r="I216" s="231">
        <v>2</v>
      </c>
      <c r="J216" s="232">
        <v>3.83</v>
      </c>
      <c r="K216" s="233"/>
      <c r="L216" s="231" t="s">
        <v>23</v>
      </c>
      <c r="M216" s="231">
        <v>0</v>
      </c>
      <c r="N216" s="234">
        <f>ROUND(((I216*J216)-((I216*J216)*L216/100))+(((I216*J216)-((I216*J216)*L216/100))*M216/100),2)</f>
      </c>
      <c r="O216" s="230">
        <f>M11</f>
      </c>
      <c r="P216" s="235"/>
      <c r="Q216" s="236"/>
      <c r="R216" s="237"/>
      <c r="S216" s="238"/>
      <c r="T216" s="239"/>
    </row>
    <row r="217" spans="1:20" ht="24" customHeight="1">
      <c r="A217" s="226">
        <v>198</v>
      </c>
      <c r="B217" s="226">
        <v>99990008657195</v>
      </c>
      <c r="C217" s="227">
        <v>172163</v>
      </c>
      <c r="D217" s="228" t="s">
        <v>290</v>
      </c>
      <c r="E217" s="229"/>
      <c r="F217" s="229">
        <v>172163</v>
      </c>
      <c r="G217" s="229" t="s">
        <v>41</v>
      </c>
      <c r="H217" s="230">
        <v>2</v>
      </c>
      <c r="I217" s="231">
        <v>3</v>
      </c>
      <c r="J217" s="232">
        <v>2</v>
      </c>
      <c r="K217" s="233"/>
      <c r="L217" s="231" t="s">
        <v>23</v>
      </c>
      <c r="M217" s="231">
        <v>0</v>
      </c>
      <c r="N217" s="234">
        <f>ROUND(((I217*J217)-((I217*J217)*L217/100))+(((I217*J217)-((I217*J217)*L217/100))*M217/100),2)</f>
      </c>
      <c r="O217" s="230">
        <f>M11</f>
      </c>
      <c r="P217" s="235"/>
      <c r="Q217" s="236"/>
      <c r="R217" s="237"/>
      <c r="S217" s="238"/>
      <c r="T217" s="239"/>
    </row>
    <row r="218" spans="1:20" ht="24" customHeight="1">
      <c r="A218" s="226">
        <v>199</v>
      </c>
      <c r="B218" s="226">
        <v>99990008655248</v>
      </c>
      <c r="C218" s="227">
        <v>150601</v>
      </c>
      <c r="D218" s="228" t="s">
        <v>291</v>
      </c>
      <c r="E218" s="229"/>
      <c r="F218" s="229">
        <v>150601</v>
      </c>
      <c r="G218" s="229" t="s">
        <v>60</v>
      </c>
      <c r="H218" s="230">
        <v>3.30</v>
      </c>
      <c r="I218" s="231">
        <v>25</v>
      </c>
      <c r="J218" s="232">
        <v>3.3</v>
      </c>
      <c r="K218" s="233"/>
      <c r="L218" s="231" t="s">
        <v>23</v>
      </c>
      <c r="M218" s="231">
        <v>0</v>
      </c>
      <c r="N218" s="234">
        <f>ROUND(((I218*J218)-((I218*J218)*L218/100))+(((I218*J218)-((I218*J218)*L218/100))*M218/100),2)</f>
      </c>
      <c r="O218" s="230">
        <f>M11</f>
      </c>
      <c r="P218" s="235"/>
      <c r="Q218" s="236"/>
      <c r="R218" s="237" t="s">
        <v>277</v>
      </c>
      <c r="S218" s="238"/>
      <c r="T218" s="239"/>
    </row>
    <row r="219" spans="1:20" ht="24" customHeight="1">
      <c r="A219" s="226">
        <v>200</v>
      </c>
      <c r="B219" s="226">
        <v>99990009861974</v>
      </c>
      <c r="C219" s="227">
        <v>211079</v>
      </c>
      <c r="D219" s="228" t="s">
        <v>292</v>
      </c>
      <c r="E219" s="229"/>
      <c r="F219" s="229">
        <v>211079</v>
      </c>
      <c r="G219" s="229" t="s">
        <v>139</v>
      </c>
      <c r="H219" s="230">
        <v>0</v>
      </c>
      <c r="I219" s="231">
        <v>4</v>
      </c>
      <c r="J219" s="232">
        <v>0</v>
      </c>
      <c r="K219" s="233"/>
      <c r="L219" s="231" t="s">
        <v>23</v>
      </c>
      <c r="M219" s="231">
        <v>0</v>
      </c>
      <c r="N219" s="234">
        <f>ROUND(((I219*J219)-((I219*J219)*L219/100))+(((I219*J219)-((I219*J219)*L219/100))*M219/100),2)</f>
      </c>
      <c r="O219" s="230">
        <f>M11</f>
      </c>
      <c r="P219" s="235" t="s">
        <v>509</v>
      </c>
      <c r="Q219" s="236"/>
      <c r="R219" s="237" t="s">
        <v>293</v>
      </c>
      <c r="S219" s="238"/>
      <c r="T219" s="239"/>
    </row>
    <row r="220" spans="1:20" ht="24" customHeight="1">
      <c r="A220" s="226">
        <v>201</v>
      </c>
      <c r="B220" s="226">
        <v>99990009374138</v>
      </c>
      <c r="C220" s="227">
        <v>2096067</v>
      </c>
      <c r="D220" s="228" t="s">
        <v>294</v>
      </c>
      <c r="E220" s="229"/>
      <c r="F220" s="229">
        <v>2096067</v>
      </c>
      <c r="G220" s="229" t="s">
        <v>41</v>
      </c>
      <c r="H220" s="230">
        <v>0</v>
      </c>
      <c r="I220" s="231">
        <v>50</v>
      </c>
      <c r="J220" s="232">
        <v>0.49</v>
      </c>
      <c r="K220" s="233"/>
      <c r="L220" s="231" t="s">
        <v>23</v>
      </c>
      <c r="M220" s="231">
        <v>0</v>
      </c>
      <c r="N220" s="234">
        <f>ROUND(((I220*J220)-((I220*J220)*L220/100))+(((I220*J220)-((I220*J220)*L220/100))*M220/100),2)</f>
      </c>
      <c r="O220" s="230">
        <f>M11</f>
      </c>
      <c r="P220" s="235" t="s">
        <v>510</v>
      </c>
      <c r="Q220" s="236"/>
      <c r="R220" s="237" t="s">
        <v>295</v>
      </c>
      <c r="S220" s="238"/>
      <c r="T220" s="239"/>
    </row>
    <row r="221" spans="1:20" ht="24" customHeight="1">
      <c r="A221" s="226">
        <v>202</v>
      </c>
      <c r="B221" s="226">
        <v>99990008657801</v>
      </c>
      <c r="C221" s="227" t="s">
        <v>110</v>
      </c>
      <c r="D221" s="228" t="s">
        <v>296</v>
      </c>
      <c r="E221" s="229"/>
      <c r="F221" s="229">
        <v>470882</v>
      </c>
      <c r="G221" s="229" t="s">
        <v>41</v>
      </c>
      <c r="H221" s="230">
        <v>0.48</v>
      </c>
      <c r="I221" s="231">
        <v>20</v>
      </c>
      <c r="J221" s="232">
        <v>0.48</v>
      </c>
      <c r="K221" s="233"/>
      <c r="L221" s="231" t="s">
        <v>23</v>
      </c>
      <c r="M221" s="231">
        <v>0</v>
      </c>
      <c r="N221" s="234">
        <f>ROUND(((I221*J221)-((I221*J221)*L221/100))+(((I221*J221)-((I221*J221)*L221/100))*M221/100),2)</f>
      </c>
      <c r="O221" s="230">
        <f>M11</f>
      </c>
      <c r="P221" s="235"/>
      <c r="Q221" s="236"/>
      <c r="R221" s="237"/>
      <c r="S221" s="238"/>
      <c r="T221" s="239"/>
    </row>
    <row r="222" spans="1:20" ht="24" customHeight="1">
      <c r="A222" s="226">
        <v>203</v>
      </c>
      <c r="B222" s="226">
        <v>99990005568882</v>
      </c>
      <c r="C222" s="227">
        <v>1778690</v>
      </c>
      <c r="D222" s="228" t="s">
        <v>297</v>
      </c>
      <c r="E222" s="229"/>
      <c r="F222" s="229">
        <v>470297</v>
      </c>
      <c r="G222" s="229" t="s">
        <v>65</v>
      </c>
      <c r="H222" s="230">
        <v>0</v>
      </c>
      <c r="I222" s="231">
        <v>5</v>
      </c>
      <c r="J222" s="232">
        <v>4.87</v>
      </c>
      <c r="K222" s="233"/>
      <c r="L222" s="231" t="s">
        <v>23</v>
      </c>
      <c r="M222" s="231">
        <v>0</v>
      </c>
      <c r="N222" s="234">
        <f>ROUND(((I222*J222)-((I222*J222)*L222/100))+(((I222*J222)-((I222*J222)*L222/100))*M222/100),2)</f>
      </c>
      <c r="O222" s="230">
        <f>M11</f>
      </c>
      <c r="P222" s="235"/>
      <c r="Q222" s="236"/>
      <c r="R222" s="237" t="s">
        <v>298</v>
      </c>
      <c r="S222" s="238"/>
      <c r="T222" s="239"/>
    </row>
    <row r="223" spans="1:20" ht="24" customHeight="1">
      <c r="A223" s="226">
        <v>204</v>
      </c>
      <c r="B223" s="226">
        <v>99990010915497</v>
      </c>
      <c r="C223" s="227">
        <v>2406347</v>
      </c>
      <c r="D223" s="228" t="s">
        <v>299</v>
      </c>
      <c r="E223" s="229"/>
      <c r="F223" s="229">
        <v>472727</v>
      </c>
      <c r="G223" s="229" t="s">
        <v>41</v>
      </c>
      <c r="H223" s="230">
        <v>0</v>
      </c>
      <c r="I223" s="231">
        <v>20</v>
      </c>
      <c r="J223" s="232">
        <v>12.18</v>
      </c>
      <c r="K223" s="233"/>
      <c r="L223" s="231" t="s">
        <v>23</v>
      </c>
      <c r="M223" s="231">
        <v>0</v>
      </c>
      <c r="N223" s="234">
        <f>ROUND(((I223*J223)-((I223*J223)*L223/100))+(((I223*J223)-((I223*J223)*L223/100))*M223/100),2)</f>
      </c>
      <c r="O223" s="230">
        <f>M11</f>
      </c>
      <c r="P223" s="235" t="s">
        <v>511</v>
      </c>
      <c r="Q223" s="236"/>
      <c r="R223" s="237" t="s">
        <v>300</v>
      </c>
      <c r="S223" s="238"/>
      <c r="T223" s="239"/>
    </row>
    <row r="224" spans="1:20" ht="24" customHeight="1">
      <c r="A224" s="226">
        <v>205</v>
      </c>
      <c r="B224" s="226">
        <v>99990010835397</v>
      </c>
      <c r="C224" s="227">
        <v>391422</v>
      </c>
      <c r="D224" s="228" t="s">
        <v>301</v>
      </c>
      <c r="E224" s="229"/>
      <c r="F224" s="229">
        <v>391422</v>
      </c>
      <c r="G224" s="229" t="s">
        <v>41</v>
      </c>
      <c r="H224" s="230">
        <v>0</v>
      </c>
      <c r="I224" s="231">
        <v>5</v>
      </c>
      <c r="J224" s="232">
        <v>1.8</v>
      </c>
      <c r="K224" s="233"/>
      <c r="L224" s="231" t="s">
        <v>23</v>
      </c>
      <c r="M224" s="231">
        <v>0</v>
      </c>
      <c r="N224" s="234">
        <f>ROUND(((I224*J224)-((I224*J224)*L224/100))+(((I224*J224)-((I224*J224)*L224/100))*M224/100),2)</f>
      </c>
      <c r="O224" s="230">
        <f>M11</f>
      </c>
      <c r="P224" s="235"/>
      <c r="Q224" s="236"/>
      <c r="R224" s="237"/>
      <c r="S224" s="238"/>
      <c r="T224" s="239"/>
    </row>
    <row r="225" spans="1:20" ht="24" customHeight="1">
      <c r="A225" s="226">
        <v>206</v>
      </c>
      <c r="B225" s="226">
        <v>99990008625718</v>
      </c>
      <c r="C225" s="227">
        <v>2062295</v>
      </c>
      <c r="D225" s="228" t="s">
        <v>302</v>
      </c>
      <c r="E225" s="229"/>
      <c r="F225" s="229">
        <v>2062295</v>
      </c>
      <c r="G225" s="229" t="s">
        <v>41</v>
      </c>
      <c r="H225" s="230">
        <v>0</v>
      </c>
      <c r="I225" s="231">
        <v>2</v>
      </c>
      <c r="J225" s="232">
        <v>5.52</v>
      </c>
      <c r="K225" s="233"/>
      <c r="L225" s="231" t="s">
        <v>23</v>
      </c>
      <c r="M225" s="231">
        <v>0</v>
      </c>
      <c r="N225" s="234">
        <f>ROUND(((I225*J225)-((I225*J225)*L225/100))+(((I225*J225)-((I225*J225)*L225/100))*M225/100),2)</f>
      </c>
      <c r="O225" s="230">
        <f>M11</f>
      </c>
      <c r="P225" s="235" t="s">
        <v>512</v>
      </c>
      <c r="Q225" s="236"/>
      <c r="R225" s="237"/>
      <c r="S225" s="238"/>
      <c r="T225" s="239"/>
    </row>
    <row r="226" spans="1:20" ht="24" customHeight="1">
      <c r="A226" s="226">
        <v>207</v>
      </c>
      <c r="B226" s="226">
        <v>99990009477712</v>
      </c>
      <c r="C226" s="227">
        <v>2116265</v>
      </c>
      <c r="D226" s="228" t="s">
        <v>303</v>
      </c>
      <c r="E226" s="229"/>
      <c r="F226" s="229" t="s">
        <v>304</v>
      </c>
      <c r="G226" s="229" t="s">
        <v>41</v>
      </c>
      <c r="H226" s="230">
        <v>0</v>
      </c>
      <c r="I226" s="231">
        <v>20</v>
      </c>
      <c r="J226" s="232">
        <v>11.29</v>
      </c>
      <c r="K226" s="233"/>
      <c r="L226" s="231" t="s">
        <v>23</v>
      </c>
      <c r="M226" s="231">
        <v>0</v>
      </c>
      <c r="N226" s="234">
        <f>ROUND(((I226*J226)-((I226*J226)*L226/100))+(((I226*J226)-((I226*J226)*L226/100))*M226/100),2)</f>
      </c>
      <c r="O226" s="230">
        <f>M11</f>
      </c>
      <c r="P226" s="235"/>
      <c r="Q226" s="236"/>
      <c r="R226" s="237" t="s">
        <v>305</v>
      </c>
      <c r="S226" s="238"/>
      <c r="T226" s="239"/>
    </row>
    <row r="227" spans="1:20" ht="24" customHeight="1">
      <c r="A227" s="226">
        <v>208</v>
      </c>
      <c r="B227" s="226">
        <v>99990005569218</v>
      </c>
      <c r="C227" s="227">
        <v>1779013</v>
      </c>
      <c r="D227" s="228" t="s">
        <v>306</v>
      </c>
      <c r="E227" s="229"/>
      <c r="F227" s="229">
        <v>470617</v>
      </c>
      <c r="G227" s="229" t="s">
        <v>41</v>
      </c>
      <c r="H227" s="230">
        <v>0</v>
      </c>
      <c r="I227" s="231">
        <v>200</v>
      </c>
      <c r="J227" s="232">
        <v>0.15</v>
      </c>
      <c r="K227" s="233"/>
      <c r="L227" s="231" t="s">
        <v>23</v>
      </c>
      <c r="M227" s="231">
        <v>0</v>
      </c>
      <c r="N227" s="234">
        <f>ROUND(((I227*J227)-((I227*J227)*L227/100))+(((I227*J227)-((I227*J227)*L227/100))*M227/100),2)</f>
      </c>
      <c r="O227" s="230">
        <f>M11</f>
      </c>
      <c r="P227" s="235"/>
      <c r="Q227" s="236"/>
      <c r="R227" s="237" t="s">
        <v>307</v>
      </c>
      <c r="S227" s="238"/>
      <c r="T227" s="239"/>
    </row>
    <row r="228" spans="1:20" ht="24" customHeight="1">
      <c r="A228" s="226">
        <v>209</v>
      </c>
      <c r="B228" s="226">
        <v>99990010835746</v>
      </c>
      <c r="C228" s="227">
        <v>391369</v>
      </c>
      <c r="D228" s="228" t="s">
        <v>308</v>
      </c>
      <c r="E228" s="229"/>
      <c r="F228" s="229">
        <v>391369</v>
      </c>
      <c r="G228" s="229" t="s">
        <v>72</v>
      </c>
      <c r="H228" s="230">
        <v>0</v>
      </c>
      <c r="I228" s="231">
        <v>1</v>
      </c>
      <c r="J228" s="232">
        <v>28.9</v>
      </c>
      <c r="K228" s="233"/>
      <c r="L228" s="231" t="s">
        <v>23</v>
      </c>
      <c r="M228" s="231">
        <v>0</v>
      </c>
      <c r="N228" s="234">
        <f>ROUND(((I228*J228)-((I228*J228)*L228/100))+(((I228*J228)-((I228*J228)*L228/100))*M228/100),2)</f>
      </c>
      <c r="O228" s="230">
        <f>M11</f>
      </c>
      <c r="P228" s="235"/>
      <c r="Q228" s="236"/>
      <c r="R228" s="237"/>
      <c r="S228" s="238"/>
      <c r="T228" s="239"/>
    </row>
    <row r="229" spans="1:20" ht="24" customHeight="1">
      <c r="A229" s="226">
        <v>210</v>
      </c>
      <c r="B229" s="226">
        <v>99990011163034</v>
      </c>
      <c r="C229" s="227">
        <v>2444368</v>
      </c>
      <c r="D229" s="228" t="s">
        <v>309</v>
      </c>
      <c r="E229" s="229"/>
      <c r="F229" s="229" t="s">
        <v>310</v>
      </c>
      <c r="G229" s="229" t="s">
        <v>41</v>
      </c>
      <c r="H229" s="230">
        <v>0</v>
      </c>
      <c r="I229" s="231">
        <v>3</v>
      </c>
      <c r="J229" s="232">
        <v>5.19</v>
      </c>
      <c r="K229" s="233"/>
      <c r="L229" s="231" t="s">
        <v>23</v>
      </c>
      <c r="M229" s="231">
        <v>0</v>
      </c>
      <c r="N229" s="234">
        <f>ROUND(((I229*J229)-((I229*J229)*L229/100))+(((I229*J229)-((I229*J229)*L229/100))*M229/100),2)</f>
      </c>
      <c r="O229" s="230">
        <f>M11</f>
      </c>
      <c r="P229" s="235"/>
      <c r="Q229" s="236"/>
      <c r="R229" s="237" t="s">
        <v>311</v>
      </c>
      <c r="S229" s="238"/>
      <c r="T229" s="239"/>
    </row>
    <row r="230" spans="1:20" ht="24" customHeight="1">
      <c r="A230" s="226">
        <v>211</v>
      </c>
      <c r="B230" s="226">
        <v>99990014383892</v>
      </c>
      <c r="C230" s="227">
        <v>2925242</v>
      </c>
      <c r="D230" s="228" t="s">
        <v>312</v>
      </c>
      <c r="E230" s="229"/>
      <c r="F230" s="229">
        <v>2925242</v>
      </c>
      <c r="G230" s="229" t="s">
        <v>313</v>
      </c>
      <c r="H230" s="230">
        <v>0</v>
      </c>
      <c r="I230" s="231">
        <v>5</v>
      </c>
      <c r="J230" s="232">
        <v>5.6</v>
      </c>
      <c r="K230" s="233"/>
      <c r="L230" s="231" t="s">
        <v>23</v>
      </c>
      <c r="M230" s="231">
        <v>0</v>
      </c>
      <c r="N230" s="234">
        <f>ROUND(((I230*J230)-((I230*J230)*L230/100))+(((I230*J230)-((I230*J230)*L230/100))*M230/100),2)</f>
      </c>
      <c r="O230" s="230">
        <f>M11</f>
      </c>
      <c r="P230" s="235"/>
      <c r="Q230" s="236"/>
      <c r="R230" s="237"/>
      <c r="S230" s="238"/>
      <c r="T230" s="239"/>
    </row>
    <row r="231" spans="1:20" ht="24" customHeight="1">
      <c r="A231" s="226">
        <v>212</v>
      </c>
      <c r="B231" s="226">
        <v>99990010274082</v>
      </c>
      <c r="C231" s="227">
        <v>2352257</v>
      </c>
      <c r="D231" s="228" t="s">
        <v>112</v>
      </c>
      <c r="E231" s="229"/>
      <c r="F231" s="229">
        <v>472785</v>
      </c>
      <c r="G231" s="229" t="s">
        <v>41</v>
      </c>
      <c r="H231" s="230">
        <v>0</v>
      </c>
      <c r="I231" s="231">
        <v>5</v>
      </c>
      <c r="J231" s="232">
        <v>0.19</v>
      </c>
      <c r="K231" s="233"/>
      <c r="L231" s="231" t="s">
        <v>23</v>
      </c>
      <c r="M231" s="231">
        <v>0</v>
      </c>
      <c r="N231" s="234">
        <f>ROUND(((I231*J231)-((I231*J231)*L231/100))+(((I231*J231)-((I231*J231)*L231/100))*M231/100),2)</f>
      </c>
      <c r="O231" s="230">
        <f>M11</f>
      </c>
      <c r="P231" s="235"/>
      <c r="Q231" s="236"/>
      <c r="R231" s="237"/>
      <c r="S231" s="238"/>
      <c r="T231" s="239"/>
    </row>
    <row r="232" spans="1:20" ht="24" customHeight="1">
      <c r="A232" s="226">
        <v>213</v>
      </c>
      <c r="B232" s="226">
        <v>99990010454468</v>
      </c>
      <c r="C232" s="227">
        <v>472776</v>
      </c>
      <c r="D232" s="228" t="s">
        <v>314</v>
      </c>
      <c r="E232" s="229"/>
      <c r="F232" s="229">
        <v>472776</v>
      </c>
      <c r="G232" s="229" t="s">
        <v>41</v>
      </c>
      <c r="H232" s="230">
        <v>0</v>
      </c>
      <c r="I232" s="231">
        <v>5</v>
      </c>
      <c r="J232" s="232">
        <v>8.76</v>
      </c>
      <c r="K232" s="233"/>
      <c r="L232" s="231" t="s">
        <v>23</v>
      </c>
      <c r="M232" s="231">
        <v>0</v>
      </c>
      <c r="N232" s="234">
        <f>ROUND(((I232*J232)-((I232*J232)*L232/100))+(((I232*J232)-((I232*J232)*L232/100))*M232/100),2)</f>
      </c>
      <c r="O232" s="230">
        <f>M11</f>
      </c>
      <c r="P232" s="235"/>
      <c r="Q232" s="236"/>
      <c r="R232" s="237" t="s">
        <v>315</v>
      </c>
      <c r="S232" s="238"/>
      <c r="T232" s="239"/>
    </row>
    <row r="233" spans="1:20" ht="24" customHeight="1">
      <c r="A233" s="226">
        <v>214</v>
      </c>
      <c r="B233" s="226">
        <v>99990009866702</v>
      </c>
      <c r="C233" s="227">
        <v>370345</v>
      </c>
      <c r="D233" s="228" t="s">
        <v>316</v>
      </c>
      <c r="E233" s="229"/>
      <c r="F233" s="229">
        <v>370345</v>
      </c>
      <c r="G233" s="229" t="s">
        <v>69</v>
      </c>
      <c r="H233" s="230">
        <v>0</v>
      </c>
      <c r="I233" s="231">
        <v>2</v>
      </c>
      <c r="J233" s="232">
        <v>63.42</v>
      </c>
      <c r="K233" s="233"/>
      <c r="L233" s="231" t="s">
        <v>23</v>
      </c>
      <c r="M233" s="231">
        <v>0</v>
      </c>
      <c r="N233" s="234">
        <f>ROUND(((I233*J233)-((I233*J233)*L233/100))+(((I233*J233)-((I233*J233)*L233/100))*M233/100),2)</f>
      </c>
      <c r="O233" s="230">
        <f>M11</f>
      </c>
      <c r="P233" s="235"/>
      <c r="Q233" s="236"/>
      <c r="R233" s="237" t="s">
        <v>317</v>
      </c>
      <c r="S233" s="238"/>
      <c r="T233" s="239"/>
    </row>
    <row r="234" spans="1:20" ht="24" customHeight="1">
      <c r="A234" s="226">
        <v>215</v>
      </c>
      <c r="B234" s="226">
        <v>99990008657377</v>
      </c>
      <c r="C234" s="227">
        <v>174356</v>
      </c>
      <c r="D234" s="228" t="s">
        <v>318</v>
      </c>
      <c r="E234" s="229"/>
      <c r="F234" s="229">
        <v>174356</v>
      </c>
      <c r="G234" s="229" t="s">
        <v>41</v>
      </c>
      <c r="H234" s="230">
        <v>0.16</v>
      </c>
      <c r="I234" s="231">
        <v>30</v>
      </c>
      <c r="J234" s="232">
        <v>0.16</v>
      </c>
      <c r="K234" s="233"/>
      <c r="L234" s="231" t="s">
        <v>23</v>
      </c>
      <c r="M234" s="231">
        <v>0</v>
      </c>
      <c r="N234" s="234">
        <f>ROUND(((I234*J234)-((I234*J234)*L234/100))+(((I234*J234)-((I234*J234)*L234/100))*M234/100),2)</f>
      </c>
      <c r="O234" s="230">
        <f>M11</f>
      </c>
      <c r="P234" s="235"/>
      <c r="Q234" s="236"/>
      <c r="R234" s="237"/>
      <c r="S234" s="238"/>
      <c r="T234" s="239"/>
    </row>
    <row r="235" spans="1:20" ht="24" customHeight="1">
      <c r="A235" s="226">
        <v>216</v>
      </c>
      <c r="B235" s="226">
        <v>99990010448977</v>
      </c>
      <c r="C235" s="227">
        <v>511078</v>
      </c>
      <c r="D235" s="228" t="s">
        <v>319</v>
      </c>
      <c r="E235" s="229"/>
      <c r="F235" s="229">
        <v>511078</v>
      </c>
      <c r="G235" s="229" t="s">
        <v>120</v>
      </c>
      <c r="H235" s="230">
        <v>0</v>
      </c>
      <c r="I235" s="231">
        <v>3</v>
      </c>
      <c r="J235" s="232">
        <v>33.58</v>
      </c>
      <c r="K235" s="233"/>
      <c r="L235" s="231" t="s">
        <v>23</v>
      </c>
      <c r="M235" s="231">
        <v>0</v>
      </c>
      <c r="N235" s="234">
        <f>ROUND(((I235*J235)-((I235*J235)*L235/100))+(((I235*J235)-((I235*J235)*L235/100))*M235/100),2)</f>
      </c>
      <c r="O235" s="230">
        <f>M11</f>
      </c>
      <c r="P235" s="235"/>
      <c r="Q235" s="236"/>
      <c r="R235" s="237"/>
      <c r="S235" s="238"/>
      <c r="T235" s="239"/>
    </row>
    <row r="236" spans="1:20" ht="24" customHeight="1">
      <c r="A236" s="226">
        <v>217</v>
      </c>
      <c r="B236" s="226">
        <v>99990008655578</v>
      </c>
      <c r="C236" s="227">
        <v>510801</v>
      </c>
      <c r="D236" s="228" t="s">
        <v>320</v>
      </c>
      <c r="E236" s="229"/>
      <c r="F236" s="229">
        <v>510801</v>
      </c>
      <c r="G236" s="229" t="s">
        <v>41</v>
      </c>
      <c r="H236" s="230">
        <v>1.68</v>
      </c>
      <c r="I236" s="231">
        <v>10</v>
      </c>
      <c r="J236" s="232">
        <v>1.68</v>
      </c>
      <c r="K236" s="233"/>
      <c r="L236" s="231" t="s">
        <v>23</v>
      </c>
      <c r="M236" s="231">
        <v>0</v>
      </c>
      <c r="N236" s="234">
        <f>ROUND(((I236*J236)-((I236*J236)*L236/100))+(((I236*J236)-((I236*J236)*L236/100))*M236/100),2)</f>
      </c>
      <c r="O236" s="230">
        <f>M11</f>
      </c>
      <c r="P236" s="235"/>
      <c r="Q236" s="236"/>
      <c r="R236" s="237" t="s">
        <v>321</v>
      </c>
      <c r="S236" s="238"/>
      <c r="T236" s="239"/>
    </row>
    <row r="237" spans="1:20" ht="24" customHeight="1">
      <c r="A237" s="226">
        <v>218</v>
      </c>
      <c r="B237" s="226">
        <v>99990009608081</v>
      </c>
      <c r="C237" s="227">
        <v>490549</v>
      </c>
      <c r="D237" s="228" t="s">
        <v>322</v>
      </c>
      <c r="E237" s="229"/>
      <c r="F237" s="229">
        <v>490549</v>
      </c>
      <c r="G237" s="229" t="s">
        <v>72</v>
      </c>
      <c r="H237" s="230">
        <v>6.77</v>
      </c>
      <c r="I237" s="231">
        <v>1</v>
      </c>
      <c r="J237" s="232">
        <v>2.57</v>
      </c>
      <c r="K237" s="233"/>
      <c r="L237" s="231" t="s">
        <v>23</v>
      </c>
      <c r="M237" s="231">
        <v>0</v>
      </c>
      <c r="N237" s="234">
        <f>ROUND(((I237*J237)-((I237*J237)*L237/100))+(((I237*J237)-((I237*J237)*L237/100))*M237/100),2)</f>
      </c>
      <c r="O237" s="230">
        <f>M11</f>
      </c>
      <c r="P237" s="235"/>
      <c r="Q237" s="236"/>
      <c r="R237" s="237" t="s">
        <v>323</v>
      </c>
      <c r="S237" s="238"/>
      <c r="T237" s="239"/>
    </row>
    <row r="238" spans="1:20" ht="24" customHeight="1">
      <c r="A238" s="226">
        <v>219</v>
      </c>
      <c r="B238" s="226">
        <v>99990009869817</v>
      </c>
      <c r="C238" s="227" t="s">
        <v>324</v>
      </c>
      <c r="D238" s="228" t="s">
        <v>325</v>
      </c>
      <c r="E238" s="229"/>
      <c r="F238" s="229">
        <v>792977</v>
      </c>
      <c r="G238" s="229" t="s">
        <v>41</v>
      </c>
      <c r="H238" s="230">
        <v>0</v>
      </c>
      <c r="I238" s="231">
        <v>5</v>
      </c>
      <c r="J238" s="232">
        <v>1.01</v>
      </c>
      <c r="K238" s="233"/>
      <c r="L238" s="231" t="s">
        <v>23</v>
      </c>
      <c r="M238" s="231">
        <v>0</v>
      </c>
      <c r="N238" s="234">
        <f>ROUND(((I238*J238)-((I238*J238)*L238/100))+(((I238*J238)-((I238*J238)*L238/100))*M238/100),2)</f>
      </c>
      <c r="O238" s="230">
        <f>M11</f>
      </c>
      <c r="P238" s="235" t="s">
        <v>513</v>
      </c>
      <c r="Q238" s="236"/>
      <c r="R238" s="237" t="s">
        <v>326</v>
      </c>
      <c r="S238" s="238"/>
      <c r="T238" s="239"/>
    </row>
    <row r="239" spans="1:20" ht="24" customHeight="1">
      <c r="A239" s="226">
        <v>220</v>
      </c>
      <c r="B239" s="226">
        <v>99990011675039</v>
      </c>
      <c r="C239" s="227">
        <v>612303</v>
      </c>
      <c r="D239" s="228" t="s">
        <v>327</v>
      </c>
      <c r="E239" s="229"/>
      <c r="F239" s="229">
        <v>612303</v>
      </c>
      <c r="G239" s="229" t="s">
        <v>41</v>
      </c>
      <c r="H239" s="230">
        <v>0</v>
      </c>
      <c r="I239" s="231">
        <v>2</v>
      </c>
      <c r="J239" s="232">
        <v>0.6</v>
      </c>
      <c r="K239" s="233"/>
      <c r="L239" s="231" t="s">
        <v>23</v>
      </c>
      <c r="M239" s="231">
        <v>0</v>
      </c>
      <c r="N239" s="234">
        <f>ROUND(((I239*J239)-((I239*J239)*L239/100))+(((I239*J239)-((I239*J239)*L239/100))*M239/100),2)</f>
      </c>
      <c r="O239" s="230">
        <f>M11</f>
      </c>
      <c r="P239" s="235"/>
      <c r="Q239" s="236"/>
      <c r="R239" s="237"/>
      <c r="S239" s="238"/>
      <c r="T239" s="239"/>
    </row>
    <row r="240" spans="1:20" ht="24" customHeight="1">
      <c r="A240" s="226">
        <v>221</v>
      </c>
      <c r="B240" s="226">
        <v>99990008655518</v>
      </c>
      <c r="C240" s="227">
        <v>232946</v>
      </c>
      <c r="D240" s="228" t="s">
        <v>328</v>
      </c>
      <c r="E240" s="229"/>
      <c r="F240" s="229">
        <v>232946</v>
      </c>
      <c r="G240" s="229" t="s">
        <v>75</v>
      </c>
      <c r="H240" s="230">
        <v>1.28</v>
      </c>
      <c r="I240" s="231">
        <v>6</v>
      </c>
      <c r="J240" s="232">
        <v>1.28</v>
      </c>
      <c r="K240" s="233"/>
      <c r="L240" s="231" t="s">
        <v>23</v>
      </c>
      <c r="M240" s="231">
        <v>0</v>
      </c>
      <c r="N240" s="234">
        <f>ROUND(((I240*J240)-((I240*J240)*L240/100))+(((I240*J240)-((I240*J240)*L240/100))*M240/100),2)</f>
      </c>
      <c r="O240" s="230">
        <f>M11</f>
      </c>
      <c r="P240" s="235"/>
      <c r="Q240" s="236"/>
      <c r="R240" s="237"/>
      <c r="S240" s="238"/>
      <c r="T240" s="239"/>
    </row>
    <row r="241" spans="1:20" ht="24" customHeight="1">
      <c r="A241" s="226">
        <v>222</v>
      </c>
      <c r="B241" s="226">
        <v>99990010151908</v>
      </c>
      <c r="C241" s="227">
        <v>211282</v>
      </c>
      <c r="D241" s="228" t="s">
        <v>329</v>
      </c>
      <c r="E241" s="229"/>
      <c r="F241" s="229">
        <v>211282</v>
      </c>
      <c r="G241" s="229" t="s">
        <v>139</v>
      </c>
      <c r="H241" s="230">
        <v>0</v>
      </c>
      <c r="I241" s="231">
        <v>2</v>
      </c>
      <c r="J241" s="232">
        <v>29.85</v>
      </c>
      <c r="K241" s="233"/>
      <c r="L241" s="231" t="s">
        <v>23</v>
      </c>
      <c r="M241" s="231">
        <v>0</v>
      </c>
      <c r="N241" s="234">
        <f>ROUND(((I241*J241)-((I241*J241)*L241/100))+(((I241*J241)-((I241*J241)*L241/100))*M241/100),2)</f>
      </c>
      <c r="O241" s="230">
        <f>M11</f>
      </c>
      <c r="P241" s="235"/>
      <c r="Q241" s="236"/>
      <c r="R241" s="237" t="s">
        <v>330</v>
      </c>
      <c r="S241" s="238"/>
      <c r="T241" s="239"/>
    </row>
    <row r="242" spans="1:20" ht="24" customHeight="1">
      <c r="A242" s="226">
        <v>223</v>
      </c>
      <c r="B242" s="226">
        <v>99990009862438</v>
      </c>
      <c r="C242" s="227">
        <v>212303</v>
      </c>
      <c r="D242" s="228" t="s">
        <v>331</v>
      </c>
      <c r="E242" s="229"/>
      <c r="F242" s="229">
        <v>212303</v>
      </c>
      <c r="G242" s="229" t="s">
        <v>139</v>
      </c>
      <c r="H242" s="230">
        <v>0</v>
      </c>
      <c r="I242" s="231">
        <v>2</v>
      </c>
      <c r="J242" s="232">
        <v>137.88</v>
      </c>
      <c r="K242" s="233"/>
      <c r="L242" s="231" t="s">
        <v>23</v>
      </c>
      <c r="M242" s="231">
        <v>0</v>
      </c>
      <c r="N242" s="234">
        <f>ROUND(((I242*J242)-((I242*J242)*L242/100))+(((I242*J242)-((I242*J242)*L242/100))*M242/100),2)</f>
      </c>
      <c r="O242" s="230">
        <f>M11</f>
      </c>
      <c r="P242" s="235" t="s">
        <v>514</v>
      </c>
      <c r="Q242" s="236"/>
      <c r="R242" s="237" t="s">
        <v>332</v>
      </c>
      <c r="S242" s="238"/>
      <c r="T242" s="239"/>
    </row>
    <row r="243" spans="1:20" ht="24" customHeight="1">
      <c r="A243" s="226">
        <v>224</v>
      </c>
      <c r="B243" s="226">
        <v>99990008655434</v>
      </c>
      <c r="C243" s="227">
        <v>174153</v>
      </c>
      <c r="D243" s="228" t="s">
        <v>333</v>
      </c>
      <c r="E243" s="229"/>
      <c r="F243" s="229">
        <v>174153</v>
      </c>
      <c r="G243" s="229" t="s">
        <v>41</v>
      </c>
      <c r="H243" s="230">
        <v>6.59</v>
      </c>
      <c r="I243" s="231">
        <v>6</v>
      </c>
      <c r="J243" s="232">
        <v>6.59</v>
      </c>
      <c r="K243" s="233"/>
      <c r="L243" s="231" t="s">
        <v>23</v>
      </c>
      <c r="M243" s="231">
        <v>0</v>
      </c>
      <c r="N243" s="234">
        <f>ROUND(((I243*J243)-((I243*J243)*L243/100))+(((I243*J243)-((I243*J243)*L243/100))*M243/100),2)</f>
      </c>
      <c r="O243" s="230">
        <f>M11</f>
      </c>
      <c r="P243" s="235"/>
      <c r="Q243" s="236"/>
      <c r="R243" s="237"/>
      <c r="S243" s="238"/>
      <c r="T243" s="239"/>
    </row>
    <row r="244" spans="1:20" ht="24" customHeight="1">
      <c r="A244" s="226">
        <v>225</v>
      </c>
      <c r="B244" s="226">
        <v>99990008655443</v>
      </c>
      <c r="C244" s="227">
        <v>174174</v>
      </c>
      <c r="D244" s="228" t="s">
        <v>334</v>
      </c>
      <c r="E244" s="229"/>
      <c r="F244" s="229">
        <v>174174</v>
      </c>
      <c r="G244" s="229" t="s">
        <v>65</v>
      </c>
      <c r="H244" s="230">
        <v>0.70</v>
      </c>
      <c r="I244" s="231">
        <v>20</v>
      </c>
      <c r="J244" s="232">
        <v>0.6</v>
      </c>
      <c r="K244" s="233"/>
      <c r="L244" s="231" t="s">
        <v>23</v>
      </c>
      <c r="M244" s="231">
        <v>0</v>
      </c>
      <c r="N244" s="234">
        <f>ROUND(((I244*J244)-((I244*J244)*L244/100))+(((I244*J244)-((I244*J244)*L244/100))*M244/100),2)</f>
      </c>
      <c r="O244" s="230">
        <f>M11</f>
      </c>
      <c r="P244" s="235"/>
      <c r="Q244" s="236"/>
      <c r="R244" s="237"/>
      <c r="S244" s="238"/>
      <c r="T244" s="239"/>
    </row>
    <row r="245" spans="1:20" ht="24" customHeight="1">
      <c r="A245" s="226">
        <v>226</v>
      </c>
      <c r="B245" s="226">
        <v>99990010313118</v>
      </c>
      <c r="C245" s="227">
        <v>174205</v>
      </c>
      <c r="D245" s="228" t="s">
        <v>335</v>
      </c>
      <c r="E245" s="229"/>
      <c r="F245" s="229">
        <v>174205</v>
      </c>
      <c r="G245" s="229" t="s">
        <v>41</v>
      </c>
      <c r="H245" s="230">
        <v>0</v>
      </c>
      <c r="I245" s="231">
        <v>10</v>
      </c>
      <c r="J245" s="232">
        <v>5.41</v>
      </c>
      <c r="K245" s="233"/>
      <c r="L245" s="231" t="s">
        <v>23</v>
      </c>
      <c r="M245" s="231">
        <v>0</v>
      </c>
      <c r="N245" s="234">
        <f>ROUND(((I245*J245)-((I245*J245)*L245/100))+(((I245*J245)-((I245*J245)*L245/100))*M245/100),2)</f>
      </c>
      <c r="O245" s="230">
        <f>M11</f>
      </c>
      <c r="P245" s="235" t="s">
        <v>515</v>
      </c>
      <c r="Q245" s="236"/>
      <c r="R245" s="237"/>
      <c r="S245" s="238"/>
      <c r="T245" s="239"/>
    </row>
    <row r="246" spans="1:20" ht="24" customHeight="1">
      <c r="A246" s="226">
        <v>227</v>
      </c>
      <c r="B246" s="226">
        <v>99990009866834</v>
      </c>
      <c r="C246" s="227">
        <v>370134</v>
      </c>
      <c r="D246" s="228" t="s">
        <v>336</v>
      </c>
      <c r="E246" s="229"/>
      <c r="F246" s="229">
        <v>370134</v>
      </c>
      <c r="G246" s="229" t="s">
        <v>72</v>
      </c>
      <c r="H246" s="230">
        <v>0</v>
      </c>
      <c r="I246" s="231">
        <v>5</v>
      </c>
      <c r="J246" s="232">
        <v>137.88</v>
      </c>
      <c r="K246" s="233"/>
      <c r="L246" s="231" t="s">
        <v>23</v>
      </c>
      <c r="M246" s="231">
        <v>0</v>
      </c>
      <c r="N246" s="234">
        <f>ROUND(((I246*J246)-((I246*J246)*L246/100))+(((I246*J246)-((I246*J246)*L246/100))*M246/100),2)</f>
      </c>
      <c r="O246" s="230">
        <f>M11</f>
      </c>
      <c r="P246" s="235" t="s">
        <v>516</v>
      </c>
      <c r="Q246" s="236"/>
      <c r="R246" s="237" t="s">
        <v>337</v>
      </c>
      <c r="S246" s="238"/>
      <c r="T246" s="239"/>
    </row>
    <row r="247" spans="1:20" ht="24" customHeight="1">
      <c r="A247" s="226">
        <v>228</v>
      </c>
      <c r="B247" s="226">
        <v>99990008190990</v>
      </c>
      <c r="C247" s="227">
        <v>615111</v>
      </c>
      <c r="D247" s="228" t="s">
        <v>338</v>
      </c>
      <c r="E247" s="229"/>
      <c r="F247" s="229">
        <v>615111</v>
      </c>
      <c r="G247" s="229" t="s">
        <v>72</v>
      </c>
      <c r="H247" s="230">
        <v>0</v>
      </c>
      <c r="I247" s="231">
        <v>1</v>
      </c>
      <c r="J247" s="232">
        <v>0</v>
      </c>
      <c r="K247" s="233"/>
      <c r="L247" s="231" t="s">
        <v>23</v>
      </c>
      <c r="M247" s="231">
        <v>0</v>
      </c>
      <c r="N247" s="234">
        <f>ROUND(((I247*J247)-((I247*J247)*L247/100))+(((I247*J247)-((I247*J247)*L247/100))*M247/100),2)</f>
      </c>
      <c r="O247" s="230">
        <f>M11</f>
      </c>
      <c r="P247" s="235" t="s">
        <v>517</v>
      </c>
      <c r="Q247" s="236"/>
      <c r="R247" s="237" t="s">
        <v>339</v>
      </c>
      <c r="S247" s="238"/>
      <c r="T247" s="239"/>
    </row>
    <row r="248" spans="1:20" ht="24" customHeight="1">
      <c r="A248" s="226">
        <v>229</v>
      </c>
      <c r="B248" s="226">
        <v>99990008656592</v>
      </c>
      <c r="C248" s="227">
        <v>110145</v>
      </c>
      <c r="D248" s="228" t="s">
        <v>340</v>
      </c>
      <c r="E248" s="229"/>
      <c r="F248" s="229">
        <v>110145</v>
      </c>
      <c r="G248" s="229" t="s">
        <v>67</v>
      </c>
      <c r="H248" s="230">
        <v>3.36</v>
      </c>
      <c r="I248" s="231">
        <v>2</v>
      </c>
      <c r="J248" s="232">
        <v>4.68</v>
      </c>
      <c r="K248" s="233"/>
      <c r="L248" s="231" t="s">
        <v>23</v>
      </c>
      <c r="M248" s="231">
        <v>0</v>
      </c>
      <c r="N248" s="234">
        <f>ROUND(((I248*J248)-((I248*J248)*L248/100))+(((I248*J248)-((I248*J248)*L248/100))*M248/100),2)</f>
      </c>
      <c r="O248" s="230">
        <f>M11</f>
      </c>
      <c r="P248" s="235"/>
      <c r="Q248" s="236"/>
      <c r="R248" s="237" t="s">
        <v>341</v>
      </c>
      <c r="S248" s="238"/>
      <c r="T248" s="239"/>
    </row>
    <row r="249" spans="1:20" ht="24" customHeight="1">
      <c r="A249" s="226">
        <v>230</v>
      </c>
      <c r="B249" s="226">
        <v>99990005568936</v>
      </c>
      <c r="C249" s="227">
        <v>1778738</v>
      </c>
      <c r="D249" s="228" t="s">
        <v>342</v>
      </c>
      <c r="E249" s="229"/>
      <c r="F249" s="229">
        <v>470702</v>
      </c>
      <c r="G249" s="229" t="s">
        <v>57</v>
      </c>
      <c r="H249" s="230">
        <v>0</v>
      </c>
      <c r="I249" s="231">
        <v>10</v>
      </c>
      <c r="J249" s="232">
        <v>0.76</v>
      </c>
      <c r="K249" s="233"/>
      <c r="L249" s="231" t="s">
        <v>23</v>
      </c>
      <c r="M249" s="231">
        <v>0</v>
      </c>
      <c r="N249" s="234">
        <f>ROUND(((I249*J249)-((I249*J249)*L249/100))+(((I249*J249)-((I249*J249)*L249/100))*M249/100),2)</f>
      </c>
      <c r="O249" s="230">
        <f>M11</f>
      </c>
      <c r="P249" s="235" t="s">
        <v>518</v>
      </c>
      <c r="Q249" s="236"/>
      <c r="R249" s="237" t="s">
        <v>343</v>
      </c>
      <c r="S249" s="238"/>
      <c r="T249" s="239"/>
    </row>
    <row r="250" spans="1:20" ht="24" customHeight="1">
      <c r="A250" s="226">
        <v>231</v>
      </c>
      <c r="B250" s="226">
        <v>99990011282680</v>
      </c>
      <c r="C250" s="227">
        <v>150387</v>
      </c>
      <c r="D250" s="228" t="s">
        <v>344</v>
      </c>
      <c r="E250" s="229"/>
      <c r="F250" s="229">
        <v>150387</v>
      </c>
      <c r="G250" s="229" t="s">
        <v>41</v>
      </c>
      <c r="H250" s="230">
        <v>0</v>
      </c>
      <c r="I250" s="231">
        <v>23</v>
      </c>
      <c r="J250" s="232">
        <v>15.04</v>
      </c>
      <c r="K250" s="233"/>
      <c r="L250" s="231" t="s">
        <v>23</v>
      </c>
      <c r="M250" s="231">
        <v>0</v>
      </c>
      <c r="N250" s="234">
        <f>ROUND(((I250*J250)-((I250*J250)*L250/100))+(((I250*J250)-((I250*J250)*L250/100))*M250/100),2)</f>
      </c>
      <c r="O250" s="230">
        <f>M11</f>
      </c>
      <c r="P250" s="235" t="s">
        <v>519</v>
      </c>
      <c r="Q250" s="236"/>
      <c r="R250" s="237" t="s">
        <v>345</v>
      </c>
      <c r="S250" s="238"/>
      <c r="T250" s="239"/>
    </row>
    <row r="251" spans="1:20" ht="24" customHeight="1">
      <c r="A251" s="226">
        <v>232</v>
      </c>
      <c r="B251" s="226">
        <v>99990008657424</v>
      </c>
      <c r="C251" s="227">
        <v>550342</v>
      </c>
      <c r="D251" s="228" t="s">
        <v>346</v>
      </c>
      <c r="E251" s="229"/>
      <c r="F251" s="229">
        <v>550342</v>
      </c>
      <c r="G251" s="229" t="s">
        <v>41</v>
      </c>
      <c r="H251" s="230">
        <v>2.60</v>
      </c>
      <c r="I251" s="231">
        <v>10</v>
      </c>
      <c r="J251" s="232">
        <v>2.6</v>
      </c>
      <c r="K251" s="233"/>
      <c r="L251" s="231" t="s">
        <v>23</v>
      </c>
      <c r="M251" s="231">
        <v>0</v>
      </c>
      <c r="N251" s="234">
        <f>ROUND(((I251*J251)-((I251*J251)*L251/100))+(((I251*J251)-((I251*J251)*L251/100))*M251/100),2)</f>
      </c>
      <c r="O251" s="230">
        <f>M11</f>
      </c>
      <c r="P251" s="235" t="s">
        <v>520</v>
      </c>
      <c r="Q251" s="236"/>
      <c r="R251" s="237"/>
      <c r="S251" s="238"/>
      <c r="T251" s="239"/>
    </row>
    <row r="252" spans="1:20" ht="24" customHeight="1">
      <c r="A252" s="226">
        <v>233</v>
      </c>
      <c r="B252" s="226">
        <v>99990010270459</v>
      </c>
      <c r="C252" s="227">
        <v>171951</v>
      </c>
      <c r="D252" s="228" t="s">
        <v>347</v>
      </c>
      <c r="E252" s="229"/>
      <c r="F252" s="229">
        <v>171951</v>
      </c>
      <c r="G252" s="229" t="s">
        <v>41</v>
      </c>
      <c r="H252" s="230">
        <v>0</v>
      </c>
      <c r="I252" s="231">
        <v>2</v>
      </c>
      <c r="J252" s="232">
        <v>7.83</v>
      </c>
      <c r="K252" s="233"/>
      <c r="L252" s="231" t="s">
        <v>23</v>
      </c>
      <c r="M252" s="231">
        <v>0</v>
      </c>
      <c r="N252" s="234">
        <f>ROUND(((I252*J252)-((I252*J252)*L252/100))+(((I252*J252)-((I252*J252)*L252/100))*M252/100),2)</f>
      </c>
      <c r="O252" s="230">
        <f>M11</f>
      </c>
      <c r="P252" s="235" t="s">
        <v>521</v>
      </c>
      <c r="Q252" s="236"/>
      <c r="R252" s="237" t="s">
        <v>348</v>
      </c>
      <c r="S252" s="238"/>
      <c r="T252" s="239"/>
    </row>
    <row r="253" spans="1:20" ht="24" customHeight="1">
      <c r="A253" s="226">
        <v>234</v>
      </c>
      <c r="B253" s="226">
        <v>99990009630935</v>
      </c>
      <c r="C253" s="227">
        <v>172316</v>
      </c>
      <c r="D253" s="228" t="s">
        <v>349</v>
      </c>
      <c r="E253" s="229"/>
      <c r="F253" s="229">
        <v>172316</v>
      </c>
      <c r="G253" s="229" t="s">
        <v>41</v>
      </c>
      <c r="H253" s="230">
        <v>4.83</v>
      </c>
      <c r="I253" s="231">
        <v>2</v>
      </c>
      <c r="J253" s="232">
        <v>2.8</v>
      </c>
      <c r="K253" s="233"/>
      <c r="L253" s="231" t="s">
        <v>23</v>
      </c>
      <c r="M253" s="231">
        <v>0</v>
      </c>
      <c r="N253" s="234">
        <f>ROUND(((I253*J253)-((I253*J253)*L253/100))+(((I253*J253)-((I253*J253)*L253/100))*M253/100),2)</f>
      </c>
      <c r="O253" s="230">
        <f>M11</f>
      </c>
      <c r="P253" s="235" t="s">
        <v>522</v>
      </c>
      <c r="Q253" s="236"/>
      <c r="R253" s="237"/>
      <c r="S253" s="238"/>
      <c r="T253" s="239"/>
    </row>
    <row r="254" spans="1:20" ht="24" customHeight="1">
      <c r="A254" s="226">
        <v>235</v>
      </c>
      <c r="B254" s="226">
        <v>99990008657220</v>
      </c>
      <c r="C254" s="227">
        <v>172317</v>
      </c>
      <c r="D254" s="228" t="s">
        <v>350</v>
      </c>
      <c r="E254" s="229"/>
      <c r="F254" s="229">
        <v>172317</v>
      </c>
      <c r="G254" s="229" t="s">
        <v>41</v>
      </c>
      <c r="H254" s="230">
        <v>4.83</v>
      </c>
      <c r="I254" s="231">
        <v>2</v>
      </c>
      <c r="J254" s="232">
        <v>0</v>
      </c>
      <c r="K254" s="233"/>
      <c r="L254" s="231" t="s">
        <v>23</v>
      </c>
      <c r="M254" s="231">
        <v>0</v>
      </c>
      <c r="N254" s="234">
        <f>ROUND(((I254*J254)-((I254*J254)*L254/100))+(((I254*J254)-((I254*J254)*L254/100))*M254/100),2)</f>
      </c>
      <c r="O254" s="230">
        <f>M11</f>
      </c>
      <c r="P254" s="235" t="s">
        <v>523</v>
      </c>
      <c r="Q254" s="236"/>
      <c r="R254" s="237" t="s">
        <v>351</v>
      </c>
      <c r="S254" s="238"/>
      <c r="T254" s="239"/>
    </row>
    <row r="255" spans="1:20" ht="24" customHeight="1">
      <c r="A255" s="226">
        <v>236</v>
      </c>
      <c r="B255" s="226">
        <v>99990010004282</v>
      </c>
      <c r="C255" s="227">
        <v>175096</v>
      </c>
      <c r="D255" s="228" t="s">
        <v>352</v>
      </c>
      <c r="E255" s="229"/>
      <c r="F255" s="229">
        <v>175096</v>
      </c>
      <c r="G255" s="229" t="s">
        <v>41</v>
      </c>
      <c r="H255" s="230">
        <v>0</v>
      </c>
      <c r="I255" s="231">
        <v>2</v>
      </c>
      <c r="J255" s="232">
        <v>65.89</v>
      </c>
      <c r="K255" s="233"/>
      <c r="L255" s="231" t="s">
        <v>23</v>
      </c>
      <c r="M255" s="231">
        <v>0</v>
      </c>
      <c r="N255" s="234">
        <f>ROUND(((I255*J255)-((I255*J255)*L255/100))+(((I255*J255)-((I255*J255)*L255/100))*M255/100),2)</f>
      </c>
      <c r="O255" s="230">
        <f>M11</f>
      </c>
      <c r="P255" s="235" t="s">
        <v>524</v>
      </c>
      <c r="Q255" s="236"/>
      <c r="R255" s="237"/>
      <c r="S255" s="238"/>
      <c r="T255" s="239"/>
    </row>
    <row r="256" spans="1:20" ht="24" customHeight="1">
      <c r="A256" s="226">
        <v>237</v>
      </c>
      <c r="B256" s="226">
        <v>99990008657378</v>
      </c>
      <c r="C256" s="227">
        <v>174503</v>
      </c>
      <c r="D256" s="228" t="s">
        <v>353</v>
      </c>
      <c r="E256" s="229"/>
      <c r="F256" s="229">
        <v>174503</v>
      </c>
      <c r="G256" s="229" t="s">
        <v>41</v>
      </c>
      <c r="H256" s="230">
        <v>8.98</v>
      </c>
      <c r="I256" s="231">
        <v>2</v>
      </c>
      <c r="J256" s="232">
        <v>8.98</v>
      </c>
      <c r="K256" s="233"/>
      <c r="L256" s="231" t="s">
        <v>23</v>
      </c>
      <c r="M256" s="231">
        <v>0</v>
      </c>
      <c r="N256" s="234">
        <f>ROUND(((I256*J256)-((I256*J256)*L256/100))+(((I256*J256)-((I256*J256)*L256/100))*M256/100),2)</f>
      </c>
      <c r="O256" s="230">
        <f>M11</f>
      </c>
      <c r="P256" s="235" t="s">
        <v>525</v>
      </c>
      <c r="Q256" s="236"/>
      <c r="R256" s="237" t="s">
        <v>354</v>
      </c>
      <c r="S256" s="238"/>
      <c r="T256" s="239"/>
    </row>
    <row r="257" spans="1:20" ht="24" customHeight="1">
      <c r="A257" s="226">
        <v>238</v>
      </c>
      <c r="B257" s="226">
        <v>99990010634575</v>
      </c>
      <c r="C257" s="227">
        <v>174198</v>
      </c>
      <c r="D257" s="228" t="s">
        <v>355</v>
      </c>
      <c r="E257" s="229"/>
      <c r="F257" s="229">
        <v>174198</v>
      </c>
      <c r="G257" s="229" t="s">
        <v>65</v>
      </c>
      <c r="H257" s="230">
        <v>0</v>
      </c>
      <c r="I257" s="231">
        <v>4</v>
      </c>
      <c r="J257" s="232">
        <v>0.68</v>
      </c>
      <c r="K257" s="233"/>
      <c r="L257" s="231" t="s">
        <v>23</v>
      </c>
      <c r="M257" s="231">
        <v>0</v>
      </c>
      <c r="N257" s="234">
        <f>ROUND(((I257*J257)-((I257*J257)*L257/100))+(((I257*J257)-((I257*J257)*L257/100))*M257/100),2)</f>
      </c>
      <c r="O257" s="230">
        <f>M11</f>
      </c>
      <c r="P257" s="235"/>
      <c r="Q257" s="236"/>
      <c r="R257" s="237"/>
      <c r="S257" s="238"/>
      <c r="T257" s="239"/>
    </row>
    <row r="258" spans="1:20" ht="24" customHeight="1">
      <c r="A258" s="226">
        <v>239</v>
      </c>
      <c r="B258" s="226">
        <v>99990011701115</v>
      </c>
      <c r="C258" s="227">
        <v>174214</v>
      </c>
      <c r="D258" s="228" t="s">
        <v>356</v>
      </c>
      <c r="E258" s="229"/>
      <c r="F258" s="229">
        <v>174214</v>
      </c>
      <c r="G258" s="229" t="s">
        <v>65</v>
      </c>
      <c r="H258" s="230">
        <v>0</v>
      </c>
      <c r="I258" s="231">
        <v>20</v>
      </c>
      <c r="J258" s="232">
        <v>4.8</v>
      </c>
      <c r="K258" s="233"/>
      <c r="L258" s="231" t="s">
        <v>23</v>
      </c>
      <c r="M258" s="231">
        <v>0</v>
      </c>
      <c r="N258" s="234">
        <f>ROUND(((I258*J258)-((I258*J258)*L258/100))+(((I258*J258)-((I258*J258)*L258/100))*M258/100),2)</f>
      </c>
      <c r="O258" s="230">
        <f>M11</f>
      </c>
      <c r="P258" s="235"/>
      <c r="Q258" s="236"/>
      <c r="R258" s="237"/>
      <c r="S258" s="238"/>
      <c r="T258" s="239"/>
    </row>
    <row r="259" spans="1:20" ht="24" customHeight="1">
      <c r="A259" s="226">
        <v>240</v>
      </c>
      <c r="B259" s="226">
        <v>99990008657331</v>
      </c>
      <c r="C259" s="227">
        <v>174048</v>
      </c>
      <c r="D259" s="228" t="s">
        <v>357</v>
      </c>
      <c r="E259" s="229"/>
      <c r="F259" s="229">
        <v>174048</v>
      </c>
      <c r="G259" s="229" t="s">
        <v>69</v>
      </c>
      <c r="H259" s="230">
        <v>1.22</v>
      </c>
      <c r="I259" s="231">
        <v>2</v>
      </c>
      <c r="J259" s="232">
        <v>1.22</v>
      </c>
      <c r="K259" s="233"/>
      <c r="L259" s="231" t="s">
        <v>23</v>
      </c>
      <c r="M259" s="231">
        <v>0</v>
      </c>
      <c r="N259" s="234">
        <f>ROUND(((I259*J259)-((I259*J259)*L259/100))+(((I259*J259)-((I259*J259)*L259/100))*M259/100),2)</f>
      </c>
      <c r="O259" s="230">
        <f>M11</f>
      </c>
      <c r="P259" s="235"/>
      <c r="Q259" s="236"/>
      <c r="R259" s="237"/>
      <c r="S259" s="238"/>
      <c r="T259" s="239"/>
    </row>
    <row r="260" spans="1:20" ht="24" customHeight="1">
      <c r="A260" s="226">
        <v>241</v>
      </c>
      <c r="B260" s="226">
        <v>99990008171135</v>
      </c>
      <c r="C260" s="227">
        <v>173259</v>
      </c>
      <c r="D260" s="228" t="s">
        <v>358</v>
      </c>
      <c r="E260" s="229"/>
      <c r="F260" s="229">
        <v>173259</v>
      </c>
      <c r="G260" s="229" t="s">
        <v>41</v>
      </c>
      <c r="H260" s="230">
        <v>0</v>
      </c>
      <c r="I260" s="231">
        <v>8</v>
      </c>
      <c r="J260" s="232">
        <v>0.54</v>
      </c>
      <c r="K260" s="233"/>
      <c r="L260" s="231" t="s">
        <v>23</v>
      </c>
      <c r="M260" s="231">
        <v>0</v>
      </c>
      <c r="N260" s="234">
        <f>ROUND(((I260*J260)-((I260*J260)*L260/100))+(((I260*J260)-((I260*J260)*L260/100))*M260/100),2)</f>
      </c>
      <c r="O260" s="230">
        <f>M11</f>
      </c>
      <c r="P260" s="235"/>
      <c r="Q260" s="236"/>
      <c r="R260" s="237"/>
      <c r="S260" s="238"/>
      <c r="T260" s="239"/>
    </row>
    <row r="261" spans="1:20" ht="24" customHeight="1">
      <c r="A261" s="226">
        <v>242</v>
      </c>
      <c r="B261" s="226">
        <v>99990008656982</v>
      </c>
      <c r="C261" s="227">
        <v>170102</v>
      </c>
      <c r="D261" s="228" t="s">
        <v>359</v>
      </c>
      <c r="E261" s="229"/>
      <c r="F261" s="229">
        <v>170102</v>
      </c>
      <c r="G261" s="229" t="s">
        <v>41</v>
      </c>
      <c r="H261" s="230">
        <v>0.57</v>
      </c>
      <c r="I261" s="231">
        <v>5</v>
      </c>
      <c r="J261" s="232">
        <v>0.57</v>
      </c>
      <c r="K261" s="233"/>
      <c r="L261" s="231" t="s">
        <v>23</v>
      </c>
      <c r="M261" s="231">
        <v>0</v>
      </c>
      <c r="N261" s="234">
        <f>ROUND(((I261*J261)-((I261*J261)*L261/100))+(((I261*J261)-((I261*J261)*L261/100))*M261/100),2)</f>
      </c>
      <c r="O261" s="230">
        <f>M11</f>
      </c>
      <c r="P261" s="235"/>
      <c r="Q261" s="236"/>
      <c r="R261" s="237"/>
      <c r="S261" s="238"/>
      <c r="T261" s="239"/>
    </row>
    <row r="262" spans="1:20" ht="24" customHeight="1">
      <c r="A262" s="226">
        <v>243</v>
      </c>
      <c r="B262" s="226">
        <v>99990008656983</v>
      </c>
      <c r="C262" s="227">
        <v>170103</v>
      </c>
      <c r="D262" s="228" t="s">
        <v>360</v>
      </c>
      <c r="E262" s="229"/>
      <c r="F262" s="229">
        <v>170103</v>
      </c>
      <c r="G262" s="229" t="s">
        <v>41</v>
      </c>
      <c r="H262" s="230">
        <v>0.57</v>
      </c>
      <c r="I262" s="231">
        <v>30</v>
      </c>
      <c r="J262" s="232">
        <v>0.57</v>
      </c>
      <c r="K262" s="233"/>
      <c r="L262" s="231" t="s">
        <v>23</v>
      </c>
      <c r="M262" s="231">
        <v>0</v>
      </c>
      <c r="N262" s="234">
        <f>ROUND(((I262*J262)-((I262*J262)*L262/100))+(((I262*J262)-((I262*J262)*L262/100))*M262/100),2)</f>
      </c>
      <c r="O262" s="230">
        <f>M11</f>
      </c>
      <c r="P262" s="235"/>
      <c r="Q262" s="236"/>
      <c r="R262" s="237"/>
      <c r="S262" s="238"/>
      <c r="T262" s="239"/>
    </row>
    <row r="263" spans="1:20" ht="24" customHeight="1">
      <c r="A263" s="226">
        <v>244</v>
      </c>
      <c r="B263" s="226">
        <v>99990008657241</v>
      </c>
      <c r="C263" s="227">
        <v>172376</v>
      </c>
      <c r="D263" s="228" t="s">
        <v>361</v>
      </c>
      <c r="E263" s="229"/>
      <c r="F263" s="229">
        <v>172376</v>
      </c>
      <c r="G263" s="229" t="s">
        <v>69</v>
      </c>
      <c r="H263" s="230">
        <v>2.86</v>
      </c>
      <c r="I263" s="231">
        <v>2</v>
      </c>
      <c r="J263" s="232">
        <v>2.86</v>
      </c>
      <c r="K263" s="233"/>
      <c r="L263" s="231" t="s">
        <v>23</v>
      </c>
      <c r="M263" s="231">
        <v>0</v>
      </c>
      <c r="N263" s="234">
        <f>ROUND(((I263*J263)-((I263*J263)*L263/100))+(((I263*J263)-((I263*J263)*L263/100))*M263/100),2)</f>
      </c>
      <c r="O263" s="230">
        <f>M11</f>
      </c>
      <c r="P263" s="235"/>
      <c r="Q263" s="236"/>
      <c r="R263" s="237"/>
      <c r="S263" s="238"/>
      <c r="T263" s="239"/>
    </row>
    <row r="264" spans="1:20" ht="24" customHeight="1">
      <c r="A264" s="226">
        <v>245</v>
      </c>
      <c r="B264" s="226">
        <v>99990008657784</v>
      </c>
      <c r="C264" s="227" t="s">
        <v>110</v>
      </c>
      <c r="D264" s="228" t="s">
        <v>362</v>
      </c>
      <c r="E264" s="229"/>
      <c r="F264" s="229">
        <v>470704</v>
      </c>
      <c r="G264" s="229" t="s">
        <v>57</v>
      </c>
      <c r="H264" s="230">
        <v>0.76</v>
      </c>
      <c r="I264" s="231">
        <v>2</v>
      </c>
      <c r="J264" s="232">
        <v>0.76</v>
      </c>
      <c r="K264" s="233"/>
      <c r="L264" s="231" t="s">
        <v>23</v>
      </c>
      <c r="M264" s="231">
        <v>0</v>
      </c>
      <c r="N264" s="234">
        <f>ROUND(((I264*J264)-((I264*J264)*L264/100))+(((I264*J264)-((I264*J264)*L264/100))*M264/100),2)</f>
      </c>
      <c r="O264" s="230">
        <f>M11</f>
      </c>
      <c r="P264" s="235" t="s">
        <v>518</v>
      </c>
      <c r="Q264" s="236"/>
      <c r="R264" s="237"/>
      <c r="S264" s="238"/>
      <c r="T264" s="239"/>
    </row>
    <row r="265" spans="1:20" ht="24" customHeight="1">
      <c r="A265" s="226">
        <v>246</v>
      </c>
      <c r="B265" s="226">
        <v>99990010149670</v>
      </c>
      <c r="C265" s="227">
        <v>232213</v>
      </c>
      <c r="D265" s="228" t="s">
        <v>363</v>
      </c>
      <c r="E265" s="229"/>
      <c r="F265" s="229">
        <v>232213</v>
      </c>
      <c r="G265" s="229" t="s">
        <v>79</v>
      </c>
      <c r="H265" s="230">
        <v>0</v>
      </c>
      <c r="I265" s="231">
        <v>50</v>
      </c>
      <c r="J265" s="232">
        <v>1.02</v>
      </c>
      <c r="K265" s="233"/>
      <c r="L265" s="231" t="s">
        <v>23</v>
      </c>
      <c r="M265" s="231">
        <v>0</v>
      </c>
      <c r="N265" s="234">
        <f>ROUND(((I265*J265)-((I265*J265)*L265/100))+(((I265*J265)-((I265*J265)*L265/100))*M265/100),2)</f>
      </c>
      <c r="O265" s="230">
        <f>M11</f>
      </c>
      <c r="P265" s="235" t="s">
        <v>526</v>
      </c>
      <c r="Q265" s="236"/>
      <c r="R265" s="237"/>
      <c r="S265" s="238"/>
      <c r="T265" s="239"/>
    </row>
    <row r="266" spans="1:20" ht="24" customHeight="1">
      <c r="A266" s="226">
        <v>247</v>
      </c>
      <c r="B266" s="226">
        <v>99990008198809</v>
      </c>
      <c r="C266" s="227">
        <v>690801</v>
      </c>
      <c r="D266" s="228" t="s">
        <v>364</v>
      </c>
      <c r="E266" s="229"/>
      <c r="F266" s="229">
        <v>690801</v>
      </c>
      <c r="G266" s="229" t="s">
        <v>41</v>
      </c>
      <c r="H266" s="230">
        <v>0</v>
      </c>
      <c r="I266" s="231">
        <v>50</v>
      </c>
      <c r="J266" s="232">
        <v>0.82</v>
      </c>
      <c r="K266" s="233"/>
      <c r="L266" s="231" t="s">
        <v>23</v>
      </c>
      <c r="M266" s="231">
        <v>0</v>
      </c>
      <c r="N266" s="234">
        <f>ROUND(((I266*J266)-((I266*J266)*L266/100))+(((I266*J266)-((I266*J266)*L266/100))*M266/100),2)</f>
      </c>
      <c r="O266" s="230">
        <f>M11</f>
      </c>
      <c r="P266" s="235"/>
      <c r="Q266" s="236"/>
      <c r="R266" s="237" t="s">
        <v>365</v>
      </c>
      <c r="S266" s="238"/>
      <c r="T266" s="239"/>
    </row>
    <row r="267" spans="1:20" ht="24" customHeight="1">
      <c r="A267" s="226">
        <v>248</v>
      </c>
      <c r="B267" s="226">
        <v>99990008191369</v>
      </c>
      <c r="C267" s="227">
        <v>615843</v>
      </c>
      <c r="D267" s="228" t="s">
        <v>366</v>
      </c>
      <c r="E267" s="229"/>
      <c r="F267" s="229">
        <v>615843</v>
      </c>
      <c r="G267" s="229" t="s">
        <v>41</v>
      </c>
      <c r="H267" s="230">
        <v>0</v>
      </c>
      <c r="I267" s="231">
        <v>6</v>
      </c>
      <c r="J267" s="232">
        <v>2.03</v>
      </c>
      <c r="K267" s="233"/>
      <c r="L267" s="231" t="s">
        <v>23</v>
      </c>
      <c r="M267" s="231">
        <v>0</v>
      </c>
      <c r="N267" s="234">
        <f>ROUND(((I267*J267)-((I267*J267)*L267/100))+(((I267*J267)-((I267*J267)*L267/100))*M267/100),2)</f>
      </c>
      <c r="O267" s="230">
        <f>M11</f>
      </c>
      <c r="P267" s="235" t="s">
        <v>527</v>
      </c>
      <c r="Q267" s="236"/>
      <c r="R267" s="237"/>
      <c r="S267" s="238"/>
      <c r="T267" s="239"/>
    </row>
    <row r="268" spans="1:20" ht="24" customHeight="1">
      <c r="A268" s="226">
        <v>249</v>
      </c>
      <c r="B268" s="226">
        <v>99990011823535</v>
      </c>
      <c r="C268" s="227" t="s">
        <v>367</v>
      </c>
      <c r="D268" s="228" t="s">
        <v>368</v>
      </c>
      <c r="E268" s="229"/>
      <c r="F268" s="229" t="s">
        <v>367</v>
      </c>
      <c r="G268" s="229" t="s">
        <v>65</v>
      </c>
      <c r="H268" s="230">
        <v>0</v>
      </c>
      <c r="I268" s="231">
        <v>5</v>
      </c>
      <c r="J268" s="232">
        <v>82.43</v>
      </c>
      <c r="K268" s="233"/>
      <c r="L268" s="231" t="s">
        <v>23</v>
      </c>
      <c r="M268" s="231">
        <v>0</v>
      </c>
      <c r="N268" s="234">
        <f>ROUND(((I268*J268)-((I268*J268)*L268/100))+(((I268*J268)-((I268*J268)*L268/100))*M268/100),2)</f>
      </c>
      <c r="O268" s="230">
        <f>M11</f>
      </c>
      <c r="P268" s="235" t="s">
        <v>528</v>
      </c>
      <c r="Q268" s="236"/>
      <c r="R268" s="237"/>
      <c r="S268" s="238"/>
      <c r="T268" s="239"/>
    </row>
    <row r="269" spans="1:20" ht="24" customHeight="1">
      <c r="A269" s="226">
        <v>250</v>
      </c>
      <c r="B269" s="226">
        <v>99990009868436</v>
      </c>
      <c r="C269" s="227">
        <v>331657</v>
      </c>
      <c r="D269" s="228" t="s">
        <v>369</v>
      </c>
      <c r="E269" s="229"/>
      <c r="F269" s="229">
        <v>331657</v>
      </c>
      <c r="G269" s="229" t="s">
        <v>65</v>
      </c>
      <c r="H269" s="230">
        <v>0</v>
      </c>
      <c r="I269" s="231">
        <v>5</v>
      </c>
      <c r="J269" s="232">
        <v>52.72</v>
      </c>
      <c r="K269" s="233"/>
      <c r="L269" s="231" t="s">
        <v>23</v>
      </c>
      <c r="M269" s="231">
        <v>0</v>
      </c>
      <c r="N269" s="234">
        <f>ROUND(((I269*J269)-((I269*J269)*L269/100))+(((I269*J269)-((I269*J269)*L269/100))*M269/100),2)</f>
      </c>
      <c r="O269" s="230">
        <f>M11</f>
      </c>
      <c r="P269" s="235"/>
      <c r="Q269" s="236"/>
      <c r="R269" s="237"/>
      <c r="S269" s="238"/>
      <c r="T269" s="239"/>
    </row>
    <row r="270" spans="1:20" ht="24" customHeight="1">
      <c r="A270" s="226">
        <v>251</v>
      </c>
      <c r="B270" s="226">
        <v>99990009868488</v>
      </c>
      <c r="C270" s="227">
        <v>331651</v>
      </c>
      <c r="D270" s="228" t="s">
        <v>370</v>
      </c>
      <c r="E270" s="229"/>
      <c r="F270" s="229">
        <v>331651</v>
      </c>
      <c r="G270" s="229" t="s">
        <v>41</v>
      </c>
      <c r="H270" s="230">
        <v>0</v>
      </c>
      <c r="I270" s="231">
        <v>1</v>
      </c>
      <c r="J270" s="232">
        <v>478.26</v>
      </c>
      <c r="K270" s="233"/>
      <c r="L270" s="231" t="s">
        <v>23</v>
      </c>
      <c r="M270" s="231">
        <v>0</v>
      </c>
      <c r="N270" s="234">
        <f>ROUND(((I270*J270)-((I270*J270)*L270/100))+(((I270*J270)-((I270*J270)*L270/100))*M270/100),2)</f>
      </c>
      <c r="O270" s="230">
        <f>M11</f>
      </c>
      <c r="P270" s="235"/>
      <c r="Q270" s="236"/>
      <c r="R270" s="237"/>
      <c r="S270" s="238"/>
      <c r="T270" s="239"/>
    </row>
    <row r="271" spans="1:20" ht="24" customHeight="1">
      <c r="A271" s="226">
        <v>252</v>
      </c>
      <c r="B271" s="226">
        <v>99990008191422</v>
      </c>
      <c r="C271" s="227">
        <v>615951</v>
      </c>
      <c r="D271" s="228" t="s">
        <v>371</v>
      </c>
      <c r="E271" s="229"/>
      <c r="F271" s="229">
        <v>615951</v>
      </c>
      <c r="G271" s="229" t="s">
        <v>41</v>
      </c>
      <c r="H271" s="230">
        <v>0</v>
      </c>
      <c r="I271" s="231">
        <v>10</v>
      </c>
      <c r="J271" s="232">
        <v>6.9</v>
      </c>
      <c r="K271" s="233"/>
      <c r="L271" s="231" t="s">
        <v>23</v>
      </c>
      <c r="M271" s="231">
        <v>0</v>
      </c>
      <c r="N271" s="234">
        <f>ROUND(((I271*J271)-((I271*J271)*L271/100))+(((I271*J271)-((I271*J271)*L271/100))*M271/100),2)</f>
      </c>
      <c r="O271" s="230">
        <f>M11</f>
      </c>
      <c r="P271" s="235" t="s">
        <v>529</v>
      </c>
      <c r="Q271" s="236"/>
      <c r="R271" s="237"/>
      <c r="S271" s="238"/>
      <c r="T271" s="239"/>
    </row>
    <row r="272" spans="1:20" ht="15" customHeight="1">
      <c r="A272" s="32"/>
      <c r="B272" s="295"/>
      <c r="C272" s="296"/>
      <c r="D272" s="296"/>
      <c r="E272" s="296"/>
      <c r="F272" s="296"/>
      <c r="G272" s="296"/>
      <c r="H272" s="297"/>
      <c r="I272" s="297"/>
      <c r="J272" s="297"/>
      <c r="K272" s="297"/>
      <c r="L272" s="297"/>
      <c r="M272" s="297"/>
      <c r="N272" s="297"/>
      <c r="O272" s="297"/>
      <c r="P272" s="297"/>
      <c r="Q272" s="297"/>
      <c r="R272" s="297"/>
      <c r="S272" s="297"/>
      <c r="T272" s="298"/>
    </row>
    <row r="273" spans="1:20" ht="12.75" customHeight="1">
      <c r="A273" s="289" t="s">
        <v>28</v>
      </c>
      <c r="B273" s="289"/>
      <c r="C273" s="290" t="s">
        <v>372</v>
      </c>
      <c r="D273" s="291"/>
      <c r="E273" s="291"/>
      <c r="F273" s="291"/>
      <c r="G273" s="291"/>
      <c r="H273" s="291"/>
      <c r="I273" s="292"/>
      <c r="J273" s="292" t="s">
        <v>373</v>
      </c>
      <c r="K273" s="292"/>
      <c r="L273" s="292" t="s">
        <v>35</v>
      </c>
      <c r="M273" s="292" t="s">
        <v>36</v>
      </c>
      <c r="N273" s="293" t="s">
        <v>374</v>
      </c>
      <c r="O273" s="294" t="s">
        <v>38</v>
      </c>
      <c r="P273" s="294"/>
      <c r="Q273" s="294"/>
      <c r="R273" s="294"/>
      <c r="S273" s="294"/>
      <c r="T273" s="225"/>
    </row>
    <row r="274" spans="1:20" ht="15" customHeight="1">
      <c r="A274" s="269">
        <v>1</v>
      </c>
      <c r="B274" s="270"/>
      <c r="C274" s="271" t="s">
        <v>375</v>
      </c>
      <c r="D274" s="272" t="s">
        <v>375</v>
      </c>
      <c r="E274" s="272" t="s">
        <v>375</v>
      </c>
      <c r="F274" s="272" t="s">
        <v>375</v>
      </c>
      <c r="G274" s="272" t="s">
        <v>375</v>
      </c>
      <c r="H274" s="273" t="s">
        <v>375</v>
      </c>
      <c r="I274" s="274"/>
      <c r="J274" s="275">
        <v>0</v>
      </c>
      <c r="K274" s="276"/>
      <c r="L274" s="277">
        <v>0</v>
      </c>
      <c r="M274" s="277">
        <v>0</v>
      </c>
      <c r="N274" s="285">
        <f>(J274-(J274*L274/100)+((J274-(J274*L274/100))*M274/100))</f>
      </c>
      <c r="O274" s="286"/>
      <c r="P274" s="287"/>
      <c r="Q274" s="287"/>
      <c r="R274" s="287"/>
      <c r="S274" s="288"/>
      <c r="T274" s="283"/>
    </row>
    <row r="275" spans="1:20" ht="15" customHeight="1">
      <c r="A275" s="269">
        <v>2</v>
      </c>
      <c r="B275" s="270"/>
      <c r="C275" s="271" t="s">
        <v>376</v>
      </c>
      <c r="D275" s="272" t="s">
        <v>376</v>
      </c>
      <c r="E275" s="272" t="s">
        <v>376</v>
      </c>
      <c r="F275" s="272" t="s">
        <v>376</v>
      </c>
      <c r="G275" s="272" t="s">
        <v>376</v>
      </c>
      <c r="H275" s="273" t="s">
        <v>376</v>
      </c>
      <c r="I275" s="284"/>
      <c r="J275" s="275">
        <v>0</v>
      </c>
      <c r="K275" s="276"/>
      <c r="L275" s="277">
        <v>0</v>
      </c>
      <c r="M275" s="277">
        <v>0</v>
      </c>
      <c r="N275" s="279">
        <f>(J275-(J275*L275/100)+((J275-(J275*L275/100))*M275/100))</f>
      </c>
      <c r="O275" s="280"/>
      <c r="P275" s="281"/>
      <c r="Q275" s="281"/>
      <c r="R275" s="281"/>
      <c r="S275" s="282"/>
      <c r="T275" s="283"/>
    </row>
    <row r="276" spans="1:20" ht="15" customHeight="1">
      <c r="A276" s="269">
        <v>3</v>
      </c>
      <c r="B276" s="270"/>
      <c r="C276" s="271"/>
      <c r="D276" s="272"/>
      <c r="E276" s="272"/>
      <c r="F276" s="272"/>
      <c r="G276" s="272"/>
      <c r="H276" s="273"/>
      <c r="I276" s="274"/>
      <c r="J276" s="275">
        <v>0</v>
      </c>
      <c r="K276" s="276"/>
      <c r="L276" s="277">
        <v>0</v>
      </c>
      <c r="M276" s="277">
        <v>0</v>
      </c>
      <c r="N276" s="279">
        <f>(J276-(J276*L276/100)+((J276-(J276*L276/100))*M276/100))</f>
      </c>
      <c r="O276" s="280"/>
      <c r="P276" s="281"/>
      <c r="Q276" s="281"/>
      <c r="R276" s="281"/>
      <c r="S276" s="282"/>
      <c r="T276" s="283"/>
    </row>
    <row r="277" spans="1:20" ht="15.75" customHeight="1">
      <c r="A277" s="269">
        <v>4</v>
      </c>
      <c r="B277" s="270"/>
      <c r="C277" s="271"/>
      <c r="D277" s="272"/>
      <c r="E277" s="272"/>
      <c r="F277" s="272"/>
      <c r="G277" s="272"/>
      <c r="H277" s="273"/>
      <c r="I277" s="274"/>
      <c r="J277" s="275">
        <v>0</v>
      </c>
      <c r="K277" s="276"/>
      <c r="L277" s="277">
        <v>0</v>
      </c>
      <c r="M277" s="278">
        <v>0</v>
      </c>
      <c r="N277" s="279">
        <f>(J277-(J277*L277/100)+((J277-(J277*L277/100))*M277/100))</f>
      </c>
      <c r="O277" s="280"/>
      <c r="P277" s="281"/>
      <c r="Q277" s="281"/>
      <c r="R277" s="281"/>
      <c r="S277" s="282"/>
      <c r="T277" s="283"/>
    </row>
    <row r="278" spans="1:16" ht="15.95" customHeight="1">
      <c r="A278" s="247"/>
      <c r="B278" s="247"/>
      <c r="C278" s="248"/>
      <c r="D278" s="248"/>
      <c r="I278" s="163"/>
      <c r="J278" s="58" t="s">
        <v>377</v>
      </c>
      <c r="K278" s="59"/>
      <c r="L278" s="58"/>
      <c r="M278" s="59"/>
      <c r="N278" s="264">
        <f>SUM(ItmPrice)</f>
      </c>
      <c r="O278" s="267"/>
      <c r="P278" s="268"/>
    </row>
    <row r="279" spans="1:16" ht="15" customHeight="1">
      <c r="A279" s="247"/>
      <c r="B279" s="247"/>
      <c r="C279" s="248"/>
      <c r="D279" s="248"/>
      <c r="I279" s="163"/>
      <c r="J279" s="123" t="s">
        <v>378</v>
      </c>
      <c r="K279" s="124"/>
      <c r="L279" s="124"/>
      <c r="M279" s="125"/>
      <c r="N279" s="264">
        <f>SUM(N274:N278)</f>
      </c>
      <c r="O279" s="265"/>
      <c r="P279" s="266"/>
    </row>
    <row r="280" spans="1:19" ht="2.25" customHeight="1" hidden="1">
      <c r="A280" s="258">
        <v>0</v>
      </c>
      <c r="B280" s="258">
        <v>0</v>
      </c>
      <c r="C280" s="259">
        <v>0</v>
      </c>
      <c r="D280" s="248"/>
      <c r="E280" s="248"/>
      <c r="F280" s="260">
        <v>1</v>
      </c>
      <c r="G280" s="248"/>
      <c r="H280" s="248"/>
      <c r="I280" s="248"/>
      <c r="J280" s="248"/>
      <c r="K280" s="261"/>
      <c r="L280" s="262">
        <v>0</v>
      </c>
      <c r="M280" s="263">
        <v>0</v>
      </c>
      <c r="N280" s="162" t="s">
        <v>379</v>
      </c>
      <c r="O280" s="257"/>
      <c r="P280" s="263">
        <v>995</v>
      </c>
      <c r="Q280" s="248" t="s">
        <v>380</v>
      </c>
      <c r="R280" s="248"/>
      <c r="S280" s="248"/>
    </row>
    <row r="281" spans="1:19" ht="18.75" customHeight="1">
      <c r="A281" s="247"/>
      <c r="B281" s="247"/>
      <c r="C281" s="247"/>
      <c r="H281" s="257"/>
      <c r="I281" s="163"/>
      <c r="J281" s="248"/>
      <c r="K281" s="248"/>
      <c r="L281" s="248"/>
      <c r="M281" s="248"/>
      <c r="N281" s="248"/>
      <c r="O281" s="248"/>
      <c r="P281" s="248"/>
      <c r="R281" s="248"/>
      <c r="S281" s="248"/>
    </row>
    <row r="282" spans="1:20" ht="127.5" customHeight="1">
      <c r="A282" s="249" t="s">
        <v>381</v>
      </c>
      <c r="B282" s="249"/>
      <c r="C282" s="249"/>
      <c r="D282" s="250"/>
      <c r="E282" s="254"/>
      <c r="F282" s="255"/>
      <c r="G282" s="255"/>
      <c r="H282" s="255"/>
      <c r="I282" s="255"/>
      <c r="J282" s="255"/>
      <c r="K282" s="255"/>
      <c r="L282" s="255"/>
      <c r="M282" s="255"/>
      <c r="N282" s="255"/>
      <c r="O282" s="255"/>
      <c r="P282" s="255"/>
      <c r="Q282" s="255"/>
      <c r="R282" s="255"/>
      <c r="S282" s="255"/>
      <c r="T282" s="256"/>
    </row>
    <row r="283" spans="1:20" ht="129.75" customHeight="1">
      <c r="A283" s="249" t="s">
        <v>38</v>
      </c>
      <c r="B283" s="249"/>
      <c r="C283" s="249"/>
      <c r="D283" s="250"/>
      <c r="E283" s="251" t="s">
        <v>530</v>
      </c>
      <c r="F283" s="252"/>
      <c r="G283" s="252"/>
      <c r="H283" s="252"/>
      <c r="I283" s="252"/>
      <c r="J283" s="252"/>
      <c r="K283" s="252"/>
      <c r="L283" s="252"/>
      <c r="M283" s="252"/>
      <c r="N283" s="252"/>
      <c r="O283" s="252"/>
      <c r="P283" s="252"/>
      <c r="Q283" s="252"/>
      <c r="R283" s="252"/>
      <c r="S283" s="252"/>
      <c r="T283" s="253"/>
    </row>
    <row r="284" spans="1:19" ht="15.95" customHeight="1">
      <c r="A284" s="247"/>
      <c r="B284" s="247"/>
      <c r="C284" s="247"/>
      <c r="H284" s="248"/>
      <c r="I284" s="248"/>
      <c r="J284" s="248"/>
      <c r="K284" s="248"/>
      <c r="L284" s="248"/>
      <c r="M284" s="248"/>
      <c r="N284" s="248"/>
      <c r="O284" s="248"/>
      <c r="P284" s="248"/>
      <c r="Q284" s="248"/>
      <c r="R284" s="248"/>
      <c r="S284" s="248"/>
    </row>
    <row r="285" spans="1:20" ht="15.95" customHeight="1">
      <c r="A285" s="245" t="s">
        <v>382</v>
      </c>
      <c r="B285" s="245"/>
      <c r="C285" s="245"/>
      <c r="D285" s="245"/>
      <c r="E285" s="245"/>
      <c r="F285" s="245"/>
      <c r="G285" s="245"/>
      <c r="H285" s="245"/>
      <c r="I285" s="245"/>
      <c r="J285" s="245"/>
      <c r="K285" s="245"/>
      <c r="L285" s="245"/>
      <c r="M285" s="245"/>
      <c r="N285" s="245"/>
      <c r="O285" s="245"/>
      <c r="P285" s="245"/>
      <c r="Q285" s="245"/>
      <c r="R285" s="245"/>
      <c r="S285" s="245"/>
      <c r="T285" s="246"/>
    </row>
    <row r="286" spans="1:20" ht="12.75" customHeight="1">
      <c r="A286" s="243"/>
      <c r="B286" s="243"/>
      <c r="C286" s="243"/>
      <c r="D286" s="243"/>
      <c r="E286" s="243"/>
      <c r="F286" s="243"/>
      <c r="G286" s="243"/>
      <c r="H286" s="243"/>
      <c r="I286" s="243"/>
      <c r="J286" s="243"/>
      <c r="K286" s="243"/>
      <c r="L286" s="243"/>
      <c r="M286" s="243"/>
      <c r="N286" s="243"/>
      <c r="O286" s="243"/>
      <c r="P286" s="243"/>
      <c r="Q286" s="243"/>
      <c r="R286" s="243"/>
      <c r="S286" s="243"/>
      <c r="T286" s="244"/>
    </row>
    <row r="287" spans="1:20" ht="12.75" customHeight="1">
      <c r="A287" s="243"/>
      <c r="B287" s="243"/>
      <c r="C287" s="243"/>
      <c r="D287" s="243"/>
      <c r="E287" s="243"/>
      <c r="F287" s="243"/>
      <c r="G287" s="243"/>
      <c r="H287" s="243"/>
      <c r="I287" s="243"/>
      <c r="J287" s="243"/>
      <c r="K287" s="243"/>
      <c r="L287" s="243"/>
      <c r="M287" s="243"/>
      <c r="N287" s="243"/>
      <c r="O287" s="243"/>
      <c r="P287" s="243"/>
      <c r="Q287" s="243"/>
      <c r="R287" s="243"/>
      <c r="S287" s="243"/>
      <c r="T287" s="244"/>
    </row>
    <row r="288" spans="1:20" ht="7.5" customHeight="1">
      <c r="A288" s="243"/>
      <c r="B288" s="243"/>
      <c r="C288" s="243"/>
      <c r="D288" s="243"/>
      <c r="E288" s="243"/>
      <c r="F288" s="243"/>
      <c r="G288" s="243"/>
      <c r="H288" s="243"/>
      <c r="I288" s="243"/>
      <c r="J288" s="243"/>
      <c r="K288" s="243"/>
      <c r="L288" s="243"/>
      <c r="M288" s="243"/>
      <c r="N288" s="243"/>
      <c r="O288" s="243"/>
      <c r="P288" s="243"/>
      <c r="Q288" s="243"/>
      <c r="R288" s="243"/>
      <c r="S288" s="243"/>
      <c r="T288" s="244"/>
    </row>
    <row r="289" spans="1:20" ht="12.75" customHeight="1">
      <c r="A289" s="243"/>
      <c r="B289" s="243"/>
      <c r="C289" s="243"/>
      <c r="D289" s="243"/>
      <c r="E289" s="243"/>
      <c r="F289" s="243"/>
      <c r="G289" s="243"/>
      <c r="H289" s="243"/>
      <c r="I289" s="243"/>
      <c r="J289" s="243"/>
      <c r="K289" s="243"/>
      <c r="L289" s="243"/>
      <c r="M289" s="243"/>
      <c r="N289" s="243"/>
      <c r="O289" s="243"/>
      <c r="P289" s="243"/>
      <c r="Q289" s="243"/>
      <c r="R289" s="243"/>
      <c r="S289" s="243"/>
      <c r="T289" s="244"/>
    </row>
    <row r="290" spans="1:20" ht="12.75" customHeight="1">
      <c r="A290" s="243"/>
      <c r="B290" s="243"/>
      <c r="C290" s="243"/>
      <c r="D290" s="243"/>
      <c r="E290" s="243"/>
      <c r="F290" s="243"/>
      <c r="G290" s="243"/>
      <c r="H290" s="243"/>
      <c r="I290" s="243"/>
      <c r="J290" s="243"/>
      <c r="K290" s="243"/>
      <c r="L290" s="243"/>
      <c r="M290" s="243"/>
      <c r="N290" s="243"/>
      <c r="O290" s="243"/>
      <c r="P290" s="243"/>
      <c r="Q290" s="243"/>
      <c r="R290" s="243"/>
      <c r="S290" s="243"/>
      <c r="T290" s="244"/>
    </row>
    <row r="291" spans="1:20" ht="12.75" customHeight="1">
      <c r="A291" s="243"/>
      <c r="B291" s="243"/>
      <c r="C291" s="243"/>
      <c r="D291" s="243"/>
      <c r="E291" s="243"/>
      <c r="F291" s="243"/>
      <c r="G291" s="243"/>
      <c r="H291" s="243"/>
      <c r="I291" s="243"/>
      <c r="J291" s="243"/>
      <c r="K291" s="243"/>
      <c r="L291" s="243"/>
      <c r="M291" s="243"/>
      <c r="N291" s="243"/>
      <c r="O291" s="243"/>
      <c r="P291" s="243"/>
      <c r="Q291" s="243"/>
      <c r="R291" s="243"/>
      <c r="S291" s="243"/>
      <c r="T291" s="244"/>
    </row>
    <row r="292" spans="1:20" ht="7.5" customHeight="1">
      <c r="A292" s="243"/>
      <c r="B292" s="243"/>
      <c r="C292" s="243"/>
      <c r="D292" s="243"/>
      <c r="E292" s="243"/>
      <c r="F292" s="243"/>
      <c r="G292" s="243"/>
      <c r="H292" s="243"/>
      <c r="I292" s="243"/>
      <c r="J292" s="243"/>
      <c r="K292" s="243"/>
      <c r="L292" s="243"/>
      <c r="M292" s="243"/>
      <c r="N292" s="243"/>
      <c r="O292" s="243"/>
      <c r="P292" s="243"/>
      <c r="Q292" s="243"/>
      <c r="R292" s="243"/>
      <c r="S292" s="243"/>
      <c r="T292" s="244"/>
    </row>
    <row r="293" spans="1:20" ht="12.75" customHeight="1">
      <c r="A293" s="243"/>
      <c r="B293" s="243"/>
      <c r="C293" s="243"/>
      <c r="D293" s="243"/>
      <c r="E293" s="243"/>
      <c r="F293" s="243"/>
      <c r="G293" s="243"/>
      <c r="H293" s="243"/>
      <c r="I293" s="243"/>
      <c r="J293" s="243"/>
      <c r="K293" s="243"/>
      <c r="L293" s="243"/>
      <c r="M293" s="243"/>
      <c r="N293" s="243"/>
      <c r="O293" s="243"/>
      <c r="P293" s="243"/>
      <c r="Q293" s="243"/>
      <c r="R293" s="243"/>
      <c r="S293" s="243"/>
      <c r="T293" s="244"/>
    </row>
    <row r="294" spans="1:20" ht="12.75" customHeight="1">
      <c r="A294" s="243"/>
      <c r="B294" s="243"/>
      <c r="C294" s="243"/>
      <c r="D294" s="243"/>
      <c r="E294" s="243"/>
      <c r="F294" s="243"/>
      <c r="G294" s="243"/>
      <c r="H294" s="243"/>
      <c r="I294" s="243"/>
      <c r="J294" s="243"/>
      <c r="K294" s="243"/>
      <c r="L294" s="243"/>
      <c r="M294" s="243"/>
      <c r="N294" s="243"/>
      <c r="O294" s="243"/>
      <c r="P294" s="243"/>
      <c r="Q294" s="243"/>
      <c r="R294" s="243"/>
      <c r="S294" s="243"/>
      <c r="T294" s="244"/>
    </row>
    <row r="295" spans="1:20" ht="12.75" customHeight="1">
      <c r="A295" s="243"/>
      <c r="B295" s="243"/>
      <c r="C295" s="243"/>
      <c r="D295" s="243"/>
      <c r="E295" s="243"/>
      <c r="F295" s="243"/>
      <c r="G295" s="243"/>
      <c r="H295" s="243"/>
      <c r="I295" s="243"/>
      <c r="J295" s="243"/>
      <c r="K295" s="243"/>
      <c r="L295" s="243"/>
      <c r="M295" s="243"/>
      <c r="N295" s="243"/>
      <c r="O295" s="243"/>
      <c r="P295" s="243"/>
      <c r="Q295" s="243"/>
      <c r="R295" s="243"/>
      <c r="S295" s="243"/>
      <c r="T295" s="244"/>
    </row>
    <row r="296" spans="1:20" ht="12.75" customHeight="1">
      <c r="A296" s="243"/>
      <c r="B296" s="243"/>
      <c r="C296" s="243"/>
      <c r="D296" s="243"/>
      <c r="E296" s="243"/>
      <c r="F296" s="243"/>
      <c r="G296" s="243"/>
      <c r="H296" s="243"/>
      <c r="I296" s="243"/>
      <c r="J296" s="243"/>
      <c r="K296" s="243"/>
      <c r="L296" s="243"/>
      <c r="M296" s="243"/>
      <c r="N296" s="243"/>
      <c r="O296" s="243"/>
      <c r="P296" s="243"/>
      <c r="Q296" s="243"/>
      <c r="R296" s="243"/>
      <c r="S296" s="243"/>
      <c r="T296" s="244"/>
    </row>
    <row r="297" spans="1:20" ht="12.75" customHeight="1">
      <c r="A297" s="243"/>
      <c r="B297" s="243"/>
      <c r="C297" s="243"/>
      <c r="D297" s="243"/>
      <c r="E297" s="243"/>
      <c r="F297" s="243"/>
      <c r="G297" s="243"/>
      <c r="H297" s="243"/>
      <c r="I297" s="243"/>
      <c r="J297" s="243"/>
      <c r="K297" s="243"/>
      <c r="L297" s="243"/>
      <c r="M297" s="243"/>
      <c r="N297" s="243"/>
      <c r="O297" s="243"/>
      <c r="P297" s="243"/>
      <c r="Q297" s="243"/>
      <c r="R297" s="243"/>
      <c r="S297" s="243"/>
      <c r="T297" s="244"/>
    </row>
    <row r="298" spans="1:20" ht="12.75" customHeight="1">
      <c r="A298" s="243"/>
      <c r="B298" s="243"/>
      <c r="C298" s="243"/>
      <c r="D298" s="243"/>
      <c r="E298" s="243"/>
      <c r="F298" s="243"/>
      <c r="G298" s="243"/>
      <c r="H298" s="243"/>
      <c r="I298" s="243"/>
      <c r="J298" s="243"/>
      <c r="K298" s="243"/>
      <c r="L298" s="243"/>
      <c r="M298" s="243"/>
      <c r="N298" s="243"/>
      <c r="O298" s="243"/>
      <c r="P298" s="243"/>
      <c r="Q298" s="243"/>
      <c r="R298" s="243"/>
      <c r="S298" s="243"/>
      <c r="T298" s="244"/>
    </row>
    <row r="299" spans="1:20" ht="7.5" customHeight="1">
      <c r="A299" s="243"/>
      <c r="B299" s="243"/>
      <c r="C299" s="243"/>
      <c r="D299" s="243"/>
      <c r="E299" s="243"/>
      <c r="F299" s="243"/>
      <c r="G299" s="243"/>
      <c r="H299" s="243"/>
      <c r="I299" s="243"/>
      <c r="J299" s="243"/>
      <c r="K299" s="243"/>
      <c r="L299" s="243"/>
      <c r="M299" s="243"/>
      <c r="N299" s="243"/>
      <c r="O299" s="243"/>
      <c r="P299" s="243"/>
      <c r="Q299" s="243"/>
      <c r="R299" s="243"/>
      <c r="S299" s="243"/>
      <c r="T299" s="244"/>
    </row>
    <row r="300" spans="1:20" ht="12.75" customHeight="1">
      <c r="A300" s="243"/>
      <c r="B300" s="243"/>
      <c r="C300" s="243"/>
      <c r="D300" s="243"/>
      <c r="E300" s="243"/>
      <c r="F300" s="243"/>
      <c r="G300" s="243"/>
      <c r="H300" s="243"/>
      <c r="I300" s="243"/>
      <c r="J300" s="243"/>
      <c r="K300" s="243"/>
      <c r="L300" s="243"/>
      <c r="M300" s="243"/>
      <c r="N300" s="243"/>
      <c r="O300" s="243"/>
      <c r="P300" s="243"/>
      <c r="Q300" s="243"/>
      <c r="R300" s="243"/>
      <c r="S300" s="243"/>
      <c r="T300" s="244"/>
    </row>
    <row r="301" spans="1:20" ht="12.75" customHeight="1">
      <c r="A301" s="243"/>
      <c r="B301" s="243"/>
      <c r="C301" s="243"/>
      <c r="D301" s="243"/>
      <c r="E301" s="243"/>
      <c r="F301" s="243"/>
      <c r="G301" s="243"/>
      <c r="H301" s="243"/>
      <c r="I301" s="243"/>
      <c r="J301" s="243"/>
      <c r="K301" s="243"/>
      <c r="L301" s="243"/>
      <c r="M301" s="243"/>
      <c r="N301" s="243"/>
      <c r="O301" s="243"/>
      <c r="P301" s="243"/>
      <c r="Q301" s="243"/>
      <c r="R301" s="243"/>
      <c r="S301" s="243"/>
      <c r="T301" s="244"/>
    </row>
    <row r="302" spans="1:20" ht="12.75" customHeight="1">
      <c r="A302" s="243"/>
      <c r="B302" s="243"/>
      <c r="C302" s="243"/>
      <c r="D302" s="243"/>
      <c r="E302" s="243"/>
      <c r="F302" s="243"/>
      <c r="G302" s="243"/>
      <c r="H302" s="243"/>
      <c r="I302" s="243"/>
      <c r="J302" s="243"/>
      <c r="K302" s="243"/>
      <c r="L302" s="243"/>
      <c r="M302" s="243"/>
      <c r="N302" s="243"/>
      <c r="O302" s="243"/>
      <c r="P302" s="243"/>
      <c r="Q302" s="243"/>
      <c r="R302" s="243"/>
      <c r="S302" s="243"/>
      <c r="T302" s="244"/>
    </row>
    <row r="303" spans="1:20" ht="12.75" customHeight="1">
      <c r="A303" s="243"/>
      <c r="B303" s="243"/>
      <c r="C303" s="243"/>
      <c r="D303" s="243"/>
      <c r="E303" s="243"/>
      <c r="F303" s="243"/>
      <c r="G303" s="243"/>
      <c r="H303" s="243"/>
      <c r="I303" s="243"/>
      <c r="J303" s="243"/>
      <c r="K303" s="243"/>
      <c r="L303" s="243"/>
      <c r="M303" s="243"/>
      <c r="N303" s="243"/>
      <c r="O303" s="243"/>
      <c r="P303" s="243"/>
      <c r="Q303" s="243"/>
      <c r="R303" s="243"/>
      <c r="S303" s="243"/>
      <c r="T303" s="244"/>
    </row>
    <row r="304" spans="1:20" ht="12.75" customHeight="1">
      <c r="A304" s="243"/>
      <c r="B304" s="243"/>
      <c r="C304" s="243"/>
      <c r="D304" s="243"/>
      <c r="E304" s="243"/>
      <c r="F304" s="243"/>
      <c r="G304" s="243"/>
      <c r="H304" s="243"/>
      <c r="I304" s="243"/>
      <c r="J304" s="243"/>
      <c r="K304" s="243"/>
      <c r="L304" s="243"/>
      <c r="M304" s="243"/>
      <c r="N304" s="243"/>
      <c r="O304" s="243"/>
      <c r="P304" s="243"/>
      <c r="Q304" s="243"/>
      <c r="R304" s="243"/>
      <c r="S304" s="243"/>
      <c r="T304" s="244"/>
    </row>
    <row r="305" spans="1:20" ht="7.5" customHeight="1">
      <c r="A305" s="243"/>
      <c r="B305" s="243"/>
      <c r="C305" s="243"/>
      <c r="D305" s="243"/>
      <c r="E305" s="243"/>
      <c r="F305" s="243"/>
      <c r="G305" s="243"/>
      <c r="H305" s="243"/>
      <c r="I305" s="243"/>
      <c r="J305" s="243"/>
      <c r="K305" s="243"/>
      <c r="L305" s="243"/>
      <c r="M305" s="243"/>
      <c r="N305" s="243"/>
      <c r="O305" s="243"/>
      <c r="P305" s="243"/>
      <c r="Q305" s="243"/>
      <c r="R305" s="243"/>
      <c r="S305" s="243"/>
      <c r="T305" s="244"/>
    </row>
    <row r="306" spans="1:20" ht="12.75" customHeight="1">
      <c r="A306" s="243"/>
      <c r="B306" s="243"/>
      <c r="C306" s="243"/>
      <c r="D306" s="243"/>
      <c r="E306" s="243"/>
      <c r="F306" s="243"/>
      <c r="G306" s="243"/>
      <c r="H306" s="243"/>
      <c r="I306" s="243"/>
      <c r="J306" s="243"/>
      <c r="K306" s="243"/>
      <c r="L306" s="243"/>
      <c r="M306" s="243"/>
      <c r="N306" s="243"/>
      <c r="O306" s="243"/>
      <c r="P306" s="243"/>
      <c r="Q306" s="243"/>
      <c r="R306" s="243"/>
      <c r="S306" s="243"/>
      <c r="T306" s="244"/>
    </row>
    <row r="307" spans="1:20" ht="12.75" customHeight="1">
      <c r="A307" s="243"/>
      <c r="B307" s="243"/>
      <c r="C307" s="243"/>
      <c r="D307" s="243"/>
      <c r="E307" s="243"/>
      <c r="F307" s="243"/>
      <c r="G307" s="243"/>
      <c r="H307" s="243"/>
      <c r="I307" s="243"/>
      <c r="J307" s="243"/>
      <c r="K307" s="243"/>
      <c r="L307" s="243"/>
      <c r="M307" s="243"/>
      <c r="N307" s="243"/>
      <c r="O307" s="243"/>
      <c r="P307" s="243"/>
      <c r="Q307" s="243"/>
      <c r="R307" s="243"/>
      <c r="S307" s="243"/>
      <c r="T307" s="244"/>
    </row>
    <row r="308" spans="1:20" ht="12.75" customHeight="1">
      <c r="A308" s="241"/>
      <c r="B308" s="241"/>
      <c r="C308" s="241"/>
      <c r="D308" s="241"/>
      <c r="E308" s="241"/>
      <c r="F308" s="241"/>
      <c r="G308" s="241"/>
      <c r="H308" s="241"/>
      <c r="I308" s="241"/>
      <c r="J308" s="241"/>
      <c r="K308" s="241"/>
      <c r="L308" s="241"/>
      <c r="M308" s="241"/>
      <c r="N308" s="241"/>
      <c r="O308" s="241"/>
      <c r="P308" s="241"/>
      <c r="Q308" s="241"/>
      <c r="R308" s="241"/>
      <c r="S308" s="241"/>
      <c r="T308" s="242"/>
    </row>
    <row r="309" spans="1:9" ht="12.75">
      <c r="A309" s="240" t="s">
        <v>383</v>
      </c>
      <c r="B309" s="240"/>
      <c r="C309" s="240"/>
      <c r="D309" s="240"/>
      <c r="E309" s="240"/>
      <c r="F309" s="240"/>
      <c r="G309" s="240"/>
      <c r="I309" s="163"/>
    </row>
  </sheetData>
  <sheetProtection algorithmName="SHA-512" hashValue="Ob7JE5gXi2nElX2lzfKIV3vpVGSUVqkm5RHb4oTJtgmsP9FXtaPw8qdFk4X7XwQbBqW6cxNu4YaLn6anieYj4g==" saltValue="stTL/gfLvfeoCZMz2qTLBw==" spinCount="100000" sheet="1" objects="1" scenarios="1"/>
  <mergeCells count="569">
    <mergeCell ref="E282:S282"/>
    <mergeCell ref="E283:S283"/>
    <mergeCell ref="E285:S285"/>
    <mergeCell ref="A286:S307"/>
    <mergeCell ref="A308:S308"/>
    <mergeCell ref="A282:D282"/>
    <mergeCell ref="A283:D283"/>
    <mergeCell ref="K1:R1"/>
    <mergeCell ref="R19:S19"/>
    <mergeCell ref="R20:S20"/>
    <mergeCell ref="O274:S274"/>
    <mergeCell ref="O275:S275"/>
    <mergeCell ref="O273:S273"/>
    <mergeCell ref="J273:K273"/>
    <mergeCell ref="K4:L4"/>
    <mergeCell ref="M4:P4"/>
    <mergeCell ref="K5:L5"/>
    <mergeCell ref="M5:P5"/>
    <mergeCell ref="M7:Q7"/>
    <mergeCell ref="P20:Q20"/>
    <mergeCell ref="M12:O12"/>
    <mergeCell ref="K12:L12"/>
    <mergeCell ref="O278:P278"/>
    <mergeCell ref="O279:P279"/>
    <mergeCell ref="J279:M279"/>
    <mergeCell ref="O276:S276"/>
    <mergeCell ref="O277:S277"/>
    <mergeCell ref="D16:H16"/>
    <mergeCell ref="A13:C13"/>
    <mergeCell ref="D19:E19"/>
    <mergeCell ref="D13:H13"/>
    <mergeCell ref="D14:H14"/>
    <mergeCell ref="D15:H15"/>
    <mergeCell ref="D17:H17"/>
    <mergeCell ref="A14:C14"/>
    <mergeCell ref="A3:E3"/>
    <mergeCell ref="C273:H273"/>
    <mergeCell ref="M10:N10"/>
    <mergeCell ref="M9:Q9"/>
    <mergeCell ref="H18:J18"/>
    <mergeCell ref="M6:P6"/>
    <mergeCell ref="M8:N8"/>
    <mergeCell ref="K6:L6"/>
    <mergeCell ref="K7:L7"/>
    <mergeCell ref="K8:L8"/>
    <mergeCell ref="A4:I11"/>
    <mergeCell ref="A12:C12"/>
    <mergeCell ref="A15:C15"/>
    <mergeCell ref="A16:C16"/>
    <mergeCell ref="A17:C17"/>
    <mergeCell ref="K14:L14"/>
    <mergeCell ref="K15:L15"/>
    <mergeCell ref="P19:Q19"/>
    <mergeCell ref="M13:Q13"/>
    <mergeCell ref="K16:L16"/>
    <mergeCell ref="J19:K19"/>
    <mergeCell ref="K13:L13"/>
    <mergeCell ref="D20:E20"/>
    <mergeCell ref="J20:K20"/>
    <mergeCell ref="D21:E21"/>
    <mergeCell ref="J21:K21"/>
    <mergeCell ref="D22:E22"/>
    <mergeCell ref="J22:K22"/>
    <mergeCell ref="D23:E23"/>
    <mergeCell ref="J23:K23"/>
    <mergeCell ref="D24:E24"/>
    <mergeCell ref="J24:K24"/>
    <mergeCell ref="D25:E25"/>
    <mergeCell ref="J25:K25"/>
    <mergeCell ref="D26:E26"/>
    <mergeCell ref="J26:K26"/>
    <mergeCell ref="D27:E27"/>
    <mergeCell ref="J27:K27"/>
    <mergeCell ref="D28:E28"/>
    <mergeCell ref="J28:K28"/>
    <mergeCell ref="D29:E29"/>
    <mergeCell ref="J29:K29"/>
    <mergeCell ref="D30:E30"/>
    <mergeCell ref="J30:K30"/>
    <mergeCell ref="D31:E31"/>
    <mergeCell ref="J31:K31"/>
    <mergeCell ref="D32:E32"/>
    <mergeCell ref="J32:K32"/>
    <mergeCell ref="D33:E33"/>
    <mergeCell ref="J33:K33"/>
    <mergeCell ref="D34:E34"/>
    <mergeCell ref="J34:K34"/>
    <mergeCell ref="D35:E35"/>
    <mergeCell ref="J35:K35"/>
    <mergeCell ref="D36:E36"/>
    <mergeCell ref="J36:K36"/>
    <mergeCell ref="D37:E37"/>
    <mergeCell ref="J37:K37"/>
    <mergeCell ref="D38:E38"/>
    <mergeCell ref="J38:K38"/>
    <mergeCell ref="D39:E39"/>
    <mergeCell ref="J39:K39"/>
    <mergeCell ref="D40:E40"/>
    <mergeCell ref="J40:K40"/>
    <mergeCell ref="D41:E41"/>
    <mergeCell ref="J41:K41"/>
    <mergeCell ref="D42:E42"/>
    <mergeCell ref="J42:K42"/>
    <mergeCell ref="D43:E43"/>
    <mergeCell ref="J43:K43"/>
    <mergeCell ref="D44:E44"/>
    <mergeCell ref="J44:K44"/>
    <mergeCell ref="D45:E45"/>
    <mergeCell ref="J45:K45"/>
    <mergeCell ref="D46:E46"/>
    <mergeCell ref="J46:K46"/>
    <mergeCell ref="D47:E47"/>
    <mergeCell ref="J47:K47"/>
    <mergeCell ref="D48:E48"/>
    <mergeCell ref="J48:K48"/>
    <mergeCell ref="D49:E49"/>
    <mergeCell ref="J49:K49"/>
    <mergeCell ref="D50:E50"/>
    <mergeCell ref="J50:K50"/>
    <mergeCell ref="D51:E51"/>
    <mergeCell ref="J51:K51"/>
    <mergeCell ref="D52:E52"/>
    <mergeCell ref="J52:K52"/>
    <mergeCell ref="D53:E53"/>
    <mergeCell ref="J53:K53"/>
    <mergeCell ref="D54:E54"/>
    <mergeCell ref="J54:K54"/>
    <mergeCell ref="D55:E55"/>
    <mergeCell ref="J55:K55"/>
    <mergeCell ref="D56:E56"/>
    <mergeCell ref="J56:K56"/>
    <mergeCell ref="D57:E57"/>
    <mergeCell ref="J57:K57"/>
    <mergeCell ref="D58:E58"/>
    <mergeCell ref="J58:K58"/>
    <mergeCell ref="D59:E59"/>
    <mergeCell ref="J59:K59"/>
    <mergeCell ref="D60:E60"/>
    <mergeCell ref="J60:K60"/>
    <mergeCell ref="D61:E61"/>
    <mergeCell ref="J61:K61"/>
    <mergeCell ref="D62:E62"/>
    <mergeCell ref="J62:K62"/>
    <mergeCell ref="D63:E63"/>
    <mergeCell ref="J63:K63"/>
    <mergeCell ref="D64:E64"/>
    <mergeCell ref="J64:K64"/>
    <mergeCell ref="D65:E65"/>
    <mergeCell ref="J65:K65"/>
    <mergeCell ref="D66:E66"/>
    <mergeCell ref="J66:K66"/>
    <mergeCell ref="D67:E67"/>
    <mergeCell ref="J67:K67"/>
    <mergeCell ref="D68:E68"/>
    <mergeCell ref="J68:K68"/>
    <mergeCell ref="D69:E69"/>
    <mergeCell ref="J69:K69"/>
    <mergeCell ref="D70:E70"/>
    <mergeCell ref="J70:K70"/>
    <mergeCell ref="D71:E71"/>
    <mergeCell ref="J71:K71"/>
    <mergeCell ref="D72:E72"/>
    <mergeCell ref="J72:K72"/>
    <mergeCell ref="D73:E73"/>
    <mergeCell ref="J73:K73"/>
    <mergeCell ref="D74:E74"/>
    <mergeCell ref="J74:K74"/>
    <mergeCell ref="D75:E75"/>
    <mergeCell ref="J75:K75"/>
    <mergeCell ref="D76:E76"/>
    <mergeCell ref="J76:K76"/>
    <mergeCell ref="D77:E77"/>
    <mergeCell ref="J77:K77"/>
    <mergeCell ref="D78:E78"/>
    <mergeCell ref="J78:K78"/>
    <mergeCell ref="D79:E79"/>
    <mergeCell ref="J79:K79"/>
    <mergeCell ref="D80:E80"/>
    <mergeCell ref="J80:K80"/>
    <mergeCell ref="D81:E81"/>
    <mergeCell ref="J81:K81"/>
    <mergeCell ref="D82:E82"/>
    <mergeCell ref="J82:K82"/>
    <mergeCell ref="D83:E83"/>
    <mergeCell ref="J83:K83"/>
    <mergeCell ref="D84:E84"/>
    <mergeCell ref="J84:K84"/>
    <mergeCell ref="D85:E85"/>
    <mergeCell ref="J85:K85"/>
    <mergeCell ref="D86:E86"/>
    <mergeCell ref="J86:K86"/>
    <mergeCell ref="D87:E87"/>
    <mergeCell ref="J87:K87"/>
    <mergeCell ref="D88:E88"/>
    <mergeCell ref="J88:K88"/>
    <mergeCell ref="D89:E89"/>
    <mergeCell ref="J89:K89"/>
    <mergeCell ref="D90:E90"/>
    <mergeCell ref="J90:K90"/>
    <mergeCell ref="D91:E91"/>
    <mergeCell ref="J91:K91"/>
    <mergeCell ref="D92:E92"/>
    <mergeCell ref="J92:K92"/>
    <mergeCell ref="D93:E93"/>
    <mergeCell ref="J93:K93"/>
    <mergeCell ref="D94:E94"/>
    <mergeCell ref="J94:K94"/>
    <mergeCell ref="D95:E95"/>
    <mergeCell ref="J95:K95"/>
    <mergeCell ref="D96:E96"/>
    <mergeCell ref="J96:K96"/>
    <mergeCell ref="D97:E97"/>
    <mergeCell ref="J97:K97"/>
    <mergeCell ref="D98:E98"/>
    <mergeCell ref="J98:K98"/>
    <mergeCell ref="D99:E99"/>
    <mergeCell ref="J99:K99"/>
    <mergeCell ref="D100:E100"/>
    <mergeCell ref="J100:K100"/>
    <mergeCell ref="D101:E101"/>
    <mergeCell ref="J101:K101"/>
    <mergeCell ref="D102:E102"/>
    <mergeCell ref="J102:K102"/>
    <mergeCell ref="D103:E103"/>
    <mergeCell ref="J103:K103"/>
    <mergeCell ref="D104:E104"/>
    <mergeCell ref="J104:K104"/>
    <mergeCell ref="D105:E105"/>
    <mergeCell ref="J105:K105"/>
    <mergeCell ref="D106:E106"/>
    <mergeCell ref="J106:K106"/>
    <mergeCell ref="D107:E107"/>
    <mergeCell ref="J107:K107"/>
    <mergeCell ref="D108:E108"/>
    <mergeCell ref="J108:K108"/>
    <mergeCell ref="D109:E109"/>
    <mergeCell ref="J109:K109"/>
    <mergeCell ref="D110:E110"/>
    <mergeCell ref="J110:K110"/>
    <mergeCell ref="D111:E111"/>
    <mergeCell ref="J111:K111"/>
    <mergeCell ref="D112:E112"/>
    <mergeCell ref="J112:K112"/>
    <mergeCell ref="D113:E113"/>
    <mergeCell ref="J113:K113"/>
    <mergeCell ref="D114:E114"/>
    <mergeCell ref="J114:K114"/>
    <mergeCell ref="D115:E115"/>
    <mergeCell ref="J115:K115"/>
    <mergeCell ref="D116:E116"/>
    <mergeCell ref="J116:K116"/>
    <mergeCell ref="D117:E117"/>
    <mergeCell ref="J117:K117"/>
    <mergeCell ref="D118:E118"/>
    <mergeCell ref="J118:K118"/>
    <mergeCell ref="D119:E119"/>
    <mergeCell ref="J119:K119"/>
    <mergeCell ref="D120:E120"/>
    <mergeCell ref="J120:K120"/>
    <mergeCell ref="D121:E121"/>
    <mergeCell ref="J121:K121"/>
    <mergeCell ref="D122:E122"/>
    <mergeCell ref="J122:K122"/>
    <mergeCell ref="D123:E123"/>
    <mergeCell ref="J123:K123"/>
    <mergeCell ref="D124:E124"/>
    <mergeCell ref="J124:K124"/>
    <mergeCell ref="D125:E125"/>
    <mergeCell ref="J125:K125"/>
    <mergeCell ref="D126:E126"/>
    <mergeCell ref="J126:K126"/>
    <mergeCell ref="D127:E127"/>
    <mergeCell ref="J127:K127"/>
    <mergeCell ref="D128:E128"/>
    <mergeCell ref="J128:K128"/>
    <mergeCell ref="D129:E129"/>
    <mergeCell ref="J129:K129"/>
    <mergeCell ref="D130:E130"/>
    <mergeCell ref="J130:K130"/>
    <mergeCell ref="D131:E131"/>
    <mergeCell ref="J131:K131"/>
    <mergeCell ref="D132:E132"/>
    <mergeCell ref="J132:K132"/>
    <mergeCell ref="D133:E133"/>
    <mergeCell ref="J133:K133"/>
    <mergeCell ref="D134:E134"/>
    <mergeCell ref="J134:K134"/>
    <mergeCell ref="D135:E135"/>
    <mergeCell ref="J135:K135"/>
    <mergeCell ref="D136:E136"/>
    <mergeCell ref="J136:K136"/>
    <mergeCell ref="D137:E137"/>
    <mergeCell ref="J137:K137"/>
    <mergeCell ref="D138:E138"/>
    <mergeCell ref="J138:K138"/>
    <mergeCell ref="D139:E139"/>
    <mergeCell ref="J139:K139"/>
    <mergeCell ref="D140:E140"/>
    <mergeCell ref="J140:K140"/>
    <mergeCell ref="D141:E141"/>
    <mergeCell ref="J141:K141"/>
    <mergeCell ref="D142:E142"/>
    <mergeCell ref="J142:K142"/>
    <mergeCell ref="D143:E143"/>
    <mergeCell ref="J143:K143"/>
    <mergeCell ref="D144:E144"/>
    <mergeCell ref="J144:K144"/>
    <mergeCell ref="D145:E145"/>
    <mergeCell ref="J145:K145"/>
    <mergeCell ref="D146:E146"/>
    <mergeCell ref="J146:K146"/>
    <mergeCell ref="D147:E147"/>
    <mergeCell ref="J147:K147"/>
    <mergeCell ref="D148:E148"/>
    <mergeCell ref="J148:K148"/>
    <mergeCell ref="D149:E149"/>
    <mergeCell ref="J149:K149"/>
    <mergeCell ref="D150:E150"/>
    <mergeCell ref="J150:K150"/>
    <mergeCell ref="D151:E151"/>
    <mergeCell ref="J151:K151"/>
    <mergeCell ref="D152:E152"/>
    <mergeCell ref="J152:K152"/>
    <mergeCell ref="D153:E153"/>
    <mergeCell ref="J153:K153"/>
    <mergeCell ref="D154:E154"/>
    <mergeCell ref="J154:K154"/>
    <mergeCell ref="D155:E155"/>
    <mergeCell ref="J155:K155"/>
    <mergeCell ref="D156:E156"/>
    <mergeCell ref="J156:K156"/>
    <mergeCell ref="D157:E157"/>
    <mergeCell ref="J157:K157"/>
    <mergeCell ref="D158:E158"/>
    <mergeCell ref="J158:K158"/>
    <mergeCell ref="D159:E159"/>
    <mergeCell ref="J159:K159"/>
    <mergeCell ref="D160:E160"/>
    <mergeCell ref="J160:K160"/>
    <mergeCell ref="D161:E161"/>
    <mergeCell ref="J161:K161"/>
    <mergeCell ref="D162:E162"/>
    <mergeCell ref="J162:K162"/>
    <mergeCell ref="D163:E163"/>
    <mergeCell ref="J163:K163"/>
    <mergeCell ref="D164:E164"/>
    <mergeCell ref="J164:K164"/>
    <mergeCell ref="D165:E165"/>
    <mergeCell ref="J165:K165"/>
    <mergeCell ref="D166:E166"/>
    <mergeCell ref="J166:K166"/>
    <mergeCell ref="D167:E167"/>
    <mergeCell ref="J167:K167"/>
    <mergeCell ref="D168:E168"/>
    <mergeCell ref="J168:K168"/>
    <mergeCell ref="D169:E169"/>
    <mergeCell ref="J169:K169"/>
    <mergeCell ref="D170:E170"/>
    <mergeCell ref="J170:K170"/>
    <mergeCell ref="D171:E171"/>
    <mergeCell ref="J171:K171"/>
    <mergeCell ref="D172:E172"/>
    <mergeCell ref="J172:K172"/>
    <mergeCell ref="D173:E173"/>
    <mergeCell ref="J173:K173"/>
    <mergeCell ref="D174:E174"/>
    <mergeCell ref="J174:K174"/>
    <mergeCell ref="D175:E175"/>
    <mergeCell ref="J175:K175"/>
    <mergeCell ref="D176:E176"/>
    <mergeCell ref="J176:K176"/>
    <mergeCell ref="D177:E177"/>
    <mergeCell ref="J177:K177"/>
    <mergeCell ref="D178:E178"/>
    <mergeCell ref="J178:K178"/>
    <mergeCell ref="D179:E179"/>
    <mergeCell ref="J179:K179"/>
    <mergeCell ref="D180:E180"/>
    <mergeCell ref="J180:K180"/>
    <mergeCell ref="D181:E181"/>
    <mergeCell ref="J181:K181"/>
    <mergeCell ref="D182:E182"/>
    <mergeCell ref="J182:K182"/>
    <mergeCell ref="D183:E183"/>
    <mergeCell ref="J183:K183"/>
    <mergeCell ref="D184:E184"/>
    <mergeCell ref="J184:K184"/>
    <mergeCell ref="D185:E185"/>
    <mergeCell ref="J185:K185"/>
    <mergeCell ref="D186:E186"/>
    <mergeCell ref="J186:K186"/>
    <mergeCell ref="D187:E187"/>
    <mergeCell ref="J187:K187"/>
    <mergeCell ref="D188:E188"/>
    <mergeCell ref="J188:K188"/>
    <mergeCell ref="D189:E189"/>
    <mergeCell ref="J189:K189"/>
    <mergeCell ref="D190:E190"/>
    <mergeCell ref="J190:K190"/>
    <mergeCell ref="D191:E191"/>
    <mergeCell ref="J191:K191"/>
    <mergeCell ref="D192:E192"/>
    <mergeCell ref="J192:K192"/>
    <mergeCell ref="D193:E193"/>
    <mergeCell ref="J193:K193"/>
    <mergeCell ref="D194:E194"/>
    <mergeCell ref="J194:K194"/>
    <mergeCell ref="D195:E195"/>
    <mergeCell ref="J195:K195"/>
    <mergeCell ref="D196:E196"/>
    <mergeCell ref="J196:K196"/>
    <mergeCell ref="D197:E197"/>
    <mergeCell ref="J197:K197"/>
    <mergeCell ref="D198:E198"/>
    <mergeCell ref="J198:K198"/>
    <mergeCell ref="D199:E199"/>
    <mergeCell ref="J199:K199"/>
    <mergeCell ref="D200:E200"/>
    <mergeCell ref="J200:K200"/>
    <mergeCell ref="D201:E201"/>
    <mergeCell ref="J201:K201"/>
    <mergeCell ref="D202:E202"/>
    <mergeCell ref="J202:K202"/>
    <mergeCell ref="D203:E203"/>
    <mergeCell ref="J203:K203"/>
    <mergeCell ref="D204:E204"/>
    <mergeCell ref="J204:K204"/>
    <mergeCell ref="D205:E205"/>
    <mergeCell ref="J205:K205"/>
    <mergeCell ref="D206:E206"/>
    <mergeCell ref="J206:K206"/>
    <mergeCell ref="D207:E207"/>
    <mergeCell ref="J207:K207"/>
    <mergeCell ref="D208:E208"/>
    <mergeCell ref="J208:K208"/>
    <mergeCell ref="D209:E209"/>
    <mergeCell ref="J209:K209"/>
    <mergeCell ref="D210:E210"/>
    <mergeCell ref="J210:K210"/>
    <mergeCell ref="D211:E211"/>
    <mergeCell ref="J211:K211"/>
    <mergeCell ref="D212:E212"/>
    <mergeCell ref="J212:K212"/>
    <mergeCell ref="D213:E213"/>
    <mergeCell ref="J213:K213"/>
    <mergeCell ref="D214:E214"/>
    <mergeCell ref="J214:K214"/>
    <mergeCell ref="D215:E215"/>
    <mergeCell ref="J215:K215"/>
    <mergeCell ref="D216:E216"/>
    <mergeCell ref="J216:K216"/>
    <mergeCell ref="D217:E217"/>
    <mergeCell ref="J217:K217"/>
    <mergeCell ref="D218:E218"/>
    <mergeCell ref="J218:K218"/>
    <mergeCell ref="D219:E219"/>
    <mergeCell ref="J219:K219"/>
    <mergeCell ref="D220:E220"/>
    <mergeCell ref="J220:K220"/>
    <mergeCell ref="D221:E221"/>
    <mergeCell ref="J221:K221"/>
    <mergeCell ref="D222:E222"/>
    <mergeCell ref="J222:K222"/>
    <mergeCell ref="D223:E223"/>
    <mergeCell ref="J223:K223"/>
    <mergeCell ref="D224:E224"/>
    <mergeCell ref="J224:K224"/>
    <mergeCell ref="D225:E225"/>
    <mergeCell ref="J225:K225"/>
    <mergeCell ref="D226:E226"/>
    <mergeCell ref="J226:K226"/>
    <mergeCell ref="D227:E227"/>
    <mergeCell ref="J227:K227"/>
    <mergeCell ref="D228:E228"/>
    <mergeCell ref="J228:K228"/>
    <mergeCell ref="D229:E229"/>
    <mergeCell ref="J229:K229"/>
    <mergeCell ref="D230:E230"/>
    <mergeCell ref="J230:K230"/>
    <mergeCell ref="D231:E231"/>
    <mergeCell ref="J231:K231"/>
    <mergeCell ref="D232:E232"/>
    <mergeCell ref="J232:K232"/>
    <mergeCell ref="D233:E233"/>
    <mergeCell ref="J233:K233"/>
    <mergeCell ref="D234:E234"/>
    <mergeCell ref="J234:K234"/>
    <mergeCell ref="D235:E235"/>
    <mergeCell ref="J235:K235"/>
    <mergeCell ref="D236:E236"/>
    <mergeCell ref="J236:K236"/>
    <mergeCell ref="D237:E237"/>
    <mergeCell ref="J237:K237"/>
    <mergeCell ref="D238:E238"/>
    <mergeCell ref="J238:K238"/>
    <mergeCell ref="D239:E239"/>
    <mergeCell ref="J239:K239"/>
    <mergeCell ref="D240:E240"/>
    <mergeCell ref="J240:K240"/>
    <mergeCell ref="D241:E241"/>
    <mergeCell ref="J241:K241"/>
    <mergeCell ref="D242:E242"/>
    <mergeCell ref="J242:K242"/>
    <mergeCell ref="D243:E243"/>
    <mergeCell ref="J243:K243"/>
    <mergeCell ref="D244:E244"/>
    <mergeCell ref="J244:K244"/>
    <mergeCell ref="D245:E245"/>
    <mergeCell ref="J245:K245"/>
    <mergeCell ref="D246:E246"/>
    <mergeCell ref="J246:K246"/>
    <mergeCell ref="D247:E247"/>
    <mergeCell ref="J247:K247"/>
    <mergeCell ref="D248:E248"/>
    <mergeCell ref="J248:K248"/>
    <mergeCell ref="D249:E249"/>
    <mergeCell ref="J249:K249"/>
    <mergeCell ref="D250:E250"/>
    <mergeCell ref="J250:K250"/>
    <mergeCell ref="D251:E251"/>
    <mergeCell ref="J251:K251"/>
    <mergeCell ref="D252:E252"/>
    <mergeCell ref="J252:K252"/>
    <mergeCell ref="D253:E253"/>
    <mergeCell ref="J253:K253"/>
    <mergeCell ref="D254:E254"/>
    <mergeCell ref="J254:K254"/>
    <mergeCell ref="D255:E255"/>
    <mergeCell ref="J255:K255"/>
    <mergeCell ref="D256:E256"/>
    <mergeCell ref="J256:K256"/>
    <mergeCell ref="D257:E257"/>
    <mergeCell ref="J257:K257"/>
    <mergeCell ref="D258:E258"/>
    <mergeCell ref="J258:K258"/>
    <mergeCell ref="D259:E259"/>
    <mergeCell ref="J259:K259"/>
    <mergeCell ref="D260:E260"/>
    <mergeCell ref="J260:K260"/>
    <mergeCell ref="D261:E261"/>
    <mergeCell ref="J261:K261"/>
    <mergeCell ref="D262:E262"/>
    <mergeCell ref="J262:K262"/>
    <mergeCell ref="D263:E263"/>
    <mergeCell ref="J263:K263"/>
    <mergeCell ref="D264:E264"/>
    <mergeCell ref="J264:K264"/>
    <mergeCell ref="D265:E265"/>
    <mergeCell ref="J265:K265"/>
    <mergeCell ref="D266:E266"/>
    <mergeCell ref="J266:K266"/>
    <mergeCell ref="D267:E267"/>
    <mergeCell ref="J267:K267"/>
    <mergeCell ref="D268:E268"/>
    <mergeCell ref="J268:K268"/>
    <mergeCell ref="D269:E269"/>
    <mergeCell ref="J269:K269"/>
    <mergeCell ref="D270:E270"/>
    <mergeCell ref="J270:K270"/>
    <mergeCell ref="D271:E271"/>
    <mergeCell ref="J271:K271"/>
    <mergeCell ref="C274:H274"/>
    <mergeCell ref="J274:K274"/>
    <mergeCell ref="C275:H275"/>
    <mergeCell ref="J275:K275"/>
    <mergeCell ref="C276:H276"/>
    <mergeCell ref="J276:K276"/>
    <mergeCell ref="C277:H277"/>
    <mergeCell ref="J277:K277"/>
  </mergeCells>
  <dataValidations count="1018">
    <dataValidation type="decimal" operator="greaterThanOrEqual" allowBlank="1" showInputMessage="1" showErrorMessage="1" sqref="K20">
      <formula1>0</formula1>
    </dataValidation>
    <dataValidation type="whole" allowBlank="1" showInputMessage="1" showErrorMessage="1" sqref="M11">
      <formula1>1</formula1>
      <formula2>100</formula2>
    </dataValidation>
    <dataValidation type="decimal" allowBlank="1" showInputMessage="1" showErrorMessage="1" sqref="M15:M16">
      <formula1>0</formula1>
      <formula2>100</formula2>
    </dataValidation>
    <dataValidation type="decimal" allowBlank="1" showInputMessage="1" showErrorMessage="1" sqref="O20">
      <formula1>0</formula1>
      <formula2>100</formula2>
    </dataValidation>
    <dataValidation allowBlank="1" showInputMessage="1" showErrorMessage="1" sqref="N29:O29"/>
    <dataValidation type="decimal" operator="greaterThanOrEqual" allowBlank="1" showInputMessage="1" showErrorMessage="1" sqref="I20">
      <formula1>0</formula1>
    </dataValidation>
    <dataValidation type="decimal" operator="greaterThanOrEqual" allowBlank="1" showInputMessage="1" showErrorMessage="1" sqref="J20">
      <formula1>0</formula1>
    </dataValidation>
    <dataValidation type="decimal" allowBlank="1" showInputMessage="1" showErrorMessage="1" sqref="L20">
      <formula1>0</formula1>
      <formula2>100</formula2>
    </dataValidation>
    <dataValidation type="decimal" allowBlank="1" showInputMessage="1" showErrorMessage="1" sqref="M20">
      <formula1>0</formula1>
      <formula2>100</formula2>
    </dataValidation>
    <dataValidation type="decimal" operator="greaterThanOrEqual" allowBlank="1" showInputMessage="1" showErrorMessage="1" sqref="I21">
      <formula1>0</formula1>
    </dataValidation>
    <dataValidation type="decimal" operator="greaterThanOrEqual" allowBlank="1" showInputMessage="1" showErrorMessage="1" sqref="J21">
      <formula1>0</formula1>
    </dataValidation>
    <dataValidation type="decimal" allowBlank="1" showInputMessage="1" showErrorMessage="1" sqref="L21">
      <formula1>0</formula1>
      <formula2>100</formula2>
    </dataValidation>
    <dataValidation type="decimal" allowBlank="1" showInputMessage="1" showErrorMessage="1" sqref="M21">
      <formula1>0</formula1>
      <formula2>100</formula2>
    </dataValidation>
    <dataValidation type="decimal" operator="greaterThanOrEqual" allowBlank="1" showInputMessage="1" showErrorMessage="1" sqref="I22">
      <formula1>0</formula1>
    </dataValidation>
    <dataValidation type="decimal" operator="greaterThanOrEqual" allowBlank="1" showInputMessage="1" showErrorMessage="1" sqref="J22">
      <formula1>0</formula1>
    </dataValidation>
    <dataValidation type="decimal" allowBlank="1" showInputMessage="1" showErrorMessage="1" sqref="L22">
      <formula1>0</formula1>
      <formula2>100</formula2>
    </dataValidation>
    <dataValidation type="decimal" allowBlank="1" showInputMessage="1" showErrorMessage="1" sqref="M22">
      <formula1>0</formula1>
      <formula2>100</formula2>
    </dataValidation>
    <dataValidation type="decimal" operator="greaterThanOrEqual" allowBlank="1" showInputMessage="1" showErrorMessage="1" sqref="I23">
      <formula1>0</formula1>
    </dataValidation>
    <dataValidation type="decimal" operator="greaterThanOrEqual" allowBlank="1" showInputMessage="1" showErrorMessage="1" sqref="J23">
      <formula1>0</formula1>
    </dataValidation>
    <dataValidation type="decimal" allowBlank="1" showInputMessage="1" showErrorMessage="1" sqref="L23">
      <formula1>0</formula1>
      <formula2>100</formula2>
    </dataValidation>
    <dataValidation type="decimal" allowBlank="1" showInputMessage="1" showErrorMessage="1" sqref="M23">
      <formula1>0</formula1>
      <formula2>100</formula2>
    </dataValidation>
    <dataValidation type="decimal" operator="greaterThanOrEqual" allowBlank="1" showInputMessage="1" showErrorMessage="1" sqref="I24">
      <formula1>0</formula1>
    </dataValidation>
    <dataValidation type="decimal" operator="greaterThanOrEqual" allowBlank="1" showInputMessage="1" showErrorMessage="1" sqref="J24">
      <formula1>0</formula1>
    </dataValidation>
    <dataValidation type="decimal" allowBlank="1" showInputMessage="1" showErrorMessage="1" sqref="L24">
      <formula1>0</formula1>
      <formula2>100</formula2>
    </dataValidation>
    <dataValidation type="decimal" allowBlank="1" showInputMessage="1" showErrorMessage="1" sqref="M24">
      <formula1>0</formula1>
      <formula2>100</formula2>
    </dataValidation>
    <dataValidation type="decimal" operator="greaterThanOrEqual" allowBlank="1" showInputMessage="1" showErrorMessage="1" sqref="I25">
      <formula1>0</formula1>
    </dataValidation>
    <dataValidation type="decimal" operator="greaterThanOrEqual" allowBlank="1" showInputMessage="1" showErrorMessage="1" sqref="J25">
      <formula1>0</formula1>
    </dataValidation>
    <dataValidation type="decimal" allowBlank="1" showInputMessage="1" showErrorMessage="1" sqref="L25">
      <formula1>0</formula1>
      <formula2>100</formula2>
    </dataValidation>
    <dataValidation type="decimal" allowBlank="1" showInputMessage="1" showErrorMessage="1" sqref="M25">
      <formula1>0</formula1>
      <formula2>100</formula2>
    </dataValidation>
    <dataValidation type="decimal" operator="greaterThanOrEqual" allowBlank="1" showInputMessage="1" showErrorMessage="1" sqref="I26">
      <formula1>0</formula1>
    </dataValidation>
    <dataValidation type="decimal" operator="greaterThanOrEqual" allowBlank="1" showInputMessage="1" showErrorMessage="1" sqref="J26">
      <formula1>0</formula1>
    </dataValidation>
    <dataValidation type="decimal" allowBlank="1" showInputMessage="1" showErrorMessage="1" sqref="L26">
      <formula1>0</formula1>
      <formula2>100</formula2>
    </dataValidation>
    <dataValidation type="decimal" allowBlank="1" showInputMessage="1" showErrorMessage="1" sqref="M26">
      <formula1>0</formula1>
      <formula2>100</formula2>
    </dataValidation>
    <dataValidation type="decimal" operator="greaterThanOrEqual" allowBlank="1" showInputMessage="1" showErrorMessage="1" sqref="I27">
      <formula1>0</formula1>
    </dataValidation>
    <dataValidation type="decimal" operator="greaterThanOrEqual" allowBlank="1" showInputMessage="1" showErrorMessage="1" sqref="J27">
      <formula1>0</formula1>
    </dataValidation>
    <dataValidation type="decimal" allowBlank="1" showInputMessage="1" showErrorMessage="1" sqref="L27">
      <formula1>0</formula1>
      <formula2>100</formula2>
    </dataValidation>
    <dataValidation type="decimal" allowBlank="1" showInputMessage="1" showErrorMessage="1" sqref="M27">
      <formula1>0</formula1>
      <formula2>100</formula2>
    </dataValidation>
    <dataValidation type="decimal" operator="greaterThanOrEqual" allowBlank="1" showInputMessage="1" showErrorMessage="1" sqref="I28">
      <formula1>0</formula1>
    </dataValidation>
    <dataValidation type="decimal" operator="greaterThanOrEqual" allowBlank="1" showInputMessage="1" showErrorMessage="1" sqref="J28">
      <formula1>0</formula1>
    </dataValidation>
    <dataValidation type="decimal" allowBlank="1" showInputMessage="1" showErrorMessage="1" sqref="L28">
      <formula1>0</formula1>
      <formula2>100</formula2>
    </dataValidation>
    <dataValidation type="decimal" allowBlank="1" showInputMessage="1" showErrorMessage="1" sqref="M28">
      <formula1>0</formula1>
      <formula2>100</formula2>
    </dataValidation>
    <dataValidation type="decimal" operator="greaterThanOrEqual" allowBlank="1" showInputMessage="1" showErrorMessage="1" sqref="I29">
      <formula1>0</formula1>
    </dataValidation>
    <dataValidation type="decimal" operator="greaterThanOrEqual" allowBlank="1" showInputMessage="1" showErrorMessage="1" sqref="J29">
      <formula1>0</formula1>
    </dataValidation>
    <dataValidation type="decimal" allowBlank="1" showInputMessage="1" showErrorMessage="1" sqref="L29">
      <formula1>0</formula1>
      <formula2>100</formula2>
    </dataValidation>
    <dataValidation type="decimal" allowBlank="1" showInputMessage="1" showErrorMessage="1" sqref="M29">
      <formula1>0</formula1>
      <formula2>100</formula2>
    </dataValidation>
    <dataValidation type="decimal" operator="greaterThanOrEqual" allowBlank="1" showInputMessage="1" showErrorMessage="1" sqref="I30">
      <formula1>0</formula1>
    </dataValidation>
    <dataValidation type="decimal" operator="greaterThanOrEqual" allowBlank="1" showInputMessage="1" showErrorMessage="1" sqref="J30">
      <formula1>0</formula1>
    </dataValidation>
    <dataValidation type="decimal" allowBlank="1" showInputMessage="1" showErrorMessage="1" sqref="L30">
      <formula1>0</formula1>
      <formula2>100</formula2>
    </dataValidation>
    <dataValidation type="decimal" allowBlank="1" showInputMessage="1" showErrorMessage="1" sqref="M30">
      <formula1>0</formula1>
      <formula2>100</formula2>
    </dataValidation>
    <dataValidation type="decimal" operator="greaterThanOrEqual" allowBlank="1" showInputMessage="1" showErrorMessage="1" sqref="I31">
      <formula1>0</formula1>
    </dataValidation>
    <dataValidation type="decimal" operator="greaterThanOrEqual" allowBlank="1" showInputMessage="1" showErrorMessage="1" sqref="J31">
      <formula1>0</formula1>
    </dataValidation>
    <dataValidation type="decimal" allowBlank="1" showInputMessage="1" showErrorMessage="1" sqref="L31">
      <formula1>0</formula1>
      <formula2>100</formula2>
    </dataValidation>
    <dataValidation type="decimal" allowBlank="1" showInputMessage="1" showErrorMessage="1" sqref="M31">
      <formula1>0</formula1>
      <formula2>100</formula2>
    </dataValidation>
    <dataValidation type="decimal" operator="greaterThanOrEqual" allowBlank="1" showInputMessage="1" showErrorMessage="1" sqref="I32">
      <formula1>0</formula1>
    </dataValidation>
    <dataValidation type="decimal" operator="greaterThanOrEqual" allowBlank="1" showInputMessage="1" showErrorMessage="1" sqref="J32">
      <formula1>0</formula1>
    </dataValidation>
    <dataValidation type="decimal" allowBlank="1" showInputMessage="1" showErrorMessage="1" sqref="L32">
      <formula1>0</formula1>
      <formula2>100</formula2>
    </dataValidation>
    <dataValidation type="decimal" allowBlank="1" showInputMessage="1" showErrorMessage="1" sqref="M32">
      <formula1>0</formula1>
      <formula2>100</formula2>
    </dataValidation>
    <dataValidation type="decimal" operator="greaterThanOrEqual" allowBlank="1" showInputMessage="1" showErrorMessage="1" sqref="I33">
      <formula1>0</formula1>
    </dataValidation>
    <dataValidation type="decimal" operator="greaterThanOrEqual" allowBlank="1" showInputMessage="1" showErrorMessage="1" sqref="J33">
      <formula1>0</formula1>
    </dataValidation>
    <dataValidation type="decimal" allowBlank="1" showInputMessage="1" showErrorMessage="1" sqref="L33">
      <formula1>0</formula1>
      <formula2>100</formula2>
    </dataValidation>
    <dataValidation type="decimal" allowBlank="1" showInputMessage="1" showErrorMessage="1" sqref="M33">
      <formula1>0</formula1>
      <formula2>100</formula2>
    </dataValidation>
    <dataValidation type="decimal" operator="greaterThanOrEqual" allowBlank="1" showInputMessage="1" showErrorMessage="1" sqref="I34">
      <formula1>0</formula1>
    </dataValidation>
    <dataValidation type="decimal" operator="greaterThanOrEqual" allowBlank="1" showInputMessage="1" showErrorMessage="1" sqref="J34">
      <formula1>0</formula1>
    </dataValidation>
    <dataValidation type="decimal" allowBlank="1" showInputMessage="1" showErrorMessage="1" sqref="L34">
      <formula1>0</formula1>
      <formula2>100</formula2>
    </dataValidation>
    <dataValidation type="decimal" allowBlank="1" showInputMessage="1" showErrorMessage="1" sqref="M34">
      <formula1>0</formula1>
      <formula2>100</formula2>
    </dataValidation>
    <dataValidation type="decimal" operator="greaterThanOrEqual" allowBlank="1" showInputMessage="1" showErrorMessage="1" sqref="I35">
      <formula1>0</formula1>
    </dataValidation>
    <dataValidation type="decimal" operator="greaterThanOrEqual" allowBlank="1" showInputMessage="1" showErrorMessage="1" sqref="J35">
      <formula1>0</formula1>
    </dataValidation>
    <dataValidation type="decimal" allowBlank="1" showInputMessage="1" showErrorMessage="1" sqref="L35">
      <formula1>0</formula1>
      <formula2>100</formula2>
    </dataValidation>
    <dataValidation type="decimal" allowBlank="1" showInputMessage="1" showErrorMessage="1" sqref="M35">
      <formula1>0</formula1>
      <formula2>100</formula2>
    </dataValidation>
    <dataValidation type="decimal" operator="greaterThanOrEqual" allowBlank="1" showInputMessage="1" showErrorMessage="1" sqref="I36">
      <formula1>0</formula1>
    </dataValidation>
    <dataValidation type="decimal" operator="greaterThanOrEqual" allowBlank="1" showInputMessage="1" showErrorMessage="1" sqref="J36">
      <formula1>0</formula1>
    </dataValidation>
    <dataValidation type="decimal" allowBlank="1" showInputMessage="1" showErrorMessage="1" sqref="L36">
      <formula1>0</formula1>
      <formula2>100</formula2>
    </dataValidation>
    <dataValidation type="decimal" allowBlank="1" showInputMessage="1" showErrorMessage="1" sqref="M36">
      <formula1>0</formula1>
      <formula2>100</formula2>
    </dataValidation>
    <dataValidation type="decimal" operator="greaterThanOrEqual" allowBlank="1" showInputMessage="1" showErrorMessage="1" sqref="I37">
      <formula1>0</formula1>
    </dataValidation>
    <dataValidation type="decimal" operator="greaterThanOrEqual" allowBlank="1" showInputMessage="1" showErrorMessage="1" sqref="J37">
      <formula1>0</formula1>
    </dataValidation>
    <dataValidation type="decimal" allowBlank="1" showInputMessage="1" showErrorMessage="1" sqref="L37">
      <formula1>0</formula1>
      <formula2>100</formula2>
    </dataValidation>
    <dataValidation type="decimal" allowBlank="1" showInputMessage="1" showErrorMessage="1" sqref="M37">
      <formula1>0</formula1>
      <formula2>100</formula2>
    </dataValidation>
    <dataValidation type="decimal" operator="greaterThanOrEqual" allowBlank="1" showInputMessage="1" showErrorMessage="1" sqref="I38">
      <formula1>0</formula1>
    </dataValidation>
    <dataValidation type="decimal" operator="greaterThanOrEqual" allowBlank="1" showInputMessage="1" showErrorMessage="1" sqref="J38">
      <formula1>0</formula1>
    </dataValidation>
    <dataValidation type="decimal" allowBlank="1" showInputMessage="1" showErrorMessage="1" sqref="L38">
      <formula1>0</formula1>
      <formula2>100</formula2>
    </dataValidation>
    <dataValidation type="decimal" allowBlank="1" showInputMessage="1" showErrorMessage="1" sqref="M38">
      <formula1>0</formula1>
      <formula2>100</formula2>
    </dataValidation>
    <dataValidation type="decimal" operator="greaterThanOrEqual" allowBlank="1" showInputMessage="1" showErrorMessage="1" sqref="I39">
      <formula1>0</formula1>
    </dataValidation>
    <dataValidation type="decimal" operator="greaterThanOrEqual" allowBlank="1" showInputMessage="1" showErrorMessage="1" sqref="J39">
      <formula1>0</formula1>
    </dataValidation>
    <dataValidation type="decimal" allowBlank="1" showInputMessage="1" showErrorMessage="1" sqref="L39">
      <formula1>0</formula1>
      <formula2>100</formula2>
    </dataValidation>
    <dataValidation type="decimal" allowBlank="1" showInputMessage="1" showErrorMessage="1" sqref="M39">
      <formula1>0</formula1>
      <formula2>100</formula2>
    </dataValidation>
    <dataValidation type="decimal" operator="greaterThanOrEqual" allowBlank="1" showInputMessage="1" showErrorMessage="1" sqref="I40">
      <formula1>0</formula1>
    </dataValidation>
    <dataValidation type="decimal" operator="greaterThanOrEqual" allowBlank="1" showInputMessage="1" showErrorMessage="1" sqref="J40">
      <formula1>0</formula1>
    </dataValidation>
    <dataValidation type="decimal" allowBlank="1" showInputMessage="1" showErrorMessage="1" sqref="L40">
      <formula1>0</formula1>
      <formula2>100</formula2>
    </dataValidation>
    <dataValidation type="decimal" allowBlank="1" showInputMessage="1" showErrorMessage="1" sqref="M40">
      <formula1>0</formula1>
      <formula2>100</formula2>
    </dataValidation>
    <dataValidation type="decimal" operator="greaterThanOrEqual" allowBlank="1" showInputMessage="1" showErrorMessage="1" sqref="I41">
      <formula1>0</formula1>
    </dataValidation>
    <dataValidation type="decimal" operator="greaterThanOrEqual" allowBlank="1" showInputMessage="1" showErrorMessage="1" sqref="J41">
      <formula1>0</formula1>
    </dataValidation>
    <dataValidation type="decimal" allowBlank="1" showInputMessage="1" showErrorMessage="1" sqref="L41">
      <formula1>0</formula1>
      <formula2>100</formula2>
    </dataValidation>
    <dataValidation type="decimal" allowBlank="1" showInputMessage="1" showErrorMessage="1" sqref="M41">
      <formula1>0</formula1>
      <formula2>100</formula2>
    </dataValidation>
    <dataValidation type="decimal" operator="greaterThanOrEqual" allowBlank="1" showInputMessage="1" showErrorMessage="1" sqref="I42">
      <formula1>0</formula1>
    </dataValidation>
    <dataValidation type="decimal" operator="greaterThanOrEqual" allowBlank="1" showInputMessage="1" showErrorMessage="1" sqref="J42">
      <formula1>0</formula1>
    </dataValidation>
    <dataValidation type="decimal" allowBlank="1" showInputMessage="1" showErrorMessage="1" sqref="L42">
      <formula1>0</formula1>
      <formula2>100</formula2>
    </dataValidation>
    <dataValidation type="decimal" allowBlank="1" showInputMessage="1" showErrorMessage="1" sqref="M42">
      <formula1>0</formula1>
      <formula2>100</formula2>
    </dataValidation>
    <dataValidation type="decimal" operator="greaterThanOrEqual" allowBlank="1" showInputMessage="1" showErrorMessage="1" sqref="I43">
      <formula1>0</formula1>
    </dataValidation>
    <dataValidation type="decimal" operator="greaterThanOrEqual" allowBlank="1" showInputMessage="1" showErrorMessage="1" sqref="J43">
      <formula1>0</formula1>
    </dataValidation>
    <dataValidation type="decimal" allowBlank="1" showInputMessage="1" showErrorMessage="1" sqref="L43">
      <formula1>0</formula1>
      <formula2>100</formula2>
    </dataValidation>
    <dataValidation type="decimal" allowBlank="1" showInputMessage="1" showErrorMessage="1" sqref="M43">
      <formula1>0</formula1>
      <formula2>100</formula2>
    </dataValidation>
    <dataValidation type="decimal" operator="greaterThanOrEqual" allowBlank="1" showInputMessage="1" showErrorMessage="1" sqref="I44">
      <formula1>0</formula1>
    </dataValidation>
    <dataValidation type="decimal" operator="greaterThanOrEqual" allowBlank="1" showInputMessage="1" showErrorMessage="1" sqref="J44">
      <formula1>0</formula1>
    </dataValidation>
    <dataValidation type="decimal" allowBlank="1" showInputMessage="1" showErrorMessage="1" sqref="L44">
      <formula1>0</formula1>
      <formula2>100</formula2>
    </dataValidation>
    <dataValidation type="decimal" allowBlank="1" showInputMessage="1" showErrorMessage="1" sqref="M44">
      <formula1>0</formula1>
      <formula2>100</formula2>
    </dataValidation>
    <dataValidation type="decimal" operator="greaterThanOrEqual" allowBlank="1" showInputMessage="1" showErrorMessage="1" sqref="I45">
      <formula1>0</formula1>
    </dataValidation>
    <dataValidation type="decimal" operator="greaterThanOrEqual" allowBlank="1" showInputMessage="1" showErrorMessage="1" sqref="J45">
      <formula1>0</formula1>
    </dataValidation>
    <dataValidation type="decimal" allowBlank="1" showInputMessage="1" showErrorMessage="1" sqref="L45">
      <formula1>0</formula1>
      <formula2>100</formula2>
    </dataValidation>
    <dataValidation type="decimal" allowBlank="1" showInputMessage="1" showErrorMessage="1" sqref="M45">
      <formula1>0</formula1>
      <formula2>100</formula2>
    </dataValidation>
    <dataValidation type="decimal" operator="greaterThanOrEqual" allowBlank="1" showInputMessage="1" showErrorMessage="1" sqref="I46">
      <formula1>0</formula1>
    </dataValidation>
    <dataValidation type="decimal" operator="greaterThanOrEqual" allowBlank="1" showInputMessage="1" showErrorMessage="1" sqref="J46">
      <formula1>0</formula1>
    </dataValidation>
    <dataValidation type="decimal" allowBlank="1" showInputMessage="1" showErrorMessage="1" sqref="L46">
      <formula1>0</formula1>
      <formula2>100</formula2>
    </dataValidation>
    <dataValidation type="decimal" allowBlank="1" showInputMessage="1" showErrorMessage="1" sqref="M46">
      <formula1>0</formula1>
      <formula2>100</formula2>
    </dataValidation>
    <dataValidation type="decimal" operator="greaterThanOrEqual" allowBlank="1" showInputMessage="1" showErrorMessage="1" sqref="I47">
      <formula1>0</formula1>
    </dataValidation>
    <dataValidation type="decimal" operator="greaterThanOrEqual" allowBlank="1" showInputMessage="1" showErrorMessage="1" sqref="J47">
      <formula1>0</formula1>
    </dataValidation>
    <dataValidation type="decimal" allowBlank="1" showInputMessage="1" showErrorMessage="1" sqref="L47">
      <formula1>0</formula1>
      <formula2>100</formula2>
    </dataValidation>
    <dataValidation type="decimal" allowBlank="1" showInputMessage="1" showErrorMessage="1" sqref="M47">
      <formula1>0</formula1>
      <formula2>100</formula2>
    </dataValidation>
    <dataValidation type="decimal" operator="greaterThanOrEqual" allowBlank="1" showInputMessage="1" showErrorMessage="1" sqref="I48">
      <formula1>0</formula1>
    </dataValidation>
    <dataValidation type="decimal" operator="greaterThanOrEqual" allowBlank="1" showInputMessage="1" showErrorMessage="1" sqref="J48">
      <formula1>0</formula1>
    </dataValidation>
    <dataValidation type="decimal" allowBlank="1" showInputMessage="1" showErrorMessage="1" sqref="L48">
      <formula1>0</formula1>
      <formula2>100</formula2>
    </dataValidation>
    <dataValidation type="decimal" allowBlank="1" showInputMessage="1" showErrorMessage="1" sqref="M48">
      <formula1>0</formula1>
      <formula2>100</formula2>
    </dataValidation>
    <dataValidation type="decimal" operator="greaterThanOrEqual" allowBlank="1" showInputMessage="1" showErrorMessage="1" sqref="I49">
      <formula1>0</formula1>
    </dataValidation>
    <dataValidation type="decimal" operator="greaterThanOrEqual" allowBlank="1" showInputMessage="1" showErrorMessage="1" sqref="J49">
      <formula1>0</formula1>
    </dataValidation>
    <dataValidation type="decimal" allowBlank="1" showInputMessage="1" showErrorMessage="1" sqref="L49">
      <formula1>0</formula1>
      <formula2>100</formula2>
    </dataValidation>
    <dataValidation type="decimal" allowBlank="1" showInputMessage="1" showErrorMessage="1" sqref="M49">
      <formula1>0</formula1>
      <formula2>100</formula2>
    </dataValidation>
    <dataValidation type="decimal" operator="greaterThanOrEqual" allowBlank="1" showInputMessage="1" showErrorMessage="1" sqref="I50">
      <formula1>0</formula1>
    </dataValidation>
    <dataValidation type="decimal" operator="greaterThanOrEqual" allowBlank="1" showInputMessage="1" showErrorMessage="1" sqref="J50">
      <formula1>0</formula1>
    </dataValidation>
    <dataValidation type="decimal" allowBlank="1" showInputMessage="1" showErrorMessage="1" sqref="L50">
      <formula1>0</formula1>
      <formula2>100</formula2>
    </dataValidation>
    <dataValidation type="decimal" allowBlank="1" showInputMessage="1" showErrorMessage="1" sqref="M50">
      <formula1>0</formula1>
      <formula2>100</formula2>
    </dataValidation>
    <dataValidation type="decimal" operator="greaterThanOrEqual" allowBlank="1" showInputMessage="1" showErrorMessage="1" sqref="I51">
      <formula1>0</formula1>
    </dataValidation>
    <dataValidation type="decimal" operator="greaterThanOrEqual" allowBlank="1" showInputMessage="1" showErrorMessage="1" sqref="J51">
      <formula1>0</formula1>
    </dataValidation>
    <dataValidation type="decimal" allowBlank="1" showInputMessage="1" showErrorMessage="1" sqref="L51">
      <formula1>0</formula1>
      <formula2>100</formula2>
    </dataValidation>
    <dataValidation type="decimal" allowBlank="1" showInputMessage="1" showErrorMessage="1" sqref="M51">
      <formula1>0</formula1>
      <formula2>100</formula2>
    </dataValidation>
    <dataValidation type="decimal" operator="greaterThanOrEqual" allowBlank="1" showInputMessage="1" showErrorMessage="1" sqref="I52">
      <formula1>0</formula1>
    </dataValidation>
    <dataValidation type="decimal" operator="greaterThanOrEqual" allowBlank="1" showInputMessage="1" showErrorMessage="1" sqref="J52">
      <formula1>0</formula1>
    </dataValidation>
    <dataValidation type="decimal" allowBlank="1" showInputMessage="1" showErrorMessage="1" sqref="L52">
      <formula1>0</formula1>
      <formula2>100</formula2>
    </dataValidation>
    <dataValidation type="decimal" allowBlank="1" showInputMessage="1" showErrorMessage="1" sqref="M52">
      <formula1>0</formula1>
      <formula2>100</formula2>
    </dataValidation>
    <dataValidation type="decimal" operator="greaterThanOrEqual" allowBlank="1" showInputMessage="1" showErrorMessage="1" sqref="I53">
      <formula1>0</formula1>
    </dataValidation>
    <dataValidation type="decimal" operator="greaterThanOrEqual" allowBlank="1" showInputMessage="1" showErrorMessage="1" sqref="J53">
      <formula1>0</formula1>
    </dataValidation>
    <dataValidation type="decimal" allowBlank="1" showInputMessage="1" showErrorMessage="1" sqref="L53">
      <formula1>0</formula1>
      <formula2>100</formula2>
    </dataValidation>
    <dataValidation type="decimal" allowBlank="1" showInputMessage="1" showErrorMessage="1" sqref="M53">
      <formula1>0</formula1>
      <formula2>100</formula2>
    </dataValidation>
    <dataValidation type="decimal" operator="greaterThanOrEqual" allowBlank="1" showInputMessage="1" showErrorMessage="1" sqref="I54">
      <formula1>0</formula1>
    </dataValidation>
    <dataValidation type="decimal" operator="greaterThanOrEqual" allowBlank="1" showInputMessage="1" showErrorMessage="1" sqref="J54">
      <formula1>0</formula1>
    </dataValidation>
    <dataValidation type="decimal" allowBlank="1" showInputMessage="1" showErrorMessage="1" sqref="L54">
      <formula1>0</formula1>
      <formula2>100</formula2>
    </dataValidation>
    <dataValidation type="decimal" allowBlank="1" showInputMessage="1" showErrorMessage="1" sqref="M54">
      <formula1>0</formula1>
      <formula2>100</formula2>
    </dataValidation>
    <dataValidation type="decimal" operator="greaterThanOrEqual" allowBlank="1" showInputMessage="1" showErrorMessage="1" sqref="I55">
      <formula1>0</formula1>
    </dataValidation>
    <dataValidation type="decimal" operator="greaterThanOrEqual" allowBlank="1" showInputMessage="1" showErrorMessage="1" sqref="J55">
      <formula1>0</formula1>
    </dataValidation>
    <dataValidation type="decimal" allowBlank="1" showInputMessage="1" showErrorMessage="1" sqref="L55">
      <formula1>0</formula1>
      <formula2>100</formula2>
    </dataValidation>
    <dataValidation type="decimal" allowBlank="1" showInputMessage="1" showErrorMessage="1" sqref="M55">
      <formula1>0</formula1>
      <formula2>100</formula2>
    </dataValidation>
    <dataValidation type="decimal" operator="greaterThanOrEqual" allowBlank="1" showInputMessage="1" showErrorMessage="1" sqref="I56">
      <formula1>0</formula1>
    </dataValidation>
    <dataValidation type="decimal" operator="greaterThanOrEqual" allowBlank="1" showInputMessage="1" showErrorMessage="1" sqref="J56">
      <formula1>0</formula1>
    </dataValidation>
    <dataValidation type="decimal" allowBlank="1" showInputMessage="1" showErrorMessage="1" sqref="L56">
      <formula1>0</formula1>
      <formula2>100</formula2>
    </dataValidation>
    <dataValidation type="decimal" allowBlank="1" showInputMessage="1" showErrorMessage="1" sqref="M56">
      <formula1>0</formula1>
      <formula2>100</formula2>
    </dataValidation>
    <dataValidation type="decimal" operator="greaterThanOrEqual" allowBlank="1" showInputMessage="1" showErrorMessage="1" sqref="I57">
      <formula1>0</formula1>
    </dataValidation>
    <dataValidation type="decimal" operator="greaterThanOrEqual" allowBlank="1" showInputMessage="1" showErrorMessage="1" sqref="J57">
      <formula1>0</formula1>
    </dataValidation>
    <dataValidation type="decimal" allowBlank="1" showInputMessage="1" showErrorMessage="1" sqref="L57">
      <formula1>0</formula1>
      <formula2>100</formula2>
    </dataValidation>
    <dataValidation type="decimal" allowBlank="1" showInputMessage="1" showErrorMessage="1" sqref="M57">
      <formula1>0</formula1>
      <formula2>100</formula2>
    </dataValidation>
    <dataValidation type="decimal" operator="greaterThanOrEqual" allowBlank="1" showInputMessage="1" showErrorMessage="1" sqref="I58">
      <formula1>0</formula1>
    </dataValidation>
    <dataValidation type="decimal" operator="greaterThanOrEqual" allowBlank="1" showInputMessage="1" showErrorMessage="1" sqref="J58">
      <formula1>0</formula1>
    </dataValidation>
    <dataValidation type="decimal" allowBlank="1" showInputMessage="1" showErrorMessage="1" sqref="L58">
      <formula1>0</formula1>
      <formula2>100</formula2>
    </dataValidation>
    <dataValidation type="decimal" allowBlank="1" showInputMessage="1" showErrorMessage="1" sqref="M58">
      <formula1>0</formula1>
      <formula2>100</formula2>
    </dataValidation>
    <dataValidation type="decimal" operator="greaterThanOrEqual" allowBlank="1" showInputMessage="1" showErrorMessage="1" sqref="I59">
      <formula1>0</formula1>
    </dataValidation>
    <dataValidation type="decimal" operator="greaterThanOrEqual" allowBlank="1" showInputMessage="1" showErrorMessage="1" sqref="J59">
      <formula1>0</formula1>
    </dataValidation>
    <dataValidation type="decimal" allowBlank="1" showInputMessage="1" showErrorMessage="1" sqref="L59">
      <formula1>0</formula1>
      <formula2>100</formula2>
    </dataValidation>
    <dataValidation type="decimal" allowBlank="1" showInputMessage="1" showErrorMessage="1" sqref="M59">
      <formula1>0</formula1>
      <formula2>100</formula2>
    </dataValidation>
    <dataValidation type="decimal" operator="greaterThanOrEqual" allowBlank="1" showInputMessage="1" showErrorMessage="1" sqref="I60">
      <formula1>0</formula1>
    </dataValidation>
    <dataValidation type="decimal" operator="greaterThanOrEqual" allowBlank="1" showInputMessage="1" showErrorMessage="1" sqref="J60">
      <formula1>0</formula1>
    </dataValidation>
    <dataValidation type="decimal" allowBlank="1" showInputMessage="1" showErrorMessage="1" sqref="L60">
      <formula1>0</formula1>
      <formula2>100</formula2>
    </dataValidation>
    <dataValidation type="decimal" allowBlank="1" showInputMessage="1" showErrorMessage="1" sqref="M60">
      <formula1>0</formula1>
      <formula2>100</formula2>
    </dataValidation>
    <dataValidation type="decimal" operator="greaterThanOrEqual" allowBlank="1" showInputMessage="1" showErrorMessage="1" sqref="I61">
      <formula1>0</formula1>
    </dataValidation>
    <dataValidation type="decimal" operator="greaterThanOrEqual" allowBlank="1" showInputMessage="1" showErrorMessage="1" sqref="J61">
      <formula1>0</formula1>
    </dataValidation>
    <dataValidation type="decimal" allowBlank="1" showInputMessage="1" showErrorMessage="1" sqref="L61">
      <formula1>0</formula1>
      <formula2>100</formula2>
    </dataValidation>
    <dataValidation type="decimal" allowBlank="1" showInputMessage="1" showErrorMessage="1" sqref="M61">
      <formula1>0</formula1>
      <formula2>100</formula2>
    </dataValidation>
    <dataValidation type="decimal" operator="greaterThanOrEqual" allowBlank="1" showInputMessage="1" showErrorMessage="1" sqref="I62">
      <formula1>0</formula1>
    </dataValidation>
    <dataValidation type="decimal" operator="greaterThanOrEqual" allowBlank="1" showInputMessage="1" showErrorMessage="1" sqref="J62">
      <formula1>0</formula1>
    </dataValidation>
    <dataValidation type="decimal" allowBlank="1" showInputMessage="1" showErrorMessage="1" sqref="L62">
      <formula1>0</formula1>
      <formula2>100</formula2>
    </dataValidation>
    <dataValidation type="decimal" allowBlank="1" showInputMessage="1" showErrorMessage="1" sqref="M62">
      <formula1>0</formula1>
      <formula2>100</formula2>
    </dataValidation>
    <dataValidation type="decimal" operator="greaterThanOrEqual" allowBlank="1" showInputMessage="1" showErrorMessage="1" sqref="I63">
      <formula1>0</formula1>
    </dataValidation>
    <dataValidation type="decimal" operator="greaterThanOrEqual" allowBlank="1" showInputMessage="1" showErrorMessage="1" sqref="J63">
      <formula1>0</formula1>
    </dataValidation>
    <dataValidation type="decimal" allowBlank="1" showInputMessage="1" showErrorMessage="1" sqref="L63">
      <formula1>0</formula1>
      <formula2>100</formula2>
    </dataValidation>
    <dataValidation type="decimal" allowBlank="1" showInputMessage="1" showErrorMessage="1" sqref="M63">
      <formula1>0</formula1>
      <formula2>100</formula2>
    </dataValidation>
    <dataValidation type="decimal" operator="greaterThanOrEqual" allowBlank="1" showInputMessage="1" showErrorMessage="1" sqref="I64">
      <formula1>0</formula1>
    </dataValidation>
    <dataValidation type="decimal" operator="greaterThanOrEqual" allowBlank="1" showInputMessage="1" showErrorMessage="1" sqref="J64">
      <formula1>0</formula1>
    </dataValidation>
    <dataValidation type="decimal" allowBlank="1" showInputMessage="1" showErrorMessage="1" sqref="L64">
      <formula1>0</formula1>
      <formula2>100</formula2>
    </dataValidation>
    <dataValidation type="decimal" allowBlank="1" showInputMessage="1" showErrorMessage="1" sqref="M64">
      <formula1>0</formula1>
      <formula2>100</formula2>
    </dataValidation>
    <dataValidation type="decimal" operator="greaterThanOrEqual" allowBlank="1" showInputMessage="1" showErrorMessage="1" sqref="I65">
      <formula1>0</formula1>
    </dataValidation>
    <dataValidation type="decimal" operator="greaterThanOrEqual" allowBlank="1" showInputMessage="1" showErrorMessage="1" sqref="J65">
      <formula1>0</formula1>
    </dataValidation>
    <dataValidation type="decimal" allowBlank="1" showInputMessage="1" showErrorMessage="1" sqref="L65">
      <formula1>0</formula1>
      <formula2>100</formula2>
    </dataValidation>
    <dataValidation type="decimal" allowBlank="1" showInputMessage="1" showErrorMessage="1" sqref="M65">
      <formula1>0</formula1>
      <formula2>100</formula2>
    </dataValidation>
    <dataValidation type="decimal" operator="greaterThanOrEqual" allowBlank="1" showInputMessage="1" showErrorMessage="1" sqref="I66">
      <formula1>0</formula1>
    </dataValidation>
    <dataValidation type="decimal" operator="greaterThanOrEqual" allowBlank="1" showInputMessage="1" showErrorMessage="1" sqref="J66">
      <formula1>0</formula1>
    </dataValidation>
    <dataValidation type="decimal" allowBlank="1" showInputMessage="1" showErrorMessage="1" sqref="L66">
      <formula1>0</formula1>
      <formula2>100</formula2>
    </dataValidation>
    <dataValidation type="decimal" allowBlank="1" showInputMessage="1" showErrorMessage="1" sqref="M66">
      <formula1>0</formula1>
      <formula2>100</formula2>
    </dataValidation>
    <dataValidation type="decimal" operator="greaterThanOrEqual" allowBlank="1" showInputMessage="1" showErrorMessage="1" sqref="I67">
      <formula1>0</formula1>
    </dataValidation>
    <dataValidation type="decimal" operator="greaterThanOrEqual" allowBlank="1" showInputMessage="1" showErrorMessage="1" sqref="J67">
      <formula1>0</formula1>
    </dataValidation>
    <dataValidation type="decimal" allowBlank="1" showInputMessage="1" showErrorMessage="1" sqref="L67">
      <formula1>0</formula1>
      <formula2>100</formula2>
    </dataValidation>
    <dataValidation type="decimal" allowBlank="1" showInputMessage="1" showErrorMessage="1" sqref="M67">
      <formula1>0</formula1>
      <formula2>100</formula2>
    </dataValidation>
    <dataValidation type="decimal" operator="greaterThanOrEqual" allowBlank="1" showInputMessage="1" showErrorMessage="1" sqref="I68">
      <formula1>0</formula1>
    </dataValidation>
    <dataValidation type="decimal" operator="greaterThanOrEqual" allowBlank="1" showInputMessage="1" showErrorMessage="1" sqref="J68">
      <formula1>0</formula1>
    </dataValidation>
    <dataValidation type="decimal" allowBlank="1" showInputMessage="1" showErrorMessage="1" sqref="L68">
      <formula1>0</formula1>
      <formula2>100</formula2>
    </dataValidation>
    <dataValidation type="decimal" allowBlank="1" showInputMessage="1" showErrorMessage="1" sqref="M68">
      <formula1>0</formula1>
      <formula2>100</formula2>
    </dataValidation>
    <dataValidation type="decimal" operator="greaterThanOrEqual" allowBlank="1" showInputMessage="1" showErrorMessage="1" sqref="I69">
      <formula1>0</formula1>
    </dataValidation>
    <dataValidation type="decimal" operator="greaterThanOrEqual" allowBlank="1" showInputMessage="1" showErrorMessage="1" sqref="J69">
      <formula1>0</formula1>
    </dataValidation>
    <dataValidation type="decimal" allowBlank="1" showInputMessage="1" showErrorMessage="1" sqref="L69">
      <formula1>0</formula1>
      <formula2>100</formula2>
    </dataValidation>
    <dataValidation type="decimal" allowBlank="1" showInputMessage="1" showErrorMessage="1" sqref="M69">
      <formula1>0</formula1>
      <formula2>100</formula2>
    </dataValidation>
    <dataValidation type="decimal" operator="greaterThanOrEqual" allowBlank="1" showInputMessage="1" showErrorMessage="1" sqref="I70">
      <formula1>0</formula1>
    </dataValidation>
    <dataValidation type="decimal" operator="greaterThanOrEqual" allowBlank="1" showInputMessage="1" showErrorMessage="1" sqref="J70">
      <formula1>0</formula1>
    </dataValidation>
    <dataValidation type="decimal" allowBlank="1" showInputMessage="1" showErrorMessage="1" sqref="L70">
      <formula1>0</formula1>
      <formula2>100</formula2>
    </dataValidation>
    <dataValidation type="decimal" allowBlank="1" showInputMessage="1" showErrorMessage="1" sqref="M70">
      <formula1>0</formula1>
      <formula2>100</formula2>
    </dataValidation>
    <dataValidation type="decimal" operator="greaterThanOrEqual" allowBlank="1" showInputMessage="1" showErrorMessage="1" sqref="I71">
      <formula1>0</formula1>
    </dataValidation>
    <dataValidation type="decimal" operator="greaterThanOrEqual" allowBlank="1" showInputMessage="1" showErrorMessage="1" sqref="J71">
      <formula1>0</formula1>
    </dataValidation>
    <dataValidation type="decimal" allowBlank="1" showInputMessage="1" showErrorMessage="1" sqref="L71">
      <formula1>0</formula1>
      <formula2>100</formula2>
    </dataValidation>
    <dataValidation type="decimal" allowBlank="1" showInputMessage="1" showErrorMessage="1" sqref="M71">
      <formula1>0</formula1>
      <formula2>100</formula2>
    </dataValidation>
    <dataValidation type="decimal" operator="greaterThanOrEqual" allowBlank="1" showInputMessage="1" showErrorMessage="1" sqref="I72">
      <formula1>0</formula1>
    </dataValidation>
    <dataValidation type="decimal" operator="greaterThanOrEqual" allowBlank="1" showInputMessage="1" showErrorMessage="1" sqref="J72">
      <formula1>0</formula1>
    </dataValidation>
    <dataValidation type="decimal" allowBlank="1" showInputMessage="1" showErrorMessage="1" sqref="L72">
      <formula1>0</formula1>
      <formula2>100</formula2>
    </dataValidation>
    <dataValidation type="decimal" allowBlank="1" showInputMessage="1" showErrorMessage="1" sqref="M72">
      <formula1>0</formula1>
      <formula2>100</formula2>
    </dataValidation>
    <dataValidation type="decimal" operator="greaterThanOrEqual" allowBlank="1" showInputMessage="1" showErrorMessage="1" sqref="I73">
      <formula1>0</formula1>
    </dataValidation>
    <dataValidation type="decimal" operator="greaterThanOrEqual" allowBlank="1" showInputMessage="1" showErrorMessage="1" sqref="J73">
      <formula1>0</formula1>
    </dataValidation>
    <dataValidation type="decimal" allowBlank="1" showInputMessage="1" showErrorMessage="1" sqref="L73">
      <formula1>0</formula1>
      <formula2>100</formula2>
    </dataValidation>
    <dataValidation type="decimal" allowBlank="1" showInputMessage="1" showErrorMessage="1" sqref="M73">
      <formula1>0</formula1>
      <formula2>100</formula2>
    </dataValidation>
    <dataValidation type="decimal" operator="greaterThanOrEqual" allowBlank="1" showInputMessage="1" showErrorMessage="1" sqref="I74">
      <formula1>0</formula1>
    </dataValidation>
    <dataValidation type="decimal" operator="greaterThanOrEqual" allowBlank="1" showInputMessage="1" showErrorMessage="1" sqref="J74">
      <formula1>0</formula1>
    </dataValidation>
    <dataValidation type="decimal" allowBlank="1" showInputMessage="1" showErrorMessage="1" sqref="L74">
      <formula1>0</formula1>
      <formula2>100</formula2>
    </dataValidation>
    <dataValidation type="decimal" allowBlank="1" showInputMessage="1" showErrorMessage="1" sqref="M74">
      <formula1>0</formula1>
      <formula2>100</formula2>
    </dataValidation>
    <dataValidation type="decimal" operator="greaterThanOrEqual" allowBlank="1" showInputMessage="1" showErrorMessage="1" sqref="I75">
      <formula1>0</formula1>
    </dataValidation>
    <dataValidation type="decimal" operator="greaterThanOrEqual" allowBlank="1" showInputMessage="1" showErrorMessage="1" sqref="J75">
      <formula1>0</formula1>
    </dataValidation>
    <dataValidation type="decimal" allowBlank="1" showInputMessage="1" showErrorMessage="1" sqref="L75">
      <formula1>0</formula1>
      <formula2>100</formula2>
    </dataValidation>
    <dataValidation type="decimal" allowBlank="1" showInputMessage="1" showErrorMessage="1" sqref="M75">
      <formula1>0</formula1>
      <formula2>100</formula2>
    </dataValidation>
    <dataValidation type="decimal" operator="greaterThanOrEqual" allowBlank="1" showInputMessage="1" showErrorMessage="1" sqref="I76">
      <formula1>0</formula1>
    </dataValidation>
    <dataValidation type="decimal" operator="greaterThanOrEqual" allowBlank="1" showInputMessage="1" showErrorMessage="1" sqref="J76">
      <formula1>0</formula1>
    </dataValidation>
    <dataValidation type="decimal" allowBlank="1" showInputMessage="1" showErrorMessage="1" sqref="L76">
      <formula1>0</formula1>
      <formula2>100</formula2>
    </dataValidation>
    <dataValidation type="decimal" allowBlank="1" showInputMessage="1" showErrorMessage="1" sqref="M76">
      <formula1>0</formula1>
      <formula2>100</formula2>
    </dataValidation>
    <dataValidation type="decimal" operator="greaterThanOrEqual" allowBlank="1" showInputMessage="1" showErrorMessage="1" sqref="I77">
      <formula1>0</formula1>
    </dataValidation>
    <dataValidation type="decimal" operator="greaterThanOrEqual" allowBlank="1" showInputMessage="1" showErrorMessage="1" sqref="J77">
      <formula1>0</formula1>
    </dataValidation>
    <dataValidation type="decimal" allowBlank="1" showInputMessage="1" showErrorMessage="1" sqref="L77">
      <formula1>0</formula1>
      <formula2>100</formula2>
    </dataValidation>
    <dataValidation type="decimal" allowBlank="1" showInputMessage="1" showErrorMessage="1" sqref="M77">
      <formula1>0</formula1>
      <formula2>100</formula2>
    </dataValidation>
    <dataValidation type="decimal" operator="greaterThanOrEqual" allowBlank="1" showInputMessage="1" showErrorMessage="1" sqref="I78">
      <formula1>0</formula1>
    </dataValidation>
    <dataValidation type="decimal" operator="greaterThanOrEqual" allowBlank="1" showInputMessage="1" showErrorMessage="1" sqref="J78">
      <formula1>0</formula1>
    </dataValidation>
    <dataValidation type="decimal" allowBlank="1" showInputMessage="1" showErrorMessage="1" sqref="L78">
      <formula1>0</formula1>
      <formula2>100</formula2>
    </dataValidation>
    <dataValidation type="decimal" allowBlank="1" showInputMessage="1" showErrorMessage="1" sqref="M78">
      <formula1>0</formula1>
      <formula2>100</formula2>
    </dataValidation>
    <dataValidation type="decimal" operator="greaterThanOrEqual" allowBlank="1" showInputMessage="1" showErrorMessage="1" sqref="I79">
      <formula1>0</formula1>
    </dataValidation>
    <dataValidation type="decimal" operator="greaterThanOrEqual" allowBlank="1" showInputMessage="1" showErrorMessage="1" sqref="J79">
      <formula1>0</formula1>
    </dataValidation>
    <dataValidation type="decimal" allowBlank="1" showInputMessage="1" showErrorMessage="1" sqref="L79">
      <formula1>0</formula1>
      <formula2>100</formula2>
    </dataValidation>
    <dataValidation type="decimal" allowBlank="1" showInputMessage="1" showErrorMessage="1" sqref="M79">
      <formula1>0</formula1>
      <formula2>100</formula2>
    </dataValidation>
    <dataValidation type="decimal" operator="greaterThanOrEqual" allowBlank="1" showInputMessage="1" showErrorMessage="1" sqref="I80">
      <formula1>0</formula1>
    </dataValidation>
    <dataValidation type="decimal" operator="greaterThanOrEqual" allowBlank="1" showInputMessage="1" showErrorMessage="1" sqref="J80">
      <formula1>0</formula1>
    </dataValidation>
    <dataValidation type="decimal" allowBlank="1" showInputMessage="1" showErrorMessage="1" sqref="L80">
      <formula1>0</formula1>
      <formula2>100</formula2>
    </dataValidation>
    <dataValidation type="decimal" allowBlank="1" showInputMessage="1" showErrorMessage="1" sqref="M80">
      <formula1>0</formula1>
      <formula2>100</formula2>
    </dataValidation>
    <dataValidation type="decimal" operator="greaterThanOrEqual" allowBlank="1" showInputMessage="1" showErrorMessage="1" sqref="I81">
      <formula1>0</formula1>
    </dataValidation>
    <dataValidation type="decimal" operator="greaterThanOrEqual" allowBlank="1" showInputMessage="1" showErrorMessage="1" sqref="J81">
      <formula1>0</formula1>
    </dataValidation>
    <dataValidation type="decimal" allowBlank="1" showInputMessage="1" showErrorMessage="1" sqref="L81">
      <formula1>0</formula1>
      <formula2>100</formula2>
    </dataValidation>
    <dataValidation type="decimal" allowBlank="1" showInputMessage="1" showErrorMessage="1" sqref="M81">
      <formula1>0</formula1>
      <formula2>100</formula2>
    </dataValidation>
    <dataValidation type="decimal" operator="greaterThanOrEqual" allowBlank="1" showInputMessage="1" showErrorMessage="1" sqref="I82">
      <formula1>0</formula1>
    </dataValidation>
    <dataValidation type="decimal" operator="greaterThanOrEqual" allowBlank="1" showInputMessage="1" showErrorMessage="1" sqref="J82">
      <formula1>0</formula1>
    </dataValidation>
    <dataValidation type="decimal" allowBlank="1" showInputMessage="1" showErrorMessage="1" sqref="L82">
      <formula1>0</formula1>
      <formula2>100</formula2>
    </dataValidation>
    <dataValidation type="decimal" allowBlank="1" showInputMessage="1" showErrorMessage="1" sqref="M82">
      <formula1>0</formula1>
      <formula2>100</formula2>
    </dataValidation>
    <dataValidation type="decimal" operator="greaterThanOrEqual" allowBlank="1" showInputMessage="1" showErrorMessage="1" sqref="I83">
      <formula1>0</formula1>
    </dataValidation>
    <dataValidation type="decimal" operator="greaterThanOrEqual" allowBlank="1" showInputMessage="1" showErrorMessage="1" sqref="J83">
      <formula1>0</formula1>
    </dataValidation>
    <dataValidation type="decimal" allowBlank="1" showInputMessage="1" showErrorMessage="1" sqref="L83">
      <formula1>0</formula1>
      <formula2>100</formula2>
    </dataValidation>
    <dataValidation type="decimal" allowBlank="1" showInputMessage="1" showErrorMessage="1" sqref="M83">
      <formula1>0</formula1>
      <formula2>100</formula2>
    </dataValidation>
    <dataValidation type="decimal" operator="greaterThanOrEqual" allowBlank="1" showInputMessage="1" showErrorMessage="1" sqref="I84">
      <formula1>0</formula1>
    </dataValidation>
    <dataValidation type="decimal" operator="greaterThanOrEqual" allowBlank="1" showInputMessage="1" showErrorMessage="1" sqref="J84">
      <formula1>0</formula1>
    </dataValidation>
    <dataValidation type="decimal" allowBlank="1" showInputMessage="1" showErrorMessage="1" sqref="L84">
      <formula1>0</formula1>
      <formula2>100</formula2>
    </dataValidation>
    <dataValidation type="decimal" allowBlank="1" showInputMessage="1" showErrorMessage="1" sqref="M84">
      <formula1>0</formula1>
      <formula2>100</formula2>
    </dataValidation>
    <dataValidation type="decimal" operator="greaterThanOrEqual" allowBlank="1" showInputMessage="1" showErrorMessage="1" sqref="I85">
      <formula1>0</formula1>
    </dataValidation>
    <dataValidation type="decimal" operator="greaterThanOrEqual" allowBlank="1" showInputMessage="1" showErrorMessage="1" sqref="J85">
      <formula1>0</formula1>
    </dataValidation>
    <dataValidation type="decimal" allowBlank="1" showInputMessage="1" showErrorMessage="1" sqref="L85">
      <formula1>0</formula1>
      <formula2>100</formula2>
    </dataValidation>
    <dataValidation type="decimal" allowBlank="1" showInputMessage="1" showErrorMessage="1" sqref="M85">
      <formula1>0</formula1>
      <formula2>100</formula2>
    </dataValidation>
    <dataValidation type="decimal" operator="greaterThanOrEqual" allowBlank="1" showInputMessage="1" showErrorMessage="1" sqref="I86">
      <formula1>0</formula1>
    </dataValidation>
    <dataValidation type="decimal" operator="greaterThanOrEqual" allowBlank="1" showInputMessage="1" showErrorMessage="1" sqref="J86">
      <formula1>0</formula1>
    </dataValidation>
    <dataValidation type="decimal" allowBlank="1" showInputMessage="1" showErrorMessage="1" sqref="L86">
      <formula1>0</formula1>
      <formula2>100</formula2>
    </dataValidation>
    <dataValidation type="decimal" allowBlank="1" showInputMessage="1" showErrorMessage="1" sqref="M86">
      <formula1>0</formula1>
      <formula2>100</formula2>
    </dataValidation>
    <dataValidation type="decimal" operator="greaterThanOrEqual" allowBlank="1" showInputMessage="1" showErrorMessage="1" sqref="I87">
      <formula1>0</formula1>
    </dataValidation>
    <dataValidation type="decimal" operator="greaterThanOrEqual" allowBlank="1" showInputMessage="1" showErrorMessage="1" sqref="J87">
      <formula1>0</formula1>
    </dataValidation>
    <dataValidation type="decimal" allowBlank="1" showInputMessage="1" showErrorMessage="1" sqref="L87">
      <formula1>0</formula1>
      <formula2>100</formula2>
    </dataValidation>
    <dataValidation type="decimal" allowBlank="1" showInputMessage="1" showErrorMessage="1" sqref="M87">
      <formula1>0</formula1>
      <formula2>100</formula2>
    </dataValidation>
    <dataValidation type="decimal" operator="greaterThanOrEqual" allowBlank="1" showInputMessage="1" showErrorMessage="1" sqref="I88">
      <formula1>0</formula1>
    </dataValidation>
    <dataValidation type="decimal" operator="greaterThanOrEqual" allowBlank="1" showInputMessage="1" showErrorMessage="1" sqref="J88">
      <formula1>0</formula1>
    </dataValidation>
    <dataValidation type="decimal" allowBlank="1" showInputMessage="1" showErrorMessage="1" sqref="L88">
      <formula1>0</formula1>
      <formula2>100</formula2>
    </dataValidation>
    <dataValidation type="decimal" allowBlank="1" showInputMessage="1" showErrorMessage="1" sqref="M88">
      <formula1>0</formula1>
      <formula2>100</formula2>
    </dataValidation>
    <dataValidation type="decimal" operator="greaterThanOrEqual" allowBlank="1" showInputMessage="1" showErrorMessage="1" sqref="I89">
      <formula1>0</formula1>
    </dataValidation>
    <dataValidation type="decimal" operator="greaterThanOrEqual" allowBlank="1" showInputMessage="1" showErrorMessage="1" sqref="J89">
      <formula1>0</formula1>
    </dataValidation>
    <dataValidation type="decimal" allowBlank="1" showInputMessage="1" showErrorMessage="1" sqref="L89">
      <formula1>0</formula1>
      <formula2>100</formula2>
    </dataValidation>
    <dataValidation type="decimal" allowBlank="1" showInputMessage="1" showErrorMessage="1" sqref="M89">
      <formula1>0</formula1>
      <formula2>100</formula2>
    </dataValidation>
    <dataValidation type="decimal" operator="greaterThanOrEqual" allowBlank="1" showInputMessage="1" showErrorMessage="1" sqref="I90">
      <formula1>0</formula1>
    </dataValidation>
    <dataValidation type="decimal" operator="greaterThanOrEqual" allowBlank="1" showInputMessage="1" showErrorMessage="1" sqref="J90">
      <formula1>0</formula1>
    </dataValidation>
    <dataValidation type="decimal" allowBlank="1" showInputMessage="1" showErrorMessage="1" sqref="L90">
      <formula1>0</formula1>
      <formula2>100</formula2>
    </dataValidation>
    <dataValidation type="decimal" allowBlank="1" showInputMessage="1" showErrorMessage="1" sqref="M90">
      <formula1>0</formula1>
      <formula2>100</formula2>
    </dataValidation>
    <dataValidation type="decimal" operator="greaterThanOrEqual" allowBlank="1" showInputMessage="1" showErrorMessage="1" sqref="I91">
      <formula1>0</formula1>
    </dataValidation>
    <dataValidation type="decimal" operator="greaterThanOrEqual" allowBlank="1" showInputMessage="1" showErrorMessage="1" sqref="J91">
      <formula1>0</formula1>
    </dataValidation>
    <dataValidation type="decimal" allowBlank="1" showInputMessage="1" showErrorMessage="1" sqref="L91">
      <formula1>0</formula1>
      <formula2>100</formula2>
    </dataValidation>
    <dataValidation type="decimal" allowBlank="1" showInputMessage="1" showErrorMessage="1" sqref="M91">
      <formula1>0</formula1>
      <formula2>100</formula2>
    </dataValidation>
    <dataValidation type="decimal" operator="greaterThanOrEqual" allowBlank="1" showInputMessage="1" showErrorMessage="1" sqref="I92">
      <formula1>0</formula1>
    </dataValidation>
    <dataValidation type="decimal" operator="greaterThanOrEqual" allowBlank="1" showInputMessage="1" showErrorMessage="1" sqref="J92">
      <formula1>0</formula1>
    </dataValidation>
    <dataValidation type="decimal" allowBlank="1" showInputMessage="1" showErrorMessage="1" sqref="L92">
      <formula1>0</formula1>
      <formula2>100</formula2>
    </dataValidation>
    <dataValidation type="decimal" allowBlank="1" showInputMessage="1" showErrorMessage="1" sqref="M92">
      <formula1>0</formula1>
      <formula2>100</formula2>
    </dataValidation>
    <dataValidation type="decimal" operator="greaterThanOrEqual" allowBlank="1" showInputMessage="1" showErrorMessage="1" sqref="I93">
      <formula1>0</formula1>
    </dataValidation>
    <dataValidation type="decimal" operator="greaterThanOrEqual" allowBlank="1" showInputMessage="1" showErrorMessage="1" sqref="J93">
      <formula1>0</formula1>
    </dataValidation>
    <dataValidation type="decimal" allowBlank="1" showInputMessage="1" showErrorMessage="1" sqref="L93">
      <formula1>0</formula1>
      <formula2>100</formula2>
    </dataValidation>
    <dataValidation type="decimal" allowBlank="1" showInputMessage="1" showErrorMessage="1" sqref="M93">
      <formula1>0</formula1>
      <formula2>100</formula2>
    </dataValidation>
    <dataValidation type="decimal" operator="greaterThanOrEqual" allowBlank="1" showInputMessage="1" showErrorMessage="1" sqref="I94">
      <formula1>0</formula1>
    </dataValidation>
    <dataValidation type="decimal" operator="greaterThanOrEqual" allowBlank="1" showInputMessage="1" showErrorMessage="1" sqref="J94">
      <formula1>0</formula1>
    </dataValidation>
    <dataValidation type="decimal" allowBlank="1" showInputMessage="1" showErrorMessage="1" sqref="L94">
      <formula1>0</formula1>
      <formula2>100</formula2>
    </dataValidation>
    <dataValidation type="decimal" allowBlank="1" showInputMessage="1" showErrorMessage="1" sqref="M94">
      <formula1>0</formula1>
      <formula2>100</formula2>
    </dataValidation>
    <dataValidation type="decimal" operator="greaterThanOrEqual" allowBlank="1" showInputMessage="1" showErrorMessage="1" sqref="I95">
      <formula1>0</formula1>
    </dataValidation>
    <dataValidation type="decimal" operator="greaterThanOrEqual" allowBlank="1" showInputMessage="1" showErrorMessage="1" sqref="J95">
      <formula1>0</formula1>
    </dataValidation>
    <dataValidation type="decimal" allowBlank="1" showInputMessage="1" showErrorMessage="1" sqref="L95">
      <formula1>0</formula1>
      <formula2>100</formula2>
    </dataValidation>
    <dataValidation type="decimal" allowBlank="1" showInputMessage="1" showErrorMessage="1" sqref="M95">
      <formula1>0</formula1>
      <formula2>100</formula2>
    </dataValidation>
    <dataValidation type="decimal" operator="greaterThanOrEqual" allowBlank="1" showInputMessage="1" showErrorMessage="1" sqref="I96">
      <formula1>0</formula1>
    </dataValidation>
    <dataValidation type="decimal" operator="greaterThanOrEqual" allowBlank="1" showInputMessage="1" showErrorMessage="1" sqref="J96">
      <formula1>0</formula1>
    </dataValidation>
    <dataValidation type="decimal" allowBlank="1" showInputMessage="1" showErrorMessage="1" sqref="L96">
      <formula1>0</formula1>
      <formula2>100</formula2>
    </dataValidation>
    <dataValidation type="decimal" allowBlank="1" showInputMessage="1" showErrorMessage="1" sqref="M96">
      <formula1>0</formula1>
      <formula2>100</formula2>
    </dataValidation>
    <dataValidation type="decimal" operator="greaterThanOrEqual" allowBlank="1" showInputMessage="1" showErrorMessage="1" sqref="I97">
      <formula1>0</formula1>
    </dataValidation>
    <dataValidation type="decimal" operator="greaterThanOrEqual" allowBlank="1" showInputMessage="1" showErrorMessage="1" sqref="J97">
      <formula1>0</formula1>
    </dataValidation>
    <dataValidation type="decimal" allowBlank="1" showInputMessage="1" showErrorMessage="1" sqref="L97">
      <formula1>0</formula1>
      <formula2>100</formula2>
    </dataValidation>
    <dataValidation type="decimal" allowBlank="1" showInputMessage="1" showErrorMessage="1" sqref="M97">
      <formula1>0</formula1>
      <formula2>100</formula2>
    </dataValidation>
    <dataValidation type="decimal" operator="greaterThanOrEqual" allowBlank="1" showInputMessage="1" showErrorMessage="1" sqref="I98">
      <formula1>0</formula1>
    </dataValidation>
    <dataValidation type="decimal" operator="greaterThanOrEqual" allowBlank="1" showInputMessage="1" showErrorMessage="1" sqref="J98">
      <formula1>0</formula1>
    </dataValidation>
    <dataValidation type="decimal" allowBlank="1" showInputMessage="1" showErrorMessage="1" sqref="L98">
      <formula1>0</formula1>
      <formula2>100</formula2>
    </dataValidation>
    <dataValidation type="decimal" allowBlank="1" showInputMessage="1" showErrorMessage="1" sqref="M98">
      <formula1>0</formula1>
      <formula2>100</formula2>
    </dataValidation>
    <dataValidation type="decimal" operator="greaterThanOrEqual" allowBlank="1" showInputMessage="1" showErrorMessage="1" sqref="I99">
      <formula1>0</formula1>
    </dataValidation>
    <dataValidation type="decimal" operator="greaterThanOrEqual" allowBlank="1" showInputMessage="1" showErrorMessage="1" sqref="J99">
      <formula1>0</formula1>
    </dataValidation>
    <dataValidation type="decimal" allowBlank="1" showInputMessage="1" showErrorMessage="1" sqref="L99">
      <formula1>0</formula1>
      <formula2>100</formula2>
    </dataValidation>
    <dataValidation type="decimal" allowBlank="1" showInputMessage="1" showErrorMessage="1" sqref="M99">
      <formula1>0</formula1>
      <formula2>100</formula2>
    </dataValidation>
    <dataValidation type="decimal" operator="greaterThanOrEqual" allowBlank="1" showInputMessage="1" showErrorMessage="1" sqref="I100">
      <formula1>0</formula1>
    </dataValidation>
    <dataValidation type="decimal" operator="greaterThanOrEqual" allowBlank="1" showInputMessage="1" showErrorMessage="1" sqref="J100">
      <formula1>0</formula1>
    </dataValidation>
    <dataValidation type="decimal" allowBlank="1" showInputMessage="1" showErrorMessage="1" sqref="L100">
      <formula1>0</formula1>
      <formula2>100</formula2>
    </dataValidation>
    <dataValidation type="decimal" allowBlank="1" showInputMessage="1" showErrorMessage="1" sqref="M100">
      <formula1>0</formula1>
      <formula2>100</formula2>
    </dataValidation>
    <dataValidation type="decimal" operator="greaterThanOrEqual" allowBlank="1" showInputMessage="1" showErrorMessage="1" sqref="I101">
      <formula1>0</formula1>
    </dataValidation>
    <dataValidation type="decimal" operator="greaterThanOrEqual" allowBlank="1" showInputMessage="1" showErrorMessage="1" sqref="J101">
      <formula1>0</formula1>
    </dataValidation>
    <dataValidation type="decimal" allowBlank="1" showInputMessage="1" showErrorMessage="1" sqref="L101">
      <formula1>0</formula1>
      <formula2>100</formula2>
    </dataValidation>
    <dataValidation type="decimal" allowBlank="1" showInputMessage="1" showErrorMessage="1" sqref="M101">
      <formula1>0</formula1>
      <formula2>100</formula2>
    </dataValidation>
    <dataValidation type="decimal" operator="greaterThanOrEqual" allowBlank="1" showInputMessage="1" showErrorMessage="1" sqref="I102">
      <formula1>0</formula1>
    </dataValidation>
    <dataValidation type="decimal" operator="greaterThanOrEqual" allowBlank="1" showInputMessage="1" showErrorMessage="1" sqref="J102">
      <formula1>0</formula1>
    </dataValidation>
    <dataValidation type="decimal" allowBlank="1" showInputMessage="1" showErrorMessage="1" sqref="L102">
      <formula1>0</formula1>
      <formula2>100</formula2>
    </dataValidation>
    <dataValidation type="decimal" allowBlank="1" showInputMessage="1" showErrorMessage="1" sqref="M102">
      <formula1>0</formula1>
      <formula2>100</formula2>
    </dataValidation>
    <dataValidation type="decimal" operator="greaterThanOrEqual" allowBlank="1" showInputMessage="1" showErrorMessage="1" sqref="I103">
      <formula1>0</formula1>
    </dataValidation>
    <dataValidation type="decimal" operator="greaterThanOrEqual" allowBlank="1" showInputMessage="1" showErrorMessage="1" sqref="J103">
      <formula1>0</formula1>
    </dataValidation>
    <dataValidation type="decimal" allowBlank="1" showInputMessage="1" showErrorMessage="1" sqref="L103">
      <formula1>0</formula1>
      <formula2>100</formula2>
    </dataValidation>
    <dataValidation type="decimal" allowBlank="1" showInputMessage="1" showErrorMessage="1" sqref="M103">
      <formula1>0</formula1>
      <formula2>100</formula2>
    </dataValidation>
    <dataValidation type="decimal" operator="greaterThanOrEqual" allowBlank="1" showInputMessage="1" showErrorMessage="1" sqref="I104">
      <formula1>0</formula1>
    </dataValidation>
    <dataValidation type="decimal" operator="greaterThanOrEqual" allowBlank="1" showInputMessage="1" showErrorMessage="1" sqref="J104">
      <formula1>0</formula1>
    </dataValidation>
    <dataValidation type="decimal" allowBlank="1" showInputMessage="1" showErrorMessage="1" sqref="L104">
      <formula1>0</formula1>
      <formula2>100</formula2>
    </dataValidation>
    <dataValidation type="decimal" allowBlank="1" showInputMessage="1" showErrorMessage="1" sqref="M104">
      <formula1>0</formula1>
      <formula2>100</formula2>
    </dataValidation>
    <dataValidation type="decimal" operator="greaterThanOrEqual" allowBlank="1" showInputMessage="1" showErrorMessage="1" sqref="I105">
      <formula1>0</formula1>
    </dataValidation>
    <dataValidation type="decimal" operator="greaterThanOrEqual" allowBlank="1" showInputMessage="1" showErrorMessage="1" sqref="J105">
      <formula1>0</formula1>
    </dataValidation>
    <dataValidation type="decimal" allowBlank="1" showInputMessage="1" showErrorMessage="1" sqref="L105">
      <formula1>0</formula1>
      <formula2>100</formula2>
    </dataValidation>
    <dataValidation type="decimal" allowBlank="1" showInputMessage="1" showErrorMessage="1" sqref="M105">
      <formula1>0</formula1>
      <formula2>100</formula2>
    </dataValidation>
    <dataValidation type="decimal" operator="greaterThanOrEqual" allowBlank="1" showInputMessage="1" showErrorMessage="1" sqref="I106">
      <formula1>0</formula1>
    </dataValidation>
    <dataValidation type="decimal" operator="greaterThanOrEqual" allowBlank="1" showInputMessage="1" showErrorMessage="1" sqref="J106">
      <formula1>0</formula1>
    </dataValidation>
    <dataValidation type="decimal" allowBlank="1" showInputMessage="1" showErrorMessage="1" sqref="L106">
      <formula1>0</formula1>
      <formula2>100</formula2>
    </dataValidation>
    <dataValidation type="decimal" allowBlank="1" showInputMessage="1" showErrorMessage="1" sqref="M106">
      <formula1>0</formula1>
      <formula2>100</formula2>
    </dataValidation>
    <dataValidation type="decimal" operator="greaterThanOrEqual" allowBlank="1" showInputMessage="1" showErrorMessage="1" sqref="I107">
      <formula1>0</formula1>
    </dataValidation>
    <dataValidation type="decimal" operator="greaterThanOrEqual" allowBlank="1" showInputMessage="1" showErrorMessage="1" sqref="J107">
      <formula1>0</formula1>
    </dataValidation>
    <dataValidation type="decimal" allowBlank="1" showInputMessage="1" showErrorMessage="1" sqref="L107">
      <formula1>0</formula1>
      <formula2>100</formula2>
    </dataValidation>
    <dataValidation type="decimal" allowBlank="1" showInputMessage="1" showErrorMessage="1" sqref="M107">
      <formula1>0</formula1>
      <formula2>100</formula2>
    </dataValidation>
    <dataValidation type="decimal" operator="greaterThanOrEqual" allowBlank="1" showInputMessage="1" showErrorMessage="1" sqref="I108">
      <formula1>0</formula1>
    </dataValidation>
    <dataValidation type="decimal" operator="greaterThanOrEqual" allowBlank="1" showInputMessage="1" showErrorMessage="1" sqref="J108">
      <formula1>0</formula1>
    </dataValidation>
    <dataValidation type="decimal" allowBlank="1" showInputMessage="1" showErrorMessage="1" sqref="L108">
      <formula1>0</formula1>
      <formula2>100</formula2>
    </dataValidation>
    <dataValidation type="decimal" allowBlank="1" showInputMessage="1" showErrorMessage="1" sqref="M108">
      <formula1>0</formula1>
      <formula2>100</formula2>
    </dataValidation>
    <dataValidation type="decimal" operator="greaterThanOrEqual" allowBlank="1" showInputMessage="1" showErrorMessage="1" sqref="I109">
      <formula1>0</formula1>
    </dataValidation>
    <dataValidation type="decimal" operator="greaterThanOrEqual" allowBlank="1" showInputMessage="1" showErrorMessage="1" sqref="J109">
      <formula1>0</formula1>
    </dataValidation>
    <dataValidation type="decimal" allowBlank="1" showInputMessage="1" showErrorMessage="1" sqref="L109">
      <formula1>0</formula1>
      <formula2>100</formula2>
    </dataValidation>
    <dataValidation type="decimal" allowBlank="1" showInputMessage="1" showErrorMessage="1" sqref="M109">
      <formula1>0</formula1>
      <formula2>100</formula2>
    </dataValidation>
    <dataValidation type="decimal" operator="greaterThanOrEqual" allowBlank="1" showInputMessage="1" showErrorMessage="1" sqref="I110">
      <formula1>0</formula1>
    </dataValidation>
    <dataValidation type="decimal" operator="greaterThanOrEqual" allowBlank="1" showInputMessage="1" showErrorMessage="1" sqref="J110">
      <formula1>0</formula1>
    </dataValidation>
    <dataValidation type="decimal" allowBlank="1" showInputMessage="1" showErrorMessage="1" sqref="L110">
      <formula1>0</formula1>
      <formula2>100</formula2>
    </dataValidation>
    <dataValidation type="decimal" allowBlank="1" showInputMessage="1" showErrorMessage="1" sqref="M110">
      <formula1>0</formula1>
      <formula2>100</formula2>
    </dataValidation>
    <dataValidation type="decimal" operator="greaterThanOrEqual" allowBlank="1" showInputMessage="1" showErrorMessage="1" sqref="I111">
      <formula1>0</formula1>
    </dataValidation>
    <dataValidation type="decimal" operator="greaterThanOrEqual" allowBlank="1" showInputMessage="1" showErrorMessage="1" sqref="J111">
      <formula1>0</formula1>
    </dataValidation>
    <dataValidation type="decimal" allowBlank="1" showInputMessage="1" showErrorMessage="1" sqref="L111">
      <formula1>0</formula1>
      <formula2>100</formula2>
    </dataValidation>
    <dataValidation type="decimal" allowBlank="1" showInputMessage="1" showErrorMessage="1" sqref="M111">
      <formula1>0</formula1>
      <formula2>100</formula2>
    </dataValidation>
    <dataValidation type="decimal" operator="greaterThanOrEqual" allowBlank="1" showInputMessage="1" showErrorMessage="1" sqref="I112">
      <formula1>0</formula1>
    </dataValidation>
    <dataValidation type="decimal" operator="greaterThanOrEqual" allowBlank="1" showInputMessage="1" showErrorMessage="1" sqref="J112">
      <formula1>0</formula1>
    </dataValidation>
    <dataValidation type="decimal" allowBlank="1" showInputMessage="1" showErrorMessage="1" sqref="L112">
      <formula1>0</formula1>
      <formula2>100</formula2>
    </dataValidation>
    <dataValidation type="decimal" allowBlank="1" showInputMessage="1" showErrorMessage="1" sqref="M112">
      <formula1>0</formula1>
      <formula2>100</formula2>
    </dataValidation>
    <dataValidation type="decimal" operator="greaterThanOrEqual" allowBlank="1" showInputMessage="1" showErrorMessage="1" sqref="I113">
      <formula1>0</formula1>
    </dataValidation>
    <dataValidation type="decimal" operator="greaterThanOrEqual" allowBlank="1" showInputMessage="1" showErrorMessage="1" sqref="J113">
      <formula1>0</formula1>
    </dataValidation>
    <dataValidation type="decimal" allowBlank="1" showInputMessage="1" showErrorMessage="1" sqref="L113">
      <formula1>0</formula1>
      <formula2>100</formula2>
    </dataValidation>
    <dataValidation type="decimal" allowBlank="1" showInputMessage="1" showErrorMessage="1" sqref="M113">
      <formula1>0</formula1>
      <formula2>100</formula2>
    </dataValidation>
    <dataValidation type="decimal" operator="greaterThanOrEqual" allowBlank="1" showInputMessage="1" showErrorMessage="1" sqref="I114">
      <formula1>0</formula1>
    </dataValidation>
    <dataValidation type="decimal" operator="greaterThanOrEqual" allowBlank="1" showInputMessage="1" showErrorMessage="1" sqref="J114">
      <formula1>0</formula1>
    </dataValidation>
    <dataValidation type="decimal" allowBlank="1" showInputMessage="1" showErrorMessage="1" sqref="L114">
      <formula1>0</formula1>
      <formula2>100</formula2>
    </dataValidation>
    <dataValidation type="decimal" allowBlank="1" showInputMessage="1" showErrorMessage="1" sqref="M114">
      <formula1>0</formula1>
      <formula2>100</formula2>
    </dataValidation>
    <dataValidation type="decimal" operator="greaterThanOrEqual" allowBlank="1" showInputMessage="1" showErrorMessage="1" sqref="I115">
      <formula1>0</formula1>
    </dataValidation>
    <dataValidation type="decimal" operator="greaterThanOrEqual" allowBlank="1" showInputMessage="1" showErrorMessage="1" sqref="J115">
      <formula1>0</formula1>
    </dataValidation>
    <dataValidation type="decimal" allowBlank="1" showInputMessage="1" showErrorMessage="1" sqref="L115">
      <formula1>0</formula1>
      <formula2>100</formula2>
    </dataValidation>
    <dataValidation type="decimal" allowBlank="1" showInputMessage="1" showErrorMessage="1" sqref="M115">
      <formula1>0</formula1>
      <formula2>100</formula2>
    </dataValidation>
    <dataValidation type="decimal" operator="greaterThanOrEqual" allowBlank="1" showInputMessage="1" showErrorMessage="1" sqref="I116">
      <formula1>0</formula1>
    </dataValidation>
    <dataValidation type="decimal" operator="greaterThanOrEqual" allowBlank="1" showInputMessage="1" showErrorMessage="1" sqref="J116">
      <formula1>0</formula1>
    </dataValidation>
    <dataValidation type="decimal" allowBlank="1" showInputMessage="1" showErrorMessage="1" sqref="L116">
      <formula1>0</formula1>
      <formula2>100</formula2>
    </dataValidation>
    <dataValidation type="decimal" allowBlank="1" showInputMessage="1" showErrorMessage="1" sqref="M116">
      <formula1>0</formula1>
      <formula2>100</formula2>
    </dataValidation>
    <dataValidation type="decimal" operator="greaterThanOrEqual" allowBlank="1" showInputMessage="1" showErrorMessage="1" sqref="I117">
      <formula1>0</formula1>
    </dataValidation>
    <dataValidation type="decimal" operator="greaterThanOrEqual" allowBlank="1" showInputMessage="1" showErrorMessage="1" sqref="J117">
      <formula1>0</formula1>
    </dataValidation>
    <dataValidation type="decimal" allowBlank="1" showInputMessage="1" showErrorMessage="1" sqref="L117">
      <formula1>0</formula1>
      <formula2>100</formula2>
    </dataValidation>
    <dataValidation type="decimal" allowBlank="1" showInputMessage="1" showErrorMessage="1" sqref="M117">
      <formula1>0</formula1>
      <formula2>100</formula2>
    </dataValidation>
    <dataValidation type="decimal" operator="greaterThanOrEqual" allowBlank="1" showInputMessage="1" showErrorMessage="1" sqref="I118">
      <formula1>0</formula1>
    </dataValidation>
    <dataValidation type="decimal" operator="greaterThanOrEqual" allowBlank="1" showInputMessage="1" showErrorMessage="1" sqref="J118">
      <formula1>0</formula1>
    </dataValidation>
    <dataValidation type="decimal" allowBlank="1" showInputMessage="1" showErrorMessage="1" sqref="L118">
      <formula1>0</formula1>
      <formula2>100</formula2>
    </dataValidation>
    <dataValidation type="decimal" allowBlank="1" showInputMessage="1" showErrorMessage="1" sqref="M118">
      <formula1>0</formula1>
      <formula2>100</formula2>
    </dataValidation>
    <dataValidation type="decimal" operator="greaterThanOrEqual" allowBlank="1" showInputMessage="1" showErrorMessage="1" sqref="I119">
      <formula1>0</formula1>
    </dataValidation>
    <dataValidation type="decimal" operator="greaterThanOrEqual" allowBlank="1" showInputMessage="1" showErrorMessage="1" sqref="J119">
      <formula1>0</formula1>
    </dataValidation>
    <dataValidation type="decimal" allowBlank="1" showInputMessage="1" showErrorMessage="1" sqref="L119">
      <formula1>0</formula1>
      <formula2>100</formula2>
    </dataValidation>
    <dataValidation type="decimal" allowBlank="1" showInputMessage="1" showErrorMessage="1" sqref="M119">
      <formula1>0</formula1>
      <formula2>100</formula2>
    </dataValidation>
    <dataValidation type="decimal" operator="greaterThanOrEqual" allowBlank="1" showInputMessage="1" showErrorMessage="1" sqref="I120">
      <formula1>0</formula1>
    </dataValidation>
    <dataValidation type="decimal" operator="greaterThanOrEqual" allowBlank="1" showInputMessage="1" showErrorMessage="1" sqref="J120">
      <formula1>0</formula1>
    </dataValidation>
    <dataValidation type="decimal" allowBlank="1" showInputMessage="1" showErrorMessage="1" sqref="L120">
      <formula1>0</formula1>
      <formula2>100</formula2>
    </dataValidation>
    <dataValidation type="decimal" allowBlank="1" showInputMessage="1" showErrorMessage="1" sqref="M120">
      <formula1>0</formula1>
      <formula2>100</formula2>
    </dataValidation>
    <dataValidation type="decimal" operator="greaterThanOrEqual" allowBlank="1" showInputMessage="1" showErrorMessage="1" sqref="I121">
      <formula1>0</formula1>
    </dataValidation>
    <dataValidation type="decimal" operator="greaterThanOrEqual" allowBlank="1" showInputMessage="1" showErrorMessage="1" sqref="J121">
      <formula1>0</formula1>
    </dataValidation>
    <dataValidation type="decimal" allowBlank="1" showInputMessage="1" showErrorMessage="1" sqref="L121">
      <formula1>0</formula1>
      <formula2>100</formula2>
    </dataValidation>
    <dataValidation type="decimal" allowBlank="1" showInputMessage="1" showErrorMessage="1" sqref="M121">
      <formula1>0</formula1>
      <formula2>100</formula2>
    </dataValidation>
    <dataValidation type="decimal" operator="greaterThanOrEqual" allowBlank="1" showInputMessage="1" showErrorMessage="1" sqref="I122">
      <formula1>0</formula1>
    </dataValidation>
    <dataValidation type="decimal" operator="greaterThanOrEqual" allowBlank="1" showInputMessage="1" showErrorMessage="1" sqref="J122">
      <formula1>0</formula1>
    </dataValidation>
    <dataValidation type="decimal" allowBlank="1" showInputMessage="1" showErrorMessage="1" sqref="L122">
      <formula1>0</formula1>
      <formula2>100</formula2>
    </dataValidation>
    <dataValidation type="decimal" allowBlank="1" showInputMessage="1" showErrorMessage="1" sqref="M122">
      <formula1>0</formula1>
      <formula2>100</formula2>
    </dataValidation>
    <dataValidation type="decimal" operator="greaterThanOrEqual" allowBlank="1" showInputMessage="1" showErrorMessage="1" sqref="I123">
      <formula1>0</formula1>
    </dataValidation>
    <dataValidation type="decimal" operator="greaterThanOrEqual" allowBlank="1" showInputMessage="1" showErrorMessage="1" sqref="J123">
      <formula1>0</formula1>
    </dataValidation>
    <dataValidation type="decimal" allowBlank="1" showInputMessage="1" showErrorMessage="1" sqref="L123">
      <formula1>0</formula1>
      <formula2>100</formula2>
    </dataValidation>
    <dataValidation type="decimal" allowBlank="1" showInputMessage="1" showErrorMessage="1" sqref="M123">
      <formula1>0</formula1>
      <formula2>100</formula2>
    </dataValidation>
    <dataValidation type="decimal" operator="greaterThanOrEqual" allowBlank="1" showInputMessage="1" showErrorMessage="1" sqref="I124">
      <formula1>0</formula1>
    </dataValidation>
    <dataValidation type="decimal" operator="greaterThanOrEqual" allowBlank="1" showInputMessage="1" showErrorMessage="1" sqref="J124">
      <formula1>0</formula1>
    </dataValidation>
    <dataValidation type="decimal" allowBlank="1" showInputMessage="1" showErrorMessage="1" sqref="L124">
      <formula1>0</formula1>
      <formula2>100</formula2>
    </dataValidation>
    <dataValidation type="decimal" allowBlank="1" showInputMessage="1" showErrorMessage="1" sqref="M124">
      <formula1>0</formula1>
      <formula2>100</formula2>
    </dataValidation>
    <dataValidation type="decimal" operator="greaterThanOrEqual" allowBlank="1" showInputMessage="1" showErrorMessage="1" sqref="I125">
      <formula1>0</formula1>
    </dataValidation>
    <dataValidation type="decimal" operator="greaterThanOrEqual" allowBlank="1" showInputMessage="1" showErrorMessage="1" sqref="J125">
      <formula1>0</formula1>
    </dataValidation>
    <dataValidation type="decimal" allowBlank="1" showInputMessage="1" showErrorMessage="1" sqref="L125">
      <formula1>0</formula1>
      <formula2>100</formula2>
    </dataValidation>
    <dataValidation type="decimal" allowBlank="1" showInputMessage="1" showErrorMessage="1" sqref="M125">
      <formula1>0</formula1>
      <formula2>100</formula2>
    </dataValidation>
    <dataValidation type="decimal" operator="greaterThanOrEqual" allowBlank="1" showInputMessage="1" showErrorMessage="1" sqref="I126">
      <formula1>0</formula1>
    </dataValidation>
    <dataValidation type="decimal" operator="greaterThanOrEqual" allowBlank="1" showInputMessage="1" showErrorMessage="1" sqref="J126">
      <formula1>0</formula1>
    </dataValidation>
    <dataValidation type="decimal" allowBlank="1" showInputMessage="1" showErrorMessage="1" sqref="L126">
      <formula1>0</formula1>
      <formula2>100</formula2>
    </dataValidation>
    <dataValidation type="decimal" allowBlank="1" showInputMessage="1" showErrorMessage="1" sqref="M126">
      <formula1>0</formula1>
      <formula2>100</formula2>
    </dataValidation>
    <dataValidation type="decimal" operator="greaterThanOrEqual" allowBlank="1" showInputMessage="1" showErrorMessage="1" sqref="I127">
      <formula1>0</formula1>
    </dataValidation>
    <dataValidation type="decimal" operator="greaterThanOrEqual" allowBlank="1" showInputMessage="1" showErrorMessage="1" sqref="J127">
      <formula1>0</formula1>
    </dataValidation>
    <dataValidation type="decimal" allowBlank="1" showInputMessage="1" showErrorMessage="1" sqref="L127">
      <formula1>0</formula1>
      <formula2>100</formula2>
    </dataValidation>
    <dataValidation type="decimal" allowBlank="1" showInputMessage="1" showErrorMessage="1" sqref="M127">
      <formula1>0</formula1>
      <formula2>100</formula2>
    </dataValidation>
    <dataValidation type="decimal" operator="greaterThanOrEqual" allowBlank="1" showInputMessage="1" showErrorMessage="1" sqref="I128">
      <formula1>0</formula1>
    </dataValidation>
    <dataValidation type="decimal" operator="greaterThanOrEqual" allowBlank="1" showInputMessage="1" showErrorMessage="1" sqref="J128">
      <formula1>0</formula1>
    </dataValidation>
    <dataValidation type="decimal" allowBlank="1" showInputMessage="1" showErrorMessage="1" sqref="L128">
      <formula1>0</formula1>
      <formula2>100</formula2>
    </dataValidation>
    <dataValidation type="decimal" allowBlank="1" showInputMessage="1" showErrorMessage="1" sqref="M128">
      <formula1>0</formula1>
      <formula2>100</formula2>
    </dataValidation>
    <dataValidation type="decimal" operator="greaterThanOrEqual" allowBlank="1" showInputMessage="1" showErrorMessage="1" sqref="I129">
      <formula1>0</formula1>
    </dataValidation>
    <dataValidation type="decimal" operator="greaterThanOrEqual" allowBlank="1" showInputMessage="1" showErrorMessage="1" sqref="J129">
      <formula1>0</formula1>
    </dataValidation>
    <dataValidation type="decimal" allowBlank="1" showInputMessage="1" showErrorMessage="1" sqref="L129">
      <formula1>0</formula1>
      <formula2>100</formula2>
    </dataValidation>
    <dataValidation type="decimal" allowBlank="1" showInputMessage="1" showErrorMessage="1" sqref="M129">
      <formula1>0</formula1>
      <formula2>100</formula2>
    </dataValidation>
    <dataValidation type="decimal" operator="greaterThanOrEqual" allowBlank="1" showInputMessage="1" showErrorMessage="1" sqref="I130">
      <formula1>0</formula1>
    </dataValidation>
    <dataValidation type="decimal" operator="greaterThanOrEqual" allowBlank="1" showInputMessage="1" showErrorMessage="1" sqref="J130">
      <formula1>0</formula1>
    </dataValidation>
    <dataValidation type="decimal" allowBlank="1" showInputMessage="1" showErrorMessage="1" sqref="L130">
      <formula1>0</formula1>
      <formula2>100</formula2>
    </dataValidation>
    <dataValidation type="decimal" allowBlank="1" showInputMessage="1" showErrorMessage="1" sqref="M130">
      <formula1>0</formula1>
      <formula2>100</formula2>
    </dataValidation>
    <dataValidation type="decimal" operator="greaterThanOrEqual" allowBlank="1" showInputMessage="1" showErrorMessage="1" sqref="I131">
      <formula1>0</formula1>
    </dataValidation>
    <dataValidation type="decimal" operator="greaterThanOrEqual" allowBlank="1" showInputMessage="1" showErrorMessage="1" sqref="J131">
      <formula1>0</formula1>
    </dataValidation>
    <dataValidation type="decimal" allowBlank="1" showInputMessage="1" showErrorMessage="1" sqref="L131">
      <formula1>0</formula1>
      <formula2>100</formula2>
    </dataValidation>
    <dataValidation type="decimal" allowBlank="1" showInputMessage="1" showErrorMessage="1" sqref="M131">
      <formula1>0</formula1>
      <formula2>100</formula2>
    </dataValidation>
    <dataValidation type="decimal" operator="greaterThanOrEqual" allowBlank="1" showInputMessage="1" showErrorMessage="1" sqref="I132">
      <formula1>0</formula1>
    </dataValidation>
    <dataValidation type="decimal" operator="greaterThanOrEqual" allowBlank="1" showInputMessage="1" showErrorMessage="1" sqref="J132">
      <formula1>0</formula1>
    </dataValidation>
    <dataValidation type="decimal" allowBlank="1" showInputMessage="1" showErrorMessage="1" sqref="L132">
      <formula1>0</formula1>
      <formula2>100</formula2>
    </dataValidation>
    <dataValidation type="decimal" allowBlank="1" showInputMessage="1" showErrorMessage="1" sqref="M132">
      <formula1>0</formula1>
      <formula2>100</formula2>
    </dataValidation>
    <dataValidation type="decimal" operator="greaterThanOrEqual" allowBlank="1" showInputMessage="1" showErrorMessage="1" sqref="I133">
      <formula1>0</formula1>
    </dataValidation>
    <dataValidation type="decimal" operator="greaterThanOrEqual" allowBlank="1" showInputMessage="1" showErrorMessage="1" sqref="J133">
      <formula1>0</formula1>
    </dataValidation>
    <dataValidation type="decimal" allowBlank="1" showInputMessage="1" showErrorMessage="1" sqref="L133">
      <formula1>0</formula1>
      <formula2>100</formula2>
    </dataValidation>
    <dataValidation type="decimal" allowBlank="1" showInputMessage="1" showErrorMessage="1" sqref="M133">
      <formula1>0</formula1>
      <formula2>100</formula2>
    </dataValidation>
    <dataValidation type="decimal" operator="greaterThanOrEqual" allowBlank="1" showInputMessage="1" showErrorMessage="1" sqref="I134">
      <formula1>0</formula1>
    </dataValidation>
    <dataValidation type="decimal" operator="greaterThanOrEqual" allowBlank="1" showInputMessage="1" showErrorMessage="1" sqref="J134">
      <formula1>0</formula1>
    </dataValidation>
    <dataValidation type="decimal" allowBlank="1" showInputMessage="1" showErrorMessage="1" sqref="L134">
      <formula1>0</formula1>
      <formula2>100</formula2>
    </dataValidation>
    <dataValidation type="decimal" allowBlank="1" showInputMessage="1" showErrorMessage="1" sqref="M134">
      <formula1>0</formula1>
      <formula2>100</formula2>
    </dataValidation>
    <dataValidation type="decimal" operator="greaterThanOrEqual" allowBlank="1" showInputMessage="1" showErrorMessage="1" sqref="I135">
      <formula1>0</formula1>
    </dataValidation>
    <dataValidation type="decimal" operator="greaterThanOrEqual" allowBlank="1" showInputMessage="1" showErrorMessage="1" sqref="J135">
      <formula1>0</formula1>
    </dataValidation>
    <dataValidation type="decimal" allowBlank="1" showInputMessage="1" showErrorMessage="1" sqref="L135">
      <formula1>0</formula1>
      <formula2>100</formula2>
    </dataValidation>
    <dataValidation type="decimal" allowBlank="1" showInputMessage="1" showErrorMessage="1" sqref="M135">
      <formula1>0</formula1>
      <formula2>100</formula2>
    </dataValidation>
    <dataValidation type="decimal" operator="greaterThanOrEqual" allowBlank="1" showInputMessage="1" showErrorMessage="1" sqref="I136">
      <formula1>0</formula1>
    </dataValidation>
    <dataValidation type="decimal" operator="greaterThanOrEqual" allowBlank="1" showInputMessage="1" showErrorMessage="1" sqref="J136">
      <formula1>0</formula1>
    </dataValidation>
    <dataValidation type="decimal" allowBlank="1" showInputMessage="1" showErrorMessage="1" sqref="L136">
      <formula1>0</formula1>
      <formula2>100</formula2>
    </dataValidation>
    <dataValidation type="decimal" allowBlank="1" showInputMessage="1" showErrorMessage="1" sqref="M136">
      <formula1>0</formula1>
      <formula2>100</formula2>
    </dataValidation>
    <dataValidation type="decimal" operator="greaterThanOrEqual" allowBlank="1" showInputMessage="1" showErrorMessage="1" sqref="I137">
      <formula1>0</formula1>
    </dataValidation>
    <dataValidation type="decimal" operator="greaterThanOrEqual" allowBlank="1" showInputMessage="1" showErrorMessage="1" sqref="J137">
      <formula1>0</formula1>
    </dataValidation>
    <dataValidation type="decimal" allowBlank="1" showInputMessage="1" showErrorMessage="1" sqref="L137">
      <formula1>0</formula1>
      <formula2>100</formula2>
    </dataValidation>
    <dataValidation type="decimal" allowBlank="1" showInputMessage="1" showErrorMessage="1" sqref="M137">
      <formula1>0</formula1>
      <formula2>100</formula2>
    </dataValidation>
    <dataValidation type="decimal" operator="greaterThanOrEqual" allowBlank="1" showInputMessage="1" showErrorMessage="1" sqref="I138">
      <formula1>0</formula1>
    </dataValidation>
    <dataValidation type="decimal" operator="greaterThanOrEqual" allowBlank="1" showInputMessage="1" showErrorMessage="1" sqref="J138">
      <formula1>0</formula1>
    </dataValidation>
    <dataValidation type="decimal" allowBlank="1" showInputMessage="1" showErrorMessage="1" sqref="L138">
      <formula1>0</formula1>
      <formula2>100</formula2>
    </dataValidation>
    <dataValidation type="decimal" allowBlank="1" showInputMessage="1" showErrorMessage="1" sqref="M138">
      <formula1>0</formula1>
      <formula2>100</formula2>
    </dataValidation>
    <dataValidation type="decimal" operator="greaterThanOrEqual" allowBlank="1" showInputMessage="1" showErrorMessage="1" sqref="I139">
      <formula1>0</formula1>
    </dataValidation>
    <dataValidation type="decimal" operator="greaterThanOrEqual" allowBlank="1" showInputMessage="1" showErrorMessage="1" sqref="J139">
      <formula1>0</formula1>
    </dataValidation>
    <dataValidation type="decimal" allowBlank="1" showInputMessage="1" showErrorMessage="1" sqref="L139">
      <formula1>0</formula1>
      <formula2>100</formula2>
    </dataValidation>
    <dataValidation type="decimal" allowBlank="1" showInputMessage="1" showErrorMessage="1" sqref="M139">
      <formula1>0</formula1>
      <formula2>100</formula2>
    </dataValidation>
    <dataValidation type="decimal" operator="greaterThanOrEqual" allowBlank="1" showInputMessage="1" showErrorMessage="1" sqref="I140">
      <formula1>0</formula1>
    </dataValidation>
    <dataValidation type="decimal" operator="greaterThanOrEqual" allowBlank="1" showInputMessage="1" showErrorMessage="1" sqref="J140">
      <formula1>0</formula1>
    </dataValidation>
    <dataValidation type="decimal" allowBlank="1" showInputMessage="1" showErrorMessage="1" sqref="L140">
      <formula1>0</formula1>
      <formula2>100</formula2>
    </dataValidation>
    <dataValidation type="decimal" allowBlank="1" showInputMessage="1" showErrorMessage="1" sqref="M140">
      <formula1>0</formula1>
      <formula2>100</formula2>
    </dataValidation>
    <dataValidation type="decimal" operator="greaterThanOrEqual" allowBlank="1" showInputMessage="1" showErrorMessage="1" sqref="I141">
      <formula1>0</formula1>
    </dataValidation>
    <dataValidation type="decimal" operator="greaterThanOrEqual" allowBlank="1" showInputMessage="1" showErrorMessage="1" sqref="J141">
      <formula1>0</formula1>
    </dataValidation>
    <dataValidation type="decimal" allowBlank="1" showInputMessage="1" showErrorMessage="1" sqref="L141">
      <formula1>0</formula1>
      <formula2>100</formula2>
    </dataValidation>
    <dataValidation type="decimal" allowBlank="1" showInputMessage="1" showErrorMessage="1" sqref="M141">
      <formula1>0</formula1>
      <formula2>100</formula2>
    </dataValidation>
    <dataValidation type="decimal" operator="greaterThanOrEqual" allowBlank="1" showInputMessage="1" showErrorMessage="1" sqref="I142">
      <formula1>0</formula1>
    </dataValidation>
    <dataValidation type="decimal" operator="greaterThanOrEqual" allowBlank="1" showInputMessage="1" showErrorMessage="1" sqref="J142">
      <formula1>0</formula1>
    </dataValidation>
    <dataValidation type="decimal" allowBlank="1" showInputMessage="1" showErrorMessage="1" sqref="L142">
      <formula1>0</formula1>
      <formula2>100</formula2>
    </dataValidation>
    <dataValidation type="decimal" allowBlank="1" showInputMessage="1" showErrorMessage="1" sqref="M142">
      <formula1>0</formula1>
      <formula2>100</formula2>
    </dataValidation>
    <dataValidation type="decimal" operator="greaterThanOrEqual" allowBlank="1" showInputMessage="1" showErrorMessage="1" sqref="I143">
      <formula1>0</formula1>
    </dataValidation>
    <dataValidation type="decimal" operator="greaterThanOrEqual" allowBlank="1" showInputMessage="1" showErrorMessage="1" sqref="J143">
      <formula1>0</formula1>
    </dataValidation>
    <dataValidation type="decimal" allowBlank="1" showInputMessage="1" showErrorMessage="1" sqref="L143">
      <formula1>0</formula1>
      <formula2>100</formula2>
    </dataValidation>
    <dataValidation type="decimal" allowBlank="1" showInputMessage="1" showErrorMessage="1" sqref="M143">
      <formula1>0</formula1>
      <formula2>100</formula2>
    </dataValidation>
    <dataValidation type="decimal" operator="greaterThanOrEqual" allowBlank="1" showInputMessage="1" showErrorMessage="1" sqref="I144">
      <formula1>0</formula1>
    </dataValidation>
    <dataValidation type="decimal" operator="greaterThanOrEqual" allowBlank="1" showInputMessage="1" showErrorMessage="1" sqref="J144">
      <formula1>0</formula1>
    </dataValidation>
    <dataValidation type="decimal" allowBlank="1" showInputMessage="1" showErrorMessage="1" sqref="L144">
      <formula1>0</formula1>
      <formula2>100</formula2>
    </dataValidation>
    <dataValidation type="decimal" allowBlank="1" showInputMessage="1" showErrorMessage="1" sqref="M144">
      <formula1>0</formula1>
      <formula2>100</formula2>
    </dataValidation>
    <dataValidation type="decimal" operator="greaterThanOrEqual" allowBlank="1" showInputMessage="1" showErrorMessage="1" sqref="I145">
      <formula1>0</formula1>
    </dataValidation>
    <dataValidation type="decimal" operator="greaterThanOrEqual" allowBlank="1" showInputMessage="1" showErrorMessage="1" sqref="J145">
      <formula1>0</formula1>
    </dataValidation>
    <dataValidation type="decimal" allowBlank="1" showInputMessage="1" showErrorMessage="1" sqref="L145">
      <formula1>0</formula1>
      <formula2>100</formula2>
    </dataValidation>
    <dataValidation type="decimal" allowBlank="1" showInputMessage="1" showErrorMessage="1" sqref="M145">
      <formula1>0</formula1>
      <formula2>100</formula2>
    </dataValidation>
    <dataValidation type="decimal" operator="greaterThanOrEqual" allowBlank="1" showInputMessage="1" showErrorMessage="1" sqref="I146">
      <formula1>0</formula1>
    </dataValidation>
    <dataValidation type="decimal" operator="greaterThanOrEqual" allowBlank="1" showInputMessage="1" showErrorMessage="1" sqref="J146">
      <formula1>0</formula1>
    </dataValidation>
    <dataValidation type="decimal" allowBlank="1" showInputMessage="1" showErrorMessage="1" sqref="L146">
      <formula1>0</formula1>
      <formula2>100</formula2>
    </dataValidation>
    <dataValidation type="decimal" allowBlank="1" showInputMessage="1" showErrorMessage="1" sqref="M146">
      <formula1>0</formula1>
      <formula2>100</formula2>
    </dataValidation>
    <dataValidation type="decimal" operator="greaterThanOrEqual" allowBlank="1" showInputMessage="1" showErrorMessage="1" sqref="I147">
      <formula1>0</formula1>
    </dataValidation>
    <dataValidation type="decimal" operator="greaterThanOrEqual" allowBlank="1" showInputMessage="1" showErrorMessage="1" sqref="J147">
      <formula1>0</formula1>
    </dataValidation>
    <dataValidation type="decimal" allowBlank="1" showInputMessage="1" showErrorMessage="1" sqref="L147">
      <formula1>0</formula1>
      <formula2>100</formula2>
    </dataValidation>
    <dataValidation type="decimal" allowBlank="1" showInputMessage="1" showErrorMessage="1" sqref="M147">
      <formula1>0</formula1>
      <formula2>100</formula2>
    </dataValidation>
    <dataValidation type="decimal" operator="greaterThanOrEqual" allowBlank="1" showInputMessage="1" showErrorMessage="1" sqref="I148">
      <formula1>0</formula1>
    </dataValidation>
    <dataValidation type="decimal" operator="greaterThanOrEqual" allowBlank="1" showInputMessage="1" showErrorMessage="1" sqref="J148">
      <formula1>0</formula1>
    </dataValidation>
    <dataValidation type="decimal" allowBlank="1" showInputMessage="1" showErrorMessage="1" sqref="L148">
      <formula1>0</formula1>
      <formula2>100</formula2>
    </dataValidation>
    <dataValidation type="decimal" allowBlank="1" showInputMessage="1" showErrorMessage="1" sqref="M148">
      <formula1>0</formula1>
      <formula2>100</formula2>
    </dataValidation>
    <dataValidation type="decimal" operator="greaterThanOrEqual" allowBlank="1" showInputMessage="1" showErrorMessage="1" sqref="I149">
      <formula1>0</formula1>
    </dataValidation>
    <dataValidation type="decimal" operator="greaterThanOrEqual" allowBlank="1" showInputMessage="1" showErrorMessage="1" sqref="J149">
      <formula1>0</formula1>
    </dataValidation>
    <dataValidation type="decimal" allowBlank="1" showInputMessage="1" showErrorMessage="1" sqref="L149">
      <formula1>0</formula1>
      <formula2>100</formula2>
    </dataValidation>
    <dataValidation type="decimal" allowBlank="1" showInputMessage="1" showErrorMessage="1" sqref="M149">
      <formula1>0</formula1>
      <formula2>100</formula2>
    </dataValidation>
    <dataValidation type="decimal" operator="greaterThanOrEqual" allowBlank="1" showInputMessage="1" showErrorMessage="1" sqref="I150">
      <formula1>0</formula1>
    </dataValidation>
    <dataValidation type="decimal" operator="greaterThanOrEqual" allowBlank="1" showInputMessage="1" showErrorMessage="1" sqref="J150">
      <formula1>0</formula1>
    </dataValidation>
    <dataValidation type="decimal" allowBlank="1" showInputMessage="1" showErrorMessage="1" sqref="L150">
      <formula1>0</formula1>
      <formula2>100</formula2>
    </dataValidation>
    <dataValidation type="decimal" allowBlank="1" showInputMessage="1" showErrorMessage="1" sqref="M150">
      <formula1>0</formula1>
      <formula2>100</formula2>
    </dataValidation>
    <dataValidation type="decimal" operator="greaterThanOrEqual" allowBlank="1" showInputMessage="1" showErrorMessage="1" sqref="I151">
      <formula1>0</formula1>
    </dataValidation>
    <dataValidation type="decimal" operator="greaterThanOrEqual" allowBlank="1" showInputMessage="1" showErrorMessage="1" sqref="J151">
      <formula1>0</formula1>
    </dataValidation>
    <dataValidation type="decimal" allowBlank="1" showInputMessage="1" showErrorMessage="1" sqref="L151">
      <formula1>0</formula1>
      <formula2>100</formula2>
    </dataValidation>
    <dataValidation type="decimal" allowBlank="1" showInputMessage="1" showErrorMessage="1" sqref="M151">
      <formula1>0</formula1>
      <formula2>100</formula2>
    </dataValidation>
    <dataValidation type="decimal" operator="greaterThanOrEqual" allowBlank="1" showInputMessage="1" showErrorMessage="1" sqref="I152">
      <formula1>0</formula1>
    </dataValidation>
    <dataValidation type="decimal" operator="greaterThanOrEqual" allowBlank="1" showInputMessage="1" showErrorMessage="1" sqref="J152">
      <formula1>0</formula1>
    </dataValidation>
    <dataValidation type="decimal" allowBlank="1" showInputMessage="1" showErrorMessage="1" sqref="L152">
      <formula1>0</formula1>
      <formula2>100</formula2>
    </dataValidation>
    <dataValidation type="decimal" allowBlank="1" showInputMessage="1" showErrorMessage="1" sqref="M152">
      <formula1>0</formula1>
      <formula2>100</formula2>
    </dataValidation>
    <dataValidation type="decimal" operator="greaterThanOrEqual" allowBlank="1" showInputMessage="1" showErrorMessage="1" sqref="I153">
      <formula1>0</formula1>
    </dataValidation>
    <dataValidation type="decimal" operator="greaterThanOrEqual" allowBlank="1" showInputMessage="1" showErrorMessage="1" sqref="J153">
      <formula1>0</formula1>
    </dataValidation>
    <dataValidation type="decimal" allowBlank="1" showInputMessage="1" showErrorMessage="1" sqref="L153">
      <formula1>0</formula1>
      <formula2>100</formula2>
    </dataValidation>
    <dataValidation type="decimal" allowBlank="1" showInputMessage="1" showErrorMessage="1" sqref="M153">
      <formula1>0</formula1>
      <formula2>100</formula2>
    </dataValidation>
    <dataValidation type="decimal" operator="greaterThanOrEqual" allowBlank="1" showInputMessage="1" showErrorMessage="1" sqref="I154">
      <formula1>0</formula1>
    </dataValidation>
    <dataValidation type="decimal" operator="greaterThanOrEqual" allowBlank="1" showInputMessage="1" showErrorMessage="1" sqref="J154">
      <formula1>0</formula1>
    </dataValidation>
    <dataValidation type="decimal" allowBlank="1" showInputMessage="1" showErrorMessage="1" sqref="L154">
      <formula1>0</formula1>
      <formula2>100</formula2>
    </dataValidation>
    <dataValidation type="decimal" allowBlank="1" showInputMessage="1" showErrorMessage="1" sqref="M154">
      <formula1>0</formula1>
      <formula2>100</formula2>
    </dataValidation>
    <dataValidation type="decimal" operator="greaterThanOrEqual" allowBlank="1" showInputMessage="1" showErrorMessage="1" sqref="I155">
      <formula1>0</formula1>
    </dataValidation>
    <dataValidation type="decimal" operator="greaterThanOrEqual" allowBlank="1" showInputMessage="1" showErrorMessage="1" sqref="J155">
      <formula1>0</formula1>
    </dataValidation>
    <dataValidation type="decimal" allowBlank="1" showInputMessage="1" showErrorMessage="1" sqref="L155">
      <formula1>0</formula1>
      <formula2>100</formula2>
    </dataValidation>
    <dataValidation type="decimal" allowBlank="1" showInputMessage="1" showErrorMessage="1" sqref="M155">
      <formula1>0</formula1>
      <formula2>100</formula2>
    </dataValidation>
    <dataValidation type="decimal" operator="greaterThanOrEqual" allowBlank="1" showInputMessage="1" showErrorMessage="1" sqref="I156">
      <formula1>0</formula1>
    </dataValidation>
    <dataValidation type="decimal" operator="greaterThanOrEqual" allowBlank="1" showInputMessage="1" showErrorMessage="1" sqref="J156">
      <formula1>0</formula1>
    </dataValidation>
    <dataValidation type="decimal" allowBlank="1" showInputMessage="1" showErrorMessage="1" sqref="L156">
      <formula1>0</formula1>
      <formula2>100</formula2>
    </dataValidation>
    <dataValidation type="decimal" allowBlank="1" showInputMessage="1" showErrorMessage="1" sqref="M156">
      <formula1>0</formula1>
      <formula2>100</formula2>
    </dataValidation>
    <dataValidation type="decimal" operator="greaterThanOrEqual" allowBlank="1" showInputMessage="1" showErrorMessage="1" sqref="I157">
      <formula1>0</formula1>
    </dataValidation>
    <dataValidation type="decimal" operator="greaterThanOrEqual" allowBlank="1" showInputMessage="1" showErrorMessage="1" sqref="J157">
      <formula1>0</formula1>
    </dataValidation>
    <dataValidation type="decimal" allowBlank="1" showInputMessage="1" showErrorMessage="1" sqref="L157">
      <formula1>0</formula1>
      <formula2>100</formula2>
    </dataValidation>
    <dataValidation type="decimal" allowBlank="1" showInputMessage="1" showErrorMessage="1" sqref="M157">
      <formula1>0</formula1>
      <formula2>100</formula2>
    </dataValidation>
    <dataValidation type="decimal" operator="greaterThanOrEqual" allowBlank="1" showInputMessage="1" showErrorMessage="1" sqref="I158">
      <formula1>0</formula1>
    </dataValidation>
    <dataValidation type="decimal" operator="greaterThanOrEqual" allowBlank="1" showInputMessage="1" showErrorMessage="1" sqref="J158">
      <formula1>0</formula1>
    </dataValidation>
    <dataValidation type="decimal" allowBlank="1" showInputMessage="1" showErrorMessage="1" sqref="L158">
      <formula1>0</formula1>
      <formula2>100</formula2>
    </dataValidation>
    <dataValidation type="decimal" allowBlank="1" showInputMessage="1" showErrorMessage="1" sqref="M158">
      <formula1>0</formula1>
      <formula2>100</formula2>
    </dataValidation>
    <dataValidation type="decimal" operator="greaterThanOrEqual" allowBlank="1" showInputMessage="1" showErrorMessage="1" sqref="I159">
      <formula1>0</formula1>
    </dataValidation>
    <dataValidation type="decimal" operator="greaterThanOrEqual" allowBlank="1" showInputMessage="1" showErrorMessage="1" sqref="J159">
      <formula1>0</formula1>
    </dataValidation>
    <dataValidation type="decimal" allowBlank="1" showInputMessage="1" showErrorMessage="1" sqref="L159">
      <formula1>0</formula1>
      <formula2>100</formula2>
    </dataValidation>
    <dataValidation type="decimal" allowBlank="1" showInputMessage="1" showErrorMessage="1" sqref="M159">
      <formula1>0</formula1>
      <formula2>100</formula2>
    </dataValidation>
    <dataValidation type="decimal" operator="greaterThanOrEqual" allowBlank="1" showInputMessage="1" showErrorMessage="1" sqref="I160">
      <formula1>0</formula1>
    </dataValidation>
    <dataValidation type="decimal" operator="greaterThanOrEqual" allowBlank="1" showInputMessage="1" showErrorMessage="1" sqref="J160">
      <formula1>0</formula1>
    </dataValidation>
    <dataValidation type="decimal" allowBlank="1" showInputMessage="1" showErrorMessage="1" sqref="L160">
      <formula1>0</formula1>
      <formula2>100</formula2>
    </dataValidation>
    <dataValidation type="decimal" allowBlank="1" showInputMessage="1" showErrorMessage="1" sqref="M160">
      <formula1>0</formula1>
      <formula2>100</formula2>
    </dataValidation>
    <dataValidation type="decimal" operator="greaterThanOrEqual" allowBlank="1" showInputMessage="1" showErrorMessage="1" sqref="I161">
      <formula1>0</formula1>
    </dataValidation>
    <dataValidation type="decimal" operator="greaterThanOrEqual" allowBlank="1" showInputMessage="1" showErrorMessage="1" sqref="J161">
      <formula1>0</formula1>
    </dataValidation>
    <dataValidation type="decimal" allowBlank="1" showInputMessage="1" showErrorMessage="1" sqref="L161">
      <formula1>0</formula1>
      <formula2>100</formula2>
    </dataValidation>
    <dataValidation type="decimal" allowBlank="1" showInputMessage="1" showErrorMessage="1" sqref="M161">
      <formula1>0</formula1>
      <formula2>100</formula2>
    </dataValidation>
    <dataValidation type="decimal" operator="greaterThanOrEqual" allowBlank="1" showInputMessage="1" showErrorMessage="1" sqref="I162">
      <formula1>0</formula1>
    </dataValidation>
    <dataValidation type="decimal" operator="greaterThanOrEqual" allowBlank="1" showInputMessage="1" showErrorMessage="1" sqref="J162">
      <formula1>0</formula1>
    </dataValidation>
    <dataValidation type="decimal" allowBlank="1" showInputMessage="1" showErrorMessage="1" sqref="L162">
      <formula1>0</formula1>
      <formula2>100</formula2>
    </dataValidation>
    <dataValidation type="decimal" allowBlank="1" showInputMessage="1" showErrorMessage="1" sqref="M162">
      <formula1>0</formula1>
      <formula2>100</formula2>
    </dataValidation>
    <dataValidation type="decimal" operator="greaterThanOrEqual" allowBlank="1" showInputMessage="1" showErrorMessage="1" sqref="I163">
      <formula1>0</formula1>
    </dataValidation>
    <dataValidation type="decimal" operator="greaterThanOrEqual" allowBlank="1" showInputMessage="1" showErrorMessage="1" sqref="J163">
      <formula1>0</formula1>
    </dataValidation>
    <dataValidation type="decimal" allowBlank="1" showInputMessage="1" showErrorMessage="1" sqref="L163">
      <formula1>0</formula1>
      <formula2>100</formula2>
    </dataValidation>
    <dataValidation type="decimal" allowBlank="1" showInputMessage="1" showErrorMessage="1" sqref="M163">
      <formula1>0</formula1>
      <formula2>100</formula2>
    </dataValidation>
    <dataValidation type="decimal" operator="greaterThanOrEqual" allowBlank="1" showInputMessage="1" showErrorMessage="1" sqref="I164">
      <formula1>0</formula1>
    </dataValidation>
    <dataValidation type="decimal" operator="greaterThanOrEqual" allowBlank="1" showInputMessage="1" showErrorMessage="1" sqref="J164">
      <formula1>0</formula1>
    </dataValidation>
    <dataValidation type="decimal" allowBlank="1" showInputMessage="1" showErrorMessage="1" sqref="L164">
      <formula1>0</formula1>
      <formula2>100</formula2>
    </dataValidation>
    <dataValidation type="decimal" allowBlank="1" showInputMessage="1" showErrorMessage="1" sqref="M164">
      <formula1>0</formula1>
      <formula2>100</formula2>
    </dataValidation>
    <dataValidation type="decimal" operator="greaterThanOrEqual" allowBlank="1" showInputMessage="1" showErrorMessage="1" sqref="I165">
      <formula1>0</formula1>
    </dataValidation>
    <dataValidation type="decimal" operator="greaterThanOrEqual" allowBlank="1" showInputMessage="1" showErrorMessage="1" sqref="J165">
      <formula1>0</formula1>
    </dataValidation>
    <dataValidation type="decimal" allowBlank="1" showInputMessage="1" showErrorMessage="1" sqref="L165">
      <formula1>0</formula1>
      <formula2>100</formula2>
    </dataValidation>
    <dataValidation type="decimal" allowBlank="1" showInputMessage="1" showErrorMessage="1" sqref="M165">
      <formula1>0</formula1>
      <formula2>100</formula2>
    </dataValidation>
    <dataValidation type="decimal" operator="greaterThanOrEqual" allowBlank="1" showInputMessage="1" showErrorMessage="1" sqref="I166">
      <formula1>0</formula1>
    </dataValidation>
    <dataValidation type="decimal" operator="greaterThanOrEqual" allowBlank="1" showInputMessage="1" showErrorMessage="1" sqref="J166">
      <formula1>0</formula1>
    </dataValidation>
    <dataValidation type="decimal" allowBlank="1" showInputMessage="1" showErrorMessage="1" sqref="L166">
      <formula1>0</formula1>
      <formula2>100</formula2>
    </dataValidation>
    <dataValidation type="decimal" allowBlank="1" showInputMessage="1" showErrorMessage="1" sqref="M166">
      <formula1>0</formula1>
      <formula2>100</formula2>
    </dataValidation>
    <dataValidation type="decimal" operator="greaterThanOrEqual" allowBlank="1" showInputMessage="1" showErrorMessage="1" sqref="I167">
      <formula1>0</formula1>
    </dataValidation>
    <dataValidation type="decimal" operator="greaterThanOrEqual" allowBlank="1" showInputMessage="1" showErrorMessage="1" sqref="J167">
      <formula1>0</formula1>
    </dataValidation>
    <dataValidation type="decimal" allowBlank="1" showInputMessage="1" showErrorMessage="1" sqref="L167">
      <formula1>0</formula1>
      <formula2>100</formula2>
    </dataValidation>
    <dataValidation type="decimal" allowBlank="1" showInputMessage="1" showErrorMessage="1" sqref="M167">
      <formula1>0</formula1>
      <formula2>100</formula2>
    </dataValidation>
    <dataValidation type="decimal" operator="greaterThanOrEqual" allowBlank="1" showInputMessage="1" showErrorMessage="1" sqref="I168">
      <formula1>0</formula1>
    </dataValidation>
    <dataValidation type="decimal" operator="greaterThanOrEqual" allowBlank="1" showInputMessage="1" showErrorMessage="1" sqref="J168">
      <formula1>0</formula1>
    </dataValidation>
    <dataValidation type="decimal" allowBlank="1" showInputMessage="1" showErrorMessage="1" sqref="L168">
      <formula1>0</formula1>
      <formula2>100</formula2>
    </dataValidation>
    <dataValidation type="decimal" allowBlank="1" showInputMessage="1" showErrorMessage="1" sqref="M168">
      <formula1>0</formula1>
      <formula2>100</formula2>
    </dataValidation>
    <dataValidation type="decimal" operator="greaterThanOrEqual" allowBlank="1" showInputMessage="1" showErrorMessage="1" sqref="I169">
      <formula1>0</formula1>
    </dataValidation>
    <dataValidation type="decimal" operator="greaterThanOrEqual" allowBlank="1" showInputMessage="1" showErrorMessage="1" sqref="J169">
      <formula1>0</formula1>
    </dataValidation>
    <dataValidation type="decimal" allowBlank="1" showInputMessage="1" showErrorMessage="1" sqref="L169">
      <formula1>0</formula1>
      <formula2>100</formula2>
    </dataValidation>
    <dataValidation type="decimal" allowBlank="1" showInputMessage="1" showErrorMessage="1" sqref="M169">
      <formula1>0</formula1>
      <formula2>100</formula2>
    </dataValidation>
    <dataValidation type="decimal" operator="greaterThanOrEqual" allowBlank="1" showInputMessage="1" showErrorMessage="1" sqref="I170">
      <formula1>0</formula1>
    </dataValidation>
    <dataValidation type="decimal" operator="greaterThanOrEqual" allowBlank="1" showInputMessage="1" showErrorMessage="1" sqref="J170">
      <formula1>0</formula1>
    </dataValidation>
    <dataValidation type="decimal" allowBlank="1" showInputMessage="1" showErrorMessage="1" sqref="L170">
      <formula1>0</formula1>
      <formula2>100</formula2>
    </dataValidation>
    <dataValidation type="decimal" allowBlank="1" showInputMessage="1" showErrorMessage="1" sqref="M170">
      <formula1>0</formula1>
      <formula2>100</formula2>
    </dataValidation>
    <dataValidation type="decimal" operator="greaterThanOrEqual" allowBlank="1" showInputMessage="1" showErrorMessage="1" sqref="I171">
      <formula1>0</formula1>
    </dataValidation>
    <dataValidation type="decimal" operator="greaterThanOrEqual" allowBlank="1" showInputMessage="1" showErrorMessage="1" sqref="J171">
      <formula1>0</formula1>
    </dataValidation>
    <dataValidation type="decimal" allowBlank="1" showInputMessage="1" showErrorMessage="1" sqref="L171">
      <formula1>0</formula1>
      <formula2>100</formula2>
    </dataValidation>
    <dataValidation type="decimal" allowBlank="1" showInputMessage="1" showErrorMessage="1" sqref="M171">
      <formula1>0</formula1>
      <formula2>100</formula2>
    </dataValidation>
    <dataValidation type="decimal" operator="greaterThanOrEqual" allowBlank="1" showInputMessage="1" showErrorMessage="1" sqref="I172">
      <formula1>0</formula1>
    </dataValidation>
    <dataValidation type="decimal" operator="greaterThanOrEqual" allowBlank="1" showInputMessage="1" showErrorMessage="1" sqref="J172">
      <formula1>0</formula1>
    </dataValidation>
    <dataValidation type="decimal" allowBlank="1" showInputMessage="1" showErrorMessage="1" sqref="L172">
      <formula1>0</formula1>
      <formula2>100</formula2>
    </dataValidation>
    <dataValidation type="decimal" allowBlank="1" showInputMessage="1" showErrorMessage="1" sqref="M172">
      <formula1>0</formula1>
      <formula2>100</formula2>
    </dataValidation>
    <dataValidation type="decimal" operator="greaterThanOrEqual" allowBlank="1" showInputMessage="1" showErrorMessage="1" sqref="I173">
      <formula1>0</formula1>
    </dataValidation>
    <dataValidation type="decimal" operator="greaterThanOrEqual" allowBlank="1" showInputMessage="1" showErrorMessage="1" sqref="J173">
      <formula1>0</formula1>
    </dataValidation>
    <dataValidation type="decimal" allowBlank="1" showInputMessage="1" showErrorMessage="1" sqref="L173">
      <formula1>0</formula1>
      <formula2>100</formula2>
    </dataValidation>
    <dataValidation type="decimal" allowBlank="1" showInputMessage="1" showErrorMessage="1" sqref="M173">
      <formula1>0</formula1>
      <formula2>100</formula2>
    </dataValidation>
    <dataValidation type="decimal" operator="greaterThanOrEqual" allowBlank="1" showInputMessage="1" showErrorMessage="1" sqref="I174">
      <formula1>0</formula1>
    </dataValidation>
    <dataValidation type="decimal" operator="greaterThanOrEqual" allowBlank="1" showInputMessage="1" showErrorMessage="1" sqref="J174">
      <formula1>0</formula1>
    </dataValidation>
    <dataValidation type="decimal" allowBlank="1" showInputMessage="1" showErrorMessage="1" sqref="L174">
      <formula1>0</formula1>
      <formula2>100</formula2>
    </dataValidation>
    <dataValidation type="decimal" allowBlank="1" showInputMessage="1" showErrorMessage="1" sqref="M174">
      <formula1>0</formula1>
      <formula2>100</formula2>
    </dataValidation>
    <dataValidation type="decimal" operator="greaterThanOrEqual" allowBlank="1" showInputMessage="1" showErrorMessage="1" sqref="I175">
      <formula1>0</formula1>
    </dataValidation>
    <dataValidation type="decimal" operator="greaterThanOrEqual" allowBlank="1" showInputMessage="1" showErrorMessage="1" sqref="J175">
      <formula1>0</formula1>
    </dataValidation>
    <dataValidation type="decimal" allowBlank="1" showInputMessage="1" showErrorMessage="1" sqref="L175">
      <formula1>0</formula1>
      <formula2>100</formula2>
    </dataValidation>
    <dataValidation type="decimal" allowBlank="1" showInputMessage="1" showErrorMessage="1" sqref="M175">
      <formula1>0</formula1>
      <formula2>100</formula2>
    </dataValidation>
    <dataValidation type="decimal" operator="greaterThanOrEqual" allowBlank="1" showInputMessage="1" showErrorMessage="1" sqref="I176">
      <formula1>0</formula1>
    </dataValidation>
    <dataValidation type="decimal" operator="greaterThanOrEqual" allowBlank="1" showInputMessage="1" showErrorMessage="1" sqref="J176">
      <formula1>0</formula1>
    </dataValidation>
    <dataValidation type="decimal" allowBlank="1" showInputMessage="1" showErrorMessage="1" sqref="L176">
      <formula1>0</formula1>
      <formula2>100</formula2>
    </dataValidation>
    <dataValidation type="decimal" allowBlank="1" showInputMessage="1" showErrorMessage="1" sqref="M176">
      <formula1>0</formula1>
      <formula2>100</formula2>
    </dataValidation>
    <dataValidation type="decimal" operator="greaterThanOrEqual" allowBlank="1" showInputMessage="1" showErrorMessage="1" sqref="I177">
      <formula1>0</formula1>
    </dataValidation>
    <dataValidation type="decimal" operator="greaterThanOrEqual" allowBlank="1" showInputMessage="1" showErrorMessage="1" sqref="J177">
      <formula1>0</formula1>
    </dataValidation>
    <dataValidation type="decimal" allowBlank="1" showInputMessage="1" showErrorMessage="1" sqref="L177">
      <formula1>0</formula1>
      <formula2>100</formula2>
    </dataValidation>
    <dataValidation type="decimal" allowBlank="1" showInputMessage="1" showErrorMessage="1" sqref="M177">
      <formula1>0</formula1>
      <formula2>100</formula2>
    </dataValidation>
    <dataValidation type="decimal" operator="greaterThanOrEqual" allowBlank="1" showInputMessage="1" showErrorMessage="1" sqref="I178">
      <formula1>0</formula1>
    </dataValidation>
    <dataValidation type="decimal" operator="greaterThanOrEqual" allowBlank="1" showInputMessage="1" showErrorMessage="1" sqref="J178">
      <formula1>0</formula1>
    </dataValidation>
    <dataValidation type="decimal" allowBlank="1" showInputMessage="1" showErrorMessage="1" sqref="L178">
      <formula1>0</formula1>
      <formula2>100</formula2>
    </dataValidation>
    <dataValidation type="decimal" allowBlank="1" showInputMessage="1" showErrorMessage="1" sqref="M178">
      <formula1>0</formula1>
      <formula2>100</formula2>
    </dataValidation>
    <dataValidation type="decimal" operator="greaterThanOrEqual" allowBlank="1" showInputMessage="1" showErrorMessage="1" sqref="I179">
      <formula1>0</formula1>
    </dataValidation>
    <dataValidation type="decimal" operator="greaterThanOrEqual" allowBlank="1" showInputMessage="1" showErrorMessage="1" sqref="J179">
      <formula1>0</formula1>
    </dataValidation>
    <dataValidation type="decimal" allowBlank="1" showInputMessage="1" showErrorMessage="1" sqref="L179">
      <formula1>0</formula1>
      <formula2>100</formula2>
    </dataValidation>
    <dataValidation type="decimal" allowBlank="1" showInputMessage="1" showErrorMessage="1" sqref="M179">
      <formula1>0</formula1>
      <formula2>100</formula2>
    </dataValidation>
    <dataValidation type="decimal" operator="greaterThanOrEqual" allowBlank="1" showInputMessage="1" showErrorMessage="1" sqref="I180">
      <formula1>0</formula1>
    </dataValidation>
    <dataValidation type="decimal" operator="greaterThanOrEqual" allowBlank="1" showInputMessage="1" showErrorMessage="1" sqref="J180">
      <formula1>0</formula1>
    </dataValidation>
    <dataValidation type="decimal" allowBlank="1" showInputMessage="1" showErrorMessage="1" sqref="L180">
      <formula1>0</formula1>
      <formula2>100</formula2>
    </dataValidation>
    <dataValidation type="decimal" allowBlank="1" showInputMessage="1" showErrorMessage="1" sqref="M180">
      <formula1>0</formula1>
      <formula2>100</formula2>
    </dataValidation>
    <dataValidation type="decimal" operator="greaterThanOrEqual" allowBlank="1" showInputMessage="1" showErrorMessage="1" sqref="I181">
      <formula1>0</formula1>
    </dataValidation>
    <dataValidation type="decimal" operator="greaterThanOrEqual" allowBlank="1" showInputMessage="1" showErrorMessage="1" sqref="J181">
      <formula1>0</formula1>
    </dataValidation>
    <dataValidation type="decimal" allowBlank="1" showInputMessage="1" showErrorMessage="1" sqref="L181">
      <formula1>0</formula1>
      <formula2>100</formula2>
    </dataValidation>
    <dataValidation type="decimal" allowBlank="1" showInputMessage="1" showErrorMessage="1" sqref="M181">
      <formula1>0</formula1>
      <formula2>100</formula2>
    </dataValidation>
    <dataValidation type="decimal" operator="greaterThanOrEqual" allowBlank="1" showInputMessage="1" showErrorMessage="1" sqref="I182">
      <formula1>0</formula1>
    </dataValidation>
    <dataValidation type="decimal" operator="greaterThanOrEqual" allowBlank="1" showInputMessage="1" showErrorMessage="1" sqref="J182">
      <formula1>0</formula1>
    </dataValidation>
    <dataValidation type="decimal" allowBlank="1" showInputMessage="1" showErrorMessage="1" sqref="L182">
      <formula1>0</formula1>
      <formula2>100</formula2>
    </dataValidation>
    <dataValidation type="decimal" allowBlank="1" showInputMessage="1" showErrorMessage="1" sqref="M182">
      <formula1>0</formula1>
      <formula2>100</formula2>
    </dataValidation>
    <dataValidation type="decimal" operator="greaterThanOrEqual" allowBlank="1" showInputMessage="1" showErrorMessage="1" sqref="I183">
      <formula1>0</formula1>
    </dataValidation>
    <dataValidation type="decimal" operator="greaterThanOrEqual" allowBlank="1" showInputMessage="1" showErrorMessage="1" sqref="J183">
      <formula1>0</formula1>
    </dataValidation>
    <dataValidation type="decimal" allowBlank="1" showInputMessage="1" showErrorMessage="1" sqref="L183">
      <formula1>0</formula1>
      <formula2>100</formula2>
    </dataValidation>
    <dataValidation type="decimal" allowBlank="1" showInputMessage="1" showErrorMessage="1" sqref="M183">
      <formula1>0</formula1>
      <formula2>100</formula2>
    </dataValidation>
    <dataValidation type="decimal" operator="greaterThanOrEqual" allowBlank="1" showInputMessage="1" showErrorMessage="1" sqref="I184">
      <formula1>0</formula1>
    </dataValidation>
    <dataValidation type="decimal" operator="greaterThanOrEqual" allowBlank="1" showInputMessage="1" showErrorMessage="1" sqref="J184">
      <formula1>0</formula1>
    </dataValidation>
    <dataValidation type="decimal" allowBlank="1" showInputMessage="1" showErrorMessage="1" sqref="L184">
      <formula1>0</formula1>
      <formula2>100</formula2>
    </dataValidation>
    <dataValidation type="decimal" allowBlank="1" showInputMessage="1" showErrorMessage="1" sqref="M184">
      <formula1>0</formula1>
      <formula2>100</formula2>
    </dataValidation>
    <dataValidation type="decimal" operator="greaterThanOrEqual" allowBlank="1" showInputMessage="1" showErrorMessage="1" sqref="I185">
      <formula1>0</formula1>
    </dataValidation>
    <dataValidation type="decimal" operator="greaterThanOrEqual" allowBlank="1" showInputMessage="1" showErrorMessage="1" sqref="J185">
      <formula1>0</formula1>
    </dataValidation>
    <dataValidation type="decimal" allowBlank="1" showInputMessage="1" showErrorMessage="1" sqref="L185">
      <formula1>0</formula1>
      <formula2>100</formula2>
    </dataValidation>
    <dataValidation type="decimal" allowBlank="1" showInputMessage="1" showErrorMessage="1" sqref="M185">
      <formula1>0</formula1>
      <formula2>100</formula2>
    </dataValidation>
    <dataValidation type="decimal" operator="greaterThanOrEqual" allowBlank="1" showInputMessage="1" showErrorMessage="1" sqref="I186">
      <formula1>0</formula1>
    </dataValidation>
    <dataValidation type="decimal" operator="greaterThanOrEqual" allowBlank="1" showInputMessage="1" showErrorMessage="1" sqref="J186">
      <formula1>0</formula1>
    </dataValidation>
    <dataValidation type="decimal" allowBlank="1" showInputMessage="1" showErrorMessage="1" sqref="L186">
      <formula1>0</formula1>
      <formula2>100</formula2>
    </dataValidation>
    <dataValidation type="decimal" allowBlank="1" showInputMessage="1" showErrorMessage="1" sqref="M186">
      <formula1>0</formula1>
      <formula2>100</formula2>
    </dataValidation>
    <dataValidation type="decimal" operator="greaterThanOrEqual" allowBlank="1" showInputMessage="1" showErrorMessage="1" sqref="I187">
      <formula1>0</formula1>
    </dataValidation>
    <dataValidation type="decimal" operator="greaterThanOrEqual" allowBlank="1" showInputMessage="1" showErrorMessage="1" sqref="J187">
      <formula1>0</formula1>
    </dataValidation>
    <dataValidation type="decimal" allowBlank="1" showInputMessage="1" showErrorMessage="1" sqref="L187">
      <formula1>0</formula1>
      <formula2>100</formula2>
    </dataValidation>
    <dataValidation type="decimal" allowBlank="1" showInputMessage="1" showErrorMessage="1" sqref="M187">
      <formula1>0</formula1>
      <formula2>100</formula2>
    </dataValidation>
    <dataValidation type="decimal" operator="greaterThanOrEqual" allowBlank="1" showInputMessage="1" showErrorMessage="1" sqref="I188">
      <formula1>0</formula1>
    </dataValidation>
    <dataValidation type="decimal" operator="greaterThanOrEqual" allowBlank="1" showInputMessage="1" showErrorMessage="1" sqref="J188">
      <formula1>0</formula1>
    </dataValidation>
    <dataValidation type="decimal" allowBlank="1" showInputMessage="1" showErrorMessage="1" sqref="L188">
      <formula1>0</formula1>
      <formula2>100</formula2>
    </dataValidation>
    <dataValidation type="decimal" allowBlank="1" showInputMessage="1" showErrorMessage="1" sqref="M188">
      <formula1>0</formula1>
      <formula2>100</formula2>
    </dataValidation>
    <dataValidation type="decimal" operator="greaterThanOrEqual" allowBlank="1" showInputMessage="1" showErrorMessage="1" sqref="I189">
      <formula1>0</formula1>
    </dataValidation>
    <dataValidation type="decimal" operator="greaterThanOrEqual" allowBlank="1" showInputMessage="1" showErrorMessage="1" sqref="J189">
      <formula1>0</formula1>
    </dataValidation>
    <dataValidation type="decimal" allowBlank="1" showInputMessage="1" showErrorMessage="1" sqref="L189">
      <formula1>0</formula1>
      <formula2>100</formula2>
    </dataValidation>
    <dataValidation type="decimal" allowBlank="1" showInputMessage="1" showErrorMessage="1" sqref="M189">
      <formula1>0</formula1>
      <formula2>100</formula2>
    </dataValidation>
    <dataValidation type="decimal" operator="greaterThanOrEqual" allowBlank="1" showInputMessage="1" showErrorMessage="1" sqref="I190">
      <formula1>0</formula1>
    </dataValidation>
    <dataValidation type="decimal" operator="greaterThanOrEqual" allowBlank="1" showInputMessage="1" showErrorMessage="1" sqref="J190">
      <formula1>0</formula1>
    </dataValidation>
    <dataValidation type="decimal" allowBlank="1" showInputMessage="1" showErrorMessage="1" sqref="L190">
      <formula1>0</formula1>
      <formula2>100</formula2>
    </dataValidation>
    <dataValidation type="decimal" allowBlank="1" showInputMessage="1" showErrorMessage="1" sqref="M190">
      <formula1>0</formula1>
      <formula2>100</formula2>
    </dataValidation>
    <dataValidation type="decimal" operator="greaterThanOrEqual" allowBlank="1" showInputMessage="1" showErrorMessage="1" sqref="I191">
      <formula1>0</formula1>
    </dataValidation>
    <dataValidation type="decimal" operator="greaterThanOrEqual" allowBlank="1" showInputMessage="1" showErrorMessage="1" sqref="J191">
      <formula1>0</formula1>
    </dataValidation>
    <dataValidation type="decimal" allowBlank="1" showInputMessage="1" showErrorMessage="1" sqref="L191">
      <formula1>0</formula1>
      <formula2>100</formula2>
    </dataValidation>
    <dataValidation type="decimal" allowBlank="1" showInputMessage="1" showErrorMessage="1" sqref="M191">
      <formula1>0</formula1>
      <formula2>100</formula2>
    </dataValidation>
    <dataValidation type="decimal" operator="greaterThanOrEqual" allowBlank="1" showInputMessage="1" showErrorMessage="1" sqref="I192">
      <formula1>0</formula1>
    </dataValidation>
    <dataValidation type="decimal" operator="greaterThanOrEqual" allowBlank="1" showInputMessage="1" showErrorMessage="1" sqref="J192">
      <formula1>0</formula1>
    </dataValidation>
    <dataValidation type="decimal" allowBlank="1" showInputMessage="1" showErrorMessage="1" sqref="L192">
      <formula1>0</formula1>
      <formula2>100</formula2>
    </dataValidation>
    <dataValidation type="decimal" allowBlank="1" showInputMessage="1" showErrorMessage="1" sqref="M192">
      <formula1>0</formula1>
      <formula2>100</formula2>
    </dataValidation>
    <dataValidation type="decimal" operator="greaterThanOrEqual" allowBlank="1" showInputMessage="1" showErrorMessage="1" sqref="I193">
      <formula1>0</formula1>
    </dataValidation>
    <dataValidation type="decimal" operator="greaterThanOrEqual" allowBlank="1" showInputMessage="1" showErrorMessage="1" sqref="J193">
      <formula1>0</formula1>
    </dataValidation>
    <dataValidation type="decimal" allowBlank="1" showInputMessage="1" showErrorMessage="1" sqref="L193">
      <formula1>0</formula1>
      <formula2>100</formula2>
    </dataValidation>
    <dataValidation type="decimal" allowBlank="1" showInputMessage="1" showErrorMessage="1" sqref="M193">
      <formula1>0</formula1>
      <formula2>100</formula2>
    </dataValidation>
    <dataValidation type="decimal" operator="greaterThanOrEqual" allowBlank="1" showInputMessage="1" showErrorMessage="1" sqref="I194">
      <formula1>0</formula1>
    </dataValidation>
    <dataValidation type="decimal" operator="greaterThanOrEqual" allowBlank="1" showInputMessage="1" showErrorMessage="1" sqref="J194">
      <formula1>0</formula1>
    </dataValidation>
    <dataValidation type="decimal" allowBlank="1" showInputMessage="1" showErrorMessage="1" sqref="L194">
      <formula1>0</formula1>
      <formula2>100</formula2>
    </dataValidation>
    <dataValidation type="decimal" allowBlank="1" showInputMessage="1" showErrorMessage="1" sqref="M194">
      <formula1>0</formula1>
      <formula2>100</formula2>
    </dataValidation>
    <dataValidation type="decimal" operator="greaterThanOrEqual" allowBlank="1" showInputMessage="1" showErrorMessage="1" sqref="I195">
      <formula1>0</formula1>
    </dataValidation>
    <dataValidation type="decimal" operator="greaterThanOrEqual" allowBlank="1" showInputMessage="1" showErrorMessage="1" sqref="J195">
      <formula1>0</formula1>
    </dataValidation>
    <dataValidation type="decimal" allowBlank="1" showInputMessage="1" showErrorMessage="1" sqref="L195">
      <formula1>0</formula1>
      <formula2>100</formula2>
    </dataValidation>
    <dataValidation type="decimal" allowBlank="1" showInputMessage="1" showErrorMessage="1" sqref="M195">
      <formula1>0</formula1>
      <formula2>100</formula2>
    </dataValidation>
    <dataValidation type="decimal" operator="greaterThanOrEqual" allowBlank="1" showInputMessage="1" showErrorMessage="1" sqref="I196">
      <formula1>0</formula1>
    </dataValidation>
    <dataValidation type="decimal" operator="greaterThanOrEqual" allowBlank="1" showInputMessage="1" showErrorMessage="1" sqref="J196">
      <formula1>0</formula1>
    </dataValidation>
    <dataValidation type="decimal" allowBlank="1" showInputMessage="1" showErrorMessage="1" sqref="L196">
      <formula1>0</formula1>
      <formula2>100</formula2>
    </dataValidation>
    <dataValidation type="decimal" allowBlank="1" showInputMessage="1" showErrorMessage="1" sqref="M196">
      <formula1>0</formula1>
      <formula2>100</formula2>
    </dataValidation>
    <dataValidation type="decimal" operator="greaterThanOrEqual" allowBlank="1" showInputMessage="1" showErrorMessage="1" sqref="I197">
      <formula1>0</formula1>
    </dataValidation>
    <dataValidation type="decimal" operator="greaterThanOrEqual" allowBlank="1" showInputMessage="1" showErrorMessage="1" sqref="J197">
      <formula1>0</formula1>
    </dataValidation>
    <dataValidation type="decimal" allowBlank="1" showInputMessage="1" showErrorMessage="1" sqref="L197">
      <formula1>0</formula1>
      <formula2>100</formula2>
    </dataValidation>
    <dataValidation type="decimal" allowBlank="1" showInputMessage="1" showErrorMessage="1" sqref="M197">
      <formula1>0</formula1>
      <formula2>100</formula2>
    </dataValidation>
    <dataValidation type="decimal" operator="greaterThanOrEqual" allowBlank="1" showInputMessage="1" showErrorMessage="1" sqref="I198">
      <formula1>0</formula1>
    </dataValidation>
    <dataValidation type="decimal" operator="greaterThanOrEqual" allowBlank="1" showInputMessage="1" showErrorMessage="1" sqref="J198">
      <formula1>0</formula1>
    </dataValidation>
    <dataValidation type="decimal" allowBlank="1" showInputMessage="1" showErrorMessage="1" sqref="L198">
      <formula1>0</formula1>
      <formula2>100</formula2>
    </dataValidation>
    <dataValidation type="decimal" allowBlank="1" showInputMessage="1" showErrorMessage="1" sqref="M198">
      <formula1>0</formula1>
      <formula2>100</formula2>
    </dataValidation>
    <dataValidation type="decimal" operator="greaterThanOrEqual" allowBlank="1" showInputMessage="1" showErrorMessage="1" sqref="I199">
      <formula1>0</formula1>
    </dataValidation>
    <dataValidation type="decimal" operator="greaterThanOrEqual" allowBlank="1" showInputMessage="1" showErrorMessage="1" sqref="J199">
      <formula1>0</formula1>
    </dataValidation>
    <dataValidation type="decimal" allowBlank="1" showInputMessage="1" showErrorMessage="1" sqref="L199">
      <formula1>0</formula1>
      <formula2>100</formula2>
    </dataValidation>
    <dataValidation type="decimal" allowBlank="1" showInputMessage="1" showErrorMessage="1" sqref="M199">
      <formula1>0</formula1>
      <formula2>100</formula2>
    </dataValidation>
    <dataValidation type="decimal" operator="greaterThanOrEqual" allowBlank="1" showInputMessage="1" showErrorMessage="1" sqref="I200">
      <formula1>0</formula1>
    </dataValidation>
    <dataValidation type="decimal" operator="greaterThanOrEqual" allowBlank="1" showInputMessage="1" showErrorMessage="1" sqref="J200">
      <formula1>0</formula1>
    </dataValidation>
    <dataValidation type="decimal" allowBlank="1" showInputMessage="1" showErrorMessage="1" sqref="L200">
      <formula1>0</formula1>
      <formula2>100</formula2>
    </dataValidation>
    <dataValidation type="decimal" allowBlank="1" showInputMessage="1" showErrorMessage="1" sqref="M200">
      <formula1>0</formula1>
      <formula2>100</formula2>
    </dataValidation>
    <dataValidation type="decimal" operator="greaterThanOrEqual" allowBlank="1" showInputMessage="1" showErrorMessage="1" sqref="I201">
      <formula1>0</formula1>
    </dataValidation>
    <dataValidation type="decimal" operator="greaterThanOrEqual" allowBlank="1" showInputMessage="1" showErrorMessage="1" sqref="J201">
      <formula1>0</formula1>
    </dataValidation>
    <dataValidation type="decimal" allowBlank="1" showInputMessage="1" showErrorMessage="1" sqref="L201">
      <formula1>0</formula1>
      <formula2>100</formula2>
    </dataValidation>
    <dataValidation type="decimal" allowBlank="1" showInputMessage="1" showErrorMessage="1" sqref="M201">
      <formula1>0</formula1>
      <formula2>100</formula2>
    </dataValidation>
    <dataValidation type="decimal" operator="greaterThanOrEqual" allowBlank="1" showInputMessage="1" showErrorMessage="1" sqref="I202">
      <formula1>0</formula1>
    </dataValidation>
    <dataValidation type="decimal" operator="greaterThanOrEqual" allowBlank="1" showInputMessage="1" showErrorMessage="1" sqref="J202">
      <formula1>0</formula1>
    </dataValidation>
    <dataValidation type="decimal" allowBlank="1" showInputMessage="1" showErrorMessage="1" sqref="L202">
      <formula1>0</formula1>
      <formula2>100</formula2>
    </dataValidation>
    <dataValidation type="decimal" allowBlank="1" showInputMessage="1" showErrorMessage="1" sqref="M202">
      <formula1>0</formula1>
      <formula2>100</formula2>
    </dataValidation>
    <dataValidation type="decimal" operator="greaterThanOrEqual" allowBlank="1" showInputMessage="1" showErrorMessage="1" sqref="I203">
      <formula1>0</formula1>
    </dataValidation>
    <dataValidation type="decimal" operator="greaterThanOrEqual" allowBlank="1" showInputMessage="1" showErrorMessage="1" sqref="J203">
      <formula1>0</formula1>
    </dataValidation>
    <dataValidation type="decimal" allowBlank="1" showInputMessage="1" showErrorMessage="1" sqref="L203">
      <formula1>0</formula1>
      <formula2>100</formula2>
    </dataValidation>
    <dataValidation type="decimal" allowBlank="1" showInputMessage="1" showErrorMessage="1" sqref="M203">
      <formula1>0</formula1>
      <formula2>100</formula2>
    </dataValidation>
    <dataValidation type="decimal" operator="greaterThanOrEqual" allowBlank="1" showInputMessage="1" showErrorMessage="1" sqref="I204">
      <formula1>0</formula1>
    </dataValidation>
    <dataValidation type="decimal" operator="greaterThanOrEqual" allowBlank="1" showInputMessage="1" showErrorMessage="1" sqref="J204">
      <formula1>0</formula1>
    </dataValidation>
    <dataValidation type="decimal" allowBlank="1" showInputMessage="1" showErrorMessage="1" sqref="L204">
      <formula1>0</formula1>
      <formula2>100</formula2>
    </dataValidation>
    <dataValidation type="decimal" allowBlank="1" showInputMessage="1" showErrorMessage="1" sqref="M204">
      <formula1>0</formula1>
      <formula2>100</formula2>
    </dataValidation>
    <dataValidation type="decimal" operator="greaterThanOrEqual" allowBlank="1" showInputMessage="1" showErrorMessage="1" sqref="I205">
      <formula1>0</formula1>
    </dataValidation>
    <dataValidation type="decimal" operator="greaterThanOrEqual" allowBlank="1" showInputMessage="1" showErrorMessage="1" sqref="J205">
      <formula1>0</formula1>
    </dataValidation>
    <dataValidation type="decimal" allowBlank="1" showInputMessage="1" showErrorMessage="1" sqref="L205">
      <formula1>0</formula1>
      <formula2>100</formula2>
    </dataValidation>
    <dataValidation type="decimal" allowBlank="1" showInputMessage="1" showErrorMessage="1" sqref="M205">
      <formula1>0</formula1>
      <formula2>100</formula2>
    </dataValidation>
    <dataValidation type="decimal" operator="greaterThanOrEqual" allowBlank="1" showInputMessage="1" showErrorMessage="1" sqref="I206">
      <formula1>0</formula1>
    </dataValidation>
    <dataValidation type="decimal" operator="greaterThanOrEqual" allowBlank="1" showInputMessage="1" showErrorMessage="1" sqref="J206">
      <formula1>0</formula1>
    </dataValidation>
    <dataValidation type="decimal" allowBlank="1" showInputMessage="1" showErrorMessage="1" sqref="L206">
      <formula1>0</formula1>
      <formula2>100</formula2>
    </dataValidation>
    <dataValidation type="decimal" allowBlank="1" showInputMessage="1" showErrorMessage="1" sqref="M206">
      <formula1>0</formula1>
      <formula2>100</formula2>
    </dataValidation>
    <dataValidation type="decimal" operator="greaterThanOrEqual" allowBlank="1" showInputMessage="1" showErrorMessage="1" sqref="I207">
      <formula1>0</formula1>
    </dataValidation>
    <dataValidation type="decimal" operator="greaterThanOrEqual" allowBlank="1" showInputMessage="1" showErrorMessage="1" sqref="J207">
      <formula1>0</formula1>
    </dataValidation>
    <dataValidation type="decimal" allowBlank="1" showInputMessage="1" showErrorMessage="1" sqref="L207">
      <formula1>0</formula1>
      <formula2>100</formula2>
    </dataValidation>
    <dataValidation type="decimal" allowBlank="1" showInputMessage="1" showErrorMessage="1" sqref="M207">
      <formula1>0</formula1>
      <formula2>100</formula2>
    </dataValidation>
    <dataValidation type="decimal" operator="greaterThanOrEqual" allowBlank="1" showInputMessage="1" showErrorMessage="1" sqref="I208">
      <formula1>0</formula1>
    </dataValidation>
    <dataValidation type="decimal" operator="greaterThanOrEqual" allowBlank="1" showInputMessage="1" showErrorMessage="1" sqref="J208">
      <formula1>0</formula1>
    </dataValidation>
    <dataValidation type="decimal" allowBlank="1" showInputMessage="1" showErrorMessage="1" sqref="L208">
      <formula1>0</formula1>
      <formula2>100</formula2>
    </dataValidation>
    <dataValidation type="decimal" allowBlank="1" showInputMessage="1" showErrorMessage="1" sqref="M208">
      <formula1>0</formula1>
      <formula2>100</formula2>
    </dataValidation>
    <dataValidation type="decimal" operator="greaterThanOrEqual" allowBlank="1" showInputMessage="1" showErrorMessage="1" sqref="I209">
      <formula1>0</formula1>
    </dataValidation>
    <dataValidation type="decimal" operator="greaterThanOrEqual" allowBlank="1" showInputMessage="1" showErrorMessage="1" sqref="J209">
      <formula1>0</formula1>
    </dataValidation>
    <dataValidation type="decimal" allowBlank="1" showInputMessage="1" showErrorMessage="1" sqref="L209">
      <formula1>0</formula1>
      <formula2>100</formula2>
    </dataValidation>
    <dataValidation type="decimal" allowBlank="1" showInputMessage="1" showErrorMessage="1" sqref="M209">
      <formula1>0</formula1>
      <formula2>100</formula2>
    </dataValidation>
    <dataValidation type="decimal" operator="greaterThanOrEqual" allowBlank="1" showInputMessage="1" showErrorMessage="1" sqref="I210">
      <formula1>0</formula1>
    </dataValidation>
    <dataValidation type="decimal" operator="greaterThanOrEqual" allowBlank="1" showInputMessage="1" showErrorMessage="1" sqref="J210">
      <formula1>0</formula1>
    </dataValidation>
    <dataValidation type="decimal" allowBlank="1" showInputMessage="1" showErrorMessage="1" sqref="L210">
      <formula1>0</formula1>
      <formula2>100</formula2>
    </dataValidation>
    <dataValidation type="decimal" allowBlank="1" showInputMessage="1" showErrorMessage="1" sqref="M210">
      <formula1>0</formula1>
      <formula2>100</formula2>
    </dataValidation>
    <dataValidation type="decimal" operator="greaterThanOrEqual" allowBlank="1" showInputMessage="1" showErrorMessage="1" sqref="I211">
      <formula1>0</formula1>
    </dataValidation>
    <dataValidation type="decimal" operator="greaterThanOrEqual" allowBlank="1" showInputMessage="1" showErrorMessage="1" sqref="J211">
      <formula1>0</formula1>
    </dataValidation>
    <dataValidation type="decimal" allowBlank="1" showInputMessage="1" showErrorMessage="1" sqref="L211">
      <formula1>0</formula1>
      <formula2>100</formula2>
    </dataValidation>
    <dataValidation type="decimal" allowBlank="1" showInputMessage="1" showErrorMessage="1" sqref="M211">
      <formula1>0</formula1>
      <formula2>100</formula2>
    </dataValidation>
    <dataValidation type="decimal" operator="greaterThanOrEqual" allowBlank="1" showInputMessage="1" showErrorMessage="1" sqref="I212">
      <formula1>0</formula1>
    </dataValidation>
    <dataValidation type="decimal" operator="greaterThanOrEqual" allowBlank="1" showInputMessage="1" showErrorMessage="1" sqref="J212">
      <formula1>0</formula1>
    </dataValidation>
    <dataValidation type="decimal" allowBlank="1" showInputMessage="1" showErrorMessage="1" sqref="L212">
      <formula1>0</formula1>
      <formula2>100</formula2>
    </dataValidation>
    <dataValidation type="decimal" allowBlank="1" showInputMessage="1" showErrorMessage="1" sqref="M212">
      <formula1>0</formula1>
      <formula2>100</formula2>
    </dataValidation>
    <dataValidation type="decimal" operator="greaterThanOrEqual" allowBlank="1" showInputMessage="1" showErrorMessage="1" sqref="I213">
      <formula1>0</formula1>
    </dataValidation>
    <dataValidation type="decimal" operator="greaterThanOrEqual" allowBlank="1" showInputMessage="1" showErrorMessage="1" sqref="J213">
      <formula1>0</formula1>
    </dataValidation>
    <dataValidation type="decimal" allowBlank="1" showInputMessage="1" showErrorMessage="1" sqref="L213">
      <formula1>0</formula1>
      <formula2>100</formula2>
    </dataValidation>
    <dataValidation type="decimal" allowBlank="1" showInputMessage="1" showErrorMessage="1" sqref="M213">
      <formula1>0</formula1>
      <formula2>100</formula2>
    </dataValidation>
    <dataValidation type="decimal" operator="greaterThanOrEqual" allowBlank="1" showInputMessage="1" showErrorMessage="1" sqref="I214">
      <formula1>0</formula1>
    </dataValidation>
    <dataValidation type="decimal" operator="greaterThanOrEqual" allowBlank="1" showInputMessage="1" showErrorMessage="1" sqref="J214">
      <formula1>0</formula1>
    </dataValidation>
    <dataValidation type="decimal" allowBlank="1" showInputMessage="1" showErrorMessage="1" sqref="L214">
      <formula1>0</formula1>
      <formula2>100</formula2>
    </dataValidation>
    <dataValidation type="decimal" allowBlank="1" showInputMessage="1" showErrorMessage="1" sqref="M214">
      <formula1>0</formula1>
      <formula2>100</formula2>
    </dataValidation>
    <dataValidation type="decimal" operator="greaterThanOrEqual" allowBlank="1" showInputMessage="1" showErrorMessage="1" sqref="I215">
      <formula1>0</formula1>
    </dataValidation>
    <dataValidation type="decimal" operator="greaterThanOrEqual" allowBlank="1" showInputMessage="1" showErrorMessage="1" sqref="J215">
      <formula1>0</formula1>
    </dataValidation>
    <dataValidation type="decimal" allowBlank="1" showInputMessage="1" showErrorMessage="1" sqref="L215">
      <formula1>0</formula1>
      <formula2>100</formula2>
    </dataValidation>
    <dataValidation type="decimal" allowBlank="1" showInputMessage="1" showErrorMessage="1" sqref="M215">
      <formula1>0</formula1>
      <formula2>100</formula2>
    </dataValidation>
    <dataValidation type="decimal" operator="greaterThanOrEqual" allowBlank="1" showInputMessage="1" showErrorMessage="1" sqref="I216">
      <formula1>0</formula1>
    </dataValidation>
    <dataValidation type="decimal" operator="greaterThanOrEqual" allowBlank="1" showInputMessage="1" showErrorMessage="1" sqref="J216">
      <formula1>0</formula1>
    </dataValidation>
    <dataValidation type="decimal" allowBlank="1" showInputMessage="1" showErrorMessage="1" sqref="L216">
      <formula1>0</formula1>
      <formula2>100</formula2>
    </dataValidation>
    <dataValidation type="decimal" allowBlank="1" showInputMessage="1" showErrorMessage="1" sqref="M216">
      <formula1>0</formula1>
      <formula2>100</formula2>
    </dataValidation>
    <dataValidation type="decimal" operator="greaterThanOrEqual" allowBlank="1" showInputMessage="1" showErrorMessage="1" sqref="I217">
      <formula1>0</formula1>
    </dataValidation>
    <dataValidation type="decimal" operator="greaterThanOrEqual" allowBlank="1" showInputMessage="1" showErrorMessage="1" sqref="J217">
      <formula1>0</formula1>
    </dataValidation>
    <dataValidation type="decimal" allowBlank="1" showInputMessage="1" showErrorMessage="1" sqref="L217">
      <formula1>0</formula1>
      <formula2>100</formula2>
    </dataValidation>
    <dataValidation type="decimal" allowBlank="1" showInputMessage="1" showErrorMessage="1" sqref="M217">
      <formula1>0</formula1>
      <formula2>100</formula2>
    </dataValidation>
    <dataValidation type="decimal" operator="greaterThanOrEqual" allowBlank="1" showInputMessage="1" showErrorMessage="1" sqref="I218">
      <formula1>0</formula1>
    </dataValidation>
    <dataValidation type="decimal" operator="greaterThanOrEqual" allowBlank="1" showInputMessage="1" showErrorMessage="1" sqref="J218">
      <formula1>0</formula1>
    </dataValidation>
    <dataValidation type="decimal" allowBlank="1" showInputMessage="1" showErrorMessage="1" sqref="L218">
      <formula1>0</formula1>
      <formula2>100</formula2>
    </dataValidation>
    <dataValidation type="decimal" allowBlank="1" showInputMessage="1" showErrorMessage="1" sqref="M218">
      <formula1>0</formula1>
      <formula2>100</formula2>
    </dataValidation>
    <dataValidation type="decimal" operator="greaterThanOrEqual" allowBlank="1" showInputMessage="1" showErrorMessage="1" sqref="I219">
      <formula1>0</formula1>
    </dataValidation>
    <dataValidation type="decimal" operator="greaterThanOrEqual" allowBlank="1" showInputMessage="1" showErrorMessage="1" sqref="J219">
      <formula1>0</formula1>
    </dataValidation>
    <dataValidation type="decimal" allowBlank="1" showInputMessage="1" showErrorMessage="1" sqref="L219">
      <formula1>0</formula1>
      <formula2>100</formula2>
    </dataValidation>
    <dataValidation type="decimal" allowBlank="1" showInputMessage="1" showErrorMessage="1" sqref="M219">
      <formula1>0</formula1>
      <formula2>100</formula2>
    </dataValidation>
    <dataValidation type="decimal" operator="greaterThanOrEqual" allowBlank="1" showInputMessage="1" showErrorMessage="1" sqref="I220">
      <formula1>0</formula1>
    </dataValidation>
    <dataValidation type="decimal" operator="greaterThanOrEqual" allowBlank="1" showInputMessage="1" showErrorMessage="1" sqref="J220">
      <formula1>0</formula1>
    </dataValidation>
    <dataValidation type="decimal" allowBlank="1" showInputMessage="1" showErrorMessage="1" sqref="L220">
      <formula1>0</formula1>
      <formula2>100</formula2>
    </dataValidation>
    <dataValidation type="decimal" allowBlank="1" showInputMessage="1" showErrorMessage="1" sqref="M220">
      <formula1>0</formula1>
      <formula2>100</formula2>
    </dataValidation>
    <dataValidation type="decimal" operator="greaterThanOrEqual" allowBlank="1" showInputMessage="1" showErrorMessage="1" sqref="I221">
      <formula1>0</formula1>
    </dataValidation>
    <dataValidation type="decimal" operator="greaterThanOrEqual" allowBlank="1" showInputMessage="1" showErrorMessage="1" sqref="J221">
      <formula1>0</formula1>
    </dataValidation>
    <dataValidation type="decimal" allowBlank="1" showInputMessage="1" showErrorMessage="1" sqref="L221">
      <formula1>0</formula1>
      <formula2>100</formula2>
    </dataValidation>
    <dataValidation type="decimal" allowBlank="1" showInputMessage="1" showErrorMessage="1" sqref="M221">
      <formula1>0</formula1>
      <formula2>100</formula2>
    </dataValidation>
    <dataValidation type="decimal" operator="greaterThanOrEqual" allowBlank="1" showInputMessage="1" showErrorMessage="1" sqref="I222">
      <formula1>0</formula1>
    </dataValidation>
    <dataValidation type="decimal" operator="greaterThanOrEqual" allowBlank="1" showInputMessage="1" showErrorMessage="1" sqref="J222">
      <formula1>0</formula1>
    </dataValidation>
    <dataValidation type="decimal" allowBlank="1" showInputMessage="1" showErrorMessage="1" sqref="L222">
      <formula1>0</formula1>
      <formula2>100</formula2>
    </dataValidation>
    <dataValidation type="decimal" allowBlank="1" showInputMessage="1" showErrorMessage="1" sqref="M222">
      <formula1>0</formula1>
      <formula2>100</formula2>
    </dataValidation>
    <dataValidation type="decimal" operator="greaterThanOrEqual" allowBlank="1" showInputMessage="1" showErrorMessage="1" sqref="I223">
      <formula1>0</formula1>
    </dataValidation>
    <dataValidation type="decimal" operator="greaterThanOrEqual" allowBlank="1" showInputMessage="1" showErrorMessage="1" sqref="J223">
      <formula1>0</formula1>
    </dataValidation>
    <dataValidation type="decimal" allowBlank="1" showInputMessage="1" showErrorMessage="1" sqref="L223">
      <formula1>0</formula1>
      <formula2>100</formula2>
    </dataValidation>
    <dataValidation type="decimal" allowBlank="1" showInputMessage="1" showErrorMessage="1" sqref="M223">
      <formula1>0</formula1>
      <formula2>100</formula2>
    </dataValidation>
    <dataValidation type="decimal" operator="greaterThanOrEqual" allowBlank="1" showInputMessage="1" showErrorMessage="1" sqref="I224">
      <formula1>0</formula1>
    </dataValidation>
    <dataValidation type="decimal" operator="greaterThanOrEqual" allowBlank="1" showInputMessage="1" showErrorMessage="1" sqref="J224">
      <formula1>0</formula1>
    </dataValidation>
    <dataValidation type="decimal" allowBlank="1" showInputMessage="1" showErrorMessage="1" sqref="L224">
      <formula1>0</formula1>
      <formula2>100</formula2>
    </dataValidation>
    <dataValidation type="decimal" allowBlank="1" showInputMessage="1" showErrorMessage="1" sqref="M224">
      <formula1>0</formula1>
      <formula2>100</formula2>
    </dataValidation>
    <dataValidation type="decimal" operator="greaterThanOrEqual" allowBlank="1" showInputMessage="1" showErrorMessage="1" sqref="I225">
      <formula1>0</formula1>
    </dataValidation>
    <dataValidation type="decimal" operator="greaterThanOrEqual" allowBlank="1" showInputMessage="1" showErrorMessage="1" sqref="J225">
      <formula1>0</formula1>
    </dataValidation>
    <dataValidation type="decimal" allowBlank="1" showInputMessage="1" showErrorMessage="1" sqref="L225">
      <formula1>0</formula1>
      <formula2>100</formula2>
    </dataValidation>
    <dataValidation type="decimal" allowBlank="1" showInputMessage="1" showErrorMessage="1" sqref="M225">
      <formula1>0</formula1>
      <formula2>100</formula2>
    </dataValidation>
    <dataValidation type="decimal" operator="greaterThanOrEqual" allowBlank="1" showInputMessage="1" showErrorMessage="1" sqref="I226">
      <formula1>0</formula1>
    </dataValidation>
    <dataValidation type="decimal" operator="greaterThanOrEqual" allowBlank="1" showInputMessage="1" showErrorMessage="1" sqref="J226">
      <formula1>0</formula1>
    </dataValidation>
    <dataValidation type="decimal" allowBlank="1" showInputMessage="1" showErrorMessage="1" sqref="L226">
      <formula1>0</formula1>
      <formula2>100</formula2>
    </dataValidation>
    <dataValidation type="decimal" allowBlank="1" showInputMessage="1" showErrorMessage="1" sqref="M226">
      <formula1>0</formula1>
      <formula2>100</formula2>
    </dataValidation>
    <dataValidation type="decimal" operator="greaterThanOrEqual" allowBlank="1" showInputMessage="1" showErrorMessage="1" sqref="I227">
      <formula1>0</formula1>
    </dataValidation>
    <dataValidation type="decimal" operator="greaterThanOrEqual" allowBlank="1" showInputMessage="1" showErrorMessage="1" sqref="J227">
      <formula1>0</formula1>
    </dataValidation>
    <dataValidation type="decimal" allowBlank="1" showInputMessage="1" showErrorMessage="1" sqref="L227">
      <formula1>0</formula1>
      <formula2>100</formula2>
    </dataValidation>
    <dataValidation type="decimal" allowBlank="1" showInputMessage="1" showErrorMessage="1" sqref="M227">
      <formula1>0</formula1>
      <formula2>100</formula2>
    </dataValidation>
    <dataValidation type="decimal" operator="greaterThanOrEqual" allowBlank="1" showInputMessage="1" showErrorMessage="1" sqref="I228">
      <formula1>0</formula1>
    </dataValidation>
    <dataValidation type="decimal" operator="greaterThanOrEqual" allowBlank="1" showInputMessage="1" showErrorMessage="1" sqref="J228">
      <formula1>0</formula1>
    </dataValidation>
    <dataValidation type="decimal" allowBlank="1" showInputMessage="1" showErrorMessage="1" sqref="L228">
      <formula1>0</formula1>
      <formula2>100</formula2>
    </dataValidation>
    <dataValidation type="decimal" allowBlank="1" showInputMessage="1" showErrorMessage="1" sqref="M228">
      <formula1>0</formula1>
      <formula2>100</formula2>
    </dataValidation>
    <dataValidation type="decimal" operator="greaterThanOrEqual" allowBlank="1" showInputMessage="1" showErrorMessage="1" sqref="I229">
      <formula1>0</formula1>
    </dataValidation>
    <dataValidation type="decimal" operator="greaterThanOrEqual" allowBlank="1" showInputMessage="1" showErrorMessage="1" sqref="J229">
      <formula1>0</formula1>
    </dataValidation>
    <dataValidation type="decimal" allowBlank="1" showInputMessage="1" showErrorMessage="1" sqref="L229">
      <formula1>0</formula1>
      <formula2>100</formula2>
    </dataValidation>
    <dataValidation type="decimal" allowBlank="1" showInputMessage="1" showErrorMessage="1" sqref="M229">
      <formula1>0</formula1>
      <formula2>100</formula2>
    </dataValidation>
    <dataValidation type="decimal" operator="greaterThanOrEqual" allowBlank="1" showInputMessage="1" showErrorMessage="1" sqref="I230">
      <formula1>0</formula1>
    </dataValidation>
    <dataValidation type="decimal" operator="greaterThanOrEqual" allowBlank="1" showInputMessage="1" showErrorMessage="1" sqref="J230">
      <formula1>0</formula1>
    </dataValidation>
    <dataValidation type="decimal" allowBlank="1" showInputMessage="1" showErrorMessage="1" sqref="L230">
      <formula1>0</formula1>
      <formula2>100</formula2>
    </dataValidation>
    <dataValidation type="decimal" allowBlank="1" showInputMessage="1" showErrorMessage="1" sqref="M230">
      <formula1>0</formula1>
      <formula2>100</formula2>
    </dataValidation>
    <dataValidation type="decimal" operator="greaterThanOrEqual" allowBlank="1" showInputMessage="1" showErrorMessage="1" sqref="I231">
      <formula1>0</formula1>
    </dataValidation>
    <dataValidation type="decimal" operator="greaterThanOrEqual" allowBlank="1" showInputMessage="1" showErrorMessage="1" sqref="J231">
      <formula1>0</formula1>
    </dataValidation>
    <dataValidation type="decimal" allowBlank="1" showInputMessage="1" showErrorMessage="1" sqref="L231">
      <formula1>0</formula1>
      <formula2>100</formula2>
    </dataValidation>
    <dataValidation type="decimal" allowBlank="1" showInputMessage="1" showErrorMessage="1" sqref="M231">
      <formula1>0</formula1>
      <formula2>100</formula2>
    </dataValidation>
    <dataValidation type="decimal" operator="greaterThanOrEqual" allowBlank="1" showInputMessage="1" showErrorMessage="1" sqref="I232">
      <formula1>0</formula1>
    </dataValidation>
    <dataValidation type="decimal" operator="greaterThanOrEqual" allowBlank="1" showInputMessage="1" showErrorMessage="1" sqref="J232">
      <formula1>0</formula1>
    </dataValidation>
    <dataValidation type="decimal" allowBlank="1" showInputMessage="1" showErrorMessage="1" sqref="L232">
      <formula1>0</formula1>
      <formula2>100</formula2>
    </dataValidation>
    <dataValidation type="decimal" allowBlank="1" showInputMessage="1" showErrorMessage="1" sqref="M232">
      <formula1>0</formula1>
      <formula2>100</formula2>
    </dataValidation>
    <dataValidation type="decimal" operator="greaterThanOrEqual" allowBlank="1" showInputMessage="1" showErrorMessage="1" sqref="I233">
      <formula1>0</formula1>
    </dataValidation>
    <dataValidation type="decimal" operator="greaterThanOrEqual" allowBlank="1" showInputMessage="1" showErrorMessage="1" sqref="J233">
      <formula1>0</formula1>
    </dataValidation>
    <dataValidation type="decimal" allowBlank="1" showInputMessage="1" showErrorMessage="1" sqref="L233">
      <formula1>0</formula1>
      <formula2>100</formula2>
    </dataValidation>
    <dataValidation type="decimal" allowBlank="1" showInputMessage="1" showErrorMessage="1" sqref="M233">
      <formula1>0</formula1>
      <formula2>100</formula2>
    </dataValidation>
    <dataValidation type="decimal" operator="greaterThanOrEqual" allowBlank="1" showInputMessage="1" showErrorMessage="1" sqref="I234">
      <formula1>0</formula1>
    </dataValidation>
    <dataValidation type="decimal" operator="greaterThanOrEqual" allowBlank="1" showInputMessage="1" showErrorMessage="1" sqref="J234">
      <formula1>0</formula1>
    </dataValidation>
    <dataValidation type="decimal" allowBlank="1" showInputMessage="1" showErrorMessage="1" sqref="L234">
      <formula1>0</formula1>
      <formula2>100</formula2>
    </dataValidation>
    <dataValidation type="decimal" allowBlank="1" showInputMessage="1" showErrorMessage="1" sqref="M234">
      <formula1>0</formula1>
      <formula2>100</formula2>
    </dataValidation>
    <dataValidation type="decimal" operator="greaterThanOrEqual" allowBlank="1" showInputMessage="1" showErrorMessage="1" sqref="I235">
      <formula1>0</formula1>
    </dataValidation>
    <dataValidation type="decimal" operator="greaterThanOrEqual" allowBlank="1" showInputMessage="1" showErrorMessage="1" sqref="J235">
      <formula1>0</formula1>
    </dataValidation>
    <dataValidation type="decimal" allowBlank="1" showInputMessage="1" showErrorMessage="1" sqref="L235">
      <formula1>0</formula1>
      <formula2>100</formula2>
    </dataValidation>
    <dataValidation type="decimal" allowBlank="1" showInputMessage="1" showErrorMessage="1" sqref="M235">
      <formula1>0</formula1>
      <formula2>100</formula2>
    </dataValidation>
    <dataValidation type="decimal" operator="greaterThanOrEqual" allowBlank="1" showInputMessage="1" showErrorMessage="1" sqref="I236">
      <formula1>0</formula1>
    </dataValidation>
    <dataValidation type="decimal" operator="greaterThanOrEqual" allowBlank="1" showInputMessage="1" showErrorMessage="1" sqref="J236">
      <formula1>0</formula1>
    </dataValidation>
    <dataValidation type="decimal" allowBlank="1" showInputMessage="1" showErrorMessage="1" sqref="L236">
      <formula1>0</formula1>
      <formula2>100</formula2>
    </dataValidation>
    <dataValidation type="decimal" allowBlank="1" showInputMessage="1" showErrorMessage="1" sqref="M236">
      <formula1>0</formula1>
      <formula2>100</formula2>
    </dataValidation>
    <dataValidation type="decimal" operator="greaterThanOrEqual" allowBlank="1" showInputMessage="1" showErrorMessage="1" sqref="I237">
      <formula1>0</formula1>
    </dataValidation>
    <dataValidation type="decimal" operator="greaterThanOrEqual" allowBlank="1" showInputMessage="1" showErrorMessage="1" sqref="J237">
      <formula1>0</formula1>
    </dataValidation>
    <dataValidation type="decimal" allowBlank="1" showInputMessage="1" showErrorMessage="1" sqref="L237">
      <formula1>0</formula1>
      <formula2>100</formula2>
    </dataValidation>
    <dataValidation type="decimal" allowBlank="1" showInputMessage="1" showErrorMessage="1" sqref="M237">
      <formula1>0</formula1>
      <formula2>100</formula2>
    </dataValidation>
    <dataValidation type="decimal" operator="greaterThanOrEqual" allowBlank="1" showInputMessage="1" showErrorMessage="1" sqref="I238">
      <formula1>0</formula1>
    </dataValidation>
    <dataValidation type="decimal" operator="greaterThanOrEqual" allowBlank="1" showInputMessage="1" showErrorMessage="1" sqref="J238">
      <formula1>0</formula1>
    </dataValidation>
    <dataValidation type="decimal" allowBlank="1" showInputMessage="1" showErrorMessage="1" sqref="L238">
      <formula1>0</formula1>
      <formula2>100</formula2>
    </dataValidation>
    <dataValidation type="decimal" allowBlank="1" showInputMessage="1" showErrorMessage="1" sqref="M238">
      <formula1>0</formula1>
      <formula2>100</formula2>
    </dataValidation>
    <dataValidation type="decimal" operator="greaterThanOrEqual" allowBlank="1" showInputMessage="1" showErrorMessage="1" sqref="I239">
      <formula1>0</formula1>
    </dataValidation>
    <dataValidation type="decimal" operator="greaterThanOrEqual" allowBlank="1" showInputMessage="1" showErrorMessage="1" sqref="J239">
      <formula1>0</formula1>
    </dataValidation>
    <dataValidation type="decimal" allowBlank="1" showInputMessage="1" showErrorMessage="1" sqref="L239">
      <formula1>0</formula1>
      <formula2>100</formula2>
    </dataValidation>
    <dataValidation type="decimal" allowBlank="1" showInputMessage="1" showErrorMessage="1" sqref="M239">
      <formula1>0</formula1>
      <formula2>100</formula2>
    </dataValidation>
    <dataValidation type="decimal" operator="greaterThanOrEqual" allowBlank="1" showInputMessage="1" showErrorMessage="1" sqref="I240">
      <formula1>0</formula1>
    </dataValidation>
    <dataValidation type="decimal" operator="greaterThanOrEqual" allowBlank="1" showInputMessage="1" showErrorMessage="1" sqref="J240">
      <formula1>0</formula1>
    </dataValidation>
    <dataValidation type="decimal" allowBlank="1" showInputMessage="1" showErrorMessage="1" sqref="L240">
      <formula1>0</formula1>
      <formula2>100</formula2>
    </dataValidation>
    <dataValidation type="decimal" allowBlank="1" showInputMessage="1" showErrorMessage="1" sqref="M240">
      <formula1>0</formula1>
      <formula2>100</formula2>
    </dataValidation>
    <dataValidation type="decimal" operator="greaterThanOrEqual" allowBlank="1" showInputMessage="1" showErrorMessage="1" sqref="I241">
      <formula1>0</formula1>
    </dataValidation>
    <dataValidation type="decimal" operator="greaterThanOrEqual" allowBlank="1" showInputMessage="1" showErrorMessage="1" sqref="J241">
      <formula1>0</formula1>
    </dataValidation>
    <dataValidation type="decimal" allowBlank="1" showInputMessage="1" showErrorMessage="1" sqref="L241">
      <formula1>0</formula1>
      <formula2>100</formula2>
    </dataValidation>
    <dataValidation type="decimal" allowBlank="1" showInputMessage="1" showErrorMessage="1" sqref="M241">
      <formula1>0</formula1>
      <formula2>100</formula2>
    </dataValidation>
    <dataValidation type="decimal" operator="greaterThanOrEqual" allowBlank="1" showInputMessage="1" showErrorMessage="1" sqref="I242">
      <formula1>0</formula1>
    </dataValidation>
    <dataValidation type="decimal" operator="greaterThanOrEqual" allowBlank="1" showInputMessage="1" showErrorMessage="1" sqref="J242">
      <formula1>0</formula1>
    </dataValidation>
    <dataValidation type="decimal" allowBlank="1" showInputMessage="1" showErrorMessage="1" sqref="L242">
      <formula1>0</formula1>
      <formula2>100</formula2>
    </dataValidation>
    <dataValidation type="decimal" allowBlank="1" showInputMessage="1" showErrorMessage="1" sqref="M242">
      <formula1>0</formula1>
      <formula2>100</formula2>
    </dataValidation>
    <dataValidation type="decimal" operator="greaterThanOrEqual" allowBlank="1" showInputMessage="1" showErrorMessage="1" sqref="I243">
      <formula1>0</formula1>
    </dataValidation>
    <dataValidation type="decimal" operator="greaterThanOrEqual" allowBlank="1" showInputMessage="1" showErrorMessage="1" sqref="J243">
      <formula1>0</formula1>
    </dataValidation>
    <dataValidation type="decimal" allowBlank="1" showInputMessage="1" showErrorMessage="1" sqref="L243">
      <formula1>0</formula1>
      <formula2>100</formula2>
    </dataValidation>
    <dataValidation type="decimal" allowBlank="1" showInputMessage="1" showErrorMessage="1" sqref="M243">
      <formula1>0</formula1>
      <formula2>100</formula2>
    </dataValidation>
    <dataValidation type="decimal" operator="greaterThanOrEqual" allowBlank="1" showInputMessage="1" showErrorMessage="1" sqref="I244">
      <formula1>0</formula1>
    </dataValidation>
    <dataValidation type="decimal" operator="greaterThanOrEqual" allowBlank="1" showInputMessage="1" showErrorMessage="1" sqref="J244">
      <formula1>0</formula1>
    </dataValidation>
    <dataValidation type="decimal" allowBlank="1" showInputMessage="1" showErrorMessage="1" sqref="L244">
      <formula1>0</formula1>
      <formula2>100</formula2>
    </dataValidation>
    <dataValidation type="decimal" allowBlank="1" showInputMessage="1" showErrorMessage="1" sqref="M244">
      <formula1>0</formula1>
      <formula2>100</formula2>
    </dataValidation>
    <dataValidation type="decimal" operator="greaterThanOrEqual" allowBlank="1" showInputMessage="1" showErrorMessage="1" sqref="I245">
      <formula1>0</formula1>
    </dataValidation>
    <dataValidation type="decimal" operator="greaterThanOrEqual" allowBlank="1" showInputMessage="1" showErrorMessage="1" sqref="J245">
      <formula1>0</formula1>
    </dataValidation>
    <dataValidation type="decimal" allowBlank="1" showInputMessage="1" showErrorMessage="1" sqref="L245">
      <formula1>0</formula1>
      <formula2>100</formula2>
    </dataValidation>
    <dataValidation type="decimal" allowBlank="1" showInputMessage="1" showErrorMessage="1" sqref="M245">
      <formula1>0</formula1>
      <formula2>100</formula2>
    </dataValidation>
    <dataValidation type="decimal" operator="greaterThanOrEqual" allowBlank="1" showInputMessage="1" showErrorMessage="1" sqref="I246">
      <formula1>0</formula1>
    </dataValidation>
    <dataValidation type="decimal" operator="greaterThanOrEqual" allowBlank="1" showInputMessage="1" showErrorMessage="1" sqref="J246">
      <formula1>0</formula1>
    </dataValidation>
    <dataValidation type="decimal" allowBlank="1" showInputMessage="1" showErrorMessage="1" sqref="L246">
      <formula1>0</formula1>
      <formula2>100</formula2>
    </dataValidation>
    <dataValidation type="decimal" allowBlank="1" showInputMessage="1" showErrorMessage="1" sqref="M246">
      <formula1>0</formula1>
      <formula2>100</formula2>
    </dataValidation>
    <dataValidation type="decimal" operator="greaterThanOrEqual" allowBlank="1" showInputMessage="1" showErrorMessage="1" sqref="I247">
      <formula1>0</formula1>
    </dataValidation>
    <dataValidation type="decimal" operator="greaterThanOrEqual" allowBlank="1" showInputMessage="1" showErrorMessage="1" sqref="J247">
      <formula1>0</formula1>
    </dataValidation>
    <dataValidation type="decimal" allowBlank="1" showInputMessage="1" showErrorMessage="1" sqref="L247">
      <formula1>0</formula1>
      <formula2>100</formula2>
    </dataValidation>
    <dataValidation type="decimal" allowBlank="1" showInputMessage="1" showErrorMessage="1" sqref="M247">
      <formula1>0</formula1>
      <formula2>100</formula2>
    </dataValidation>
    <dataValidation type="decimal" operator="greaterThanOrEqual" allowBlank="1" showInputMessage="1" showErrorMessage="1" sqref="I248">
      <formula1>0</formula1>
    </dataValidation>
    <dataValidation type="decimal" operator="greaterThanOrEqual" allowBlank="1" showInputMessage="1" showErrorMessage="1" sqref="J248">
      <formula1>0</formula1>
    </dataValidation>
    <dataValidation type="decimal" allowBlank="1" showInputMessage="1" showErrorMessage="1" sqref="L248">
      <formula1>0</formula1>
      <formula2>100</formula2>
    </dataValidation>
    <dataValidation type="decimal" allowBlank="1" showInputMessage="1" showErrorMessage="1" sqref="M248">
      <formula1>0</formula1>
      <formula2>100</formula2>
    </dataValidation>
    <dataValidation type="decimal" operator="greaterThanOrEqual" allowBlank="1" showInputMessage="1" showErrorMessage="1" sqref="I249">
      <formula1>0</formula1>
    </dataValidation>
    <dataValidation type="decimal" operator="greaterThanOrEqual" allowBlank="1" showInputMessage="1" showErrorMessage="1" sqref="J249">
      <formula1>0</formula1>
    </dataValidation>
    <dataValidation type="decimal" allowBlank="1" showInputMessage="1" showErrorMessage="1" sqref="L249">
      <formula1>0</formula1>
      <formula2>100</formula2>
    </dataValidation>
    <dataValidation type="decimal" allowBlank="1" showInputMessage="1" showErrorMessage="1" sqref="M249">
      <formula1>0</formula1>
      <formula2>100</formula2>
    </dataValidation>
    <dataValidation type="decimal" operator="greaterThanOrEqual" allowBlank="1" showInputMessage="1" showErrorMessage="1" sqref="I250">
      <formula1>0</formula1>
    </dataValidation>
    <dataValidation type="decimal" operator="greaterThanOrEqual" allowBlank="1" showInputMessage="1" showErrorMessage="1" sqref="J250">
      <formula1>0</formula1>
    </dataValidation>
    <dataValidation type="decimal" allowBlank="1" showInputMessage="1" showErrorMessage="1" sqref="L250">
      <formula1>0</formula1>
      <formula2>100</formula2>
    </dataValidation>
    <dataValidation type="decimal" allowBlank="1" showInputMessage="1" showErrorMessage="1" sqref="M250">
      <formula1>0</formula1>
      <formula2>100</formula2>
    </dataValidation>
    <dataValidation type="decimal" operator="greaterThanOrEqual" allowBlank="1" showInputMessage="1" showErrorMessage="1" sqref="I251">
      <formula1>0</formula1>
    </dataValidation>
    <dataValidation type="decimal" operator="greaterThanOrEqual" allowBlank="1" showInputMessage="1" showErrorMessage="1" sqref="J251">
      <formula1>0</formula1>
    </dataValidation>
    <dataValidation type="decimal" allowBlank="1" showInputMessage="1" showErrorMessage="1" sqref="L251">
      <formula1>0</formula1>
      <formula2>100</formula2>
    </dataValidation>
    <dataValidation type="decimal" allowBlank="1" showInputMessage="1" showErrorMessage="1" sqref="M251">
      <formula1>0</formula1>
      <formula2>100</formula2>
    </dataValidation>
    <dataValidation type="decimal" operator="greaterThanOrEqual" allowBlank="1" showInputMessage="1" showErrorMessage="1" sqref="I252">
      <formula1>0</formula1>
    </dataValidation>
    <dataValidation type="decimal" operator="greaterThanOrEqual" allowBlank="1" showInputMessage="1" showErrorMessage="1" sqref="J252">
      <formula1>0</formula1>
    </dataValidation>
    <dataValidation type="decimal" allowBlank="1" showInputMessage="1" showErrorMessage="1" sqref="L252">
      <formula1>0</formula1>
      <formula2>100</formula2>
    </dataValidation>
    <dataValidation type="decimal" allowBlank="1" showInputMessage="1" showErrorMessage="1" sqref="M252">
      <formula1>0</formula1>
      <formula2>100</formula2>
    </dataValidation>
    <dataValidation type="decimal" operator="greaterThanOrEqual" allowBlank="1" showInputMessage="1" showErrorMessage="1" sqref="I253">
      <formula1>0</formula1>
    </dataValidation>
    <dataValidation type="decimal" operator="greaterThanOrEqual" allowBlank="1" showInputMessage="1" showErrorMessage="1" sqref="J253">
      <formula1>0</formula1>
    </dataValidation>
    <dataValidation type="decimal" allowBlank="1" showInputMessage="1" showErrorMessage="1" sqref="L253">
      <formula1>0</formula1>
      <formula2>100</formula2>
    </dataValidation>
    <dataValidation type="decimal" allowBlank="1" showInputMessage="1" showErrorMessage="1" sqref="M253">
      <formula1>0</formula1>
      <formula2>100</formula2>
    </dataValidation>
    <dataValidation type="decimal" operator="greaterThanOrEqual" allowBlank="1" showInputMessage="1" showErrorMessage="1" sqref="I254">
      <formula1>0</formula1>
    </dataValidation>
    <dataValidation type="decimal" operator="greaterThanOrEqual" allowBlank="1" showInputMessage="1" showErrorMessage="1" sqref="J254">
      <formula1>0</formula1>
    </dataValidation>
    <dataValidation type="decimal" allowBlank="1" showInputMessage="1" showErrorMessage="1" sqref="L254">
      <formula1>0</formula1>
      <formula2>100</formula2>
    </dataValidation>
    <dataValidation type="decimal" allowBlank="1" showInputMessage="1" showErrorMessage="1" sqref="M254">
      <formula1>0</formula1>
      <formula2>100</formula2>
    </dataValidation>
    <dataValidation type="decimal" operator="greaterThanOrEqual" allowBlank="1" showInputMessage="1" showErrorMessage="1" sqref="I255">
      <formula1>0</formula1>
    </dataValidation>
    <dataValidation type="decimal" operator="greaterThanOrEqual" allowBlank="1" showInputMessage="1" showErrorMessage="1" sqref="J255">
      <formula1>0</formula1>
    </dataValidation>
    <dataValidation type="decimal" allowBlank="1" showInputMessage="1" showErrorMessage="1" sqref="L255">
      <formula1>0</formula1>
      <formula2>100</formula2>
    </dataValidation>
    <dataValidation type="decimal" allowBlank="1" showInputMessage="1" showErrorMessage="1" sqref="M255">
      <formula1>0</formula1>
      <formula2>100</formula2>
    </dataValidation>
    <dataValidation type="decimal" operator="greaterThanOrEqual" allowBlank="1" showInputMessage="1" showErrorMessage="1" sqref="I256">
      <formula1>0</formula1>
    </dataValidation>
    <dataValidation type="decimal" operator="greaterThanOrEqual" allowBlank="1" showInputMessage="1" showErrorMessage="1" sqref="J256">
      <formula1>0</formula1>
    </dataValidation>
    <dataValidation type="decimal" allowBlank="1" showInputMessage="1" showErrorMessage="1" sqref="L256">
      <formula1>0</formula1>
      <formula2>100</formula2>
    </dataValidation>
    <dataValidation type="decimal" allowBlank="1" showInputMessage="1" showErrorMessage="1" sqref="M256">
      <formula1>0</formula1>
      <formula2>100</formula2>
    </dataValidation>
    <dataValidation type="decimal" operator="greaterThanOrEqual" allowBlank="1" showInputMessage="1" showErrorMessage="1" sqref="I257">
      <formula1>0</formula1>
    </dataValidation>
    <dataValidation type="decimal" operator="greaterThanOrEqual" allowBlank="1" showInputMessage="1" showErrorMessage="1" sqref="J257">
      <formula1>0</formula1>
    </dataValidation>
    <dataValidation type="decimal" allowBlank="1" showInputMessage="1" showErrorMessage="1" sqref="L257">
      <formula1>0</formula1>
      <formula2>100</formula2>
    </dataValidation>
    <dataValidation type="decimal" allowBlank="1" showInputMessage="1" showErrorMessage="1" sqref="M257">
      <formula1>0</formula1>
      <formula2>100</formula2>
    </dataValidation>
    <dataValidation type="decimal" operator="greaterThanOrEqual" allowBlank="1" showInputMessage="1" showErrorMessage="1" sqref="I258">
      <formula1>0</formula1>
    </dataValidation>
    <dataValidation type="decimal" operator="greaterThanOrEqual" allowBlank="1" showInputMessage="1" showErrorMessage="1" sqref="J258">
      <formula1>0</formula1>
    </dataValidation>
    <dataValidation type="decimal" allowBlank="1" showInputMessage="1" showErrorMessage="1" sqref="L258">
      <formula1>0</formula1>
      <formula2>100</formula2>
    </dataValidation>
    <dataValidation type="decimal" allowBlank="1" showInputMessage="1" showErrorMessage="1" sqref="M258">
      <formula1>0</formula1>
      <formula2>100</formula2>
    </dataValidation>
    <dataValidation type="decimal" operator="greaterThanOrEqual" allowBlank="1" showInputMessage="1" showErrorMessage="1" sqref="I259">
      <formula1>0</formula1>
    </dataValidation>
    <dataValidation type="decimal" operator="greaterThanOrEqual" allowBlank="1" showInputMessage="1" showErrorMessage="1" sqref="J259">
      <formula1>0</formula1>
    </dataValidation>
    <dataValidation type="decimal" allowBlank="1" showInputMessage="1" showErrorMessage="1" sqref="L259">
      <formula1>0</formula1>
      <formula2>100</formula2>
    </dataValidation>
    <dataValidation type="decimal" allowBlank="1" showInputMessage="1" showErrorMessage="1" sqref="M259">
      <formula1>0</formula1>
      <formula2>100</formula2>
    </dataValidation>
    <dataValidation type="decimal" operator="greaterThanOrEqual" allowBlank="1" showInputMessage="1" showErrorMessage="1" sqref="I260">
      <formula1>0</formula1>
    </dataValidation>
    <dataValidation type="decimal" operator="greaterThanOrEqual" allowBlank="1" showInputMessage="1" showErrorMessage="1" sqref="J260">
      <formula1>0</formula1>
    </dataValidation>
    <dataValidation type="decimal" allowBlank="1" showInputMessage="1" showErrorMessage="1" sqref="L260">
      <formula1>0</formula1>
      <formula2>100</formula2>
    </dataValidation>
    <dataValidation type="decimal" allowBlank="1" showInputMessage="1" showErrorMessage="1" sqref="M260">
      <formula1>0</formula1>
      <formula2>100</formula2>
    </dataValidation>
    <dataValidation type="decimal" operator="greaterThanOrEqual" allowBlank="1" showInputMessage="1" showErrorMessage="1" sqref="I261">
      <formula1>0</formula1>
    </dataValidation>
    <dataValidation type="decimal" operator="greaterThanOrEqual" allowBlank="1" showInputMessage="1" showErrorMessage="1" sqref="J261">
      <formula1>0</formula1>
    </dataValidation>
    <dataValidation type="decimal" allowBlank="1" showInputMessage="1" showErrorMessage="1" sqref="L261">
      <formula1>0</formula1>
      <formula2>100</formula2>
    </dataValidation>
    <dataValidation type="decimal" allowBlank="1" showInputMessage="1" showErrorMessage="1" sqref="M261">
      <formula1>0</formula1>
      <formula2>100</formula2>
    </dataValidation>
    <dataValidation type="decimal" operator="greaterThanOrEqual" allowBlank="1" showInputMessage="1" showErrorMessage="1" sqref="I262">
      <formula1>0</formula1>
    </dataValidation>
    <dataValidation type="decimal" operator="greaterThanOrEqual" allowBlank="1" showInputMessage="1" showErrorMessage="1" sqref="J262">
      <formula1>0</formula1>
    </dataValidation>
    <dataValidation type="decimal" allowBlank="1" showInputMessage="1" showErrorMessage="1" sqref="L262">
      <formula1>0</formula1>
      <formula2>100</formula2>
    </dataValidation>
    <dataValidation type="decimal" allowBlank="1" showInputMessage="1" showErrorMessage="1" sqref="M262">
      <formula1>0</formula1>
      <formula2>100</formula2>
    </dataValidation>
    <dataValidation type="decimal" operator="greaterThanOrEqual" allowBlank="1" showInputMessage="1" showErrorMessage="1" sqref="I263">
      <formula1>0</formula1>
    </dataValidation>
    <dataValidation type="decimal" operator="greaterThanOrEqual" allowBlank="1" showInputMessage="1" showErrorMessage="1" sqref="J263">
      <formula1>0</formula1>
    </dataValidation>
    <dataValidation type="decimal" allowBlank="1" showInputMessage="1" showErrorMessage="1" sqref="L263">
      <formula1>0</formula1>
      <formula2>100</formula2>
    </dataValidation>
    <dataValidation type="decimal" allowBlank="1" showInputMessage="1" showErrorMessage="1" sqref="M263">
      <formula1>0</formula1>
      <formula2>100</formula2>
    </dataValidation>
    <dataValidation type="decimal" operator="greaterThanOrEqual" allowBlank="1" showInputMessage="1" showErrorMessage="1" sqref="I264">
      <formula1>0</formula1>
    </dataValidation>
    <dataValidation type="decimal" operator="greaterThanOrEqual" allowBlank="1" showInputMessage="1" showErrorMessage="1" sqref="J264">
      <formula1>0</formula1>
    </dataValidation>
    <dataValidation type="decimal" allowBlank="1" showInputMessage="1" showErrorMessage="1" sqref="L264">
      <formula1>0</formula1>
      <formula2>100</formula2>
    </dataValidation>
    <dataValidation type="decimal" allowBlank="1" showInputMessage="1" showErrorMessage="1" sqref="M264">
      <formula1>0</formula1>
      <formula2>100</formula2>
    </dataValidation>
    <dataValidation type="decimal" operator="greaterThanOrEqual" allowBlank="1" showInputMessage="1" showErrorMessage="1" sqref="I265">
      <formula1>0</formula1>
    </dataValidation>
    <dataValidation type="decimal" operator="greaterThanOrEqual" allowBlank="1" showInputMessage="1" showErrorMessage="1" sqref="J265">
      <formula1>0</formula1>
    </dataValidation>
    <dataValidation type="decimal" allowBlank="1" showInputMessage="1" showErrorMessage="1" sqref="L265">
      <formula1>0</formula1>
      <formula2>100</formula2>
    </dataValidation>
    <dataValidation type="decimal" allowBlank="1" showInputMessage="1" showErrorMessage="1" sqref="M265">
      <formula1>0</formula1>
      <formula2>100</formula2>
    </dataValidation>
    <dataValidation type="decimal" operator="greaterThanOrEqual" allowBlank="1" showInputMessage="1" showErrorMessage="1" sqref="I266">
      <formula1>0</formula1>
    </dataValidation>
    <dataValidation type="decimal" operator="greaterThanOrEqual" allowBlank="1" showInputMessage="1" showErrorMessage="1" sqref="J266">
      <formula1>0</formula1>
    </dataValidation>
    <dataValidation type="decimal" allowBlank="1" showInputMessage="1" showErrorMessage="1" sqref="L266">
      <formula1>0</formula1>
      <formula2>100</formula2>
    </dataValidation>
    <dataValidation type="decimal" allowBlank="1" showInputMessage="1" showErrorMessage="1" sqref="M266">
      <formula1>0</formula1>
      <formula2>100</formula2>
    </dataValidation>
    <dataValidation type="decimal" operator="greaterThanOrEqual" allowBlank="1" showInputMessage="1" showErrorMessage="1" sqref="I267">
      <formula1>0</formula1>
    </dataValidation>
    <dataValidation type="decimal" operator="greaterThanOrEqual" allowBlank="1" showInputMessage="1" showErrorMessage="1" sqref="J267">
      <formula1>0</formula1>
    </dataValidation>
    <dataValidation type="decimal" allowBlank="1" showInputMessage="1" showErrorMessage="1" sqref="L267">
      <formula1>0</formula1>
      <formula2>100</formula2>
    </dataValidation>
    <dataValidation type="decimal" allowBlank="1" showInputMessage="1" showErrorMessage="1" sqref="M267">
      <formula1>0</formula1>
      <formula2>100</formula2>
    </dataValidation>
    <dataValidation type="decimal" operator="greaterThanOrEqual" allowBlank="1" showInputMessage="1" showErrorMessage="1" sqref="I268">
      <formula1>0</formula1>
    </dataValidation>
    <dataValidation type="decimal" operator="greaterThanOrEqual" allowBlank="1" showInputMessage="1" showErrorMessage="1" sqref="J268">
      <formula1>0</formula1>
    </dataValidation>
    <dataValidation type="decimal" allowBlank="1" showInputMessage="1" showErrorMessage="1" sqref="L268">
      <formula1>0</formula1>
      <formula2>100</formula2>
    </dataValidation>
    <dataValidation type="decimal" allowBlank="1" showInputMessage="1" showErrorMessage="1" sqref="M268">
      <formula1>0</formula1>
      <formula2>100</formula2>
    </dataValidation>
    <dataValidation type="decimal" operator="greaterThanOrEqual" allowBlank="1" showInputMessage="1" showErrorMessage="1" sqref="I269">
      <formula1>0</formula1>
    </dataValidation>
    <dataValidation type="decimal" operator="greaterThanOrEqual" allowBlank="1" showInputMessage="1" showErrorMessage="1" sqref="J269">
      <formula1>0</formula1>
    </dataValidation>
    <dataValidation type="decimal" allowBlank="1" showInputMessage="1" showErrorMessage="1" sqref="L269">
      <formula1>0</formula1>
      <formula2>100</formula2>
    </dataValidation>
    <dataValidation type="decimal" allowBlank="1" showInputMessage="1" showErrorMessage="1" sqref="M269">
      <formula1>0</formula1>
      <formula2>100</formula2>
    </dataValidation>
    <dataValidation type="decimal" operator="greaterThanOrEqual" allowBlank="1" showInputMessage="1" showErrorMessage="1" sqref="I270">
      <formula1>0</formula1>
    </dataValidation>
    <dataValidation type="decimal" operator="greaterThanOrEqual" allowBlank="1" showInputMessage="1" showErrorMessage="1" sqref="J270">
      <formula1>0</formula1>
    </dataValidation>
    <dataValidation type="decimal" allowBlank="1" showInputMessage="1" showErrorMessage="1" sqref="L270">
      <formula1>0</formula1>
      <formula2>100</formula2>
    </dataValidation>
    <dataValidation type="decimal" allowBlank="1" showInputMessage="1" showErrorMessage="1" sqref="M270">
      <formula1>0</formula1>
      <formula2>100</formula2>
    </dataValidation>
    <dataValidation type="decimal" operator="greaterThanOrEqual" allowBlank="1" showInputMessage="1" showErrorMessage="1" sqref="I271">
      <formula1>0</formula1>
    </dataValidation>
    <dataValidation type="decimal" operator="greaterThanOrEqual" allowBlank="1" showInputMessage="1" showErrorMessage="1" sqref="J271">
      <formula1>0</formula1>
    </dataValidation>
    <dataValidation type="decimal" allowBlank="1" showInputMessage="1" showErrorMessage="1" sqref="L271">
      <formula1>0</formula1>
      <formula2>100</formula2>
    </dataValidation>
    <dataValidation type="decimal" allowBlank="1" showInputMessage="1" showErrorMessage="1" sqref="M271">
      <formula1>0</formula1>
      <formula2>100</formula2>
    </dataValidation>
    <dataValidation type="list" allowBlank="1" showInputMessage="1" showErrorMessage="1" sqref="C274:H274">
      <formula1>'MasterData'!$H$1:$H$14</formula1>
    </dataValidation>
    <dataValidation type="list" allowBlank="1" showInputMessage="1" showErrorMessage="1" sqref="C275:H275">
      <formula1>'MasterData'!$H$1:$H$14</formula1>
    </dataValidation>
    <dataValidation type="list" allowBlank="1" showInputMessage="1" showErrorMessage="1" sqref="C276:H276">
      <formula1>'MasterData'!$H$1:$H$14</formula1>
    </dataValidation>
    <dataValidation type="list" allowBlank="1" showInputMessage="1" showErrorMessage="1" sqref="C277:H277">
      <formula1>'MasterData'!$H$1:$H$14</formula1>
    </dataValidation>
    <dataValidation type="list" allowBlank="1" showInputMessage="1" showErrorMessage="1" sqref="M14">
      <formula1>MasterData!$O$1:$O$70</formula1>
    </dataValidation>
  </dataValidations>
  <printOptions horizontalCentered="1"/>
  <pageMargins left="0.75" right="0.75" top="0.5" bottom="0.5" header="0.5" footer="0.5"/>
  <pageSetup orientation="landscape" paperSize="1" r:id="rId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dimension ref="G1:O70"/>
  <sheetViews>
    <sheetView workbookViewId="0" topLeftCell="A46">
      <selection pane="topLeft" activeCell="O67" sqref="O67 O67"/>
    </sheetView>
  </sheetViews>
  <sheetFormatPr defaultColWidth="9.14285714285714" defaultRowHeight="12.75"/>
  <cols>
    <col min="1" max="12" width="9.14285714285714" style="162" customWidth="1"/>
    <col min="13" max="13" width="17.5714285714286" style="162" bestFit="1" customWidth="1"/>
    <col min="14" max="14" width="42.8571428571429" style="162" customWidth="1"/>
    <col min="15" max="15" width="8" style="162" customWidth="1"/>
  </cols>
  <sheetData>
    <row r="1" spans="7:15" ht="12.75">
      <c r="G1" s="162">
        <v>1001307</v>
      </c>
      <c r="H1" s="162" t="s">
        <v>375</v>
      </c>
      <c r="M1" s="300" t="s">
        <v>384</v>
      </c>
      <c r="N1" s="301" t="s">
        <v>0</v>
      </c>
      <c r="O1" s="162" t="s">
        <v>385</v>
      </c>
    </row>
    <row r="2" spans="7:15" ht="12.75">
      <c r="G2" s="162">
        <v>1001310</v>
      </c>
      <c r="H2" s="162" t="s">
        <v>376</v>
      </c>
      <c r="M2" s="300" t="s">
        <v>386</v>
      </c>
      <c r="N2" s="301">
        <v>1020688548</v>
      </c>
      <c r="O2" s="162" t="s">
        <v>387</v>
      </c>
    </row>
    <row r="3" spans="7:15" ht="12.75">
      <c r="G3" s="162">
        <v>1012729</v>
      </c>
      <c r="H3" s="162" t="s">
        <v>388</v>
      </c>
      <c r="M3" s="300" t="s">
        <v>389</v>
      </c>
      <c r="N3" s="301">
        <v>99990000426299</v>
      </c>
      <c r="O3" s="162" t="s">
        <v>390</v>
      </c>
    </row>
    <row r="4" spans="7:15" ht="12.75">
      <c r="G4" s="162">
        <v>1012730</v>
      </c>
      <c r="H4" s="162" t="s">
        <v>391</v>
      </c>
      <c r="M4" s="300" t="s">
        <v>392</v>
      </c>
      <c r="N4" s="301">
        <v>1021744532</v>
      </c>
      <c r="O4" s="162" t="s">
        <v>393</v>
      </c>
    </row>
    <row r="5" spans="7:15" ht="12.75">
      <c r="G5" s="162">
        <v>1012731</v>
      </c>
      <c r="H5" s="162" t="s">
        <v>394</v>
      </c>
      <c r="M5" s="300" t="s">
        <v>395</v>
      </c>
      <c r="N5" s="301"/>
      <c r="O5" s="162" t="s">
        <v>396</v>
      </c>
    </row>
    <row r="6" spans="7:15" ht="12.75">
      <c r="G6" s="162">
        <v>1012732</v>
      </c>
      <c r="H6" s="162" t="s">
        <v>397</v>
      </c>
      <c r="M6" s="300" t="s">
        <v>398</v>
      </c>
      <c r="N6" s="301" t="s">
        <v>399</v>
      </c>
      <c r="O6" s="162" t="s">
        <v>400</v>
      </c>
    </row>
    <row r="7" spans="7:15" ht="12.75">
      <c r="G7" s="162">
        <v>1012733</v>
      </c>
      <c r="H7" s="162" t="s">
        <v>401</v>
      </c>
      <c r="M7" s="300" t="s">
        <v>402</v>
      </c>
      <c r="N7" s="301">
        <v>0</v>
      </c>
      <c r="O7" s="162" t="s">
        <v>403</v>
      </c>
    </row>
    <row r="8" spans="7:15" ht="12.75">
      <c r="G8" s="162">
        <v>1012735</v>
      </c>
      <c r="H8" s="162" t="s">
        <v>404</v>
      </c>
      <c r="O8" s="162" t="s">
        <v>405</v>
      </c>
    </row>
    <row r="9" spans="7:15" ht="12.75">
      <c r="G9" s="162">
        <v>1012736</v>
      </c>
      <c r="H9" s="162" t="s">
        <v>406</v>
      </c>
      <c r="O9" s="162" t="s">
        <v>407</v>
      </c>
    </row>
    <row r="10" spans="7:15" ht="12.75">
      <c r="G10" s="162">
        <v>1012737</v>
      </c>
      <c r="H10" s="162" t="s">
        <v>408</v>
      </c>
      <c r="O10" s="162" t="s">
        <v>409</v>
      </c>
    </row>
    <row r="11" spans="7:15" ht="12.75">
      <c r="G11" s="162">
        <v>1012741</v>
      </c>
      <c r="H11" s="162" t="s">
        <v>410</v>
      </c>
      <c r="O11" s="162" t="s">
        <v>411</v>
      </c>
    </row>
    <row r="12" spans="7:15" ht="12.75">
      <c r="G12" s="162">
        <v>1012742</v>
      </c>
      <c r="H12" s="162" t="s">
        <v>412</v>
      </c>
      <c r="O12" s="162" t="s">
        <v>413</v>
      </c>
    </row>
    <row r="13" spans="7:15" ht="12.75">
      <c r="G13" s="162">
        <v>1012743</v>
      </c>
      <c r="H13" s="162" t="s">
        <v>414</v>
      </c>
      <c r="O13" s="162" t="s">
        <v>415</v>
      </c>
    </row>
    <row r="14" spans="7:15" ht="12.75">
      <c r="G14" s="162">
        <v>1012744</v>
      </c>
      <c r="H14" s="162" t="s">
        <v>416</v>
      </c>
      <c r="O14" s="162" t="s">
        <v>417</v>
      </c>
    </row>
    <row r="15" ht="12.75">
      <c r="O15" s="162" t="s">
        <v>418</v>
      </c>
    </row>
    <row r="16" ht="12.75">
      <c r="O16" s="162" t="s">
        <v>419</v>
      </c>
    </row>
    <row r="17" ht="12.75">
      <c r="O17" s="162" t="s">
        <v>420</v>
      </c>
    </row>
    <row r="18" ht="12.75">
      <c r="O18" s="162" t="s">
        <v>421</v>
      </c>
    </row>
    <row r="19" ht="12.75">
      <c r="O19" s="162" t="s">
        <v>422</v>
      </c>
    </row>
    <row r="20" ht="12.75">
      <c r="O20" s="162" t="s">
        <v>423</v>
      </c>
    </row>
    <row r="21" ht="12.75">
      <c r="O21" s="162" t="s">
        <v>424</v>
      </c>
    </row>
    <row r="22" ht="12.75">
      <c r="O22" s="162" t="s">
        <v>425</v>
      </c>
    </row>
    <row r="23" ht="12.75">
      <c r="O23" s="162" t="s">
        <v>426</v>
      </c>
    </row>
    <row r="24" ht="12.75">
      <c r="O24" s="162" t="s">
        <v>427</v>
      </c>
    </row>
    <row r="25" ht="12.75">
      <c r="O25" s="162" t="s">
        <v>428</v>
      </c>
    </row>
    <row r="26" ht="12.75">
      <c r="O26" s="162" t="s">
        <v>429</v>
      </c>
    </row>
    <row r="27" ht="12.75">
      <c r="O27" s="162" t="s">
        <v>430</v>
      </c>
    </row>
    <row r="28" ht="12.75">
      <c r="O28" s="162" t="s">
        <v>431</v>
      </c>
    </row>
    <row r="29" ht="12.75">
      <c r="O29" s="162" t="s">
        <v>432</v>
      </c>
    </row>
    <row r="30" ht="12.75">
      <c r="O30" s="162" t="s">
        <v>433</v>
      </c>
    </row>
    <row r="31" ht="12.75">
      <c r="O31" s="162" t="s">
        <v>434</v>
      </c>
    </row>
    <row r="32" ht="12.75">
      <c r="O32" s="162" t="s">
        <v>435</v>
      </c>
    </row>
    <row r="33" ht="12.75">
      <c r="O33" s="162" t="s">
        <v>436</v>
      </c>
    </row>
    <row r="34" ht="12.75">
      <c r="O34" s="162" t="s">
        <v>437</v>
      </c>
    </row>
    <row r="35" ht="12.75">
      <c r="O35" s="162" t="s">
        <v>438</v>
      </c>
    </row>
    <row r="36" ht="12.75">
      <c r="O36" s="162" t="s">
        <v>439</v>
      </c>
    </row>
    <row r="37" ht="12.75">
      <c r="O37" s="162" t="s">
        <v>440</v>
      </c>
    </row>
    <row r="38" ht="12.75">
      <c r="O38" s="162" t="s">
        <v>441</v>
      </c>
    </row>
    <row r="39" ht="12.75">
      <c r="O39" s="162" t="s">
        <v>442</v>
      </c>
    </row>
    <row r="40" ht="12.75">
      <c r="O40" s="162" t="s">
        <v>443</v>
      </c>
    </row>
    <row r="41" ht="12.75">
      <c r="O41" s="162" t="s">
        <v>444</v>
      </c>
    </row>
    <row r="42" ht="12.75">
      <c r="O42" s="162" t="s">
        <v>445</v>
      </c>
    </row>
    <row r="43" ht="12.75">
      <c r="O43" s="162" t="s">
        <v>446</v>
      </c>
    </row>
    <row r="44" ht="12.75">
      <c r="O44" s="162" t="s">
        <v>447</v>
      </c>
    </row>
    <row r="45" ht="12.75">
      <c r="O45" s="162" t="s">
        <v>448</v>
      </c>
    </row>
    <row r="46" ht="12.75">
      <c r="O46" s="162" t="s">
        <v>449</v>
      </c>
    </row>
    <row r="47" ht="12.75">
      <c r="O47" s="162" t="s">
        <v>450</v>
      </c>
    </row>
    <row r="48" ht="12.75">
      <c r="O48" s="162" t="s">
        <v>451</v>
      </c>
    </row>
    <row r="49" ht="12.75">
      <c r="O49" s="162" t="s">
        <v>452</v>
      </c>
    </row>
    <row r="50" ht="12.75">
      <c r="O50" s="162" t="s">
        <v>453</v>
      </c>
    </row>
    <row r="51" ht="12.75">
      <c r="O51" s="162" t="s">
        <v>454</v>
      </c>
    </row>
    <row r="52" ht="12.75">
      <c r="O52" s="162" t="s">
        <v>455</v>
      </c>
    </row>
    <row r="53" ht="12.75">
      <c r="O53" s="162" t="s">
        <v>456</v>
      </c>
    </row>
    <row r="54" ht="12.75">
      <c r="O54" s="162" t="s">
        <v>457</v>
      </c>
    </row>
    <row r="55" ht="12.75">
      <c r="O55" s="162" t="s">
        <v>458</v>
      </c>
    </row>
    <row r="56" ht="12.75">
      <c r="O56" s="162" t="s">
        <v>459</v>
      </c>
    </row>
    <row r="57" ht="12.75">
      <c r="O57" s="162" t="s">
        <v>460</v>
      </c>
    </row>
    <row r="58" ht="12.75">
      <c r="O58" s="162" t="s">
        <v>461</v>
      </c>
    </row>
    <row r="59" ht="12.75">
      <c r="O59" s="162" t="s">
        <v>462</v>
      </c>
    </row>
    <row r="60" ht="12.75">
      <c r="O60" s="162" t="s">
        <v>463</v>
      </c>
    </row>
    <row r="61" ht="12.75">
      <c r="O61" s="162" t="s">
        <v>464</v>
      </c>
    </row>
    <row r="62" ht="12.75">
      <c r="O62" s="162" t="s">
        <v>465</v>
      </c>
    </row>
    <row r="63" ht="12.75">
      <c r="O63" s="162" t="s">
        <v>466</v>
      </c>
    </row>
    <row r="64" ht="12.75">
      <c r="O64" s="162" t="s">
        <v>467</v>
      </c>
    </row>
    <row r="65" ht="12.75">
      <c r="O65" s="162" t="s">
        <v>468</v>
      </c>
    </row>
    <row r="66" ht="12.75">
      <c r="O66" s="162" t="s">
        <v>469</v>
      </c>
    </row>
    <row r="67" ht="12.75">
      <c r="O67" s="162" t="s">
        <v>470</v>
      </c>
    </row>
    <row r="68" ht="12.75">
      <c r="O68" s="162" t="s">
        <v>471</v>
      </c>
    </row>
    <row r="69" ht="12.75">
      <c r="O69" s="162" t="s">
        <v>472</v>
      </c>
    </row>
    <row r="70" ht="12.75">
      <c r="O70" s="162" t="s">
        <v>473</v>
      </c>
    </row>
  </sheetData>
  <pageMargins left="0.7" right="0.7" top="0.75" bottom="0.75" header="0.3" footer="0.3"/>
  <pageSetup orientation="portrait" paperSize="9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16.0300</AppVersion>
  <DocSecurity>0</DocSecurity>
  <Template/>
  <Manager/>
  <Company>Microsoft Corporation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PAL2G</dc:creator>
  <cp:keywords/>
  <dc:description/>
  <cp:lastModifiedBy>Tocy Tom (MariApps)</cp:lastModifiedBy>
  <cp:category/>
  <cp:contentType/>
  <cp:contentStatus/>
</cp:coreProperties>
</file>