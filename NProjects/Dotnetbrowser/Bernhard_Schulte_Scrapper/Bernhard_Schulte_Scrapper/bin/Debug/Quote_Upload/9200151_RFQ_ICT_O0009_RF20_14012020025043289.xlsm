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7A2D7E96-6E34-419A-AE5F-296B3A7E7977}"/>
  <workbookPr codeName="ThisWorkbook" defaultThemeVersion="124226"/>
  <bookViews>
    <workbookView xWindow="65520" yWindow="7245" windowWidth="15570" windowHeight="5145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ItmPrice">Quote!$N$20:$N$20,Quote!$N$21:$N$21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_xlnm.Print_Area" localSheetId="0">Quote!$A$1:$R$49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</definedNames>
  <calcPr calcId="125725"/>
</workbook>
</file>

<file path=xl/calcChain.xml><?xml version="1.0" encoding="utf-8"?>
<calcChain xmlns="http://schemas.openxmlformats.org/spreadsheetml/2006/main">
  <c r="N27" i="1"/>
  <c r="N26"/>
  <c r="N25"/>
  <c r="N24"/>
  <c r="O21"/>
  <c r="N21"/>
  <c r="O20"/>
  <c r="N20"/>
  <c r="N28" s="1"/>
  <c r="J19"/>
  <c r="N29" l="1"/>
</calcChain>
</file>

<file path=xl/sharedStrings.xml><?xml version="1.0" encoding="utf-8"?>
<sst xmlns="http://schemas.openxmlformats.org/spreadsheetml/2006/main" count="173" uniqueCount="153">
  <si>
    <t>RFQ</t>
  </si>
  <si>
    <t>Request for Quote</t>
  </si>
  <si>
    <t>Invoice To</t>
  </si>
  <si>
    <t>Bernhard Schulte Shipmanagement (Hong Kong) Limited Partnership
MASTER &amp; OWNER OF INTERLINK COMITY
REGD. OWNER : COMITY MARITIME LLC
BERNHARD SCHULTE SHIPMANGEMENT (HONG KONG) LTD. PARTNERSHIP
(AS AGENTS ONLY)
2602, K WAH CENTRE, 191 JAVA ROAD,
NORTH POINT, HONG KONG
TEL: +852 2561 8838
FAX: +852 2561 8803
Email: hk-smc-invoices@bs-shipmanagement.com</t>
  </si>
  <si>
    <t>Vessel</t>
  </si>
  <si>
    <t>Interlink Comity</t>
  </si>
  <si>
    <t>RFQ No.</t>
  </si>
  <si>
    <t>ICT/O0009/RF20</t>
  </si>
  <si>
    <t>RFQ Date</t>
  </si>
  <si>
    <t>Submit Quote Before:</t>
  </si>
  <si>
    <t>Port of Delivery</t>
  </si>
  <si>
    <t xml:space="preserve">Zhoushan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</si>
  <si>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</si>
  <si>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</si>
  <si>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</si>
  <si>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</si>
  <si>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</si>
  <si>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</si>
  <si>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</si>
  <si>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</si>
  <si>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</si>
  <si>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</si>
  <si>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</si>
  <si>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</si>
  <si>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</si>
  <si>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</si>
  <si>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</si>
  <si>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</si>
  <si>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</si>
  <si>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</si>
  <si>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</si>
  <si>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</si>
  <si>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</si>
  <si>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</si>
  <si>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</si>
  <si>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</si>
  <si>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</si>
  <si>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</si>
  <si>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</si>
  <si>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</si>
  <si>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Gangway wire rope: Dia- 14mm , Commodity: GSWR , Construction: 6x24 FC,  Length- 85 meters, Min Braking Load- 9600kgs, with one end Pressed Thimble and other plain end. Rope Lay- RHRL</t>
  </si>
  <si>
    <t>PCS</t>
  </si>
  <si>
    <t>Spare gangway wire :6x37-13-170-I,40m (6x37+FC)</t>
  </si>
  <si>
    <t>Mooring rope, 8-Strand, Dia: 64 mm, Length: 220 m, MBL: 87 tonnes, with further details.</t>
  </si>
  <si>
    <t>COIL</t>
  </si>
  <si>
    <t>Pls supply mooring ropes as per attached certificate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</si>
  <si>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</si>
  <si>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</si>
  <si>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</si>
  <si>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</si>
  <si>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</si>
  <si>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</si>
  <si>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</si>
  <si>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</si>
  <si>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</si>
  <si>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</si>
  <si>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Pls see attached certificate for your correct supply 
1. Spare gangway wire :6x37-13-170-I, 40m (6x37+FC)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</si>
  <si>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</si>
  <si>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</si>
  <si>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</si>
  <si>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</si>
  <si>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</si>
  <si>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</si>
  <si>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</si>
  <si>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</si>
  <si>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</si>
  <si>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</si>
  <si>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</si>
  <si>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</si>
  <si>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</si>
  <si>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</si>
  <si>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</si>
  <si>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</si>
  <si>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</si>
  <si>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</si>
  <si>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</si>
  <si>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</si>
  <si>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</si>
  <si>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</si>
  <si>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</si>
  <si>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</si>
  <si>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</si>
  <si>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</si>
  <si>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</si>
  <si>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</si>
  <si>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</si>
  <si>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</si>
  <si>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</si>
  <si>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</si>
  <si>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</si>
  <si>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</si>
  <si>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</si>
  <si>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</si>
  <si>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</si>
  <si>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</si>
  <si>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</si>
  <si>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</si>
  <si>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</si>
  <si>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</si>
  <si>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</si>
  <si>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</si>
  <si>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</si>
  <si>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</si>
  <si>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</si>
  <si>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</si>
  <si>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</si>
  <si>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</si>
  <si>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</si>
  <si>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</si>
  <si>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</si>
  <si>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</si>
  <si>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</si>
  <si>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</si>
  <si>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</si>
  <si>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</si>
  <si>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</si>
  <si>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</si>
  <si>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</si>
  <si>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</si>
  <si>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</si>
  <si>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</si>
  <si>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</si>
  <si>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</si>
  <si>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</si>
  <si>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</si>
  <si>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</si>
  <si>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</si>
  <si>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</si>
  <si>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</si>
  <si>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</si>
  <si>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</si>
  <si>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</si>
  <si>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</si>
  <si>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</si>
  <si>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</si>
  <si>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</si>
  <si>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</si>
  <si>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</si>
  <si>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</si>
  <si>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</si>
  <si>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</si>
  <si>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</si>
  <si>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</si>
  <si>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</si>
  <si>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</si>
  <si>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</si>
  <si>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</si>
  <si>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</si>
  <si>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</si>
  <si>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BJD2001141512557LET</t>
  </si>
  <si>
    <t>GALV,6*37+FC—13mm-40M,ROTATING,ONE END WITH A16 THIMBLE,WITH CCS COPY CERT,MBL:88.2KN,DELIVERY TIME 2 WORKING DAYS,NON-RETURN
1.10 GALV,6*37+FC—13mm-40M,ROTATING,ONE END WITH 0.25M LOOP,WITH CCS COPY CERT,MBL:88.2KN,DELIVERY TIME 2 WORKING DAYS,NON-RETURN | Price-60.56</t>
  </si>
  <si>
    <t>BRAND FBR,8-strand polyester &amp; polypropylene mixed rope with 1.8m canvas covered eye spliced at both ends,Diameter:62mm, Length:220m,Weight:483kg,MBL: 754KN,WITH CCS CERT,DELIVERY TIME 7 WORKING DAYS AFTER CHINESE NEW YEAR,NON-RETURN</t>
  </si>
  <si>
    <t xml:space="preserve">
Date promised : 2020-01-18
Quote validity : 2020-02-14
Item Added - 1.10 : Gangway wire rope: Dia- 14mm , Commodity: GSWR , Construction: 6x24 FC,  Length- 85 meters, Min Braking Load- 9600kgs, with one end Pressed Thimble and other plain end. Rope Lay- RHRL | Ref.No.:2701278 | QTY : 1 | UOM : PCS | Price : 60.56 USD | Remarks : GALV,6*37+FC—13mm-40M,ROTATING,ONE END WITH 0.25M LOOP,WITH CCS COPY CERT,MBL:88.2KN,DELIVERY TIME 2 WORKING DAYS,NON-RETURN
 Item Total : 5332.99</t>
  </si>
</sst>
</file>

<file path=xl/styles.xml><?xml version="1.0" encoding="utf-8"?>
<styleSheet xmlns="http://schemas.openxmlformats.org/spreadsheetml/2006/main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5422223578601"/>
      <name val="Calibri"/>
      <family val="2"/>
      <scheme val="minor"/>
    </font>
    <font>
      <b/>
      <sz val="10"/>
      <color theme="3" tint="-0.49995422223578601"/>
      <name val="Calibri"/>
      <family val="2"/>
      <scheme val="minor"/>
    </font>
    <font>
      <sz val="8"/>
      <color theme="3" tint="-0.49995422223578601"/>
      <name val="Calibri"/>
      <family val="2"/>
      <scheme val="minor"/>
    </font>
    <font>
      <b/>
      <sz val="9"/>
      <color theme="3" tint="-0.49995422223578601"/>
      <name val="Calibri"/>
      <family val="2"/>
      <scheme val="minor"/>
    </font>
    <font>
      <sz val="10"/>
      <color theme="3" tint="-0.49995422223578601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542222357860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32859279152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54222235786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  <diagonal/>
    </border>
    <border>
      <left style="thin">
        <color indexed="41"/>
      </left>
      <right/>
      <top style="thin">
        <color indexed="41"/>
      </top>
      <bottom style="thin">
        <color indexed="41"/>
      </bottom>
      <diagonal/>
    </border>
    <border>
      <left style="thin">
        <color indexed="41"/>
      </left>
      <right style="thin">
        <color indexed="41"/>
      </right>
      <top/>
      <bottom style="thin">
        <color indexed="4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medium">
        <color theme="4" tint="0.39997558519241921"/>
      </top>
      <bottom/>
      <diagonal/>
    </border>
    <border>
      <left/>
      <right/>
      <top style="medium">
        <color theme="4" tint="0.39994506668294322"/>
      </top>
      <bottom style="medium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7F7F7F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4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medium">
        <color theme="4" tint="0.399945066682943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44"/>
      </right>
      <top/>
      <bottom/>
      <diagonal/>
    </border>
  </borders>
  <cellStyleXfs count="47">
    <xf numFmtId="0" fontId="0" fillId="0" borderId="0"/>
    <xf numFmtId="9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2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1" fontId="42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1" fillId="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3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2" borderId="5" applyNumberFormat="0" applyAlignment="0" applyProtection="0"/>
    <xf numFmtId="0" fontId="34" fillId="0" borderId="6" applyNumberFormat="0" applyFill="0" applyAlignment="0" applyProtection="0"/>
    <xf numFmtId="0" fontId="35" fillId="8" borderId="7" applyNumberFormat="0" applyAlignment="0" applyProtection="0"/>
    <xf numFmtId="0" fontId="36" fillId="0" borderId="0" applyNumberFormat="0" applyFill="0" applyBorder="0" applyAlignment="0" applyProtection="0"/>
    <xf numFmtId="0" fontId="42" fillId="9" borderId="8" applyNumberFormat="0" applyFon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0" borderId="0" applyNumberFormat="0" applyBorder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9" fillId="32" borderId="0" applyNumberFormat="0" applyBorder="0" applyAlignment="0" applyProtection="0"/>
  </cellStyleXfs>
  <cellXfs count="157">
    <xf numFmtId="0" fontId="0" fillId="0" borderId="0" xfId="0"/>
    <xf numFmtId="0" fontId="22" fillId="0" borderId="19" xfId="0" applyNumberFormat="1" applyFont="1" applyFill="1" applyBorder="1" applyAlignment="1" applyProtection="1">
      <alignment horizontal="left"/>
    </xf>
    <xf numFmtId="0" fontId="22" fillId="0" borderId="20" xfId="0" applyNumberFormat="1" applyFont="1" applyFill="1" applyBorder="1" applyAlignment="1" applyProtection="1">
      <alignment horizontal="left"/>
    </xf>
    <xf numFmtId="0" fontId="17" fillId="35" borderId="19" xfId="0" applyNumberFormat="1" applyFont="1" applyFill="1" applyBorder="1" applyAlignment="1" applyProtection="1">
      <alignment horizontal="left" wrapText="1"/>
    </xf>
    <xf numFmtId="0" fontId="17" fillId="35" borderId="20" xfId="0" applyNumberFormat="1" applyFont="1" applyFill="1" applyBorder="1" applyAlignment="1" applyProtection="1">
      <alignment horizontal="left" wrapText="1"/>
    </xf>
    <xf numFmtId="0" fontId="19" fillId="33" borderId="0" xfId="0" applyNumberFormat="1" applyFont="1" applyFill="1" applyAlignment="1" applyProtection="1">
      <alignment horizontal="left"/>
    </xf>
    <xf numFmtId="165" fontId="14" fillId="35" borderId="31" xfId="0" applyNumberFormat="1" applyFont="1" applyFill="1" applyBorder="1" applyAlignment="1" applyProtection="1">
      <alignment horizontal="left" vertical="center" wrapText="1"/>
    </xf>
    <xf numFmtId="165" fontId="14" fillId="35" borderId="0" xfId="0" applyNumberFormat="1" applyFont="1" applyFill="1" applyAlignment="1" applyProtection="1">
      <alignment horizontal="left" vertical="center" wrapText="1"/>
    </xf>
    <xf numFmtId="1" fontId="16" fillId="34" borderId="0" xfId="0" applyNumberFormat="1" applyFont="1" applyFill="1" applyAlignment="1" applyProtection="1">
      <alignment horizontal="left" vertical="top" wrapText="1"/>
    </xf>
    <xf numFmtId="1" fontId="14" fillId="34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" fontId="18" fillId="3" borderId="0" xfId="0" applyNumberFormat="1" applyFont="1" applyFill="1" applyAlignment="1" applyProtection="1">
      <alignment horizontal="left" vertical="center" wrapText="1"/>
      <protection locked="0"/>
    </xf>
    <xf numFmtId="1" fontId="18" fillId="3" borderId="15" xfId="0" applyNumberFormat="1" applyFont="1" applyFill="1" applyBorder="1" applyAlignment="1" applyProtection="1">
      <alignment horizontal="left" vertical="center" wrapText="1"/>
      <protection locked="0"/>
    </xf>
    <xf numFmtId="1" fontId="16" fillId="34" borderId="0" xfId="0" applyNumberFormat="1" applyFont="1" applyFill="1" applyAlignment="1" applyProtection="1">
      <alignment horizontal="left" vertical="center" wrapText="1"/>
    </xf>
    <xf numFmtId="1" fontId="16" fillId="34" borderId="15" xfId="0" applyNumberFormat="1" applyFont="1" applyFill="1" applyBorder="1" applyAlignment="1" applyProtection="1">
      <alignment horizontal="left" vertical="center" wrapText="1"/>
    </xf>
    <xf numFmtId="1" fontId="5" fillId="0" borderId="13" xfId="0" applyNumberFormat="1" applyFont="1" applyFill="1" applyBorder="1" applyAlignment="1">
      <alignment horizontal="right" vertical="center"/>
    </xf>
    <xf numFmtId="0" fontId="14" fillId="0" borderId="20" xfId="0" applyNumberFormat="1" applyFont="1" applyFill="1" applyBorder="1" applyAlignment="1" applyProtection="1">
      <alignment vertical="center"/>
    </xf>
    <xf numFmtId="0" fontId="14" fillId="0" borderId="19" xfId="0" applyNumberFormat="1" applyFon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 vertical="top"/>
    </xf>
    <xf numFmtId="0" fontId="5" fillId="33" borderId="0" xfId="0" applyNumberFormat="1" applyFont="1" applyFill="1" applyAlignment="1" applyProtection="1">
      <alignment horizontal="left" vertical="top"/>
    </xf>
    <xf numFmtId="0" fontId="13" fillId="33" borderId="0" xfId="0" applyNumberFormat="1" applyFont="1" applyFill="1" applyAlignment="1" applyProtection="1">
      <alignment horizontal="left"/>
    </xf>
    <xf numFmtId="0" fontId="13" fillId="0" borderId="0" xfId="0" applyNumberFormat="1" applyFont="1" applyFill="1" applyAlignment="1" applyProtection="1">
      <alignment horizontal="left"/>
    </xf>
    <xf numFmtId="4" fontId="26" fillId="3" borderId="17" xfId="0" applyNumberFormat="1" applyFont="1" applyFill="1" applyBorder="1" applyAlignment="1" applyProtection="1">
      <alignment horizontal="right"/>
      <protection locked="0"/>
    </xf>
    <xf numFmtId="0" fontId="13" fillId="0" borderId="0" xfId="0" applyNumberFormat="1" applyFont="1" applyFill="1" applyAlignment="1" applyProtection="1">
      <alignment horizontal="right"/>
    </xf>
    <xf numFmtId="0" fontId="9" fillId="0" borderId="0" xfId="0" applyNumberFormat="1" applyFont="1" applyFill="1" applyAlignment="1" applyProtection="1">
      <alignment horizontal="left"/>
      <protection locked="0"/>
    </xf>
    <xf numFmtId="167" fontId="13" fillId="33" borderId="0" xfId="0" applyNumberFormat="1" applyFont="1" applyFill="1" applyAlignment="1" applyProtection="1">
      <alignment horizontal="left" vertical="top"/>
    </xf>
    <xf numFmtId="0" fontId="6" fillId="33" borderId="0" xfId="0" applyNumberFormat="1" applyFont="1" applyFill="1" applyAlignment="1" applyProtection="1">
      <alignment horizontal="left" indent="1"/>
    </xf>
    <xf numFmtId="0" fontId="8" fillId="33" borderId="0" xfId="0" applyNumberFormat="1" applyFont="1" applyFill="1" applyAlignment="1" applyProtection="1">
      <alignment horizontal="left"/>
    </xf>
    <xf numFmtId="0" fontId="19" fillId="33" borderId="0" xfId="0" applyNumberFormat="1" applyFont="1" applyFill="1" applyAlignment="1" applyProtection="1">
      <alignment horizontal="left"/>
    </xf>
    <xf numFmtId="167" fontId="19" fillId="33" borderId="0" xfId="0" applyNumberFormat="1" applyFont="1" applyFill="1" applyAlignment="1" applyProtection="1">
      <alignment horizontal="right"/>
    </xf>
    <xf numFmtId="0" fontId="6" fillId="33" borderId="0" xfId="0" applyNumberFormat="1" applyFont="1" applyFill="1" applyAlignment="1" applyProtection="1">
      <alignment horizontal="left"/>
    </xf>
    <xf numFmtId="164" fontId="9" fillId="33" borderId="0" xfId="0" applyNumberFormat="1" applyFont="1" applyFill="1" applyAlignment="1" applyProtection="1">
      <alignment horizontal="left"/>
    </xf>
    <xf numFmtId="167" fontId="7" fillId="0" borderId="0" xfId="0" applyNumberFormat="1" applyFont="1" applyFill="1" applyAlignment="1" applyProtection="1">
      <alignment horizontal="left"/>
    </xf>
    <xf numFmtId="0" fontId="2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/>
    </xf>
    <xf numFmtId="167" fontId="13" fillId="33" borderId="0" xfId="0" applyNumberFormat="1" applyFont="1" applyFill="1" applyAlignment="1" applyProtection="1">
      <alignment horizontal="left"/>
    </xf>
    <xf numFmtId="0" fontId="9" fillId="0" borderId="0" xfId="0" applyNumberFormat="1" applyFont="1" applyFill="1" applyAlignment="1" applyProtection="1">
      <alignment horizontal="left"/>
    </xf>
    <xf numFmtId="166" fontId="13" fillId="33" borderId="0" xfId="0" applyNumberFormat="1" applyFont="1" applyFill="1" applyAlignment="1" applyProtection="1">
      <alignment horizontal="left"/>
    </xf>
    <xf numFmtId="0" fontId="3" fillId="33" borderId="18" xfId="0" applyNumberFormat="1" applyFont="1" applyFill="1" applyBorder="1" applyAlignment="1" applyProtection="1">
      <alignment horizontal="left"/>
    </xf>
    <xf numFmtId="0" fontId="3" fillId="33" borderId="0" xfId="0" applyNumberFormat="1" applyFont="1" applyFill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</xf>
    <xf numFmtId="0" fontId="24" fillId="3" borderId="0" xfId="0" applyNumberFormat="1" applyFont="1" applyFill="1" applyAlignment="1" applyProtection="1">
      <alignment horizontal="left"/>
      <protection locked="0"/>
    </xf>
    <xf numFmtId="167" fontId="13" fillId="0" borderId="0" xfId="0" applyNumberFormat="1" applyFont="1" applyFill="1" applyAlignment="1" applyProtection="1">
      <alignment horizontal="left"/>
    </xf>
    <xf numFmtId="169" fontId="24" fillId="3" borderId="0" xfId="0" applyNumberFormat="1" applyFont="1" applyFill="1" applyAlignment="1" applyProtection="1">
      <alignment horizontal="right"/>
      <protection locked="0"/>
    </xf>
    <xf numFmtId="166" fontId="13" fillId="33" borderId="10" xfId="0" applyNumberFormat="1" applyFont="1" applyFill="1" applyBorder="1" applyAlignment="1" applyProtection="1">
      <alignment horizontal="left"/>
    </xf>
    <xf numFmtId="166" fontId="13" fillId="33" borderId="2" xfId="0" applyNumberFormat="1" applyFont="1" applyFill="1" applyBorder="1" applyAlignment="1" applyProtection="1">
      <alignment horizontal="left"/>
    </xf>
    <xf numFmtId="167" fontId="9" fillId="0" borderId="0" xfId="0" applyNumberFormat="1" applyFont="1" applyFill="1" applyAlignment="1" applyProtection="1">
      <alignment horizontal="left"/>
    </xf>
    <xf numFmtId="0" fontId="9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5" fontId="17" fillId="35" borderId="14" xfId="0" applyNumberFormat="1" applyFont="1" applyFill="1" applyBorder="1" applyAlignment="1" applyProtection="1">
      <alignment horizontal="left" wrapText="1"/>
    </xf>
    <xf numFmtId="165" fontId="17" fillId="35" borderId="19" xfId="0" applyNumberFormat="1" applyFont="1" applyFill="1" applyBorder="1" applyAlignment="1" applyProtection="1">
      <alignment horizontal="left" wrapText="1"/>
    </xf>
    <xf numFmtId="0" fontId="17" fillId="35" borderId="14" xfId="0" applyNumberFormat="1" applyFont="1" applyFill="1" applyBorder="1" applyAlignment="1" applyProtection="1">
      <alignment horizontal="left" wrapText="1"/>
    </xf>
    <xf numFmtId="167" fontId="17" fillId="36" borderId="0" xfId="0" applyNumberFormat="1" applyFont="1" applyFill="1" applyAlignment="1" applyProtection="1">
      <alignment horizontal="left" wrapText="1"/>
    </xf>
    <xf numFmtId="1" fontId="16" fillId="34" borderId="14" xfId="0" applyNumberFormat="1" applyFont="1" applyFill="1" applyBorder="1" applyAlignment="1" applyProtection="1">
      <alignment horizontal="right" vertical="center"/>
    </xf>
    <xf numFmtId="49" fontId="16" fillId="34" borderId="14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  <protection locked="0"/>
    </xf>
    <xf numFmtId="168" fontId="16" fillId="34" borderId="14" xfId="0" applyNumberFormat="1" applyFont="1" applyFill="1" applyBorder="1" applyAlignment="1" applyProtection="1">
      <alignment horizontal="left" vertical="center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0" fontId="22" fillId="0" borderId="20" xfId="0" applyNumberFormat="1" applyFont="1" applyFill="1" applyBorder="1" applyAlignment="1" applyProtection="1">
      <alignment horizontal="left"/>
    </xf>
    <xf numFmtId="0" fontId="22" fillId="0" borderId="19" xfId="0" applyNumberFormat="1" applyFont="1" applyFill="1" applyBorder="1" applyAlignment="1" applyProtection="1">
      <alignment horizontal="left"/>
    </xf>
    <xf numFmtId="167" fontId="22" fillId="36" borderId="0" xfId="0" applyNumberFormat="1" applyFont="1" applyFill="1" applyAlignment="1" applyProtection="1">
      <alignment horizontal="left"/>
    </xf>
    <xf numFmtId="0" fontId="26" fillId="0" borderId="0" xfId="0" applyNumberFormat="1" applyFont="1" applyFill="1" applyAlignment="1" applyProtection="1">
      <alignment horizontal="left"/>
    </xf>
    <xf numFmtId="167" fontId="16" fillId="36" borderId="0" xfId="0" applyNumberFormat="1" applyFont="1" applyFill="1" applyAlignment="1" applyProtection="1">
      <alignment horizontal="left" vertical="top" wrapText="1"/>
    </xf>
    <xf numFmtId="167" fontId="14" fillId="36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67" fontId="15" fillId="36" borderId="0" xfId="0" applyNumberFormat="1" applyFont="1" applyFill="1" applyAlignment="1" applyProtection="1">
      <alignment horizontal="left" wrapText="1"/>
    </xf>
    <xf numFmtId="0" fontId="11" fillId="33" borderId="0" xfId="0" applyNumberFormat="1" applyFont="1" applyFill="1" applyAlignment="1" applyProtection="1">
      <alignment horizontal="left"/>
    </xf>
    <xf numFmtId="44" fontId="12" fillId="33" borderId="0" xfId="0" applyNumberFormat="1" applyFont="1" applyFill="1" applyAlignment="1" applyProtection="1">
      <alignment horizontal="left"/>
    </xf>
    <xf numFmtId="167" fontId="18" fillId="36" borderId="0" xfId="0" applyNumberFormat="1" applyFont="1" applyFill="1" applyAlignment="1" applyProtection="1">
      <alignment horizontal="left" vertical="center" wrapText="1"/>
      <protection locked="0"/>
    </xf>
    <xf numFmtId="167" fontId="16" fillId="36" borderId="0" xfId="0" applyNumberFormat="1" applyFont="1" applyFill="1" applyAlignment="1" applyProtection="1">
      <alignment horizontal="left" vertical="center" wrapText="1"/>
    </xf>
    <xf numFmtId="44" fontId="12" fillId="33" borderId="0" xfId="0" applyNumberFormat="1" applyFont="1" applyFill="1" applyAlignment="1" applyProtection="1">
      <alignment horizontal="left"/>
      <protection locked="0"/>
    </xf>
    <xf numFmtId="1" fontId="11" fillId="33" borderId="0" xfId="0" applyNumberFormat="1" applyFont="1" applyFill="1" applyAlignment="1" applyProtection="1">
      <alignment horizontal="left"/>
    </xf>
    <xf numFmtId="1" fontId="12" fillId="33" borderId="0" xfId="0" applyNumberFormat="1" applyFont="1" applyFill="1" applyAlignment="1" applyProtection="1">
      <alignment horizontal="left"/>
    </xf>
    <xf numFmtId="37" fontId="12" fillId="33" borderId="0" xfId="0" applyNumberFormat="1" applyFont="1" applyFill="1" applyAlignment="1" applyProtection="1">
      <alignment horizontal="left"/>
      <protection locked="0"/>
    </xf>
    <xf numFmtId="49" fontId="12" fillId="33" borderId="0" xfId="0" applyNumberFormat="1" applyFont="1" applyFill="1" applyAlignment="1" applyProtection="1">
      <alignment horizontal="left"/>
    </xf>
    <xf numFmtId="3" fontId="12" fillId="33" borderId="0" xfId="0" applyNumberFormat="1" applyFont="1" applyFill="1" applyAlignment="1" applyProtection="1">
      <alignment horizontal="left"/>
      <protection locked="0"/>
    </xf>
    <xf numFmtId="37" fontId="12" fillId="33" borderId="0" xfId="0" applyNumberFormat="1" applyFont="1" applyFill="1" applyAlignment="1" applyProtection="1">
      <alignment horizontal="left"/>
    </xf>
    <xf numFmtId="168" fontId="14" fillId="34" borderId="14" xfId="0" applyNumberFormat="1" applyFont="1" applyFill="1" applyBorder="1" applyAlignment="1" applyProtection="1">
      <alignment horizontal="left" vertical="center"/>
    </xf>
    <xf numFmtId="1" fontId="16" fillId="34" borderId="11" xfId="0" applyNumberFormat="1" applyFont="1" applyFill="1" applyBorder="1" applyAlignment="1" applyProtection="1">
      <alignment horizontal="right" vertical="center"/>
    </xf>
    <xf numFmtId="1" fontId="16" fillId="34" borderId="12" xfId="0" applyNumberFormat="1" applyFont="1" applyFill="1" applyBorder="1" applyAlignment="1" applyProtection="1">
      <alignment horizontal="right" vertical="center"/>
    </xf>
    <xf numFmtId="0" fontId="7" fillId="36" borderId="0" xfId="0" applyNumberFormat="1" applyFont="1" applyFill="1" applyAlignment="1" applyProtection="1">
      <alignment horizontal="left"/>
    </xf>
    <xf numFmtId="4" fontId="7" fillId="37" borderId="14" xfId="0" applyNumberFormat="1" applyFont="1" applyFill="1" applyBorder="1" applyAlignment="1" applyProtection="1">
      <alignment horizontal="left"/>
      <protection locked="0"/>
    </xf>
    <xf numFmtId="4" fontId="7" fillId="37" borderId="21" xfId="0" applyNumberFormat="1" applyFont="1" applyFill="1" applyBorder="1" applyAlignment="1" applyProtection="1">
      <alignment horizontal="left"/>
      <protection locked="0"/>
    </xf>
    <xf numFmtId="168" fontId="24" fillId="3" borderId="14" xfId="0" applyNumberFormat="1" applyFont="1" applyFill="1" applyBorder="1" applyAlignment="1" applyProtection="1">
      <alignment horizontal="right"/>
    </xf>
    <xf numFmtId="167" fontId="12" fillId="36" borderId="0" xfId="0" applyNumberFormat="1" applyFont="1" applyFill="1" applyAlignment="1" applyProtection="1">
      <alignment horizontal="left"/>
      <protection locked="0"/>
    </xf>
    <xf numFmtId="0" fontId="9" fillId="36" borderId="0" xfId="0" applyNumberFormat="1" applyFont="1" applyFill="1" applyAlignment="1" applyProtection="1">
      <alignment horizontal="left"/>
    </xf>
    <xf numFmtId="169" fontId="24" fillId="3" borderId="14" xfId="0" applyNumberFormat="1" applyFont="1" applyFill="1" applyBorder="1" applyAlignment="1" applyProtection="1">
      <alignment horizontal="right"/>
    </xf>
    <xf numFmtId="165" fontId="17" fillId="35" borderId="15" xfId="0" applyNumberFormat="1" applyFont="1" applyFill="1" applyBorder="1" applyAlignment="1" applyProtection="1">
      <alignment horizontal="left" wrapText="1"/>
    </xf>
    <xf numFmtId="165" fontId="17" fillId="35" borderId="0" xfId="0" applyNumberFormat="1" applyFont="1" applyFill="1" applyAlignment="1" applyProtection="1">
      <alignment horizontal="left" wrapText="1"/>
    </xf>
    <xf numFmtId="0" fontId="17" fillId="35" borderId="16" xfId="0" applyNumberFormat="1" applyFont="1" applyFill="1" applyBorder="1" applyAlignment="1" applyProtection="1">
      <alignment horizontal="left"/>
    </xf>
    <xf numFmtId="1" fontId="5" fillId="0" borderId="0" xfId="0" applyNumberFormat="1" applyFont="1" applyFill="1" applyAlignment="1" applyProtection="1">
      <alignment horizontal="right" vertical="center"/>
    </xf>
    <xf numFmtId="0" fontId="9" fillId="0" borderId="0" xfId="0" applyNumberFormat="1" applyFont="1" applyFill="1" applyAlignment="1" applyProtection="1">
      <alignment horizontal="left"/>
    </xf>
    <xf numFmtId="0" fontId="5" fillId="0" borderId="0" xfId="0" applyNumberFormat="1" applyFont="1" applyFill="1" applyAlignment="1" applyProtection="1">
      <alignment horizontal="right"/>
    </xf>
    <xf numFmtId="167" fontId="7" fillId="36" borderId="0" xfId="0" applyNumberFormat="1" applyFon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 wrapText="1"/>
    </xf>
    <xf numFmtId="0" fontId="0" fillId="0" borderId="22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</xf>
    <xf numFmtId="0" fontId="12" fillId="3" borderId="20" xfId="0" applyNumberFormat="1" applyFont="1" applyFill="1" applyBorder="1" applyAlignment="1" applyProtection="1">
      <alignment horizontal="left"/>
      <protection locked="0"/>
    </xf>
    <xf numFmtId="0" fontId="12" fillId="3" borderId="25" xfId="0" applyNumberFormat="1" applyFont="1" applyFill="1" applyBorder="1" applyAlignment="1" applyProtection="1">
      <alignment horizontal="left"/>
      <protection locked="0"/>
    </xf>
    <xf numFmtId="0" fontId="12" fillId="3" borderId="19" xfId="0" applyNumberFormat="1" applyFont="1" applyFill="1" applyBorder="1" applyAlignment="1" applyProtection="1">
      <alignment horizontal="left"/>
      <protection locked="0"/>
    </xf>
    <xf numFmtId="4" fontId="12" fillId="3" borderId="20" xfId="0" applyNumberFormat="1" applyFont="1" applyFill="1" applyBorder="1" applyAlignment="1" applyProtection="1">
      <alignment horizontal="left"/>
      <protection locked="0"/>
    </xf>
    <xf numFmtId="4" fontId="12" fillId="3" borderId="25" xfId="0" applyNumberFormat="1" applyFont="1" applyFill="1" applyBorder="1" applyAlignment="1" applyProtection="1">
      <alignment horizontal="left"/>
      <protection locked="0"/>
    </xf>
    <xf numFmtId="4" fontId="12" fillId="3" borderId="19" xfId="0" applyNumberFormat="1" applyFont="1" applyFill="1" applyBorder="1" applyAlignment="1" applyProtection="1">
      <alignment horizontal="left"/>
      <protection locked="0"/>
    </xf>
    <xf numFmtId="0" fontId="17" fillId="35" borderId="16" xfId="0" applyNumberFormat="1" applyFont="1" applyFill="1" applyBorder="1" applyAlignment="1" applyProtection="1">
      <alignment horizontal="left" wrapText="1"/>
    </xf>
    <xf numFmtId="165" fontId="17" fillId="35" borderId="0" xfId="0" applyNumberFormat="1" applyFont="1" applyFill="1" applyAlignment="1" applyProtection="1">
      <alignment horizontal="left" wrapText="1"/>
    </xf>
    <xf numFmtId="0" fontId="20" fillId="33" borderId="0" xfId="0" applyNumberFormat="1" applyFont="1" applyFill="1" applyAlignment="1" applyProtection="1">
      <alignment horizontal="left"/>
    </xf>
    <xf numFmtId="49" fontId="20" fillId="33" borderId="0" xfId="0" applyNumberFormat="1" applyFont="1" applyFill="1" applyAlignment="1" applyProtection="1">
      <alignment horizontal="left"/>
    </xf>
    <xf numFmtId="0" fontId="20" fillId="33" borderId="10" xfId="0" applyNumberFormat="1" applyFont="1" applyFill="1" applyBorder="1" applyAlignment="1" applyProtection="1">
      <alignment horizontal="left"/>
    </xf>
    <xf numFmtId="49" fontId="20" fillId="33" borderId="10" xfId="0" applyNumberFormat="1" applyFont="1" applyFill="1" applyBorder="1" applyAlignment="1" applyProtection="1">
      <alignment horizontal="left"/>
    </xf>
    <xf numFmtId="49" fontId="13" fillId="33" borderId="10" xfId="0" applyNumberFormat="1" applyFont="1" applyFill="1" applyBorder="1" applyAlignment="1" applyProtection="1">
      <alignment horizontal="left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4" fontId="25" fillId="3" borderId="20" xfId="0" applyNumberFormat="1" applyFont="1" applyFill="1" applyBorder="1" applyAlignment="1" applyProtection="1">
      <alignment horizontal="left"/>
      <protection locked="0"/>
    </xf>
    <xf numFmtId="4" fontId="25" fillId="3" borderId="25" xfId="0" applyNumberFormat="1" applyFont="1" applyFill="1" applyBorder="1" applyAlignment="1" applyProtection="1">
      <alignment horizontal="left"/>
      <protection locked="0"/>
    </xf>
    <xf numFmtId="4" fontId="25" fillId="3" borderId="19" xfId="0" applyNumberFormat="1" applyFont="1" applyFill="1" applyBorder="1" applyAlignment="1" applyProtection="1">
      <alignment horizontal="left"/>
      <protection locked="0"/>
    </xf>
    <xf numFmtId="0" fontId="13" fillId="33" borderId="10" xfId="0" applyNumberFormat="1" applyFont="1" applyFill="1" applyBorder="1" applyAlignment="1" applyProtection="1">
      <alignment horizontal="left"/>
    </xf>
    <xf numFmtId="0" fontId="13" fillId="33" borderId="30" xfId="0" applyNumberFormat="1" applyFont="1" applyFill="1" applyBorder="1" applyAlignment="1" applyProtection="1">
      <alignment horizontal="left"/>
    </xf>
    <xf numFmtId="4" fontId="16" fillId="34" borderId="28" xfId="0" applyNumberFormat="1" applyFont="1" applyFill="1" applyBorder="1" applyAlignment="1" applyProtection="1">
      <alignment horizontal="left" vertical="center"/>
    </xf>
    <xf numFmtId="4" fontId="16" fillId="34" borderId="29" xfId="0" applyNumberFormat="1" applyFont="1" applyFill="1" applyBorder="1" applyAlignment="1" applyProtection="1">
      <alignment horizontal="left" vertical="center"/>
    </xf>
    <xf numFmtId="4" fontId="16" fillId="34" borderId="22" xfId="0" applyNumberFormat="1" applyFont="1" applyFill="1" applyBorder="1" applyAlignment="1" applyProtection="1">
      <alignment horizontal="left" vertical="center"/>
    </xf>
    <xf numFmtId="4" fontId="16" fillId="34" borderId="0" xfId="0" applyNumberFormat="1" applyFont="1" applyFill="1" applyAlignment="1" applyProtection="1">
      <alignment horizontal="left" vertical="center"/>
    </xf>
    <xf numFmtId="0" fontId="14" fillId="0" borderId="20" xfId="0" applyNumberFormat="1" applyFont="1" applyFill="1" applyBorder="1" applyAlignment="1" applyProtection="1">
      <alignment horizontal="left" vertical="center"/>
    </xf>
    <xf numFmtId="0" fontId="14" fillId="0" borderId="25" xfId="0" applyNumberFormat="1" applyFont="1" applyFill="1" applyBorder="1" applyAlignment="1" applyProtection="1">
      <alignment horizontal="left" vertical="center"/>
    </xf>
    <xf numFmtId="0" fontId="14" fillId="0" borderId="19" xfId="0" applyNumberFormat="1" applyFont="1" applyFill="1" applyBorder="1" applyAlignment="1" applyProtection="1">
      <alignment horizontal="left" vertical="center"/>
    </xf>
    <xf numFmtId="165" fontId="17" fillId="35" borderId="20" xfId="0" applyNumberFormat="1" applyFont="1" applyFill="1" applyBorder="1" applyAlignment="1" applyProtection="1">
      <alignment horizontal="left" wrapText="1"/>
    </xf>
    <xf numFmtId="165" fontId="17" fillId="35" borderId="19" xfId="0" applyNumberFormat="1" applyFont="1" applyFill="1" applyBorder="1" applyAlignment="1" applyProtection="1">
      <alignment horizontal="left" wrapText="1"/>
    </xf>
    <xf numFmtId="0" fontId="2" fillId="33" borderId="0" xfId="0" applyNumberFormat="1" applyFont="1" applyFill="1" applyAlignment="1" applyProtection="1">
      <alignment horizontal="left"/>
    </xf>
    <xf numFmtId="165" fontId="17" fillId="35" borderId="24" xfId="0" applyNumberFormat="1" applyFont="1" applyFill="1" applyBorder="1" applyAlignment="1" applyProtection="1">
      <alignment horizontal="left" wrapText="1"/>
    </xf>
    <xf numFmtId="165" fontId="17" fillId="35" borderId="16" xfId="0" applyNumberFormat="1" applyFont="1" applyFill="1" applyBorder="1" applyAlignment="1" applyProtection="1">
      <alignment horizontal="left" wrapText="1"/>
    </xf>
    <xf numFmtId="170" fontId="13" fillId="33" borderId="10" xfId="0" applyNumberFormat="1" applyFont="1" applyFill="1" applyBorder="1" applyAlignment="1" applyProtection="1">
      <alignment horizontal="left"/>
    </xf>
    <xf numFmtId="0" fontId="10" fillId="33" borderId="16" xfId="0" applyNumberFormat="1" applyFont="1" applyFill="1" applyBorder="1" applyAlignment="1" applyProtection="1">
      <alignment horizontal="left"/>
    </xf>
    <xf numFmtId="166" fontId="13" fillId="33" borderId="10" xfId="0" applyNumberFormat="1" applyFont="1" applyFill="1" applyBorder="1" applyAlignment="1" applyProtection="1">
      <alignment horizontal="left"/>
    </xf>
    <xf numFmtId="49" fontId="3" fillId="33" borderId="26" xfId="0" applyNumberFormat="1" applyFont="1" applyFill="1" applyBorder="1" applyAlignment="1" applyProtection="1">
      <alignment horizontal="left" vertical="top" wrapText="1"/>
    </xf>
    <xf numFmtId="49" fontId="3" fillId="33" borderId="0" xfId="0" applyNumberFormat="1" applyFont="1" applyFill="1" applyAlignment="1" applyProtection="1">
      <alignment horizontal="left" vertical="top" wrapText="1"/>
    </xf>
    <xf numFmtId="49" fontId="3" fillId="33" borderId="27" xfId="0" applyNumberFormat="1" applyFont="1" applyFill="1" applyBorder="1" applyAlignment="1" applyProtection="1">
      <alignment horizontal="left" vertical="top" wrapText="1"/>
    </xf>
    <xf numFmtId="0" fontId="3" fillId="33" borderId="18" xfId="0" applyNumberFormat="1" applyFont="1" applyFill="1" applyBorder="1" applyAlignment="1" applyProtection="1">
      <alignment horizontal="left"/>
    </xf>
    <xf numFmtId="0" fontId="13" fillId="33" borderId="23" xfId="0" applyNumberFormat="1" applyFont="1" applyFill="1" applyBorder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  <protection locked="0"/>
    </xf>
    <xf numFmtId="0" fontId="3" fillId="33" borderId="10" xfId="0" applyNumberFormat="1" applyFont="1" applyFill="1" applyBorder="1" applyAlignment="1" applyProtection="1">
      <alignment horizontal="left"/>
    </xf>
    <xf numFmtId="49" fontId="16" fillId="34" borderId="20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20" xfId="0" applyNumberFormat="1" applyFont="1" applyFill="1" applyBorder="1" applyAlignment="1" applyProtection="1">
      <alignment horizontal="right" vertical="center"/>
      <protection locked="0"/>
    </xf>
    <xf numFmtId="168" fontId="16" fillId="3" borderId="19" xfId="0" applyNumberFormat="1" applyFont="1" applyFill="1" applyBorder="1" applyAlignment="1" applyProtection="1">
      <alignment horizontal="right" vertical="center"/>
      <protection locked="0"/>
    </xf>
    <xf numFmtId="0" fontId="23" fillId="3" borderId="20" xfId="0" applyNumberFormat="1" applyFont="1" applyFill="1" applyBorder="1" applyAlignment="1" applyProtection="1">
      <alignment horizontal="left"/>
      <protection locked="0"/>
    </xf>
    <xf numFmtId="0" fontId="23" fillId="3" borderId="25" xfId="0" applyNumberFormat="1" applyFont="1" applyFill="1" applyBorder="1" applyAlignment="1" applyProtection="1">
      <alignment horizontal="left"/>
      <protection locked="0"/>
    </xf>
    <xf numFmtId="0" fontId="23" fillId="3" borderId="19" xfId="0" applyNumberFormat="1" applyFont="1" applyFill="1" applyBorder="1" applyAlignment="1" applyProtection="1">
      <alignment horizontal="left"/>
      <protection locked="0"/>
    </xf>
    <xf numFmtId="4" fontId="7" fillId="37" borderId="20" xfId="0" applyNumberFormat="1" applyFont="1" applyFill="1" applyBorder="1" applyAlignment="1" applyProtection="1">
      <alignment horizontal="left"/>
      <protection locked="0"/>
    </xf>
    <xf numFmtId="169" fontId="7" fillId="37" borderId="19" xfId="0" applyNumberFormat="1" applyFont="1" applyFill="1" applyBorder="1" applyAlignment="1" applyProtection="1">
      <alignment horizontal="left"/>
      <protection locked="0"/>
    </xf>
  </cellXfs>
  <cellStyles count="47">
    <cellStyle name="20% - Accent1" xfId="25"/>
    <cellStyle name="20% - Accent2" xfId="28"/>
    <cellStyle name="20% - Accent3" xfId="32"/>
    <cellStyle name="20% - Accent4" xfId="36"/>
    <cellStyle name="20% - Accent5" xfId="40"/>
    <cellStyle name="20% - Accent6" xfId="44"/>
    <cellStyle name="40% - Accent1" xfId="9"/>
    <cellStyle name="40% - Accent2" xfId="29"/>
    <cellStyle name="40% - Accent3" xfId="33"/>
    <cellStyle name="40% - Accent4" xfId="37"/>
    <cellStyle name="40% - Accent5" xfId="41"/>
    <cellStyle name="40% - Accent6" xfId="45"/>
    <cellStyle name="60% - Accent1" xfId="26"/>
    <cellStyle name="60% - Accent2" xfId="30"/>
    <cellStyle name="60% - Accent3" xfId="34"/>
    <cellStyle name="60% - Accent4" xfId="38"/>
    <cellStyle name="60% - Accent5" xfId="42"/>
    <cellStyle name="60% - Accent6" xfId="46"/>
    <cellStyle name="Accent1" xfId="24"/>
    <cellStyle name="Accent2" xfId="27"/>
    <cellStyle name="Accent3" xfId="31"/>
    <cellStyle name="Accent4" xfId="35"/>
    <cellStyle name="Accent5" xfId="39"/>
    <cellStyle name="Accent6" xfId="43"/>
    <cellStyle name="Bad" xfId="14"/>
    <cellStyle name="Calculation" xfId="8"/>
    <cellStyle name="Check Cell" xfId="19"/>
    <cellStyle name="Comma" xfId="4"/>
    <cellStyle name="Comma [0]" xfId="5"/>
    <cellStyle name="Currency" xfId="2"/>
    <cellStyle name="Currency [0]" xfId="3"/>
    <cellStyle name="Explanatory Text" xfId="22"/>
    <cellStyle name="Good" xfId="13"/>
    <cellStyle name="Heading 1" xfId="6"/>
    <cellStyle name="Heading 2" xfId="11"/>
    <cellStyle name="Heading 3" xfId="7"/>
    <cellStyle name="Heading 4" xfId="12"/>
    <cellStyle name="Input" xfId="16"/>
    <cellStyle name="Linked Cell" xfId="18"/>
    <cellStyle name="Neutral" xfId="15"/>
    <cellStyle name="Normal" xfId="0" builtinId="0"/>
    <cellStyle name="Note" xfId="21"/>
    <cellStyle name="Output" xfId="17"/>
    <cellStyle name="Percent" xfId="1"/>
    <cellStyle name="Title" xfId="10"/>
    <cellStyle name="Total" xfId="23"/>
    <cellStyle name="Warning Text" xfId="2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 xmlns:x="http://schemas.openxmlformats.org/spreadsheetml/2006/main" xmlns:x15="http://schemas.microsoft.com/office/spreadsheetml/2010/11/main">
    <x:ext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59"/>
  <sheetViews>
    <sheetView showGridLines="0" tabSelected="1" topLeftCell="G10" workbookViewId="0">
      <selection activeCell="J21" sqref="J21:K21"/>
    </sheetView>
  </sheetViews>
  <sheetFormatPr defaultColWidth="9.140625" defaultRowHeight="12.75"/>
  <cols>
    <col min="1" max="1" width="5.7109375" style="19" customWidth="1"/>
    <col min="2" max="2" width="13" style="19" hidden="1" customWidth="1"/>
    <col min="3" max="3" width="11.140625" style="19" customWidth="1"/>
    <col min="4" max="4" width="14.42578125" style="19" customWidth="1"/>
    <col min="5" max="5" width="31.28515625" style="19" customWidth="1"/>
    <col min="6" max="6" width="15.85546875" style="19" customWidth="1"/>
    <col min="7" max="7" width="19.28515625" style="19" customWidth="1"/>
    <col min="8" max="9" width="13.5703125" style="19" customWidth="1"/>
    <col min="10" max="10" width="5.7109375" style="19" customWidth="1"/>
    <col min="11" max="11" width="10.28515625" style="19" customWidth="1"/>
    <col min="12" max="12" width="9.5703125" style="19" customWidth="1"/>
    <col min="13" max="13" width="9.42578125" style="19" customWidth="1"/>
    <col min="14" max="14" width="18.140625" style="19" customWidth="1"/>
    <col min="15" max="15" width="15.28515625" style="19" customWidth="1"/>
    <col min="16" max="16" width="13.5703125" style="19" customWidth="1"/>
    <col min="17" max="17" width="8.85546875" style="19" bestFit="1" customWidth="1"/>
    <col min="18" max="19" width="9.5703125" style="19" customWidth="1"/>
    <col min="20" max="20" width="12" style="34" customWidth="1"/>
    <col min="21" max="23" width="9.140625" style="19" hidden="1" customWidth="1"/>
    <col min="24" max="24" width="9.140625" style="19" customWidth="1"/>
    <col min="25" max="16384" width="9.140625" style="19"/>
  </cols>
  <sheetData>
    <row r="1" spans="1:20" ht="51" customHeight="1">
      <c r="A1" s="28"/>
      <c r="B1" s="28" t="s">
        <v>0</v>
      </c>
      <c r="C1" s="28"/>
      <c r="E1" s="29"/>
      <c r="F1" s="29"/>
      <c r="G1" s="29"/>
      <c r="J1" s="29"/>
      <c r="K1" s="5" t="s">
        <v>1</v>
      </c>
      <c r="L1" s="5"/>
      <c r="M1" s="5"/>
      <c r="N1" s="5"/>
      <c r="O1" s="5"/>
      <c r="P1" s="5"/>
      <c r="Q1" s="5"/>
      <c r="R1" s="5"/>
      <c r="S1" s="30"/>
      <c r="T1" s="31"/>
    </row>
    <row r="2" spans="1:20" ht="5.25" customHeight="1">
      <c r="A2" s="32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5" customHeight="1">
      <c r="A3" s="135" t="s">
        <v>2</v>
      </c>
      <c r="B3" s="135"/>
      <c r="C3" s="135"/>
      <c r="D3" s="135"/>
      <c r="E3" s="135"/>
      <c r="F3" s="35"/>
      <c r="G3" s="35"/>
      <c r="Q3" s="36"/>
      <c r="R3" s="36"/>
      <c r="S3" s="36"/>
    </row>
    <row r="4" spans="1:20" ht="22.5" customHeight="1">
      <c r="A4" s="141" t="s">
        <v>3</v>
      </c>
      <c r="B4" s="141"/>
      <c r="C4" s="141"/>
      <c r="D4" s="141"/>
      <c r="E4" s="141"/>
      <c r="F4" s="141"/>
      <c r="G4" s="141"/>
      <c r="H4" s="141"/>
      <c r="I4" s="141"/>
      <c r="K4" s="114" t="s">
        <v>4</v>
      </c>
      <c r="L4" s="114"/>
      <c r="M4" s="115" t="s">
        <v>5</v>
      </c>
      <c r="N4" s="115"/>
      <c r="O4" s="115"/>
      <c r="P4" s="115"/>
      <c r="Q4" s="37"/>
      <c r="R4" s="37"/>
      <c r="S4" s="37"/>
      <c r="T4" s="38"/>
    </row>
    <row r="5" spans="1:20" ht="21" customHeight="1">
      <c r="A5" s="142"/>
      <c r="B5" s="142"/>
      <c r="C5" s="142"/>
      <c r="D5" s="142"/>
      <c r="E5" s="142"/>
      <c r="F5" s="142"/>
      <c r="G5" s="142"/>
      <c r="H5" s="142"/>
      <c r="I5" s="142"/>
      <c r="K5" s="116" t="s">
        <v>6</v>
      </c>
      <c r="L5" s="116"/>
      <c r="M5" s="117" t="s">
        <v>7</v>
      </c>
      <c r="N5" s="117"/>
      <c r="O5" s="117"/>
      <c r="P5" s="117"/>
      <c r="Q5" s="37"/>
      <c r="R5" s="37"/>
      <c r="S5" s="37"/>
      <c r="T5" s="38"/>
    </row>
    <row r="6" spans="1:20" s="39" customFormat="1" ht="14.1" customHeight="1">
      <c r="A6" s="142"/>
      <c r="B6" s="142"/>
      <c r="C6" s="142"/>
      <c r="D6" s="142"/>
      <c r="E6" s="142"/>
      <c r="F6" s="142"/>
      <c r="G6" s="142"/>
      <c r="H6" s="142"/>
      <c r="I6" s="142"/>
      <c r="K6" s="124" t="s">
        <v>8</v>
      </c>
      <c r="L6" s="124"/>
      <c r="M6" s="138">
        <v>43844</v>
      </c>
      <c r="N6" s="138"/>
      <c r="O6" s="138"/>
      <c r="P6" s="138"/>
      <c r="Q6" s="37"/>
      <c r="R6" s="37"/>
      <c r="S6" s="37"/>
      <c r="T6" s="38"/>
    </row>
    <row r="7" spans="1:20" s="39" customFormat="1" ht="14.1" customHeight="1">
      <c r="A7" s="142"/>
      <c r="B7" s="142"/>
      <c r="C7" s="142"/>
      <c r="D7" s="142"/>
      <c r="E7" s="142"/>
      <c r="F7" s="142"/>
      <c r="G7" s="142"/>
      <c r="H7" s="142"/>
      <c r="I7" s="142"/>
      <c r="K7" s="124"/>
      <c r="L7" s="124"/>
      <c r="M7" s="118"/>
      <c r="N7" s="118"/>
      <c r="O7" s="118"/>
      <c r="P7" s="118"/>
      <c r="Q7" s="118"/>
      <c r="R7" s="37"/>
      <c r="S7" s="37"/>
      <c r="T7" s="38"/>
    </row>
    <row r="8" spans="1:20" s="39" customFormat="1" ht="13.5" customHeight="1">
      <c r="A8" s="142"/>
      <c r="B8" s="142"/>
      <c r="C8" s="142"/>
      <c r="D8" s="142"/>
      <c r="E8" s="142"/>
      <c r="F8" s="142"/>
      <c r="G8" s="142"/>
      <c r="H8" s="142"/>
      <c r="I8" s="142"/>
      <c r="J8" s="21"/>
      <c r="K8" s="124" t="s">
        <v>9</v>
      </c>
      <c r="L8" s="124"/>
      <c r="M8" s="140">
        <v>43844</v>
      </c>
      <c r="N8" s="140"/>
      <c r="O8" s="40"/>
      <c r="P8" s="37"/>
      <c r="Q8" s="20"/>
      <c r="R8" s="20"/>
      <c r="S8" s="20"/>
      <c r="T8" s="27"/>
    </row>
    <row r="9" spans="1:20" s="39" customFormat="1" ht="15" customHeight="1">
      <c r="A9" s="142"/>
      <c r="B9" s="142"/>
      <c r="C9" s="142"/>
      <c r="D9" s="142"/>
      <c r="E9" s="142"/>
      <c r="F9" s="142"/>
      <c r="G9" s="142"/>
      <c r="H9" s="142"/>
      <c r="I9" s="142"/>
      <c r="J9" s="21"/>
      <c r="K9" s="22" t="s">
        <v>10</v>
      </c>
      <c r="L9" s="23"/>
      <c r="M9" s="118" t="s">
        <v>11</v>
      </c>
      <c r="N9" s="118"/>
      <c r="O9" s="118"/>
      <c r="P9" s="118"/>
      <c r="Q9" s="118"/>
      <c r="R9" s="20"/>
      <c r="S9" s="20"/>
      <c r="T9" s="27"/>
    </row>
    <row r="10" spans="1:20" s="39" customFormat="1" ht="15" customHeight="1">
      <c r="A10" s="142"/>
      <c r="B10" s="142"/>
      <c r="C10" s="142"/>
      <c r="D10" s="142"/>
      <c r="E10" s="142"/>
      <c r="F10" s="142"/>
      <c r="G10" s="142"/>
      <c r="H10" s="142"/>
      <c r="I10" s="142"/>
      <c r="J10" s="21"/>
      <c r="K10" s="22" t="s">
        <v>12</v>
      </c>
      <c r="L10" s="23"/>
      <c r="M10" s="138"/>
      <c r="N10" s="138"/>
      <c r="O10" s="40"/>
      <c r="P10" s="23"/>
      <c r="Q10" s="20"/>
      <c r="R10" s="20"/>
      <c r="S10" s="20"/>
      <c r="T10" s="27"/>
    </row>
    <row r="11" spans="1:20" s="39" customFormat="1" ht="15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21"/>
      <c r="K11" s="22" t="s">
        <v>13</v>
      </c>
      <c r="L11" s="23"/>
      <c r="M11" s="24">
        <v>0</v>
      </c>
      <c r="N11" s="25"/>
      <c r="O11" s="26"/>
      <c r="P11" s="20"/>
      <c r="Q11" s="20"/>
      <c r="R11" s="20"/>
      <c r="S11" s="20"/>
      <c r="T11" s="27"/>
    </row>
    <row r="12" spans="1:20" s="39" customFormat="1" ht="15.75" customHeight="1">
      <c r="A12" s="144" t="s">
        <v>14</v>
      </c>
      <c r="B12" s="144"/>
      <c r="C12" s="144"/>
      <c r="D12" s="41"/>
      <c r="E12" s="42"/>
      <c r="F12" s="42"/>
      <c r="G12" s="42"/>
      <c r="H12" s="41"/>
      <c r="I12" s="41"/>
      <c r="K12" s="124" t="s">
        <v>15</v>
      </c>
      <c r="L12" s="125"/>
      <c r="M12" s="121" t="s">
        <v>149</v>
      </c>
      <c r="N12" s="122"/>
      <c r="O12" s="123"/>
      <c r="P12" s="20"/>
      <c r="Q12" s="20"/>
      <c r="R12" s="20"/>
      <c r="S12" s="20"/>
      <c r="T12" s="27"/>
    </row>
    <row r="13" spans="1:20" s="39" customFormat="1" ht="12.75" customHeight="1">
      <c r="A13" s="124" t="s">
        <v>16</v>
      </c>
      <c r="B13" s="124"/>
      <c r="C13" s="124"/>
      <c r="D13" s="118" t="s">
        <v>17</v>
      </c>
      <c r="E13" s="118"/>
      <c r="F13" s="118"/>
      <c r="G13" s="118"/>
      <c r="H13" s="118"/>
      <c r="I13" s="43"/>
      <c r="K13" s="147"/>
      <c r="L13" s="147"/>
      <c r="M13" s="146"/>
      <c r="N13" s="146"/>
      <c r="O13" s="146"/>
      <c r="P13" s="146"/>
      <c r="Q13" s="146"/>
      <c r="R13" s="20"/>
      <c r="S13" s="20"/>
      <c r="T13" s="27"/>
    </row>
    <row r="14" spans="1:20" s="39" customFormat="1" ht="12.75" customHeight="1">
      <c r="A14" s="124" t="s">
        <v>18</v>
      </c>
      <c r="B14" s="124"/>
      <c r="C14" s="124"/>
      <c r="D14" s="118" t="s">
        <v>19</v>
      </c>
      <c r="E14" s="118"/>
      <c r="F14" s="118"/>
      <c r="G14" s="118"/>
      <c r="H14" s="118"/>
      <c r="I14" s="43"/>
      <c r="K14" s="124" t="s">
        <v>20</v>
      </c>
      <c r="L14" s="145"/>
      <c r="M14" s="44" t="s">
        <v>142</v>
      </c>
      <c r="N14" s="23"/>
      <c r="O14" s="23"/>
      <c r="P14" s="45"/>
      <c r="Q14" s="38"/>
      <c r="R14" s="20"/>
      <c r="S14" s="20"/>
      <c r="T14" s="27"/>
    </row>
    <row r="15" spans="1:20" s="39" customFormat="1" ht="12.75" customHeight="1">
      <c r="A15" s="124" t="s">
        <v>21</v>
      </c>
      <c r="B15" s="124"/>
      <c r="C15" s="124"/>
      <c r="D15" s="118"/>
      <c r="E15" s="118"/>
      <c r="F15" s="118"/>
      <c r="G15" s="118"/>
      <c r="H15" s="118"/>
      <c r="I15" s="43"/>
      <c r="K15" s="124" t="s">
        <v>22</v>
      </c>
      <c r="L15" s="145"/>
      <c r="M15" s="46">
        <v>0</v>
      </c>
      <c r="N15" s="47"/>
      <c r="O15" s="48"/>
      <c r="P15" s="45" t="s">
        <v>23</v>
      </c>
      <c r="Q15" s="38"/>
      <c r="R15" s="20"/>
      <c r="S15" s="20"/>
      <c r="T15" s="27"/>
    </row>
    <row r="16" spans="1:20" s="39" customFormat="1" ht="12.75" customHeight="1">
      <c r="A16" s="124" t="s">
        <v>24</v>
      </c>
      <c r="B16" s="124"/>
      <c r="C16" s="124"/>
      <c r="D16" s="118"/>
      <c r="E16" s="118"/>
      <c r="F16" s="118"/>
      <c r="G16" s="118"/>
      <c r="H16" s="118"/>
      <c r="I16" s="43"/>
      <c r="K16" s="124" t="s">
        <v>25</v>
      </c>
      <c r="L16" s="145"/>
      <c r="M16" s="46">
        <v>0</v>
      </c>
      <c r="N16" s="47"/>
      <c r="O16" s="48"/>
      <c r="P16" s="23"/>
      <c r="Q16" s="37"/>
      <c r="R16" s="20"/>
      <c r="S16" s="20"/>
      <c r="T16" s="27"/>
    </row>
    <row r="17" spans="1:20" s="39" customFormat="1" ht="12.75" customHeight="1">
      <c r="A17" s="124" t="s">
        <v>26</v>
      </c>
      <c r="B17" s="124"/>
      <c r="C17" s="124"/>
      <c r="D17" s="118" t="s">
        <v>27</v>
      </c>
      <c r="E17" s="118"/>
      <c r="F17" s="118"/>
      <c r="G17" s="118"/>
      <c r="H17" s="118"/>
      <c r="I17" s="43"/>
      <c r="K17" s="36"/>
      <c r="L17" s="36"/>
      <c r="M17" s="36"/>
      <c r="N17" s="36"/>
      <c r="O17" s="36"/>
      <c r="P17" s="36"/>
      <c r="Q17" s="36"/>
      <c r="R17" s="36"/>
      <c r="S17" s="36"/>
      <c r="T17" s="49"/>
    </row>
    <row r="18" spans="1:20" s="39" customFormat="1" ht="30.75" customHeight="1">
      <c r="A18" s="50"/>
      <c r="B18" s="50"/>
      <c r="C18" s="50"/>
      <c r="D18" s="51"/>
      <c r="E18" s="52"/>
      <c r="F18" s="52"/>
      <c r="G18" s="52"/>
      <c r="H18" s="139"/>
      <c r="I18" s="139"/>
      <c r="J18" s="139"/>
      <c r="K18" s="51"/>
      <c r="L18" s="53"/>
      <c r="M18" s="50"/>
      <c r="N18" s="51"/>
      <c r="O18" s="51"/>
      <c r="P18" s="54"/>
      <c r="Q18" s="51"/>
      <c r="R18" s="54"/>
      <c r="S18" s="54"/>
      <c r="T18" s="49"/>
    </row>
    <row r="19" spans="1:20" s="103" customFormat="1" ht="27" customHeight="1">
      <c r="A19" s="55" t="s">
        <v>28</v>
      </c>
      <c r="B19" s="55"/>
      <c r="C19" s="55" t="s">
        <v>29</v>
      </c>
      <c r="D19" s="133" t="s">
        <v>30</v>
      </c>
      <c r="E19" s="134"/>
      <c r="F19" s="56" t="s">
        <v>31</v>
      </c>
      <c r="G19" s="56" t="s">
        <v>32</v>
      </c>
      <c r="H19" s="57" t="s">
        <v>33</v>
      </c>
      <c r="I19" s="57" t="s">
        <v>34</v>
      </c>
      <c r="J19" s="4" t="str">
        <f>CONCATENATE("Unit Price ","( ",Currency," )")</f>
        <v>Unit Price ( USD )</v>
      </c>
      <c r="K19" s="3"/>
      <c r="L19" s="57" t="s">
        <v>35</v>
      </c>
      <c r="M19" s="57" t="s">
        <v>36</v>
      </c>
      <c r="N19" s="57" t="s">
        <v>37</v>
      </c>
      <c r="O19" s="57" t="s">
        <v>13</v>
      </c>
      <c r="P19" s="4" t="s">
        <v>38</v>
      </c>
      <c r="Q19" s="3"/>
      <c r="R19" s="4" t="s">
        <v>39</v>
      </c>
      <c r="S19" s="3"/>
      <c r="T19" s="58"/>
    </row>
    <row r="20" spans="1:20" ht="24" customHeight="1">
      <c r="A20" s="59">
        <v>1</v>
      </c>
      <c r="B20" s="59">
        <v>99990012414676</v>
      </c>
      <c r="C20" s="60">
        <v>2701278</v>
      </c>
      <c r="D20" s="148" t="s">
        <v>40</v>
      </c>
      <c r="E20" s="149"/>
      <c r="F20" s="61">
        <v>2701278</v>
      </c>
      <c r="G20" s="61" t="s">
        <v>41</v>
      </c>
      <c r="H20" s="62">
        <v>0</v>
      </c>
      <c r="I20" s="63">
        <v>2</v>
      </c>
      <c r="J20" s="150">
        <v>61.055</v>
      </c>
      <c r="K20" s="151"/>
      <c r="L20" s="63">
        <v>0</v>
      </c>
      <c r="M20" s="63">
        <v>0</v>
      </c>
      <c r="N20" s="64">
        <f>ROUND(((I20*J20)-((I20*J20)*L20/100))+(((I20*J20)-((I20*J20)*L20/100))*M20/100),2)</f>
        <v>122.11</v>
      </c>
      <c r="O20" s="62">
        <f>M11</f>
        <v>0</v>
      </c>
      <c r="P20" s="119" t="s">
        <v>150</v>
      </c>
      <c r="Q20" s="120"/>
      <c r="R20" s="2" t="s">
        <v>42</v>
      </c>
      <c r="S20" s="1"/>
      <c r="T20" s="69"/>
    </row>
    <row r="21" spans="1:20" ht="24" customHeight="1">
      <c r="A21" s="59">
        <v>2</v>
      </c>
      <c r="B21" s="59">
        <v>99990014889018</v>
      </c>
      <c r="C21" s="60">
        <v>2981732</v>
      </c>
      <c r="D21" s="148" t="s">
        <v>43</v>
      </c>
      <c r="E21" s="149"/>
      <c r="F21" s="61">
        <v>2981732</v>
      </c>
      <c r="G21" s="61" t="s">
        <v>44</v>
      </c>
      <c r="H21" s="62">
        <v>0</v>
      </c>
      <c r="I21" s="63">
        <v>4</v>
      </c>
      <c r="J21" s="150">
        <v>1302.72</v>
      </c>
      <c r="K21" s="151"/>
      <c r="L21" s="63">
        <v>0</v>
      </c>
      <c r="M21" s="63">
        <v>0</v>
      </c>
      <c r="N21" s="64">
        <f>ROUND(((I21*J21)-((I21*J21)*L21/100))+(((I21*J21)-((I21*J21)*L21/100))*M21/100),2)</f>
        <v>5210.88</v>
      </c>
      <c r="O21" s="62">
        <f>M11</f>
        <v>0</v>
      </c>
      <c r="P21" s="65" t="s">
        <v>151</v>
      </c>
      <c r="Q21" s="66"/>
      <c r="R21" s="67" t="s">
        <v>45</v>
      </c>
      <c r="S21" s="68"/>
      <c r="T21" s="69"/>
    </row>
    <row r="22" spans="1:20" ht="15" customHeight="1">
      <c r="A22" s="15"/>
      <c r="B22" s="99"/>
      <c r="C22" s="100"/>
      <c r="D22" s="100"/>
      <c r="E22" s="100"/>
      <c r="F22" s="100"/>
      <c r="G22" s="100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2"/>
    </row>
    <row r="23" spans="1:20" ht="12.75" customHeight="1">
      <c r="A23" s="96" t="s">
        <v>28</v>
      </c>
      <c r="B23" s="96"/>
      <c r="C23" s="136" t="s">
        <v>46</v>
      </c>
      <c r="D23" s="137"/>
      <c r="E23" s="137"/>
      <c r="F23" s="137"/>
      <c r="G23" s="137"/>
      <c r="H23" s="137"/>
      <c r="I23" s="97"/>
      <c r="J23" s="113" t="s">
        <v>47</v>
      </c>
      <c r="K23" s="113"/>
      <c r="L23" s="97" t="s">
        <v>35</v>
      </c>
      <c r="M23" s="97" t="s">
        <v>36</v>
      </c>
      <c r="N23" s="98" t="s">
        <v>48</v>
      </c>
      <c r="O23" s="112" t="s">
        <v>38</v>
      </c>
      <c r="P23" s="112"/>
      <c r="Q23" s="112"/>
      <c r="R23" s="112"/>
      <c r="S23" s="112"/>
      <c r="T23" s="58"/>
    </row>
    <row r="24" spans="1:20" ht="15" customHeight="1">
      <c r="A24" s="87">
        <v>1</v>
      </c>
      <c r="B24" s="88"/>
      <c r="C24" s="152" t="s">
        <v>49</v>
      </c>
      <c r="D24" s="153" t="s">
        <v>49</v>
      </c>
      <c r="E24" s="153" t="s">
        <v>49</v>
      </c>
      <c r="F24" s="153" t="s">
        <v>49</v>
      </c>
      <c r="G24" s="153" t="s">
        <v>49</v>
      </c>
      <c r="H24" s="154" t="s">
        <v>49</v>
      </c>
      <c r="I24" s="89"/>
      <c r="J24" s="155">
        <v>0</v>
      </c>
      <c r="K24" s="156"/>
      <c r="L24" s="90">
        <v>0</v>
      </c>
      <c r="M24" s="90">
        <v>0</v>
      </c>
      <c r="N24" s="95">
        <f>(J24-(J24*L24/100)+((J24-(J24*L24/100))*M24/100))</f>
        <v>0</v>
      </c>
      <c r="O24" s="106"/>
      <c r="P24" s="107"/>
      <c r="Q24" s="107"/>
      <c r="R24" s="107"/>
      <c r="S24" s="108"/>
      <c r="T24" s="93"/>
    </row>
    <row r="25" spans="1:20" ht="15" customHeight="1">
      <c r="A25" s="87">
        <v>2</v>
      </c>
      <c r="B25" s="88"/>
      <c r="C25" s="152" t="s">
        <v>50</v>
      </c>
      <c r="D25" s="153" t="s">
        <v>50</v>
      </c>
      <c r="E25" s="153" t="s">
        <v>50</v>
      </c>
      <c r="F25" s="153" t="s">
        <v>50</v>
      </c>
      <c r="G25" s="153" t="s">
        <v>50</v>
      </c>
      <c r="H25" s="154" t="s">
        <v>50</v>
      </c>
      <c r="I25" s="94"/>
      <c r="J25" s="155">
        <v>0</v>
      </c>
      <c r="K25" s="156"/>
      <c r="L25" s="90">
        <v>0</v>
      </c>
      <c r="M25" s="90">
        <v>0</v>
      </c>
      <c r="N25" s="92">
        <f>(J25-(J25*L25/100)+((J25-(J25*L25/100))*M25/100))</f>
        <v>0</v>
      </c>
      <c r="O25" s="109"/>
      <c r="P25" s="110"/>
      <c r="Q25" s="110"/>
      <c r="R25" s="110"/>
      <c r="S25" s="111"/>
      <c r="T25" s="93"/>
    </row>
    <row r="26" spans="1:20" ht="15" customHeight="1">
      <c r="A26" s="87">
        <v>3</v>
      </c>
      <c r="B26" s="88"/>
      <c r="C26" s="152"/>
      <c r="D26" s="153"/>
      <c r="E26" s="153"/>
      <c r="F26" s="153"/>
      <c r="G26" s="153"/>
      <c r="H26" s="154"/>
      <c r="I26" s="89"/>
      <c r="J26" s="155">
        <v>0</v>
      </c>
      <c r="K26" s="156"/>
      <c r="L26" s="90">
        <v>0</v>
      </c>
      <c r="M26" s="90">
        <v>0</v>
      </c>
      <c r="N26" s="92">
        <f>(J26-(J26*L26/100)+((J26-(J26*L26/100))*M26/100))</f>
        <v>0</v>
      </c>
      <c r="O26" s="109"/>
      <c r="P26" s="110"/>
      <c r="Q26" s="110"/>
      <c r="R26" s="110"/>
      <c r="S26" s="111"/>
      <c r="T26" s="93"/>
    </row>
    <row r="27" spans="1:20" ht="15.75" customHeight="1">
      <c r="A27" s="87">
        <v>4</v>
      </c>
      <c r="B27" s="88"/>
      <c r="C27" s="152"/>
      <c r="D27" s="153"/>
      <c r="E27" s="153"/>
      <c r="F27" s="153"/>
      <c r="G27" s="153"/>
      <c r="H27" s="154"/>
      <c r="I27" s="89"/>
      <c r="J27" s="155">
        <v>0</v>
      </c>
      <c r="K27" s="156"/>
      <c r="L27" s="90">
        <v>0</v>
      </c>
      <c r="M27" s="91">
        <v>0</v>
      </c>
      <c r="N27" s="92">
        <f>(J27-(J27*L27/100)+((J27-(J27*L27/100))*M27/100))</f>
        <v>0</v>
      </c>
      <c r="O27" s="109"/>
      <c r="P27" s="110"/>
      <c r="Q27" s="110"/>
      <c r="R27" s="110"/>
      <c r="S27" s="111"/>
      <c r="T27" s="93"/>
    </row>
    <row r="28" spans="1:20" ht="15.95" customHeight="1">
      <c r="A28" s="75"/>
      <c r="B28" s="75"/>
      <c r="C28" s="76"/>
      <c r="D28" s="76"/>
      <c r="J28" s="16" t="s">
        <v>51</v>
      </c>
      <c r="K28" s="17"/>
      <c r="L28" s="16"/>
      <c r="M28" s="17"/>
      <c r="N28" s="86">
        <f>SUM(ItmPrice)</f>
        <v>5332.99</v>
      </c>
      <c r="O28" s="126"/>
      <c r="P28" s="127"/>
    </row>
    <row r="29" spans="1:20" ht="15" customHeight="1">
      <c r="A29" s="75"/>
      <c r="B29" s="75"/>
      <c r="C29" s="76"/>
      <c r="D29" s="76"/>
      <c r="J29" s="130" t="s">
        <v>52</v>
      </c>
      <c r="K29" s="131"/>
      <c r="L29" s="131"/>
      <c r="M29" s="132"/>
      <c r="N29" s="86">
        <f>SUM(N24:N28)</f>
        <v>5332.99</v>
      </c>
      <c r="O29" s="128"/>
      <c r="P29" s="129"/>
    </row>
    <row r="30" spans="1:20" ht="2.25" hidden="1" customHeight="1">
      <c r="A30" s="80">
        <v>0</v>
      </c>
      <c r="B30" s="80">
        <v>0</v>
      </c>
      <c r="C30" s="81">
        <v>0</v>
      </c>
      <c r="D30" s="76"/>
      <c r="E30" s="76"/>
      <c r="F30" s="82">
        <v>1</v>
      </c>
      <c r="G30" s="76"/>
      <c r="H30" s="76"/>
      <c r="I30" s="76"/>
      <c r="J30" s="76"/>
      <c r="K30" s="83"/>
      <c r="L30" s="84">
        <v>0</v>
      </c>
      <c r="M30" s="85">
        <v>0</v>
      </c>
      <c r="N30" s="18" t="s">
        <v>53</v>
      </c>
      <c r="O30" s="79"/>
      <c r="P30" s="85">
        <v>995</v>
      </c>
      <c r="Q30" s="76" t="s">
        <v>54</v>
      </c>
      <c r="R30" s="76"/>
      <c r="S30" s="76"/>
    </row>
    <row r="31" spans="1:20" ht="18.75" customHeight="1">
      <c r="A31" s="75"/>
      <c r="B31" s="75"/>
      <c r="C31" s="75"/>
      <c r="H31" s="79"/>
      <c r="J31" s="76"/>
      <c r="K31" s="76"/>
      <c r="L31" s="76"/>
      <c r="M31" s="76"/>
      <c r="N31" s="76"/>
      <c r="O31" s="76"/>
      <c r="P31" s="76"/>
      <c r="R31" s="76"/>
      <c r="S31" s="76"/>
    </row>
    <row r="32" spans="1:20" ht="127.5" customHeight="1">
      <c r="A32" s="7" t="s">
        <v>55</v>
      </c>
      <c r="B32" s="7"/>
      <c r="C32" s="7"/>
      <c r="D32" s="6"/>
      <c r="E32" s="14" t="s">
        <v>56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78"/>
    </row>
    <row r="33" spans="1:20" ht="129.75" customHeight="1">
      <c r="A33" s="7" t="s">
        <v>38</v>
      </c>
      <c r="B33" s="7"/>
      <c r="C33" s="7"/>
      <c r="D33" s="6"/>
      <c r="E33" s="12" t="s">
        <v>152</v>
      </c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77"/>
    </row>
    <row r="34" spans="1:20" ht="15.95" customHeight="1">
      <c r="A34" s="75"/>
      <c r="B34" s="75"/>
      <c r="C34" s="75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</row>
    <row r="35" spans="1:20" ht="15.95" customHeight="1">
      <c r="A35" s="73" t="s">
        <v>57</v>
      </c>
      <c r="B35" s="73"/>
      <c r="C35" s="73"/>
      <c r="D35" s="73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74"/>
    </row>
    <row r="36" spans="1:20" ht="12.75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72"/>
    </row>
    <row r="37" spans="1:20" ht="12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72"/>
    </row>
    <row r="38" spans="1:20" ht="7.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2"/>
    </row>
    <row r="39" spans="1:20" ht="12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2"/>
    </row>
    <row r="40" spans="1:20" ht="12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2"/>
    </row>
    <row r="41" spans="1:20" ht="12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72"/>
    </row>
    <row r="42" spans="1:20" ht="7.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72"/>
    </row>
    <row r="43" spans="1:20" ht="12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72"/>
    </row>
    <row r="44" spans="1:20" ht="12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72"/>
    </row>
    <row r="45" spans="1:20" ht="12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72"/>
    </row>
    <row r="46" spans="1:20" ht="12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72"/>
    </row>
    <row r="47" spans="1:20" ht="12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72"/>
    </row>
    <row r="48" spans="1:20" ht="12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72"/>
    </row>
    <row r="49" spans="1:20" ht="7.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72"/>
    </row>
    <row r="50" spans="1:20" ht="12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72"/>
    </row>
    <row r="51" spans="1:20" ht="12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72"/>
    </row>
    <row r="52" spans="1:20" ht="12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72"/>
    </row>
    <row r="53" spans="1:20" ht="12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72"/>
    </row>
    <row r="54" spans="1:20" ht="12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72"/>
    </row>
    <row r="55" spans="1:20" ht="7.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72"/>
    </row>
    <row r="56" spans="1:20" ht="12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72"/>
    </row>
    <row r="57" spans="1:20" ht="12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72"/>
    </row>
    <row r="58" spans="1:20" ht="12.75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71"/>
    </row>
    <row r="59" spans="1:20">
      <c r="A59" s="70" t="s">
        <v>58</v>
      </c>
      <c r="B59" s="70"/>
      <c r="C59" s="70"/>
      <c r="D59" s="70"/>
      <c r="E59" s="70"/>
      <c r="F59" s="70"/>
      <c r="G59" s="70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C25:H25"/>
    <mergeCell ref="J25:K25"/>
    <mergeCell ref="C26:H26"/>
    <mergeCell ref="J26:K26"/>
    <mergeCell ref="C27:H27"/>
    <mergeCell ref="J27:K27"/>
    <mergeCell ref="D20:E20"/>
    <mergeCell ref="J20:K20"/>
    <mergeCell ref="D21:E21"/>
    <mergeCell ref="J21:K21"/>
    <mergeCell ref="C24:H24"/>
    <mergeCell ref="J24:K24"/>
    <mergeCell ref="P19:Q19"/>
    <mergeCell ref="M13:Q13"/>
    <mergeCell ref="K16:L16"/>
    <mergeCell ref="J19:K19"/>
    <mergeCell ref="K13:L13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D16:H16"/>
    <mergeCell ref="A13:C13"/>
    <mergeCell ref="D19:E19"/>
    <mergeCell ref="D13:H13"/>
    <mergeCell ref="D14:H14"/>
    <mergeCell ref="D15:H15"/>
    <mergeCell ref="D17:H17"/>
    <mergeCell ref="A14:C14"/>
    <mergeCell ref="O28:P28"/>
    <mergeCell ref="O29:P29"/>
    <mergeCell ref="J29:M29"/>
    <mergeCell ref="O26:S26"/>
    <mergeCell ref="O27:S27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K15:L15"/>
    <mergeCell ref="E32:S32"/>
    <mergeCell ref="E33:S33"/>
    <mergeCell ref="E35:S35"/>
    <mergeCell ref="A36:S57"/>
    <mergeCell ref="A58:S58"/>
    <mergeCell ref="A32:D32"/>
    <mergeCell ref="A33:D33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MasterData!$H$1:$H$14</formula1>
    </dataValidation>
    <dataValidation type="list" allowBlank="1" showInputMessage="1" showErrorMessage="1" sqref="C25:H25">
      <formula1>MasterData!$H$1:$H$14</formula1>
    </dataValidation>
    <dataValidation type="list" allowBlank="1" showInputMessage="1" showErrorMessage="1" sqref="C26:H26">
      <formula1>MasterData!$H$1:$H$14</formula1>
    </dataValidation>
    <dataValidation type="list" allowBlank="1" showInputMessage="1" showErrorMessage="1" sqref="C27:H27">
      <formula1>MasterData!$H$1:$H$14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O70"/>
  <sheetViews>
    <sheetView topLeftCell="A46" workbookViewId="0">
      <selection activeCell="O67" sqref="O67 O67"/>
    </sheetView>
  </sheetViews>
  <sheetFormatPr defaultColWidth="9.140625" defaultRowHeight="12.75"/>
  <cols>
    <col min="1" max="12" width="9.140625" style="18" customWidth="1"/>
    <col min="13" max="13" width="17.5703125" style="18" bestFit="1" customWidth="1"/>
    <col min="14" max="14" width="42.85546875" style="18" customWidth="1"/>
    <col min="15" max="15" width="8" style="18" customWidth="1"/>
  </cols>
  <sheetData>
    <row r="1" spans="7:15">
      <c r="G1" s="18">
        <v>1001307</v>
      </c>
      <c r="H1" s="18" t="s">
        <v>49</v>
      </c>
      <c r="M1" s="104" t="s">
        <v>59</v>
      </c>
      <c r="N1" s="105" t="s">
        <v>0</v>
      </c>
      <c r="O1" s="18" t="s">
        <v>60</v>
      </c>
    </row>
    <row r="2" spans="7:15">
      <c r="G2" s="18">
        <v>1001310</v>
      </c>
      <c r="H2" s="18" t="s">
        <v>50</v>
      </c>
      <c r="M2" s="104" t="s">
        <v>61</v>
      </c>
      <c r="N2" s="105">
        <v>1020787371</v>
      </c>
      <c r="O2" s="18" t="s">
        <v>62</v>
      </c>
    </row>
    <row r="3" spans="7:15">
      <c r="G3" s="18">
        <v>1012729</v>
      </c>
      <c r="H3" s="18" t="s">
        <v>63</v>
      </c>
      <c r="M3" s="104" t="s">
        <v>64</v>
      </c>
      <c r="N3" s="105">
        <v>99990000449942</v>
      </c>
      <c r="O3" s="18" t="s">
        <v>65</v>
      </c>
    </row>
    <row r="4" spans="7:15">
      <c r="G4" s="18">
        <v>1012730</v>
      </c>
      <c r="H4" s="18" t="s">
        <v>66</v>
      </c>
      <c r="M4" s="104" t="s">
        <v>67</v>
      </c>
      <c r="N4" s="105">
        <v>1022060203</v>
      </c>
      <c r="O4" s="18" t="s">
        <v>68</v>
      </c>
    </row>
    <row r="5" spans="7:15">
      <c r="G5" s="18">
        <v>1012731</v>
      </c>
      <c r="H5" s="18" t="s">
        <v>69</v>
      </c>
      <c r="M5" s="104" t="s">
        <v>70</v>
      </c>
      <c r="N5" s="105"/>
      <c r="O5" s="18" t="s">
        <v>71</v>
      </c>
    </row>
    <row r="6" spans="7:15">
      <c r="G6" s="18">
        <v>1012732</v>
      </c>
      <c r="H6" s="18" t="s">
        <v>72</v>
      </c>
      <c r="M6" s="104" t="s">
        <v>73</v>
      </c>
      <c r="N6" s="105" t="s">
        <v>74</v>
      </c>
      <c r="O6" s="18" t="s">
        <v>75</v>
      </c>
    </row>
    <row r="7" spans="7:15">
      <c r="G7" s="18">
        <v>1012733</v>
      </c>
      <c r="H7" s="18" t="s">
        <v>76</v>
      </c>
      <c r="M7" s="104" t="s">
        <v>77</v>
      </c>
      <c r="N7" s="105">
        <v>0</v>
      </c>
      <c r="O7" s="18" t="s">
        <v>78</v>
      </c>
    </row>
    <row r="8" spans="7:15">
      <c r="G8" s="18">
        <v>1012735</v>
      </c>
      <c r="H8" s="18" t="s">
        <v>79</v>
      </c>
      <c r="O8" s="18" t="s">
        <v>80</v>
      </c>
    </row>
    <row r="9" spans="7:15">
      <c r="G9" s="18">
        <v>1012736</v>
      </c>
      <c r="H9" s="18" t="s">
        <v>81</v>
      </c>
      <c r="O9" s="18" t="s">
        <v>82</v>
      </c>
    </row>
    <row r="10" spans="7:15">
      <c r="G10" s="18">
        <v>1012737</v>
      </c>
      <c r="H10" s="18" t="s">
        <v>83</v>
      </c>
      <c r="O10" s="18" t="s">
        <v>84</v>
      </c>
    </row>
    <row r="11" spans="7:15">
      <c r="G11" s="18">
        <v>1012741</v>
      </c>
      <c r="H11" s="18" t="s">
        <v>85</v>
      </c>
      <c r="O11" s="18" t="s">
        <v>86</v>
      </c>
    </row>
    <row r="12" spans="7:15">
      <c r="G12" s="18">
        <v>1012742</v>
      </c>
      <c r="H12" s="18" t="s">
        <v>87</v>
      </c>
      <c r="O12" s="18" t="s">
        <v>88</v>
      </c>
    </row>
    <row r="13" spans="7:15">
      <c r="G13" s="18">
        <v>1012743</v>
      </c>
      <c r="H13" s="18" t="s">
        <v>89</v>
      </c>
      <c r="O13" s="18" t="s">
        <v>90</v>
      </c>
    </row>
    <row r="14" spans="7:15">
      <c r="G14" s="18">
        <v>1012744</v>
      </c>
      <c r="H14" s="18" t="s">
        <v>91</v>
      </c>
      <c r="O14" s="18" t="s">
        <v>92</v>
      </c>
    </row>
    <row r="15" spans="7:15">
      <c r="O15" s="18" t="s">
        <v>93</v>
      </c>
    </row>
    <row r="16" spans="7:15">
      <c r="O16" s="18" t="s">
        <v>94</v>
      </c>
    </row>
    <row r="17" spans="15:15">
      <c r="O17" s="18" t="s">
        <v>95</v>
      </c>
    </row>
    <row r="18" spans="15:15">
      <c r="O18" s="18" t="s">
        <v>96</v>
      </c>
    </row>
    <row r="19" spans="15:15">
      <c r="O19" s="18" t="s">
        <v>97</v>
      </c>
    </row>
    <row r="20" spans="15:15">
      <c r="O20" s="18" t="s">
        <v>98</v>
      </c>
    </row>
    <row r="21" spans="15:15">
      <c r="O21" s="18" t="s">
        <v>99</v>
      </c>
    </row>
    <row r="22" spans="15:15">
      <c r="O22" s="18" t="s">
        <v>100</v>
      </c>
    </row>
    <row r="23" spans="15:15">
      <c r="O23" s="18" t="s">
        <v>101</v>
      </c>
    </row>
    <row r="24" spans="15:15">
      <c r="O24" s="18" t="s">
        <v>102</v>
      </c>
    </row>
    <row r="25" spans="15:15">
      <c r="O25" s="18" t="s">
        <v>103</v>
      </c>
    </row>
    <row r="26" spans="15:15">
      <c r="O26" s="18" t="s">
        <v>104</v>
      </c>
    </row>
    <row r="27" spans="15:15">
      <c r="O27" s="18" t="s">
        <v>105</v>
      </c>
    </row>
    <row r="28" spans="15:15">
      <c r="O28" s="18" t="s">
        <v>106</v>
      </c>
    </row>
    <row r="29" spans="15:15">
      <c r="O29" s="18" t="s">
        <v>107</v>
      </c>
    </row>
    <row r="30" spans="15:15">
      <c r="O30" s="18" t="s">
        <v>108</v>
      </c>
    </row>
    <row r="31" spans="15:15">
      <c r="O31" s="18" t="s">
        <v>109</v>
      </c>
    </row>
    <row r="32" spans="15:15">
      <c r="O32" s="18" t="s">
        <v>110</v>
      </c>
    </row>
    <row r="33" spans="15:15">
      <c r="O33" s="18" t="s">
        <v>111</v>
      </c>
    </row>
    <row r="34" spans="15:15">
      <c r="O34" s="18" t="s">
        <v>112</v>
      </c>
    </row>
    <row r="35" spans="15:15">
      <c r="O35" s="18" t="s">
        <v>113</v>
      </c>
    </row>
    <row r="36" spans="15:15">
      <c r="O36" s="18" t="s">
        <v>114</v>
      </c>
    </row>
    <row r="37" spans="15:15">
      <c r="O37" s="18" t="s">
        <v>115</v>
      </c>
    </row>
    <row r="38" spans="15:15">
      <c r="O38" s="18" t="s">
        <v>116</v>
      </c>
    </row>
    <row r="39" spans="15:15">
      <c r="O39" s="18" t="s">
        <v>117</v>
      </c>
    </row>
    <row r="40" spans="15:15">
      <c r="O40" s="18" t="s">
        <v>118</v>
      </c>
    </row>
    <row r="41" spans="15:15">
      <c r="O41" s="18" t="s">
        <v>119</v>
      </c>
    </row>
    <row r="42" spans="15:15">
      <c r="O42" s="18" t="s">
        <v>120</v>
      </c>
    </row>
    <row r="43" spans="15:15">
      <c r="O43" s="18" t="s">
        <v>121</v>
      </c>
    </row>
    <row r="44" spans="15:15">
      <c r="O44" s="18" t="s">
        <v>122</v>
      </c>
    </row>
    <row r="45" spans="15:15">
      <c r="O45" s="18" t="s">
        <v>123</v>
      </c>
    </row>
    <row r="46" spans="15:15">
      <c r="O46" s="18" t="s">
        <v>124</v>
      </c>
    </row>
    <row r="47" spans="15:15">
      <c r="O47" s="18" t="s">
        <v>125</v>
      </c>
    </row>
    <row r="48" spans="15:15">
      <c r="O48" s="18" t="s">
        <v>126</v>
      </c>
    </row>
    <row r="49" spans="15:15">
      <c r="O49" s="18" t="s">
        <v>127</v>
      </c>
    </row>
    <row r="50" spans="15:15">
      <c r="O50" s="18" t="s">
        <v>128</v>
      </c>
    </row>
    <row r="51" spans="15:15">
      <c r="O51" s="18" t="s">
        <v>129</v>
      </c>
    </row>
    <row r="52" spans="15:15">
      <c r="O52" s="18" t="s">
        <v>130</v>
      </c>
    </row>
    <row r="53" spans="15:15">
      <c r="O53" s="18" t="s">
        <v>131</v>
      </c>
    </row>
    <row r="54" spans="15:15">
      <c r="O54" s="18" t="s">
        <v>132</v>
      </c>
    </row>
    <row r="55" spans="15:15">
      <c r="O55" s="18" t="s">
        <v>133</v>
      </c>
    </row>
    <row r="56" spans="15:15">
      <c r="O56" s="18" t="s">
        <v>134</v>
      </c>
    </row>
    <row r="57" spans="15:15">
      <c r="O57" s="18" t="s">
        <v>135</v>
      </c>
    </row>
    <row r="58" spans="15:15">
      <c r="O58" s="18" t="s">
        <v>136</v>
      </c>
    </row>
    <row r="59" spans="15:15">
      <c r="O59" s="18" t="s">
        <v>137</v>
      </c>
    </row>
    <row r="60" spans="15:15">
      <c r="O60" s="18" t="s">
        <v>138</v>
      </c>
    </row>
    <row r="61" spans="15:15">
      <c r="O61" s="18" t="s">
        <v>139</v>
      </c>
    </row>
    <row r="62" spans="15:15">
      <c r="O62" s="18" t="s">
        <v>140</v>
      </c>
    </row>
    <row r="63" spans="15:15">
      <c r="O63" s="18" t="s">
        <v>141</v>
      </c>
    </row>
    <row r="64" spans="15:15">
      <c r="O64" s="18" t="s">
        <v>142</v>
      </c>
    </row>
    <row r="65" spans="15:15">
      <c r="O65" s="18" t="s">
        <v>143</v>
      </c>
    </row>
    <row r="66" spans="15:15">
      <c r="O66" s="18" t="s">
        <v>144</v>
      </c>
    </row>
    <row r="67" spans="15:15">
      <c r="O67" s="18" t="s">
        <v>145</v>
      </c>
    </row>
    <row r="68" spans="15:15">
      <c r="O68" s="18" t="s">
        <v>146</v>
      </c>
    </row>
    <row r="69" spans="15:15">
      <c r="O69" s="18" t="s">
        <v>147</v>
      </c>
    </row>
    <row r="70" spans="15:15">
      <c r="O70" s="18" t="s">
        <v>148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Quote</vt:lpstr>
      <vt:lpstr>MasterData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ItmPrice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Quote!Print_Area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</vt:vector>
  </TitlesOfParts>
  <Manager/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admin</cp:lastModifiedBy>
  <dcterms:modified xsi:type="dcterms:W3CDTF">2020-01-15T05:20:01Z</dcterms:modified>
  <cp:category/>
  <cp:contentType/>
  <cp:contentStatus/>
</cp:coreProperties>
</file>