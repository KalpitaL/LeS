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7" lowestEdited="5" rupBuild="18431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definedNames>
    <x:definedName name="_xlnm.Print_Area" localSheetId="0">'Quote'!$A$1:$R$282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'Quote'!$A$263</x:definedName>
    <x:definedName name="Enquiry_To_Vendor_ID" comment="Enquiry to Vendor ID">'Quote'!$C$263</x:definedName>
    <x:definedName name="GrandTotal">'Quote'!$N$262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'Quote'!$A$255</x:definedName>
    <x:definedName name="ItemListStartupRow" comment="Item List Start Up Row">Quote!$A$19</x:definedName>
    <x:definedName name="ItemSubTotal">'Quote'!$N$261</x:definedName>
    <x:definedName name="ItemSubTotalTitle">'Quote'!$J$261</x:definedName>
    <x:definedName name="LeadDay">Quote!$M$11</x:definedName>
    <x:definedName name="Lock">'Quote'!$M$263</x:definedName>
    <x:definedName name="LoggedInEmailID">'Quote'!$N$263</x:definedName>
    <x:definedName name="LoggedInPwd">'Quote'!$O$263</x:definedName>
    <x:definedName name="OtherCharges">'Quote'!$C$257</x:definedName>
    <x:definedName name="OtherChargesLastRow">'Quote'!$A$261</x:definedName>
    <x:definedName name="OtherChargesStartRow">'Quote'!$A$256</x:definedName>
    <x:definedName name="Port">'Quote'!$P$263</x:definedName>
    <x:definedName name="PortOfDelivery" comment="Port of Delivery">Quote!$M$9</x:definedName>
    <x:definedName name="PurchaserName">'Quote'!$J$263</x:definedName>
    <x:definedName name="QuoteBefore">Quote!$M$8</x:definedName>
    <x:definedName name="QuoteID">MasterData!$N$7</x:definedName>
    <x:definedName name="QuoteSubject">'Quote'!$E$263</x:definedName>
    <x:definedName name="Remarks">'Quote'!$E$265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'Quote'!$K$263</x:definedName>
    <x:definedName name="SentIndex">'Quote'!$L$263</x:definedName>
    <x:definedName name="Server">'Quote'!$Q$263</x:definedName>
    <x:definedName name="Terms">'Quote'!$A$269:$T$290</x:definedName>
    <x:definedName name="ToEmailID">'Quote'!$I$263</x:definedName>
    <x:definedName name="ToEmailPwd">'Quote'!$H$263</x:definedName>
    <x:definedName name="VAL">'Quote'!$F$263</x:definedName>
    <x:definedName name="VAT_All">Quote!$M$16</x:definedName>
    <x:definedName name="Vendor_ID" comment="Vendor ID">'Quote'!$B$263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'Quote'!$D$263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'Quote'!$E$266</x:definedName>
    <x:definedName name="VesselETA" comment="Vessel ETA">Quote!$M$10</x:definedName>
    <x:definedName name="VesselName" comment="Vessel Name">Quote!$M$4</x:definedName>
    <x:definedName name="ItmPrice">'Quote'!$N$20:$N$20,'Quote'!$N$21:$N$21,'Quote'!$N$22:$N$22,'Quote'!$N$23:$N$23,'Quote'!$N$24:$N$24,'Quote'!$N$25:$N$25,'Quote'!$N$26:$N$26,'Quote'!$N$27:$N$27,'Quote'!$N$28:$N$28,'Quote'!$N$29:$N$29,'Quote'!$N$30:$N$30,'Quote'!$N$31:$N$31,'Quote'!$N$32:$N$32,'Quote'!$N$33:$N$33,'Quote'!$N$34:$N$34,'Quote'!$N$35:$N$35,'Quote'!$N$36:$N$36,'Quote'!$N$37:$N$37,'Quote'!$N$38:$N$38,'Quote'!$N$39:$N$39,'Quote'!$N$40:$N$40,'Quote'!$N$41:$N$41,'Quote'!$N$42:$N$42,'Quote'!$N$43:$N$43,'Quote'!$N$44:$N$44,'Quote'!$N$45:$N$45,'Quote'!$N$46:$N$46,'Quote'!$N$47:$N$47,'Quote'!$N$48:$N$48,'Quote'!$N$49:$N$49,'Quote'!$N$50:$N$50,'Quote'!$N$51:$N$51,'Quote'!$N$52:$N$52,'Quote'!$N$53:$N$53,'Quote'!$N$54:$N$54,'Quote'!$N$55:$N$55,'Quote'!$N$56:$N$56,'Quote'!$N$57:$N$57,'Quote'!$N$58:$N$58,'Quote'!$N$59:$N$59,'Quote'!$N$60:$N$60,'Quote'!$N$61:$N$61,'Quote'!$N$62:$N$62,'Quote'!$N$63:$N$63,'Quote'!$N$64:$N$64,'Quote'!$N$65:$N$65,'Quote'!$N$66:$N$66,'Quote'!$N$67:$N$67,'Quote'!$N$68:$N$68,'Quote'!$N$69:$N$69,'Quote'!$N$70:$N$70,'Quote'!$N$71:$N$71,'Quote'!$N$72:$N$72,'Quote'!$N$73:$N$73,'Quote'!$N$74:$N$74,'Quote'!$N$75:$N$75,'Quote'!$N$76:$N$76,'Quote'!$N$77:$N$77,'Quote'!$N$78:$N$78,'Quote'!$N$79:$N$79,'Quote'!$N$80:$N$80,'Quote'!$N$81:$N$81,'Quote'!$N$82:$N$82,'Quote'!$N$83:$N$83,'Quote'!$N$84:$N$84,'Quote'!$N$85:$N$85,'Quote'!$N$86:$N$86,'Quote'!$N$87:$N$87,'Quote'!$N$88:$N$88,'Quote'!$N$89:$N$89,'Quote'!$N$90:$N$90,'Quote'!$N$91:$N$91,'Quote'!$N$92:$N$92,'Quote'!$N$93:$N$93,'Quote'!$N$94:$N$94,'Quote'!$N$95:$N$95,'Quote'!$N$96:$N$96,'Quote'!$N$97:$N$97,'Quote'!$N$98:$N$98,'Quote'!$N$99:$N$99,'Quote'!$N$100:$N$100,'Quote'!$N$101:$N$101,'Quote'!$N$102:$N$102,'Quote'!$N$103:$N$103,'Quote'!$N$104:$N$104,'Quote'!$N$105:$N$105,'Quote'!$N$106:$N$106,'Quote'!$N$107:$N$107,'Quote'!$N$108:$N$108,'Quote'!$N$109:$N$109,'Quote'!$N$110:$N$110,'Quote'!$N$111:$N$111,'Quote'!$N$112:$N$112,'Quote'!$N$113:$N$113,'Quote'!$N$114:$N$114,'Quote'!$N$115:$N$115,'Quote'!$N$116:$N$116,'Quote'!$N$117:$N$117,'Quote'!$N$118:$N$118,'Quote'!$N$119:$N$119,'Quote'!$N$120:$N$120,'Quote'!$N$121:$N$121,'Quote'!$N$122:$N$122,'Quote'!$N$123:$N$123,'Quote'!$N$124:$N$124,'Quote'!$N$125:$N$125,'Quote'!$N$126:$N$126,'Quote'!$N$127:$N$127,'Quote'!$N$128:$N$128,'Quote'!$N$129:$N$129,'Quote'!$N$130:$N$130,'Quote'!$N$131:$N$131,'Quote'!$N$132:$N$132,'Quote'!$N$133:$N$133,'Quote'!$N$134:$N$134,'Quote'!$N$135:$N$135,'Quote'!$N$136:$N$136,'Quote'!$N$137:$N$137,'Quote'!$N$138:$N$138,'Quote'!$N$139:$N$139,'Quote'!$N$140:$N$140,'Quote'!$N$141:$N$141,'Quote'!$N$142:$N$142,'Quote'!$N$143:$N$143,'Quote'!$N$144:$N$144,'Quote'!$N$145:$N$145,'Quote'!$N$146:$N$146,'Quote'!$N$147:$N$147,'Quote'!$N$148:$N$148,'Quote'!$N$149:$N$149,'Quote'!$N$150:$N$150,'Quote'!$N$151:$N$151,'Quote'!$N$152:$N$152,'Quote'!$N$153:$N$153,'Quote'!$N$154:$N$154,'Quote'!$N$155:$N$155,'Quote'!$N$156:$N$156,'Quote'!$N$157:$N$157,'Quote'!$N$158:$N$158,'Quote'!$N$159:$N$159,'Quote'!$N$160:$N$160,'Quote'!$N$161:$N$161,'Quote'!$N$162:$N$162,'Quote'!$N$163:$N$163,'Quote'!$N$164:$N$164,'Quote'!$N$165:$N$165,'Quote'!$N$166:$N$166,'Quote'!$N$167:$N$167,'Quote'!$N$168:$N$168,'Quote'!$N$169:$N$169,'Quote'!$N$170:$N$170,'Quote'!$N$171:$N$171,'Quote'!$N$172:$N$172,'Quote'!$N$173:$N$173,'Quote'!$N$174:$N$174,'Quote'!$N$175:$N$175,'Quote'!$N$176:$N$176,'Quote'!$N$177:$N$177,'Quote'!$N$178:$N$178,'Quote'!$N$179:$N$179,'Quote'!$N$180:$N$180,'Quote'!$N$181:$N$181,'Quote'!$N$182:$N$182,'Quote'!$N$183:$N$183,'Quote'!$N$184:$N$184,'Quote'!$N$185:$N$185,'Quote'!$N$186:$N$186,'Quote'!$N$187:$N$187,'Quote'!$N$188:$N$188,'Quote'!$N$189:$N$189,'Quote'!$N$190:$N$190,'Quote'!$N$191:$N$191,'Quote'!$N$192:$N$192,'Quote'!$N$193:$N$193,'Quote'!$N$194:$N$194,'Quote'!$N$195:$N$195,'Quote'!$N$196:$N$196,'Quote'!$N$197:$N$197,'Quote'!$N$198:$N$198,'Quote'!$N$199:$N$199,'Quote'!$N$200:$N$200,'Quote'!$N$201:$N$201,'Quote'!$N$202:$N$202,'Quote'!$N$203:$N$203,'Quote'!$N$204:$N$204,'Quote'!$N$205:$N$205,'Quote'!$N$206:$N$206,'Quote'!$N$207:$N$207,'Quote'!$N$208:$N$208,'Quote'!$N$209:$N$209,'Quote'!$N$210:$N$210,'Quote'!$N$211:$N$211,'Quote'!$N$212:$N$212,'Quote'!$N$213:$N$213,'Quote'!$N$214:$N$214,'Quote'!$N$215:$N$215,'Quote'!$N$216:$N$216,'Quote'!$N$217:$N$217,'Quote'!$N$218:$N$218,'Quote'!$N$219:$N$219,'Quote'!$N$220:$N$220,'Quote'!$N$221:$N$221,'Quote'!$N$222:$N$222,'Quote'!$N$223:$N$223,'Quote'!$N$224:$N$224,'Quote'!$N$225:$N$225,'Quote'!$N$226:$N$226,'Quote'!$N$227:$N$227,'Quote'!$N$228:$N$228,'Quote'!$N$229:$N$229,'Quote'!$N$230:$N$230,'Quote'!$N$231:$N$231,'Quote'!$N$232:$N$232,'Quote'!$N$233:$N$233,'Quote'!$N$234:$N$234,'Quote'!$N$235:$N$235,'Quote'!$N$236:$N$236,'Quote'!$N$237:$N$237,'Quote'!$N$238:$N$238,'Quote'!$N$239:$N$239,'Quote'!$N$240:$N$240,'Quote'!$N$241:$N$241,'Quote'!$N$242:$N$242,'Quote'!$N$243:$N$243,'Quote'!$N$244:$N$244,'Quote'!$N$245:$N$245,'Quote'!$N$246:$N$246,'Quote'!$N$247:$N$247,'Quote'!$N$248:$N$248,'Quote'!$N$249:$N$249,'Quote'!$N$250:$N$250,'Quote'!$N$251:$N$251,'Quote'!$N$252:$N$252,'Quote'!$N$253:$N$253,'Quote'!$N$254:$N$254</x:definedName>
  </x:definedNames>
  <x:calcPr calcId="171027"/>
</x:workbook>
</file>

<file path=xl/calcChain.xml><?xml version="1.0" encoding="utf-8"?>
<x:calcChain xmlns:x="http://schemas.openxmlformats.org/spreadsheetml/2006/main">
  <x:c r="J19" i="1"/>
  <x:c r="N20" i="1"/>
  <x:c r="N21" i="1"/>
  <x:c r="N22" i="1"/>
  <x:c r="N23" i="1"/>
  <x:c r="N24" i="1"/>
  <x:c r="N25" i="1"/>
  <x:c r="N26" i="1"/>
  <x:c r="N27" i="1"/>
  <x:c r="N28" i="1"/>
  <x:c r="N29" i="1"/>
  <x:c r="N30" i="1"/>
  <x:c r="N31" i="1"/>
  <x:c r="N32" i="1"/>
  <x:c r="N33" i="1"/>
  <x:c r="N34" i="1"/>
  <x:c r="N35" i="1"/>
  <x:c r="N36" i="1"/>
  <x:c r="N37" i="1"/>
  <x:c r="N38" i="1"/>
  <x:c r="N39" i="1"/>
  <x:c r="N40" i="1"/>
  <x:c r="N41" i="1"/>
  <x:c r="N42" i="1"/>
  <x:c r="N43" i="1"/>
  <x:c r="N44" i="1"/>
  <x:c r="N45" i="1"/>
  <x:c r="N46" i="1"/>
  <x:c r="N47" i="1"/>
  <x:c r="N48" i="1"/>
  <x:c r="N49" i="1"/>
  <x:c r="N50" i="1"/>
  <x:c r="N51" i="1"/>
  <x:c r="N52" i="1"/>
  <x:c r="N53" i="1"/>
  <x:c r="N54" i="1"/>
  <x:c r="N55" i="1"/>
  <x:c r="N56" i="1"/>
  <x:c r="N57" i="1"/>
  <x:c r="N58" i="1"/>
  <x:c r="N59" i="1"/>
  <x:c r="N60" i="1"/>
  <x:c r="N61" i="1"/>
  <x:c r="N62" i="1"/>
  <x:c r="N63" i="1"/>
  <x:c r="N64" i="1"/>
  <x:c r="N65" i="1"/>
  <x:c r="N66" i="1"/>
  <x:c r="N67" i="1"/>
  <x:c r="N68" i="1"/>
  <x:c r="N69" i="1"/>
  <x:c r="N70" i="1"/>
  <x:c r="N71" i="1"/>
  <x:c r="O71" i="1"/>
  <x:c r="N72" i="1"/>
  <x:c r="O72" i="1"/>
  <x:c r="N73" i="1"/>
  <x:c r="O73" i="1"/>
  <x:c r="N74" i="1"/>
  <x:c r="O74" i="1"/>
  <x:c r="N75" i="1"/>
  <x:c r="O75" i="1"/>
  <x:c r="N76" i="1"/>
  <x:c r="O76" i="1"/>
  <x:c r="N77" i="1"/>
  <x:c r="O77" i="1"/>
  <x:c r="N78" i="1"/>
  <x:c r="O78" i="1"/>
  <x:c r="N79" i="1"/>
  <x:c r="O79" i="1"/>
  <x:c r="N80" i="1"/>
  <x:c r="O80" i="1"/>
  <x:c r="N81" i="1"/>
  <x:c r="O81" i="1"/>
  <x:c r="N82" i="1"/>
  <x:c r="O82" i="1"/>
  <x:c r="N83" i="1"/>
  <x:c r="O83" i="1"/>
  <x:c r="N84" i="1"/>
  <x:c r="O84" i="1"/>
  <x:c r="N85" i="1"/>
  <x:c r="O85" i="1"/>
  <x:c r="N86" i="1"/>
  <x:c r="O86" i="1"/>
  <x:c r="N87" i="1"/>
  <x:c r="O87" i="1"/>
  <x:c r="N88" i="1"/>
  <x:c r="O88" i="1"/>
  <x:c r="N89" i="1"/>
  <x:c r="O89" i="1"/>
  <x:c r="N90" i="1"/>
  <x:c r="O90" i="1"/>
  <x:c r="N91" i="1"/>
  <x:c r="O91" i="1"/>
  <x:c r="N92" i="1"/>
  <x:c r="O92" i="1"/>
  <x:c r="N93" i="1"/>
  <x:c r="O93" i="1"/>
  <x:c r="N94" i="1"/>
  <x:c r="O94" i="1"/>
  <x:c r="N95" i="1"/>
  <x:c r="O95" i="1"/>
  <x:c r="N96" i="1"/>
  <x:c r="O96" i="1"/>
  <x:c r="N97" i="1"/>
  <x:c r="O97" i="1"/>
  <x:c r="N98" i="1"/>
  <x:c r="O98" i="1"/>
  <x:c r="N99" i="1"/>
  <x:c r="O99" i="1"/>
  <x:c r="N100" i="1"/>
  <x:c r="O100" i="1"/>
  <x:c r="N101" i="1"/>
  <x:c r="O101" i="1"/>
  <x:c r="N102" i="1"/>
  <x:c r="O102" i="1"/>
  <x:c r="N103" i="1"/>
  <x:c r="O103" i="1"/>
  <x:c r="N104" i="1"/>
  <x:c r="O104" i="1"/>
  <x:c r="N105" i="1"/>
  <x:c r="O105" i="1"/>
  <x:c r="N106" i="1"/>
  <x:c r="O106" i="1"/>
  <x:c r="N107" i="1"/>
  <x:c r="O107" i="1"/>
  <x:c r="N108" i="1"/>
  <x:c r="O108" i="1"/>
  <x:c r="N109" i="1"/>
  <x:c r="O109" i="1"/>
  <x:c r="N110" i="1"/>
  <x:c r="O110" i="1"/>
  <x:c r="N111" i="1"/>
  <x:c r="O111" i="1"/>
  <x:c r="N112" i="1"/>
  <x:c r="O112" i="1"/>
  <x:c r="N113" i="1"/>
  <x:c r="O113" i="1"/>
  <x:c r="N114" i="1"/>
  <x:c r="O114" i="1"/>
  <x:c r="N115" i="1"/>
  <x:c r="O115" i="1"/>
  <x:c r="N116" i="1"/>
  <x:c r="O116" i="1"/>
  <x:c r="N117" i="1"/>
  <x:c r="O117" i="1"/>
  <x:c r="N118" i="1"/>
  <x:c r="O118" i="1"/>
  <x:c r="N119" i="1"/>
  <x:c r="O119" i="1"/>
  <x:c r="N120" i="1"/>
  <x:c r="O120" i="1"/>
  <x:c r="N121" i="1"/>
  <x:c r="O121" i="1"/>
  <x:c r="N122" i="1"/>
  <x:c r="O122" i="1"/>
  <x:c r="N123" i="1"/>
  <x:c r="O123" i="1"/>
  <x:c r="N124" i="1"/>
  <x:c r="O124" i="1"/>
  <x:c r="N125" i="1"/>
  <x:c r="O125" i="1"/>
  <x:c r="N126" i="1"/>
  <x:c r="O126" i="1"/>
  <x:c r="N127" i="1"/>
  <x:c r="O127" i="1"/>
  <x:c r="N128" i="1"/>
  <x:c r="O128" i="1"/>
  <x:c r="N129" i="1"/>
  <x:c r="O129" i="1"/>
  <x:c r="N130" i="1"/>
  <x:c r="O130" i="1"/>
  <x:c r="N131" i="1"/>
  <x:c r="O131" i="1"/>
  <x:c r="N132" i="1"/>
  <x:c r="O132" i="1"/>
  <x:c r="N133" i="1"/>
  <x:c r="O133" i="1"/>
  <x:c r="N134" i="1"/>
  <x:c r="O134" i="1"/>
  <x:c r="N135" i="1"/>
  <x:c r="O135" i="1"/>
  <x:c r="N136" i="1"/>
  <x:c r="O136" i="1"/>
  <x:c r="N137" i="1"/>
  <x:c r="O137" i="1"/>
  <x:c r="N138" i="1"/>
  <x:c r="O138" i="1"/>
  <x:c r="N139" i="1"/>
  <x:c r="O139" i="1"/>
  <x:c r="N140" i="1"/>
  <x:c r="O140" i="1"/>
  <x:c r="N141" i="1"/>
  <x:c r="O141" i="1"/>
  <x:c r="N142" i="1"/>
  <x:c r="O142" i="1"/>
  <x:c r="N143" i="1"/>
  <x:c r="O143" i="1"/>
  <x:c r="N144" i="1"/>
  <x:c r="O144" i="1"/>
  <x:c r="N145" i="1"/>
  <x:c r="O145" i="1"/>
  <x:c r="N146" i="1"/>
  <x:c r="O146" i="1"/>
  <x:c r="N147" i="1"/>
  <x:c r="O147" i="1"/>
  <x:c r="N148" i="1"/>
  <x:c r="O148" i="1"/>
  <x:c r="N149" i="1"/>
  <x:c r="O149" i="1"/>
  <x:c r="N150" i="1"/>
  <x:c r="O150" i="1"/>
  <x:c r="N151" i="1"/>
  <x:c r="O151" i="1"/>
  <x:c r="N152" i="1"/>
  <x:c r="O152" i="1"/>
  <x:c r="N153" i="1"/>
  <x:c r="O153" i="1"/>
  <x:c r="N154" i="1"/>
  <x:c r="O154" i="1"/>
  <x:c r="N155" i="1"/>
  <x:c r="O155" i="1"/>
  <x:c r="N156" i="1"/>
  <x:c r="O156" i="1"/>
  <x:c r="N157" i="1"/>
  <x:c r="O157" i="1"/>
  <x:c r="N158" i="1"/>
  <x:c r="O158" i="1"/>
  <x:c r="N159" i="1"/>
  <x:c r="O159" i="1"/>
  <x:c r="N160" i="1"/>
  <x:c r="O160" i="1"/>
  <x:c r="N161" i="1"/>
  <x:c r="O161" i="1"/>
  <x:c r="N162" i="1"/>
  <x:c r="O162" i="1"/>
  <x:c r="N163" i="1"/>
  <x:c r="O163" i="1"/>
  <x:c r="N164" i="1"/>
  <x:c r="O164" i="1"/>
  <x:c r="N165" i="1"/>
  <x:c r="O165" i="1"/>
  <x:c r="N166" i="1"/>
  <x:c r="O166" i="1"/>
  <x:c r="N167" i="1"/>
  <x:c r="O167" i="1"/>
  <x:c r="N168" i="1"/>
  <x:c r="O168" i="1"/>
  <x:c r="N169" i="1"/>
  <x:c r="O169" i="1"/>
  <x:c r="N170" i="1"/>
  <x:c r="O170" i="1"/>
  <x:c r="N171" i="1"/>
  <x:c r="O171" i="1"/>
  <x:c r="N172" i="1"/>
  <x:c r="O172" i="1"/>
  <x:c r="N173" i="1"/>
  <x:c r="O173" i="1"/>
  <x:c r="N174" i="1"/>
  <x:c r="O174" i="1"/>
  <x:c r="N175" i="1"/>
  <x:c r="O175" i="1"/>
  <x:c r="N176" i="1"/>
  <x:c r="O176" i="1"/>
  <x:c r="N177" i="1"/>
  <x:c r="O177" i="1"/>
  <x:c r="N178" i="1"/>
  <x:c r="O178" i="1"/>
  <x:c r="N179" i="1"/>
  <x:c r="O179" i="1"/>
  <x:c r="N180" i="1"/>
  <x:c r="O180" i="1"/>
  <x:c r="N181" i="1"/>
  <x:c r="O181" i="1"/>
  <x:c r="N182" i="1"/>
  <x:c r="O182" i="1"/>
  <x:c r="N183" i="1"/>
  <x:c r="O183" i="1"/>
  <x:c r="N184" i="1"/>
  <x:c r="O184" i="1"/>
  <x:c r="N185" i="1"/>
  <x:c r="O185" i="1"/>
  <x:c r="N186" i="1"/>
  <x:c r="O186" i="1"/>
  <x:c r="N187" i="1"/>
  <x:c r="O187" i="1"/>
  <x:c r="N188" i="1"/>
  <x:c r="O188" i="1"/>
  <x:c r="N189" i="1"/>
  <x:c r="O189" i="1"/>
  <x:c r="N190" i="1"/>
  <x:c r="O190" i="1"/>
  <x:c r="N191" i="1"/>
  <x:c r="O191" i="1"/>
  <x:c r="N192" i="1"/>
  <x:c r="O192" i="1"/>
  <x:c r="N193" i="1"/>
  <x:c r="O193" i="1"/>
  <x:c r="N194" i="1"/>
  <x:c r="O194" i="1"/>
  <x:c r="N195" i="1"/>
  <x:c r="O195" i="1"/>
  <x:c r="N196" i="1"/>
  <x:c r="O196" i="1"/>
  <x:c r="N197" i="1"/>
  <x:c r="O197" i="1"/>
  <x:c r="N198" i="1"/>
  <x:c r="O198" i="1"/>
  <x:c r="N199" i="1"/>
  <x:c r="O199" i="1"/>
  <x:c r="N200" i="1"/>
  <x:c r="O200" i="1"/>
  <x:c r="N201" i="1"/>
  <x:c r="O201" i="1"/>
  <x:c r="N202" i="1"/>
  <x:c r="O202" i="1"/>
  <x:c r="N203" i="1"/>
  <x:c r="O203" i="1"/>
  <x:c r="N204" i="1"/>
  <x:c r="O204" i="1"/>
  <x:c r="N205" i="1"/>
  <x:c r="O205" i="1"/>
  <x:c r="N206" i="1"/>
  <x:c r="O206" i="1"/>
  <x:c r="N207" i="1"/>
  <x:c r="O207" i="1"/>
  <x:c r="N208" i="1"/>
  <x:c r="O208" i="1"/>
  <x:c r="N209" i="1"/>
  <x:c r="O209" i="1"/>
  <x:c r="N210" i="1"/>
  <x:c r="O210" i="1"/>
  <x:c r="N211" i="1"/>
  <x:c r="O211" i="1"/>
  <x:c r="N212" i="1"/>
  <x:c r="O212" i="1"/>
  <x:c r="N213" i="1"/>
  <x:c r="O213" i="1"/>
  <x:c r="N214" i="1"/>
  <x:c r="O214" i="1"/>
  <x:c r="N215" i="1"/>
  <x:c r="O215" i="1"/>
  <x:c r="N216" i="1"/>
  <x:c r="O216" i="1"/>
  <x:c r="N217" i="1"/>
  <x:c r="O217" i="1"/>
  <x:c r="N218" i="1"/>
  <x:c r="O218" i="1"/>
  <x:c r="N219" i="1"/>
  <x:c r="O219" i="1"/>
  <x:c r="N220" i="1"/>
  <x:c r="O220" i="1"/>
  <x:c r="N221" i="1"/>
  <x:c r="O221" i="1"/>
  <x:c r="N222" i="1"/>
  <x:c r="O222" i="1"/>
  <x:c r="N223" i="1"/>
  <x:c r="O223" i="1"/>
  <x:c r="N224" i="1"/>
  <x:c r="O224" i="1"/>
  <x:c r="N225" i="1"/>
  <x:c r="O225" i="1"/>
  <x:c r="N226" i="1"/>
  <x:c r="O226" i="1"/>
  <x:c r="N227" i="1"/>
  <x:c r="O227" i="1"/>
  <x:c r="N228" i="1"/>
  <x:c r="O228" i="1"/>
  <x:c r="N229" i="1"/>
  <x:c r="O229" i="1"/>
  <x:c r="N230" i="1"/>
  <x:c r="O230" i="1"/>
  <x:c r="N231" i="1"/>
  <x:c r="O231" i="1"/>
  <x:c r="N232" i="1"/>
  <x:c r="O232" i="1"/>
  <x:c r="N233" i="1"/>
  <x:c r="O233" i="1"/>
  <x:c r="N234" i="1"/>
  <x:c r="O234" i="1"/>
  <x:c r="N235" i="1"/>
  <x:c r="O235" i="1"/>
  <x:c r="N236" i="1"/>
  <x:c r="O236" i="1"/>
  <x:c r="N237" i="1"/>
  <x:c r="O237" i="1"/>
  <x:c r="N238" i="1"/>
  <x:c r="O238" i="1"/>
  <x:c r="N239" i="1"/>
  <x:c r="O239" i="1"/>
  <x:c r="N240" i="1"/>
  <x:c r="O240" i="1"/>
  <x:c r="N241" i="1"/>
  <x:c r="O241" i="1"/>
  <x:c r="N242" i="1"/>
  <x:c r="O242" i="1"/>
  <x:c r="N243" i="1"/>
  <x:c r="O243" i="1"/>
  <x:c r="N244" i="1"/>
  <x:c r="O244" i="1"/>
  <x:c r="N245" i="1"/>
  <x:c r="O245" i="1"/>
  <x:c r="N246" i="1"/>
  <x:c r="O246" i="1"/>
  <x:c r="N247" i="1"/>
  <x:c r="O247" i="1"/>
  <x:c r="N248" i="1"/>
  <x:c r="O248" i="1"/>
  <x:c r="N249" i="1"/>
  <x:c r="O249" i="1"/>
  <x:c r="N250" i="1"/>
  <x:c r="O250" i="1"/>
  <x:c r="N251" i="1"/>
  <x:c r="O251" i="1"/>
  <x:c r="N252" i="1"/>
  <x:c r="O252" i="1"/>
  <x:c r="N253" i="1"/>
  <x:c r="O253" i="1"/>
  <x:c r="N254" i="1"/>
  <x:c r="O254" i="1"/>
  <x:c r="N257" i="1"/>
  <x:c r="N258" i="1"/>
  <x:c r="N259" i="1"/>
  <x:c r="N260" i="1"/>
  <x:c r="N261" i="1"/>
  <x:c r="N262" i="1"/>
</x:calcChain>
</file>

<file path=xl/sharedStrings.xml><?xml version="1.0" encoding="utf-8"?>
<x:sst xmlns:x="http://schemas.openxmlformats.org/spreadsheetml/2006/main" count="442" uniqueCount="442">
  <x:si>
    <x:t>RFQ</x:t>
  </x:si>
  <x:si>
    <x:t>Request for Quote</x:t>
  </x:si>
  <x:si>
    <x:t>Invoice To</x:t>
  </x:si>
  <x:si>
    <x:t>Bernhard Schulte Shipmanagement (Hong Kong) Limited Partnership
Bomar C LLC 
c/o Bernhard Schulte Shipmanagement (Deutschland) GmbH &amp; Co. KG 
Vorsetzen 54 
DE 20459 Hamburg 
Germany</x:t>
  </x:si>
  <x:si>
    <x:t>Vessel</x:t>
  </x:si>
  <x:si>
    <x:t>Interlink Activity</x:t>
  </x:si>
  <x:si>
    <x:t>RFQ No.</x:t>
  </x:si>
  <x:si>
    <x:t>AVY/O0016/RF19</x:t>
  </x:si>
  <x:si>
    <x:t>RFQ Date</x:t>
  </x:si>
  <x:si>
    <x:t>Submit Quote Before:</x:t>
  </x:si>
  <x:si>
    <x:t>Port of Delivery</x:t>
  </x:si>
  <x:si>
    <x:t>Brake</x:t>
  </x:si>
  <x:si>
    <x:t>Vessel ETA</x:t>
  </x:si>
  <x:si>
    <x:t>Lead Days</x:t>
  </x:si>
  <x:si>
    <x:t>Vendor Details</x:t>
  </x:si>
  <x:si>
    <x:t>Vendor Reference</x:t>
  </x:si>
  <x:si>
    <x:t>Name</x:t>
  </x:si>
  <x:si>
    <x:t>BASTE + LANGE GMBH</x:t>
  </x:si>
  <x:si>
    <x:t>Address</x:t>
  </x:si>
  <x:si>
    <x:t>AM GENTER UFER 4A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</x:si>
  <x:si>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</x:si>
  <x:si>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</x:si>
  <x:si>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</x:si>
  <x:si>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</x:si>
  <x:si>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</x:si>
  <x:si>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+49 40 781109 57</x:t>
  </x:si>
  <x:si>
    <x:t>VAT(%) for all items</x:t>
  </x:si>
  <x:si>
    <x:t>Email</x:t>
  </x:si>
  <x:si>
    <x:t>technical@bastelange.com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</x:si>
  <x:si>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</x:si>
  <x:si>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</x:si>
  <x:si>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</x:si>
  <x:si>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</x:si>
  <x:si>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</x:si>
  <x:si>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</x:si>
  <x:si>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</x:si>
  <x:si>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</x:si>
  <x:si>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</x:si>
  <x:si>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</x:si>
  <x:si>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</x:si>
  <x:si>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</x:si>
  <x:si>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BALL BEARING SINGLE ROW DEEP GROOVE NO.6310ZZ Only "SKF" Bearing</x:t>
  </x:si>
  <x:si>
    <x:t>PCS</x:t>
  </x:si>
  <x:si>
    <x:t>ENGINE</x:t>
  </x:si>
  <x:si>
    <x:t>VACUUM CLEANER PNEUMATIC BLOBAC CLEANER" MODEL V-300</x:t>
  </x:si>
  <x:si>
    <x:t>SET</x:t>
  </x:si>
  <x:si>
    <x:t>PLUG ADAPTOR 2-ROUND PIN PLUG &amp; 2-FLAT PIN RECEPTACLE</x:t>
  </x:si>
  <x:si>
    <x:t>WIRE GALVANIZED IRON 2.6MM</x:t>
  </x:si>
  <x:si>
    <x:t>KGS</x:t>
  </x:si>
  <x:si>
    <x:t>WIPING WASTE, STERILIZED</x:t>
  </x:si>
  <x:si>
    <x:t>LAMP FLUORESCENT COOL WHITE FL-30S 30W 32.5X630MM</x:t>
  </x:si>
  <x:si>
    <x:t>length 895mm</x:t>
  </x:si>
  <x:si>
    <x:t>FLASHLIGHT INTRINSICALLY SAFE, LED BRIGHT STAR #60102 ORANGE</x:t>
  </x:si>
  <x:si>
    <x:t>HEAD TORCH LED SAFETY, WOLF HT-400</x:t>
  </x:si>
  <x:si>
    <x:t>GOGGLE ULTRASONIC UVEX 9302, ORANGE FRAME</x:t>
  </x:si>
  <x:si>
    <x:t>PRS</x:t>
  </x:si>
  <x:si>
    <x:t>THISTLEBOND STANDARD RESIN, 225GRM TRK 19000</x:t>
  </x:si>
  <x:si>
    <x:t>THISTLEBOND GLASS TAPE, 50MMX50MTR TRK 19007</x:t>
  </x:si>
  <x:si>
    <x:t>RLS</x:t>
  </x:si>
  <x:si>
    <x:t>OIL FUNNELS GALV W/STRAINER, 200MM DIAM</x:t>
  </x:si>
  <x:si>
    <x:t>OIL FUNNEL GALV W/STRAINER, 100MM DIAM</x:t>
  </x:si>
  <x:si>
    <x:t>EAR PLUG FOR HI-LOW PITCH, NOISE</x:t>
  </x:si>
  <x:si>
    <x:t>DUST MASK DISPOSABLE 50'S/PKT</x:t>
  </x:si>
  <x:si>
    <x:t>PKT</x:t>
  </x:si>
  <x:si>
    <x:t>ENGINE+DECK</x:t>
  </x:si>
  <x:si>
    <x:t>GLOVES WORKING COTTON ORDINARY</x:t>
  </x:si>
  <x:si>
    <x:t>DOZ</x:t>
  </x:si>
  <x:si>
    <x:t>HANDSHIELD HANDLE OUTSIDE TYPE</x:t>
  </x:si>
  <x:si>
    <x:t>HOSE BAND STAINLESS STEEL 68-85MM</x:t>
  </x:si>
  <x:si>
    <x:t>HOSE BAND STAINLESS STEEL 44-56MM</x:t>
  </x:si>
  <x:si>
    <x:t>HOSE BAND STAINLESS STEEL 22-32MM</x:t>
  </x:si>
  <x:si>
    <x:t>HOSE BAND STAINLESS STEEL 13-20MM</x:t>
  </x:si>
  <x:si>
    <x:t>HAMMER RUBBER HANDLED, 60MM DIAM NO.1 (0.58KGS)</x:t>
  </x:si>
  <x:si>
    <x:t>SPARE PLATE FOR ARC WELDING, 105X50X2MM CLEAR</x:t>
  </x:si>
  <x:si>
    <x:t>SPARE PLATE FOR ARC WELDING, 105X50X3MM NO.12 DARK GREEN</x:t>
  </x:si>
  <x:si>
    <x:t>SPARE PLATE FOR ARC WELDING, 105X50X3MM NO.11 DARK GREEN</x:t>
  </x:si>
  <x:si>
    <x:t>FIRE CONTROL SIGN FIRE CONTROL, PLAN 150X150MM</x:t>
  </x:si>
  <x:si>
    <x:t>DECK  see attachment</x:t>
  </x:si>
  <x:si>
    <x:t>THERMO POT ELECTRIC, 2.4LTR 220V</x:t>
  </x:si>
  <x:si>
    <x:t xml:space="preserve">PLS don`t supply plastic material body of pot </x:t>
  </x:si>
  <x:si>
    <x:t>WIRE COPPER 1.6MM</x:t>
  </x:si>
  <x:si>
    <x:t>CABLE BAND PLASTIC 300MM</x:t>
  </x:si>
  <x:si>
    <x:t>CABLE BAND PLASTIC 150MM</x:t>
  </x:si>
  <x:si>
    <x:t>CABLE SHOE CLAMPING TYPE-B, NOMINAL SIZE 1.25</x:t>
  </x:si>
  <x:si>
    <x:t>TERMINAL LUG INSULATED, FLAT PIN 2MM2 W:4MM BLUE</x:t>
  </x:si>
  <x:si>
    <x:t>TERMINAL LUG INSULATED SPADE, 2MM2 HOLE DIA 4MM BLUE</x:t>
  </x:si>
  <x:si>
    <x:t>SCF-S-ESE709</x:t>
  </x:si>
  <x:si>
    <x:t>TERMINAL LUG INSULATED SPADE, 1.25MM2 HOLE DIA 3MM RED</x:t>
  </x:si>
  <x:si>
    <x:t>TERMINAL LUG INSULATED EYELET 2MM2 HOLE DIA 3MM BLUE</x:t>
  </x:si>
  <x:si>
    <x:t>TERMINAL LUG INSULATED EYELET, 1.25MM2 HOLE DIA 4MM RED</x:t>
  </x:si>
  <x:si>
    <x:t>FUSE WIRE 5AMP 450GRM</x:t>
  </x:si>
  <x:si>
    <x:t>SPL</x:t>
  </x:si>
  <x:si>
    <x:t>SCF-S-ELE641</x:t>
  </x:si>
  <x:si>
    <x:t>RECEPTACLE CABIN SURFACE, DOUBLE</x:t>
  </x:si>
  <x:si>
    <x:t>RECEPTACLE 3WAYS EUROPEAN PLUG, 2 ROUND PINS W/3MTR CORD</x:t>
  </x:si>
  <x:si>
    <x:t>RECEPTACLE W/T IEC W/LOCK 3P+E, AC380-415/440-460V RED RSIL2-3</x:t>
  </x:si>
  <x:si>
    <x:t>RECEPTACLE W/T IEC TYPE W/LOCK, 2P+E AC200-250V BLUE RSIL2-2</x:t>
  </x:si>
  <x:si>
    <x:t>PLUG ANGLE WATERTIGHT IEC, AC380-415/440-460V RED P12-3B1</x:t>
  </x:si>
  <x:si>
    <x:t>SCF-S-ELE655</x:t>
  </x:si>
  <x:si>
    <x:t>PLUG ANGLE WATERTIGHT IEC, 2P+E AC200-250V BLUE P12-2B1</x:t>
  </x:si>
  <x:si>
    <x:t>HAND LAMP WATERTIGHT E-26 60W, (EX.JIS)</x:t>
  </x:si>
  <x:si>
    <x:t>LAMP FLUORESCENT COOL WHITE FL-15 15W 25.5X436MM</x:t>
  </x:si>
  <x:si>
    <x:t>L 436mm</x:t>
  </x:si>
  <x:si>
    <x:t>LAMP FLUORESCENT COOL WHITE, FL-20SS-CW/18-24 18W 26X588.7MM</x:t>
  </x:si>
  <x:si>
    <x:t>L 588.7mm</x:t>
  </x:si>
  <x:si>
    <x:t>LAMP FLUORESCENT COOL WHITE, FL-8W 8W 15.5X287MM</x:t>
  </x:si>
  <x:si>
    <x:t>L 287mm</x:t>
  </x:si>
  <x:si>
    <x:t>LAMP VS CLEAR E-26 220-240V 60W</x:t>
  </x:si>
  <x:si>
    <x:t>PLIER SIDE CUTTING &amp; REAMER, PLASTIC COVERED HANDLE, 175MM</x:t>
  </x:si>
  <x:si>
    <x:t>PLIER LONG NEEDLE NOSE, PLASTIC COVERED HANDLE 150MM</x:t>
  </x:si>
  <x:si>
    <x:t>SCREWDRIVER INSULATED HANDLE, HEAVY-DUTY SLOTTED 4.5X50MM</x:t>
  </x:si>
  <x:si>
    <x:t>PLIER STOP RING BENT, INTERNAL 50-100MM</x:t>
  </x:si>
  <x:si>
    <x:t>PLIER STOP RING BENT, EXTERNAL 32-80MM</x:t>
  </x:si>
  <x:si>
    <x:t>BRUSH COUNTER BLACK HAIR</x:t>
  </x:si>
  <x:si>
    <x:t>LAMP NAVIGATION E-26 220V 60W</x:t>
  </x:si>
  <x:si>
    <x:t>HARNESS S'GL D-RING WORKMAN, MSA PREMIER QWIK-FIT S 10115541</x:t>
  </x:si>
  <x:si>
    <x:t>PLUG REVERSE FLOW PREVENTION, FOR AC #AP-2 3/8" HOSE END</x:t>
  </x:si>
  <x:si>
    <x:t>SOCKET REVERSE FLOW PREVENTION, FOR AC #AS-2 3/8" HOSE END</x:t>
  </x:si>
  <x:si>
    <x:t>PLUG REVERSE FLOW PREVENTION, FOR OX #AP-1 1/4" HOSE END</x:t>
  </x:si>
  <x:si>
    <x:t>SOCKET REVERSE FLOW PREVENTION, FOR OX #AS-1 1/4" HOSE END</x:t>
  </x:si>
  <x:si>
    <x:t>SCREWDRIVER SET WATCH MAKER'S, 6'S SLOTTED &amp; PHILLIPS</x:t>
  </x:si>
  <x:si>
    <x:t>GREASE BEARING 2.5KG</x:t>
  </x:si>
  <x:si>
    <x:t>CAN</x:t>
  </x:si>
  <x:si>
    <x:t>NOZZLE HOSE PISTOL GRIP, HOSE END 15MM</x:t>
  </x:si>
  <x:si>
    <x:t>HOSE PVC TETORON REINFORCED, ID-25 X OD-33MM 8KG</x:t>
  </x:si>
  <x:si>
    <x:t>MTR</x:t>
  </x:si>
  <x:si>
    <x:t>MATTING RUBBER CORRUGATED, 3X1000MMX10MTR</x:t>
  </x:si>
  <x:si>
    <x:t>SCREW MACHINE CROSS-RECESSED, HEAD WITH FURTHER DETAIL</x:t>
  </x:si>
  <x:si>
    <x:t>694201, Machine screw,  stainless steel,  cross recessed countersunk Flat,  M8x1.25 ,  25mm</x:t>
  </x:si>
  <x:si>
    <x:t>SILICON SEALANT CLEAR 330GRM (300grm)</x:t>
  </x:si>
  <x:si>
    <x:t>TUB</x:t>
  </x:si>
  <x:si>
    <x:t>VACUUM CLEANER 220V</x:t>
  </x:si>
  <x:si>
    <x:t>PRTCONS</x:t>
  </x:si>
  <x:si>
    <x:t>COPY PAPER PLAIN A-4 500SHT</x:t>
  </x:si>
  <x:si>
    <x:t>DECK / stationery</x:t>
  </x:si>
  <x:si>
    <x:t>LABEL SELF ADHESIVE, 22X87MM 95'S</x:t>
  </x:si>
  <x:si>
    <x:t>TAPE PLASTIC PRINTABLE, 19.0MMX32.9MTRS</x:t>
  </x:si>
  <x:si>
    <x:t>TAPE SEALING CLOTH 50MMX25MTR</x:t>
  </x:si>
  <x:si>
    <x:t>STAPLE REMOVER SPRING HOOK, TYPE</x:t>
  </x:si>
  <x:si>
    <x:t>MEMORY STICK USB 16GB</x:t>
  </x:si>
  <x:si>
    <x:t>MAGNETIC CLIP 56MM</x:t>
  </x:si>
  <x:si>
    <x:t>MAGNETIC CLIP 44MM</x:t>
  </x:si>
  <x:si>
    <x:t>FOLD BACK CLIP 50MM</x:t>
  </x:si>
  <x:si>
    <x:t>FOLD BACK CLIP 41MM</x:t>
  </x:si>
  <x:si>
    <x:t>ERASER WHITE BOARD</x:t>
  </x:si>
  <x:si>
    <x:t>POST-IT MEMO 14X75MM 100'S X 4PAD/PKT</x:t>
  </x:si>
  <x:si>
    <x:t>SIGN PEN POCKETABLE BLUE</x:t>
  </x:si>
  <x:si>
    <x:t>SIGN PEN POCKETABLE RED</x:t>
  </x:si>
  <x:si>
    <x:t>SIGN PEN POCKETABLE BLACK</x:t>
  </x:si>
  <x:si>
    <x:t>INK FOR STAMP PAD BLUE 60CC</x:t>
  </x:si>
  <x:si>
    <x:t>BTL</x:t>
  </x:si>
  <x:si>
    <x:t>CASSETTE RIBBON FOR COMPUTER, PRINTER</x:t>
  </x:si>
  <x:si>
    <x:t>DECK / stationery/INM-C PRINTER (FURUNO  MODEL: PP520) EPSON</x:t>
  </x:si>
  <x:si>
    <x:t>NOTEBOOK HARD COVERED B-5, 257X187MM 200PAGE</x:t>
  </x:si>
  <x:si>
    <x:t>VOL</x:t>
  </x:si>
  <x:si>
    <x:t>NOTEBOOK HARD COVERED A-5 210X148MM 100PAGE</x:t>
  </x:si>
  <x:si>
    <x:t>BALL BEARING SINGLE ROW, DEEP GROOVE NO.6202ZZ Only "SKF" Bearing</x:t>
  </x:si>
  <x:si>
    <x:t>SILL-COCK WITH SNAP ON HOSE, COUPLING 20(3/4)</x:t>
  </x:si>
  <x:si>
    <x:t>FAUCET WALL WITH ROTARY SPOUT, 13(1/2)</x:t>
  </x:si>
  <x:si>
    <x:t>FAUCET MIXING LAVATORY TOTO, TL306R4GU DOUBLE HANDLE 1/2"</x:t>
  </x:si>
  <x:si>
    <x:t>SHOWER HEADS HAND HELD WITH RUBBER HOSE</x:t>
  </x:si>
  <x:si>
    <x:t>WASTE WITH S-TRAP 38MM DIAM</x:t>
  </x:si>
  <x:si>
    <x:t>ELECTRODE 309-R 2.6MM 2.5KG, FOR STAINLESS STEEL</x:t>
  </x:si>
  <x:si>
    <x:t>EMERY CLOTH ABRASIVE 230X280MM GRIT #400</x:t>
  </x:si>
  <x:si>
    <x:t>SHT</x:t>
  </x:si>
  <x:si>
    <x:t>EMERY CLOTH ABRASIVE 230X280MM, GRIT #180</x:t>
  </x:si>
  <x:si>
    <x:t>NOZZLE FIRE JET/SPRAY BRASS, LUG 66MM STORZ-C 2" ST500012</x:t>
  </x:si>
  <x:si>
    <x:t>DECK fire fighting equipment</x:t>
  </x:si>
  <x:si>
    <x:t>GLUE GENERAL PURPOSE 1KG (For RUBBER)</x:t>
  </x:si>
  <x:si>
    <x:t>DECK</x:t>
  </x:si>
  <x:si>
    <x:t>TARPAULIN POLYESTER COLOR, THICK 0.6MM 1030MM WIDTH</x:t>
  </x:si>
  <x:si>
    <x:t>RADAR REFLECTOR PREFABRICATE, 320MM DIA SOLAS APPROVED</x:t>
  </x:si>
  <x:si>
    <x:t>DECK pls supply metal material</x:t>
  </x:si>
  <x:si>
    <x:t>LIFE BUOY WEIGHT OVER 2.5KGS, USCG APPROVED</x:t>
  </x:si>
  <x:si>
    <x:t>FIRE/DECKWASH VALVE DIN BRONZE, FLANGE &amp; STORZ ANGLE #912 65MM</x:t>
  </x:si>
  <x:si>
    <x:t>EAR PLUG SELF-FIT FOAM</x:t>
  </x:si>
  <x:si>
    <x:t>BUCKET PLASTIC 15LTR</x:t>
  </x:si>
  <x:si>
    <x:t>FLANGE CARBON STEEL SLIP-ON , DIN2576 PN10 150MM</x:t>
  </x:si>
  <x:si>
    <x:t>FLANGE CARBON STEEL SLIP-ON , DIN2576 PN10 200MM</x:t>
  </x:si>
  <x:si>
    <x:t>NUT DRIVER SET, 5MM-12MM, 7PCS/SET</x:t>
  </x:si>
  <x:si>
    <x:t>SCISSORS CLOTH OVERALL 240MM</x:t>
  </x:si>
  <x:si>
    <x:t>RAGS, WHITE, STERILIZED 75%</x:t>
  </x:si>
  <x:si>
    <x:t>BATTERY DRY CELL R03(UM-4) 1.5V LEAK-PROOF</x:t>
  </x:si>
  <x:si>
    <x:t>AIR FILTER 10X1600MM</x:t>
  </x:si>
  <x:si>
    <x:t>WRENCH SINGLE HEAD RATCHET, &amp; SPUD 12-POINT 27MM</x:t>
  </x:si>
  <x:si>
    <x:t>WRENCH SINGLE HEAD RATCHET, &amp; SPUD 12-POINT 30MM</x:t>
  </x:si>
  <x:si>
    <x:t>WRENCH SINGLE HEAD RATCHET, &amp; SPUD 12-POINT 46MM</x:t>
  </x:si>
  <x:si>
    <x:t>SEALING AGENT PERMATEX, FORM-A GASKET NO.2 1.5 OZ</x:t>
  </x:si>
  <x:si>
    <x:t>THISTLEBOND A&amp;B CEMENT 176GRM, TRK 19002</x:t>
  </x:si>
  <x:si>
    <x:t>RELEASING SOLUTION LOCTITE, FREEZE &amp; RELEASE 8040 400ML</x:t>
  </x:si>
  <x:si>
    <x:t>TIN</x:t>
  </x:si>
  <x:si>
    <x:t>SHEET NONASBESTOS FIBRE VALQUA, GENERAL 6500 1.5X2540X3810MM</x:t>
  </x:si>
  <x:si>
    <x:t>CHALK WELDER RECTANGULAR BAR, 50'S</x:t>
  </x:si>
  <x:si>
    <x:t>BOX</x:t>
  </x:si>
  <x:si>
    <x:t>FLUX WELDING 1KG, FOR DISSIMILAR METAL SOLDERING</x:t>
  </x:si>
  <x:si>
    <x:t>ELECTRODE NC-38 2.6MM 2.0KG, FOR STAINLESS STEEL(SUS-304)</x:t>
  </x:si>
  <x:si>
    <x:t>COMBINATION SPANNER, 18MM</x:t>
  </x:si>
  <x:si>
    <x:t>WRENCH OPEN &amp; 12-POINT BOX, 19MM</x:t>
  </x:si>
  <x:si>
    <x:t>WRENCH OPEN &amp; 12-POINT BOX, 17MM</x:t>
  </x:si>
  <x:si>
    <x:t>WRENCH OPEN &amp; 12-POINT BOX, 13MM</x:t>
  </x:si>
  <x:si>
    <x:t>HEX HEAD BOLT/NUT STEEL UNGALV, M8 X 50MM</x:t>
  </x:si>
  <x:si>
    <x:t>We need the type hexagon head set screw, not hexagon head bolt</x:t>
  </x:si>
  <x:si>
    <x:t>HEX HEAD BOLT/NUT STEEL UNGALV, M10 X 50MM</x:t>
  </x:si>
  <x:si>
    <x:t>HEX HEAD BOLT/NUT STEEL UNGALV, M12 X 80MM</x:t>
  </x:si>
  <x:si>
    <x:t>HEX HEAD BOLT/NUT STEEL UNGALV, M16 X 80MM</x:t>
  </x:si>
  <x:si>
    <x:t>HEX HEAD BOLT/NUT STEEL UNGALV, M18 X 100MM</x:t>
  </x:si>
  <x:si>
    <x:t>ELECTRIC HAIR CLIPPERS, 220V, 60HZ</x:t>
  </x:si>
  <x:si>
    <x:t>NON SKID SHEET MESH, WIDTH 800MM</x:t>
  </x:si>
  <x:si>
    <x:t>DETERGENT LAUNDRY MACHINE, 25KGS (Low Sud)</x:t>
  </x:si>
  <x:si>
    <x:t>BAG</x:t>
  </x:si>
  <x:si>
    <x:t>INSECTICIDE POWDER 500GRM</x:t>
  </x:si>
  <x:si>
    <x:t>HAND SOAP IN PUM DISPENSER - JELL TYPE</x:t>
  </x:si>
  <x:si>
    <x:t>SOAP TOILET LUX 100GRMX72'S</x:t>
  </x:si>
  <x:si>
    <x:t>CTN</x:t>
  </x:si>
  <x:si>
    <x:t>SCF-S-CLE65</x:t>
  </x:si>
  <x:si>
    <x:t>CLEANER LIQUID KITCHEN H. DUTY, SPRAY 400ML</x:t>
  </x:si>
  <x:si>
    <x:t>SOAP LIQUID 800CC FOR GALLEY (1 LTR ).</x:t>
  </x:si>
  <x:si>
    <x:t>BLEACHING WATER FOR LAUNDRY, 1500ML  (1 LTR)</x:t>
  </x:si>
  <x:si>
    <x:t>LAUNDRY STARCH 1KG</x:t>
  </x:si>
  <x:si>
    <x:t>1 kg/bag,Ttl 120kg</x:t>
  </x:si>
  <x:si>
    <x:t>RICE COOKER 3.6LTR 220V</x:t>
  </x:si>
  <x:si>
    <x:t>CLEAVER CARBON STEEL, BLADE 180MM</x:t>
  </x:si>
  <x:si>
    <x:t>HAND SCOURER STAINLESS STEEL</x:t>
  </x:si>
  <x:si>
    <x:t>PLASTIC BAG BLACK 30"X34", (762X864MM) 65LTR 50'S</x:t>
  </x:si>
  <x:si>
    <x:t>PLASTIC BAG BLACK, 500X400X1300MM 50'S</x:t>
  </x:si>
  <x:si>
    <x:t>TOILET PAPER 2-PLY SOFT 100'S</x:t>
  </x:si>
  <x:si>
    <x:t>SQUEEGEE RUBBER HANDLED, BLADE WIDTH 480MM</x:t>
  </x:si>
  <x:si>
    <x:t>POTATO PEELERS FRAME</x:t>
  </x:si>
  <x:si>
    <x:t>NAPKIN PAPER 1/6 FOLDED WHITE, 250X250MM 10000'S</x:t>
  </x:si>
  <x:si>
    <x:t>PLATTER OVAL CHINA, STANDARD QUALITY 235X172MM</x:t>
  </x:si>
  <x:si>
    <x:t>SPONGE CLOTH ALL COTTON 350X450MM</x:t>
  </x:si>
  <x:si>
    <x:t>FACE TOWEL COTTON WHITE 330 X 750MM, 80GRM</x:t>
  </x:si>
  <x:si>
    <x:t>BATH TOWEL COTTON WHITE, 700-800 X 1300-1400MM (300grm )</x:t>
  </x:si>
  <x:si>
    <x:t>BLANKET COVER FOR 1400X2000MM, (ACTUAL SIZE:1500X2100MM)</x:t>
  </x:si>
  <x:si>
    <x:t>SHEET ALL COTTON WHITE, 2286X2500MM</x:t>
  </x:si>
  <x:si>
    <x:t>PILLOW CASE WHITE REGULAR, 750X500X200MM</x:t>
  </x:si>
  <x:si>
    <x:t>REFRIGERATOR COAT COTTON XXL, (3L)</x:t>
  </x:si>
  <x:si>
    <x:t>For bunkering in winter</x:t>
  </x:si>
  <x:si>
    <x:t>TROUSERS REFRIGERATOR COTTON, 3L</x:t>
  </x:si>
  <x:si>
    <x:t>CAP WINTER KNIT FULLFACE</x:t>
  </x:si>
  <x:si>
    <x:t>CALIPER VERNIER STAINLESS, STEEL METRIC 100MM</x:t>
  </x:si>
  <x:si>
    <x:t>TAPE OIL GAUGE STAINLESS STEEL, METRIC 30MTR</x:t>
  </x:si>
  <x:si>
    <x:t>COUPLER QUICK-CONNECT STAINLESS STEEL 30SH 3/8"</x:t>
  </x:si>
  <x:si>
    <x:t>COUPLER QUICK-CONNECT STAINLESS STEEL 30PH 3/8"</x:t>
  </x:si>
  <x:si>
    <x:t>HOSE AIR RUBBER 15KG 9MMX2B</x:t>
  </x:si>
  <x:si>
    <x:t>MARLINE TARRED 3MM DIAX2.5KGS</x:t>
  </x:si>
  <x:si>
    <x:t>BAL</x:t>
  </x:si>
  <x:si>
    <x:t>SPONGE CLEANER 150X100X50MM</x:t>
  </x:si>
  <x:si>
    <x:t>HEAVING LINE VINYLON, 1"CIRX200MTR (8mm)</x:t>
  </x:si>
  <x:si>
    <x:t>C/L</x:t>
  </x:si>
  <x:si>
    <x:t>SHACKLE D-TYPE SCREW PIN GALV, 25MM SWL 2.0TON</x:t>
  </x:si>
  <x:si>
    <x:t>SLING NYLON BELT TYPE WITH, FURTHER DETAIL (with Certificate)</x:t>
  </x:si>
  <x:si>
    <x:t>WIDTH*LENGTH: 100MM*5M</x:t>
  </x:si>
  <x:si>
    <x:t>PLIER SIDE-CUTTING INSULATED, 175MM</x:t>
  </x:si>
  <x:si>
    <x:t>MASK GAUZE To prevent the inhalation of dirt, dust, or foreign particles, and to prevent possible infection of the patient during a surgica</x:t>
  </x:si>
  <x:si>
    <x:t>SAFETY HANDLAMP RECHARGEABLE, MICA IL-80 ATEX 6V 5AH</x:t>
  </x:si>
  <x:si>
    <x:t>HARNESS S'GL D-RING WORKMAN, MSA PREMIER QWIK-FIT M 10115542</x:t>
  </x:si>
  <x:si>
    <x:t>HELMET SAFETY POLYESTER RESIN, WHITE</x:t>
  </x:si>
  <x:si>
    <x:t>RAT GUARD 600MM FOR 73MM ROPE DIA</x:t>
  </x:si>
  <x:si>
    <x:t>CABLE GRIP WITH FURTHER DETAIL</x:t>
  </x:si>
  <x:si>
    <x:t>RAIN SUITS WITH HOOD, CLOTH LINED RUBBER XXL (3L)</x:t>
  </x:si>
  <x:si>
    <x:t>BOOTS WINTER 28CM</x:t>
  </x:si>
  <x:si>
    <x:t>BOOTS WINTER 26.5CM</x:t>
  </x:si>
  <x:si>
    <x:t>GLOVES WORKING LEATHER PALM</x:t>
  </x:si>
  <x:si>
    <x:t>FLOOR WAX FINISH SELF SHINING, JOHNSON NON-BUFF 18LTR</x:t>
  </x:si>
  <x:si>
    <x:t>FLOOR WAX STRIPPER, NEW POWERFUL BIKA 18LTR</x:t>
  </x:si>
  <x:si>
    <x:t>GREASE NIPPLE STRAIGHT A-TYPE PT 3/8 PLATED STEEL</x:t>
  </x:si>
  <x:si>
    <x:t>FIRE HOSE INNER/OUTER RUBBER  , LINED 65MMX20MTR 16KGF/CM2</x:t>
  </x:si>
  <x:si>
    <x:t>HATCH COVER TAPE DRY-CARGO, STANDARD 100MMX20MTR 3ROLLS</x:t>
  </x:si>
  <x:si>
    <x:t>SCISSORS CLOTH OVERALL 210MM</x:t>
  </x:si>
  <x:si>
    <x:t>WHEEL GRINDING OFFSET RESINOID, 100X4X15MM GRAIN36 4300MTR/MIN</x:t>
  </x:si>
  <x:si>
    <x:t>WRAPPING PAPER, KRAFT 910MM X 60MTR</x:t>
  </x:si>
  <x:si>
    <x:t>SPARE MINI ROLLER 100MM WIDTH</x:t>
  </x:si>
  <x:si>
    <x:t>BRUSH PAINT ROLLER MINI, WITH HANDLE 100MM WIDTH</x:t>
  </x:si>
  <x:si>
    <x:t>BRUSH RADIATOR ANGLE(DOG LEG), 25MM WIDTH</x:t>
  </x:si>
  <x:si>
    <x:t>SPARE PAINT ROLLER WOOL, 200MM WIDTH</x:t>
  </x:si>
  <x:si>
    <x:t>PAINT ROLLER WOOL 200MM WIDTH, COMPLETE WITH HANDLE</x:t>
  </x:si>
  <x:si>
    <x:t>RIVET BLIND OPENTYPE ALUM-BODY, STEEL-MANDREL 4.0X8.6MM 50'S</x:t>
  </x:si>
  <x:si>
    <x:t>READER MEMORY CARD FOR USB3.0</x:t>
  </x:si>
  <x:si>
    <x:t>DECK STATIONERY</x:t>
  </x:si>
  <x:si>
    <x:t>NT CUTTER A-300 LIGHT-DUTY, WITH CLIP BLADE 9MM</x:t>
  </x:si>
  <x:si>
    <x:t>LAMINATING POUCH FILM (100'S) - A4 size</x:t>
  </x:si>
  <x:si>
    <x:t>CUTTER L-500 MEDIUM-DUTY, BLADE 18MM (HANDY CUTTERS)</x:t>
  </x:si>
  <x:si>
    <x:t>RULE STRAIGHT PLASTIC 300MM</x:t>
  </x:si>
  <x:si>
    <x:t>INK FOR STAMP PAD BLACK 60CC</x:t>
  </x:si>
  <x:si>
    <x:t>FILE HARD BOARD COVER W/LEVER, FASTENER A-4S 307X236X18MM</x:t>
  </x:si>
  <x:si>
    <x:t>FILE HARD COVER W/ARCH HOLDER, &amp;FASTENER 307X270X60MM "SMALL"</x:t>
  </x:si>
  <x:si>
    <x:t>BALL-POINT PEN WATER-SOLUBLE BLACK 0.2MM</x:t>
  </x:si>
  <x:si>
    <x:t>BALL-POINT PEN RETRACTABLE BLACK</x:t>
  </x:si>
  <x:si>
    <x:t>SIGN PEN WATER-SOLUBLE BLACK, 0.2MM</x:t>
  </x:si>
  <x:si>
    <x:t>SIGN PEN WATER-SOLUBLE BLACK, 0.1MM</x:t>
  </x:si>
  <x:si>
    <x:t>TAPE CORRECTION IN DISPENSER, TAPE WIDTH 4MM</x:t>
  </x:si>
  <x:si>
    <x:t>FLAG HOOK UPPER&amp;LOWER COMPLETE</x:t>
  </x:si>
  <x:si>
    <x:t>TAPE PAPER DOUBLE SIDE GUMMED, 15MMX20MTR</x:t>
  </x:si>
  <x:si>
    <x:t>TAPE PAPER DOUBLE SIDE GUMMED, 50MM X 10MTR</x:t>
  </x:si>
  <x:si>
    <x:t>SIGNAL HALYARD (FLAG LINE), NYLON 1"CIRX300MTR</x:t>
  </x:si>
  <x:si>
    <x:t>GRINDER ANGLE PNEUMATIC, WHEEL SIZE 100X6X15MM</x:t>
  </x:si>
  <x:si>
    <x:t>SCRAPER DECK WITH LONG HANDLE, 65X1200MM</x:t>
  </x:si>
  <x:si>
    <x:t>RECORDING PAPER: 80mmW thermo-sensitive  -  FOR PRINTER OF TELEGRAPH LOGGER ( NABTESCO, model: ML-800 )</x:t>
  </x:si>
  <x:si>
    <x:t>SCF-S-STN240</x:t>
  </x:si>
  <x:si>
    <x:t>ML-800-V 80MM*30MM</x:t>
  </x:si>
  <x:si>
    <x:t>RECORDING PAPER FOR SAT-C PRINTER PAPER
 TYPE: WOODFREE PAPER NIPPON5, PAPER SIZE: 210MM X 25MM X 100MTRS, PRINTER MAKE: FURUNO, MODEL: PP-510</x:t>
  </x:si>
  <x:si>
    <x:t>SCF-S-STN410</x:t>
  </x:si>
  <x:si>
    <x:t>STAPLE FOR NO.3 DESK TYPE</x:t>
  </x:si>
  <x:si>
    <x:t>STAPLE FOR NO.10 HAND TYPE</x:t>
  </x:si>
  <x:si>
    <x:t>PRINTER CARTRIDGE HP 950 BLACK INK</x:t>
  </x:si>
  <x:si>
    <x:t>SCF-S-STN448</x:t>
  </x:si>
  <x:si>
    <x:t>CATRIDGE HP950 FOR PRINTER MODEL HP8100</x:t>
  </x:si>
  <x:si>
    <x:t>PRINTER CARTRIDGE HP 951 CYAN INK</x:t>
  </x:si>
  <x:si>
    <x:t>SCF-S-STN447</x:t>
  </x:si>
  <x:si>
    <x:t>CATRIDGE HP951 SPECIAL FOR PRINTER MODEL HP8100</x:t>
  </x:si>
  <x:si>
    <x:t>BLACK CARTRIDGE  FOR HP DESKJET 3630, CARTRIDGE NO: 302</x:t>
  </x:si>
  <x:si>
    <x:t>SCF-S-STN465</x:t>
  </x:si>
  <x:si>
    <x:t>CATRIDGE HP302 FOR PRINTER MODEL HP DeskJet 2130</x:t>
  </x:si>
  <x:si>
    <x:t>TRI COLOR CARTRIDGE  FOR HP DESKJET 3630, CARTRIDGE NO: 302</x:t>
  </x:si>
  <x:si>
    <x:t>SCF-S-STN466</x:t>
  </x:si>
  <x:si>
    <x:t>PRINTER CARTRIDGE HP 951 YELLOW INK</x:t>
  </x:si>
  <x:si>
    <x:t>SCF-S-STN445</x:t>
  </x:si>
  <x:si>
    <x:t>PRINTER CARTRIDGE HP 951 MAGENTA INK</x:t>
  </x:si>
  <x:si>
    <x:t>SCF-S-STN446</x:t>
  </x:si>
  <x:si>
    <x:t>PRINTER CARTRIDGE FOR CANON PRINTER:MF4712 .CARTRIDGE MODEL:CARTRIDGE 328</x:t>
  </x:si>
  <x:si>
    <x:t>SCF-S-STN563</x:t>
  </x:si>
  <x:si>
    <x:t>CHARCOAL BROILLING MEAT, 10KGS/BAG</x:t>
  </x:si>
  <x:si>
    <x:t>DUMBBELL SET</x:t>
  </x:si>
  <x:si>
    <x:t>HEAD 8KG/SHAFT 2KG</x:t>
  </x:si>
  <x:si>
    <x:t>EXERCISE WHEEL</x:t>
  </x:si>
  <x:si>
    <x:t>PLASTIC HOLDER A-4 ORANGE</x:t>
  </x:si>
  <x:si>
    <x:t>SOFT PLASTIC COVERS (A4)</x:t>
  </x:si>
  <x:si>
    <x:t>LETTER FILES WITH LEVER FASTENER-PLASTIC</x:t>
  </x:si>
  <x:si>
    <x:t>PEDAL FLIP  WASTE BASKET 290MM X 445MM; 20 LTR CAPACITY</x:t>
  </x:si>
  <x:si>
    <x:t>WRIST WEIGHT</x:t>
  </x:si>
  <x:si>
    <x:t>ANKLE WEIGHT</x:t>
  </x:si>
  <x:si>
    <x:t>SPINE PRESS BENCH</x:t>
  </x:si>
  <x:si>
    <x:t>WATER FINDING PASTE 75GRM, YELLOW TO RED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</x:si>
  <x:si>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</x:si>
  <x:si>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</x:si>
  <x:si>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</x:si>
  <x:si>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</x:si>
  <x:si>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</x:si>
  <x:si>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</x:si>
  <x:si>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</x:si>
  <x:si>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</x:si>
  <x:si>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</x:si>
  <x:si>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</x:si>
  <x:si>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Fire control signal(fire plan) please supply latest versions,  see attachment.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</x:si>
  <x:si>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</x:si>
  <x:si>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</x:si>
  <x:si>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</x:si>
  <x:si>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</x:si>
  <x:si>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</x:si>
  <x:si>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</x:si>
  <x:si>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</x:si>
  <x:si>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</x:si>
  <x:si>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</x:si>
  <x:si>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</x:si>
  <x:si>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</x:si>
  <x:si>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</x:si>
  <x:si>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</x:si>
  <x:si>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</x:si>
  <x:si>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</x:si>
  <x:si>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</x:si>
  <x:si>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SMC - STORES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</x:si>
  <x:si>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</x:si>
  <x:si>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</x:si>
  <x:si>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</x:si>
  <x:si>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</x:si>
  <x:si>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</x:si>
  <x:si>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</x:si>
  <x:si>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WAREHOUSING</x:t>
  </x:si>
  <x:si>
    <x:t>BMD</x:t>
  </x:si>
  <x:si>
    <x:t>CRANAGE</x:t>
  </x:si>
  <x:si>
    <x:t>BOL</x:t>
  </x:si>
  <x:si>
    <x:t>CUSTOMS</x:t>
  </x:si>
  <x:si>
    <x:t>BRL</x:t>
  </x:si>
  <x:si>
    <x:t>OTHERS 1</x:t>
  </x:si>
  <x:si>
    <x:t>BSD</x:t>
  </x:si>
  <x:si>
    <x:t>OTHERS 2</x:t>
  </x:si>
  <x:si>
    <x:t>CAD</x:t>
  </x:si>
  <x:si>
    <x:t>OTHERS 3</x:t>
  </x:si>
  <x:si>
    <x:t>CDZ</x:t>
  </x:si>
  <x:si>
    <x:t>LAUNCH HIRE CHARGE</x:t>
  </x:si>
  <x:si>
    <x:t>CHF</x:t>
  </x:si>
  <x:si>
    <x:t>ROUNDING ADJUSTMENT</x:t>
  </x:si>
  <x:si>
    <x:t>CLP</x:t>
  </x:si>
  <x:si>
    <x:t>BOAT CHARGES</x:t>
  </x:si>
  <x:si>
    <x:t>CNY</x:t>
  </x:si>
  <x:si>
    <x:t>MINIMUM QUANTITY CHARGE</x:t>
  </x:si>
  <x:si>
    <x:t>CYP</x:t>
  </x:si>
  <x:si>
    <x:t>PORT SURCHARGE</x:t>
  </x:si>
  <x:si>
    <x:t>CZK</x:t>
  </x:si>
  <x:si>
    <x:t>TRANSPORTATION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</x:si>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</x:sst>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x:numFmts count="12">
    <x:numFmt numFmtId="42" formatCode="_(&quot;$&quot;* #,##0_);_(&quot;$&quot;* \(#,##0\);_(&quot;$&quot;* &quot;-&quot;_);_(@_)"/>
    <x:numFmt numFmtId="41" formatCode="_(* #,##0_);_(* \(#,##0\);_(* &quot;-&quot;_);_(@_)"/>
    <x:numFmt numFmtId="44" formatCode="_(&quot;$&quot;* #,##0.00_);_(&quot;$&quot;* \(#,##0.00\);_(&quot;$&quot;* &quot;-&quot;??_);_(@_)"/>
    <x:numFmt numFmtId="43" formatCode="_(* #,##0.00_);_(* \(#,##0.00\);_(* &quot;-&quot;??_);_(@_)"/>
    <x:numFmt numFmtId="164" formatCode="[$-409]mmmm\ d\,\ yyyy;@"/>
    <x:numFmt numFmtId="165" formatCode="m/d/yy;@"/>
    <x:numFmt numFmtId="166" formatCode="[$-409]d/mmm/yyyy;@"/>
    <x:numFmt numFmtId="167" formatCode=";;;"/>
    <x:numFmt numFmtId="168" formatCode="#,##0.000"/>
    <x:numFmt numFmtId="169" formatCode="0.000"/>
    <x:numFmt numFmtId="170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89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43" fontId="29" fillId="0" borderId="0" applyFont="0" applyFill="0" applyBorder="0" applyAlignment="0" applyProtection="0"/>
    <x:xf numFmtId="41" fontId="29" fillId="0" borderId="0" applyFont="0" applyFill="0" applyBorder="0" applyAlignment="0" applyProtection="0"/>
    <x:xf numFmtId="44" fontId="29" fillId="0" borderId="0" applyFont="0" applyFill="0" applyBorder="0" applyAlignment="0" applyProtection="0"/>
    <x:xf numFmtId="42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167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67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4" fontId="11" fillId="2" borderId="0" applyNumberFormat="1" applyFill="0" applyBorder="0" applyAlignment="1" applyProtection="1">
      <x:protection locked="1" hidden="0"/>
    </x:xf>
    <x:xf numFmtId="167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67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0" fontId="15" fillId="2" borderId="7" applyNumberFormat="1" applyFill="0" applyBorder="1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166" fontId="15" fillId="2" borderId="7" applyNumberFormat="1" applyFill="0" applyBorder="1" applyAlignment="1" applyProtection="1">
      <x:protection locked="1" hidden="0"/>
    </x:xf>
    <x:xf numFmtId="166" fontId="15" fillId="2" borderId="0" applyNumberFormat="1" applyFill="0" applyBorder="0" applyAlignment="1" applyProtection="1">
      <x:protection locked="1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49" fontId="15" fillId="2" borderId="0" applyNumberFormat="1" applyFill="0" applyBorder="0" applyAlignment="1" applyProtection="1">
      <x:protection locked="1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0" fontId="15" fillId="2" borderId="22" applyNumberFormat="1" applyFill="0" applyBorder="1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167" fontId="15" fillId="0" borderId="0" applyNumberFormat="1" applyFill="1" applyBorder="0" applyAlignment="1" applyProtection="1">
      <x:protection locked="1" hidden="0"/>
    </x:xf>
    <x:xf numFmtId="169" fontId="26" fillId="6" borderId="0" applyNumberFormat="1" applyFill="0" applyBorder="0" applyAlignment="1" applyProtection="1">
      <x:protection locked="0" hidden="0"/>
    </x:xf>
    <x:xf numFmtId="166" fontId="15" fillId="2" borderId="4" applyNumberFormat="1" applyFill="0" applyBorder="1" applyAlignment="1" applyProtection="1">
      <x:protection locked="1" hidden="0"/>
    </x:xf>
    <x:xf numFmtId="167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66" fontId="12" fillId="2" borderId="0" applyNumberFormat="1" applyFill="0" applyBorder="0" applyAlignment="1" applyProtection="1">
      <x:protection locked="1" hidden="0"/>
    </x:xf>
    <x:xf numFmtId="166" fontId="12" fillId="2" borderId="0" applyNumberFormat="1" applyFill="0" applyBorder="0" applyAlignment="1" applyProtection="1">
      <x:protection locked="1" hidden="0"/>
    </x:xf>
    <x:xf numFmtId="165" fontId="19" fillId="4" borderId="11" applyNumberFormat="1" applyFill="0" applyBorder="1" applyAlignment="1" applyProtection="1">
      <x:protection locked="1" hidden="0"/>
    </x:xf>
    <x:xf numFmtId="165" fontId="19" fillId="4" borderId="13" applyNumberFormat="1" applyFill="0" applyBorder="1" applyAlignment="1" applyProtection="1">
      <x:protection locked="1" hidden="0"/>
    </x:xf>
    <x:xf numFmtId="165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67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68" fontId="18" fillId="6" borderId="14" applyNumberFormat="1" applyFill="0" applyBorder="1" applyAlignment="1" applyProtection="1">
      <x:protection locked="0" hidden="0"/>
    </x:xf>
    <x:xf numFmtId="168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67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67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67" fontId="16" fillId="9" borderId="0" applyNumberFormat="1" applyFill="0" applyBorder="0" applyAlignment="1" applyProtection="1">
      <x:protection locked="1" hidden="0"/>
    </x:xf>
    <x:xf numFmtId="165" fontId="17" fillId="4" borderId="0" applyNumberFormat="1" applyFill="0" applyBorder="0" applyAlignment="1" applyProtection="1">
      <x:protection locked="1" hidden="0"/>
    </x:xf>
    <x:xf numFmtId="167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44" fontId="14" fillId="2" borderId="0" applyNumberFormat="1" applyFill="0" applyBorder="0" applyAlignment="1" applyProtection="1">
      <x:protection locked="1" hidden="0"/>
    </x:xf>
    <x:xf numFmtId="165" fontId="16" fillId="4" borderId="0" applyNumberFormat="1" applyFill="0" applyBorder="0" applyAlignment="1" applyProtection="1">
      <x:protection locked="1" hidden="0"/>
    </x:xf>
    <x:xf numFmtId="165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67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67" fontId="18" fillId="9" borderId="0" applyNumberFormat="1" applyFill="0" applyBorder="0" applyAlignment="1" applyProtection="1">
      <x:protection locked="1" hidden="0"/>
    </x:xf>
    <x:xf numFmtId="44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68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69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68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67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69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5" fontId="19" fillId="4" borderId="2" applyNumberFormat="1" applyFill="0" applyBorder="1" applyAlignment="1" applyProtection="1">
      <x:protection locked="1" hidden="0"/>
    </x:xf>
    <x:xf numFmtId="165" fontId="19" fillId="4" borderId="24" applyNumberFormat="1" applyFill="0" applyBorder="1" applyAlignment="1" applyProtection="1">
      <x:protection locked="1" hidden="0"/>
    </x:xf>
    <x:xf numFmtId="165" fontId="19" fillId="4" borderId="21" applyNumberFormat="1" applyFill="0" applyBorder="1" applyAlignment="1" applyProtection="1">
      <x:protection locked="1" hidden="0"/>
    </x:xf>
    <x:xf numFmtId="165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67" fontId="9" fillId="9" borderId="0" applyNumberFormat="1" applyFill="0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2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4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66" fontId="12" fillId="2" borderId="0" xfId="0" applyNumberFormat="1" applyFont="1" applyFill="1" applyAlignment="1" applyProtection="1"/>
    <x:xf numFmtId="166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44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66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66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5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5" fontId="19" fillId="4" borderId="2" xfId="0" applyNumberFormat="1" applyFont="1" applyFill="1" applyBorder="1" applyAlignment="1" applyProtection="1">
      <x:alignment horizontal="left" wrapText="1"/>
    </x:xf>
    <x:xf numFmtId="165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66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44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44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5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67" fontId="15" fillId="0" borderId="0" xfId="0" applyNumberFormat="1" applyFont="1" applyProtection="1"/>
    <x:xf numFmtId="168" fontId="18" fillId="7" borderId="11" xfId="0" applyNumberFormat="1" applyFont="1" applyFill="1" applyBorder="1" applyAlignment="1" applyProtection="1">
      <x:alignment vertical="center"/>
      <x:protection locked="0"/>
    </x:xf>
    <x:xf numFmtId="168" fontId="18" fillId="3" borderId="11" xfId="0" applyNumberFormat="1" applyFont="1" applyFill="1" applyBorder="1" applyAlignment="1" applyProtection="1">
      <x:alignment vertical="center"/>
    </x:xf>
    <x:xf numFmtId="168" fontId="16" fillId="3" borderId="11" xfId="0" applyNumberFormat="1" applyFont="1" applyFill="1" applyBorder="1" applyAlignment="1" applyProtection="1">
      <x:alignment vertical="center"/>
    </x:xf>
    <x:xf numFmtId="169" fontId="26" fillId="7" borderId="0" xfId="0" applyNumberFormat="1" applyFont="1" applyFill="1" applyAlignment="1" applyProtection="1">
      <x:alignment horizontal="right"/>
      <x:protection locked="0"/>
    </x:xf>
    <x:xf numFmtId="167" fontId="15" fillId="2" borderId="0" xfId="0" applyNumberFormat="1" applyFont="1" applyFill="1" applyAlignment="1" applyProtection="1">
      <x:alignment horizontal="left"/>
    </x:xf>
    <x:xf numFmtId="165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69" fontId="26" fillId="7" borderId="11" xfId="0" applyNumberFormat="1" applyFont="1" applyFill="1" applyBorder="1" applyAlignment="1" applyProtection="1">
      <x:alignment horizontal="right"/>
    </x:xf>
    <x:xf numFmtId="168" fontId="26" fillId="7" borderId="11" xfId="0" applyNumberFormat="1" applyFont="1" applyFill="1" applyBorder="1" applyAlignment="1" applyProtection="1">
      <x:alignment horizontal="right"/>
    </x:xf>
    <x:xf numFmtId="169" fontId="9" fillId="8" borderId="25" xfId="0" applyNumberFormat="1" applyFont="1" applyFill="1" applyBorder="1" applyProtection="1">
      <x:protection locked="0"/>
    </x:xf>
    <x:xf numFmtId="169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67" fontId="21" fillId="2" borderId="0" xfId="0" applyNumberFormat="1" applyFont="1" applyFill="1" applyBorder="1" applyAlignment="1" applyProtection="1">
      <x:alignment horizontal="right"/>
    </x:xf>
    <x:xf numFmtId="167" fontId="9" fillId="0" borderId="0" xfId="0" applyNumberFormat="1" applyFont="1" applyBorder="1" applyProtection="1"/>
    <x:xf numFmtId="167" fontId="15" fillId="2" borderId="0" xfId="0" applyNumberFormat="1" applyFont="1" applyFill="1" applyBorder="1" applyAlignment="1" applyProtection="1">
      <x:alignment horizontal="left"/>
    </x:xf>
    <x:xf numFmtId="167" fontId="15" fillId="2" borderId="0" xfId="0" applyNumberFormat="1" applyFont="1" applyFill="1" applyBorder="1" applyAlignment="1" applyProtection="1">
      <x:alignment vertical="top"/>
    </x:xf>
    <x:xf numFmtId="167" fontId="11" fillId="0" borderId="0" xfId="0" applyNumberFormat="1" applyFont="1" applyBorder="1" applyProtection="1"/>
    <x:xf numFmtId="167" fontId="19" fillId="9" borderId="0" xfId="0" applyNumberFormat="1" applyFont="1" applyFill="1" applyBorder="1" applyAlignment="1" applyProtection="1">
      <x:alignment horizontal="left" wrapText="1"/>
    </x:xf>
    <x:xf numFmtId="167" fontId="24" fillId="9" borderId="0" xfId="0" applyNumberFormat="1" applyFont="1" applyFill="1" applyBorder="1" applyAlignment="1" applyProtection="1">
      <x:alignment horizontal="left"/>
    </x:xf>
    <x:xf numFmtId="167" fontId="9" fillId="9" borderId="0" xfId="0" applyNumberFormat="1" applyFont="1" applyFill="1" applyBorder="1" applyProtection="1"/>
    <x:xf numFmtId="167" fontId="14" fillId="9" borderId="0" xfId="0" applyNumberFormat="1" applyFont="1" applyFill="1" applyBorder="1" applyAlignment="1" applyProtection="1">
      <x:alignment horizontal="left"/>
      <x:protection locked="0"/>
    </x:xf>
    <x:xf numFmtId="167" fontId="9" fillId="0" borderId="0" xfId="0" applyNumberFormat="1" applyFont="1" applyProtection="1"/>
    <x:xf numFmtId="167" fontId="18" fillId="9" borderId="0" xfId="0" applyNumberFormat="1" applyFont="1" applyFill="1" applyBorder="1" applyAlignment="1" applyProtection="1">
      <x:alignment horizontal="left" vertical="center" wrapText="1"/>
    </x:xf>
    <x:xf numFmtId="167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67" fontId="17" fillId="9" borderId="0" xfId="0" applyNumberFormat="1" applyFont="1" applyFill="1" applyBorder="1" applyAlignment="1" applyProtection="1">
      <x:alignment horizontal="left" wrapText="1"/>
    </x:xf>
    <x:xf numFmtId="167" fontId="16" fillId="9" borderId="0" xfId="0" applyNumberFormat="1" applyFont="1" applyFill="1" applyBorder="1" applyAlignment="1" applyProtection="1">
      <x:alignment horizontal="left" vertical="top" wrapText="1"/>
    </x:xf>
    <x:xf numFmtId="167" fontId="18" fillId="9" borderId="0" xfId="0" applyNumberFormat="1" applyFont="1" applyFill="1" applyBorder="1" applyAlignment="1" applyProtection="1">
      <x:alignment horizontal="center" vertical="top" wrapText="1"/>
    </x:xf>
    <x:xf numFmtId="165" fontId="19" fillId="4" borderId="14" xfId="0" applyNumberFormat="1" applyFont="1" applyFill="1" applyBorder="1" applyAlignment="1" applyProtection="1">
      <x:alignment horizontal="left" wrapText="1"/>
    </x:xf>
    <x:xf numFmtId="168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5" fontId="19" fillId="4" borderId="24" xfId="0" applyNumberFormat="1" applyFont="1" applyFill="1" applyBorder="1" applyAlignment="1" applyProtection="1">
      <x:alignment horizontal="left" wrapText="1"/>
    </x:xf>
    <x:xf numFmtId="165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0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66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5" fontId="19" fillId="4" borderId="13" xfId="0" applyNumberFormat="1" applyFont="1" applyFill="1" applyBorder="1" applyAlignment="1" applyProtection="1">
      <x:alignment horizontal="left" wrapText="1"/>
    </x:xf>
    <x:xf numFmtId="165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69" fontId="9" fillId="8" borderId="26" xfId="0" applyNumberFormat="1" applyFont="1" applyFill="1" applyBorder="1" applyProtection="1">
      <x:protection locked="0"/>
    </x:xf>
    <x:xf numFmtId="169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5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68" fontId="18" fillId="7" borderId="13" xfId="0" applyNumberFormat="1" applyFont="1" applyFill="1" applyBorder="1" applyAlignment="1" applyProtection="1">
      <x:alignment horizontal="right" vertical="center"/>
      <x:protection locked="0"/>
    </x:xf>
    <x:xf numFmtId="168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5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5" fontId="16" fillId="4" borderId="0" xfId="0" applyNumberFormat="1" applyFont="1" applyFill="1" applyBorder="1" applyAlignment="1" applyProtection="1">
      <x:alignment horizontal="left" vertical="center" wrapText="1"/>
    </x:xf>
    <x:xf numFmtId="165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7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67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4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7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7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6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7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66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7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6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5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7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68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68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7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67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7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5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7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4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5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67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7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44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8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8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7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5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67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G4" workbookViewId="0">
      <x:selection activeCell="S11" sqref="S11 S11:S11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79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3" t="s"/>
      <x:c r="B1" s="173" t="s">
        <x:v>0</x:v>
      </x:c>
      <x:c r="C1" s="173" t="s"/>
      <x:c r="E1" s="174" t="s"/>
      <x:c r="F1" s="174" t="s"/>
      <x:c r="G1" s="174" t="s"/>
      <x:c r="J1" s="174" t="s"/>
      <x:c r="K1" s="175" t="s">
        <x:v>1</x:v>
      </x:c>
      <x:c r="L1" s="175" t="s"/>
      <x:c r="M1" s="175" t="s"/>
      <x:c r="N1" s="175" t="s"/>
      <x:c r="O1" s="175" t="s"/>
      <x:c r="P1" s="175" t="s"/>
      <x:c r="Q1" s="175" t="s"/>
      <x:c r="R1" s="175" t="s"/>
      <x:c r="S1" s="175" t="s"/>
      <x:c r="T1" s="176" t="s"/>
    </x:row>
    <x:row r="2" spans="1:24" customFormat="1" ht="5.25" customHeight="1" x14ac:dyDescent="0.25">
      <x:c r="A2" s="177" t="s"/>
      <x:c r="B2" s="177" t="s"/>
      <x:c r="C2" s="177" t="s"/>
      <x:c r="D2" s="177" t="s"/>
      <x:c r="E2" s="177" t="s"/>
      <x:c r="F2" s="177" t="s"/>
      <x:c r="G2" s="177" t="s"/>
      <x:c r="H2" s="178" t="s"/>
      <x:c r="I2" s="178" t="s"/>
      <x:c r="J2" s="178" t="s"/>
      <x:c r="K2" s="178" t="s"/>
      <x:c r="L2" s="178" t="s"/>
      <x:c r="M2" s="178" t="s"/>
      <x:c r="N2" s="178" t="s"/>
      <x:c r="O2" s="178" t="s"/>
      <x:c r="P2" s="178" t="s"/>
      <x:c r="Q2" s="178" t="s"/>
      <x:c r="R2" s="178" t="s"/>
      <x:c r="S2" s="178" t="s"/>
      <x:c r="T2" s="179" t="s"/>
    </x:row>
    <x:row r="3" spans="1:24" customFormat="1" ht="15" customHeight="1" thickBot="1" x14ac:dyDescent="0.35">
      <x:c r="A3" s="180" t="s">
        <x:v>2</x:v>
      </x:c>
      <x:c r="B3" s="180" t="s"/>
      <x:c r="C3" s="180" t="s"/>
      <x:c r="D3" s="180" t="s"/>
      <x:c r="E3" s="180" t="s"/>
      <x:c r="F3" s="180" t="s"/>
      <x:c r="G3" s="180" t="s"/>
      <x:c r="Q3" s="181" t="s"/>
      <x:c r="R3" s="181" t="s"/>
      <x:c r="S3" s="181" t="s"/>
      <x:c r="T3" s="179" t="s"/>
    </x:row>
    <x:row r="4" spans="1:24" customFormat="1" ht="22.5" customHeight="1" thickTop="1" thickBot="1" x14ac:dyDescent="0.35">
      <x:c r="A4" s="182" t="s">
        <x:v>3</x:v>
      </x:c>
      <x:c r="B4" s="182" t="s"/>
      <x:c r="C4" s="182" t="s"/>
      <x:c r="D4" s="182" t="s"/>
      <x:c r="E4" s="182" t="s"/>
      <x:c r="F4" s="182" t="s"/>
      <x:c r="G4" s="182" t="s"/>
      <x:c r="H4" s="182" t="s"/>
      <x:c r="I4" s="182" t="s"/>
      <x:c r="K4" s="183" t="s">
        <x:v>4</x:v>
      </x:c>
      <x:c r="L4" s="183" t="s"/>
      <x:c r="M4" s="184" t="s">
        <x:v>5</x:v>
      </x:c>
      <x:c r="N4" s="184" t="s"/>
      <x:c r="O4" s="184" t="s"/>
      <x:c r="P4" s="184" t="s"/>
      <x:c r="Q4" s="185" t="s"/>
      <x:c r="R4" s="185" t="s"/>
      <x:c r="S4" s="185" t="s"/>
      <x:c r="T4" s="186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5" t="s"/>
      <x:c r="R5" s="185" t="s"/>
      <x:c r="S5" s="185" t="s"/>
      <x:c r="T5" s="186" t="s"/>
    </x:row>
    <x:row r="6" spans="1:24" s="193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90" t="s">
        <x:v>8</x:v>
      </x:c>
      <x:c r="L6" s="190" t="s"/>
      <x:c r="M6" s="191">
        <x:v>43479</x:v>
      </x:c>
      <x:c r="N6" s="191" t="s"/>
      <x:c r="O6" s="191" t="s"/>
      <x:c r="P6" s="191" t="s"/>
      <x:c r="Q6" s="185" t="s"/>
      <x:c r="R6" s="185" t="s"/>
      <x:c r="S6" s="185" t="s"/>
      <x:c r="T6" s="186" t="s"/>
    </x:row>
    <x:row r="7" spans="1:24" s="193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90" t="s"/>
      <x:c r="L7" s="190" t="s"/>
      <x:c r="M7" s="192" t="s"/>
      <x:c r="N7" s="192" t="s"/>
      <x:c r="O7" s="192" t="s"/>
      <x:c r="P7" s="192" t="s"/>
      <x:c r="Q7" s="192" t="s"/>
      <x:c r="R7" s="185" t="s"/>
      <x:c r="S7" s="185" t="s"/>
      <x:c r="T7" s="186" t="s"/>
      <x:c r="U7" s="193" t="s"/>
      <x:c r="V7" s="193" t="s"/>
      <x:c r="W7" s="193" t="s"/>
      <x:c r="X7" s="193" t="s"/>
    </x:row>
    <x:row r="8" spans="1:24" s="193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66" t="s"/>
      <x:c r="K8" s="190" t="s">
        <x:v>9</x:v>
      </x:c>
      <x:c r="L8" s="190" t="s"/>
      <x:c r="M8" s="194">
        <x:v>43479</x:v>
      </x:c>
      <x:c r="N8" s="194" t="s"/>
      <x:c r="O8" s="195" t="s"/>
      <x:c r="P8" s="185" t="s"/>
      <x:c r="Q8" s="164" t="s"/>
      <x:c r="R8" s="164" t="s"/>
      <x:c r="S8" s="164" t="s"/>
      <x:c r="T8" s="172" t="s"/>
    </x:row>
    <x:row r="9" spans="1:24" s="193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66" t="s"/>
      <x:c r="K9" s="167" t="s">
        <x:v>10</x:v>
      </x:c>
      <x:c r="L9" s="168" t="s"/>
      <x:c r="M9" s="192" t="s">
        <x:v>11</x:v>
      </x:c>
      <x:c r="N9" s="192" t="s"/>
      <x:c r="O9" s="192" t="s"/>
      <x:c r="P9" s="192" t="s"/>
      <x:c r="Q9" s="192" t="s"/>
      <x:c r="R9" s="164" t="s"/>
      <x:c r="S9" s="164" t="s"/>
      <x:c r="T9" s="172" t="s"/>
    </x:row>
    <x:row r="10" spans="1:24" s="193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66" t="s"/>
      <x:c r="K10" s="167" t="s">
        <x:v>12</x:v>
      </x:c>
      <x:c r="L10" s="168" t="s"/>
      <x:c r="M10" s="191" t="s"/>
      <x:c r="N10" s="191" t="s"/>
      <x:c r="O10" s="195" t="s"/>
      <x:c r="P10" s="168" t="s"/>
      <x:c r="Q10" s="164" t="s"/>
      <x:c r="R10" s="164" t="s"/>
      <x:c r="S10" s="164" t="s"/>
      <x:c r="T10" s="172" t="s"/>
    </x:row>
    <x:row r="11" spans="1:24" s="193" customFormat="1" ht="15" customHeight="1" thickBot="1" x14ac:dyDescent="0.25">
      <x:c r="A11" s="165" t="s"/>
      <x:c r="B11" s="165" t="s"/>
      <x:c r="C11" s="165" t="s"/>
      <x:c r="D11" s="165" t="s"/>
      <x:c r="E11" s="165" t="s"/>
      <x:c r="F11" s="165" t="s"/>
      <x:c r="G11" s="165" t="s"/>
      <x:c r="H11" s="165" t="s"/>
      <x:c r="I11" s="165" t="s"/>
      <x:c r="J11" s="166" t="s"/>
      <x:c r="K11" s="167" t="s">
        <x:v>13</x:v>
      </x:c>
      <x:c r="L11" s="168" t="s"/>
      <x:c r="M11" s="169" t="n">
        <x:v>0</x:v>
      </x:c>
      <x:c r="N11" s="170" t="s"/>
      <x:c r="O11" s="171" t="s"/>
      <x:c r="P11" s="164" t="s"/>
      <x:c r="Q11" s="164" t="s"/>
      <x:c r="R11" s="164" t="s"/>
      <x:c r="S11" s="164" t="s"/>
      <x:c r="T11" s="172" t="s"/>
    </x:row>
    <x:row r="12" spans="1:24" s="193" customFormat="1" ht="15.75" customHeight="1" thickBot="1" x14ac:dyDescent="0.3">
      <x:c r="A12" s="196" t="s">
        <x:v>14</x:v>
      </x:c>
      <x:c r="B12" s="196" t="s"/>
      <x:c r="C12" s="196" t="s"/>
      <x:c r="D12" s="197" t="s"/>
      <x:c r="E12" s="198" t="s"/>
      <x:c r="F12" s="198" t="s"/>
      <x:c r="G12" s="198" t="s"/>
      <x:c r="H12" s="197" t="s"/>
      <x:c r="I12" s="197" t="s"/>
      <x:c r="K12" s="190" t="s">
        <x:v>15</x:v>
      </x:c>
      <x:c r="L12" s="199" t="s"/>
      <x:c r="M12" s="200" t="s"/>
      <x:c r="N12" s="201" t="s"/>
      <x:c r="O12" s="202" t="s"/>
      <x:c r="P12" s="164" t="s"/>
      <x:c r="Q12" s="164" t="s"/>
      <x:c r="R12" s="164" t="s"/>
      <x:c r="S12" s="164" t="s"/>
      <x:c r="T12" s="172" t="s"/>
    </x:row>
    <x:row r="13" spans="1:24" s="193" customFormat="1" ht="12.75" customHeight="1" thickBot="1" x14ac:dyDescent="0.3">
      <x:c r="A13" s="190" t="s">
        <x:v>16</x:v>
      </x:c>
      <x:c r="B13" s="190" t="s"/>
      <x:c r="C13" s="190" t="s"/>
      <x:c r="D13" s="192" t="s">
        <x:v>17</x:v>
      </x:c>
      <x:c r="E13" s="192" t="s"/>
      <x:c r="F13" s="192" t="s"/>
      <x:c r="G13" s="192" t="s"/>
      <x:c r="H13" s="192" t="s"/>
      <x:c r="I13" s="203" t="s"/>
      <x:c r="K13" s="204" t="s"/>
      <x:c r="L13" s="204" t="s"/>
      <x:c r="M13" s="205" t="s"/>
      <x:c r="N13" s="205" t="s"/>
      <x:c r="O13" s="205" t="s"/>
      <x:c r="P13" s="205" t="s"/>
      <x:c r="Q13" s="205" t="s"/>
      <x:c r="R13" s="164" t="s"/>
      <x:c r="S13" s="164" t="s"/>
      <x:c r="T13" s="172" t="s"/>
    </x:row>
    <x:row r="14" spans="1:24" s="193" customFormat="1" ht="12.75" customHeight="1" thickBot="1" x14ac:dyDescent="0.25">
      <x:c r="A14" s="190" t="s">
        <x:v>18</x:v>
      </x:c>
      <x:c r="B14" s="190" t="s"/>
      <x:c r="C14" s="190" t="s"/>
      <x:c r="D14" s="192" t="s">
        <x:v>19</x:v>
      </x:c>
      <x:c r="E14" s="192" t="s"/>
      <x:c r="F14" s="192" t="s"/>
      <x:c r="G14" s="192" t="s"/>
      <x:c r="H14" s="192" t="s"/>
      <x:c r="I14" s="203" t="s"/>
      <x:c r="K14" s="190" t="s">
        <x:v>20</x:v>
      </x:c>
      <x:c r="L14" s="206" t="s"/>
      <x:c r="M14" s="207" t="s"/>
      <x:c r="N14" s="168" t="s"/>
      <x:c r="O14" s="168" t="s"/>
      <x:c r="P14" s="208" t="s"/>
      <x:c r="Q14" s="186" t="s"/>
      <x:c r="R14" s="164" t="s"/>
      <x:c r="S14" s="164" t="s"/>
      <x:c r="T14" s="172" t="s"/>
    </x:row>
    <x:row r="15" spans="1:24" s="193" customFormat="1" ht="12.75" customHeight="1" thickBot="1" x14ac:dyDescent="0.25">
      <x:c r="A15" s="190" t="s">
        <x:v>21</x:v>
      </x:c>
      <x:c r="B15" s="190" t="s"/>
      <x:c r="C15" s="190" t="s"/>
      <x:c r="D15" s="192" t="s"/>
      <x:c r="E15" s="192" t="s"/>
      <x:c r="F15" s="192" t="s"/>
      <x:c r="G15" s="192" t="s"/>
      <x:c r="H15" s="192" t="s"/>
      <x:c r="I15" s="203" t="s"/>
      <x:c r="K15" s="190" t="s">
        <x:v>22</x:v>
      </x:c>
      <x:c r="L15" s="206" t="s"/>
      <x:c r="M15" s="209" t="n">
        <x:v>0</x:v>
      </x:c>
      <x:c r="N15" s="210" t="s"/>
      <x:c r="O15" s="211" t="s"/>
      <x:c r="P15" s="208" t="s">
        <x:v>23</x:v>
      </x:c>
      <x:c r="Q15" s="186" t="s"/>
      <x:c r="R15" s="164" t="s"/>
      <x:c r="S15" s="164" t="s"/>
      <x:c r="T15" s="172" t="s"/>
    </x:row>
    <x:row r="16" spans="1:24" s="193" customFormat="1" ht="12.75" customHeight="1" thickBot="1" x14ac:dyDescent="0.25">
      <x:c r="A16" s="190" t="s">
        <x:v>24</x:v>
      </x:c>
      <x:c r="B16" s="190" t="s"/>
      <x:c r="C16" s="190" t="s"/>
      <x:c r="D16" s="192" t="s">
        <x:v>25</x:v>
      </x:c>
      <x:c r="E16" s="192" t="s"/>
      <x:c r="F16" s="192" t="s"/>
      <x:c r="G16" s="192" t="s"/>
      <x:c r="H16" s="192" t="s"/>
      <x:c r="I16" s="203" t="s"/>
      <x:c r="K16" s="190" t="s">
        <x:v>26</x:v>
      </x:c>
      <x:c r="L16" s="206" t="s"/>
      <x:c r="M16" s="209" t="n">
        <x:v>0</x:v>
      </x:c>
      <x:c r="N16" s="210" t="s"/>
      <x:c r="O16" s="211" t="s"/>
      <x:c r="P16" s="168" t="s"/>
      <x:c r="Q16" s="185" t="s"/>
      <x:c r="R16" s="164" t="s"/>
      <x:c r="S16" s="164" t="s"/>
      <x:c r="T16" s="172" t="s"/>
    </x:row>
    <x:row r="17" spans="1:24" s="193" customFormat="1" ht="12.75" customHeight="1" thickBot="1" x14ac:dyDescent="0.25">
      <x:c r="A17" s="190" t="s">
        <x:v>27</x:v>
      </x:c>
      <x:c r="B17" s="190" t="s"/>
      <x:c r="C17" s="190" t="s"/>
      <x:c r="D17" s="192" t="s">
        <x:v>28</x:v>
      </x:c>
      <x:c r="E17" s="192" t="s"/>
      <x:c r="F17" s="192" t="s"/>
      <x:c r="G17" s="192" t="s"/>
      <x:c r="H17" s="192" t="s"/>
      <x:c r="I17" s="203" t="s"/>
      <x:c r="K17" s="181" t="s"/>
      <x:c r="L17" s="181" t="s"/>
      <x:c r="M17" s="181" t="s"/>
      <x:c r="N17" s="181" t="s"/>
      <x:c r="O17" s="181" t="s"/>
      <x:c r="P17" s="181" t="s"/>
      <x:c r="Q17" s="181" t="s"/>
      <x:c r="R17" s="181" t="s"/>
      <x:c r="S17" s="181" t="s"/>
      <x:c r="T17" s="212" t="s"/>
    </x:row>
    <x:row r="18" spans="1:24" s="193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299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13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99990009554050</x:v>
      </x:c>
      <x:c r="C20" s="227" t="n">
        <x:v>2124587</x:v>
      </x:c>
      <x:c r="D20" s="228" t="s">
        <x:v>41</x:v>
      </x:c>
      <x:c r="E20" s="229" t="s"/>
      <x:c r="F20" s="229" t="n">
        <x:v>770381</x:v>
      </x:c>
      <x:c r="G20" s="229" t="s">
        <x:v>42</x:v>
      </x:c>
      <x:c r="H20" s="230" t="n">
        <x:v>0</x:v>
      </x:c>
      <x:c r="I20" s="231" t="n">
        <x:v>6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>
        <x:v>43</x:v>
      </x:c>
      <x:c r="S20" s="238" t="s"/>
      <x:c r="T20" s="239" t="s"/>
    </x:row>
    <x:row r="21" spans="1:24" customFormat="1" ht="24" customHeight="1" x14ac:dyDescent="0.2">
      <x:c r="A21" s="226" t="n">
        <x:v>2</x:v>
      </x:c>
      <x:c r="B21" s="226" t="n">
        <x:v>99990008656213</x:v>
      </x:c>
      <x:c r="C21" s="227" t="n">
        <x:v>590721</x:v>
      </x:c>
      <x:c r="D21" s="228" t="s">
        <x:v>44</x:v>
      </x:c>
      <x:c r="E21" s="229" t="s"/>
      <x:c r="F21" s="229" t="n">
        <x:v>590721</x:v>
      </x:c>
      <x:c r="G21" s="229" t="s">
        <x:v>45</x:v>
      </x:c>
      <x:c r="H21" s="230" t="n">
        <x:v>0</x:v>
      </x:c>
      <x:c r="I21" s="231" t="n">
        <x:v>1</x:v>
      </x:c>
      <x:c r="J21" s="232" t="n">
        <x:v>0</x:v>
      </x:c>
      <x:c r="K21" s="233" t="s"/>
      <x:c r="L21" s="231" t="n">
        <x:v>0</x:v>
      </x:c>
      <x:c r="M21" s="231" t="n">
        <x:v>0</x:v>
      </x:c>
      <x:c r="N21" s="234">
        <x:f>ROUND(((I21*J21)-((I21*J21)*L21/100))+(((I21*J21)-((I21*J21)*L21/100))*M21/100), 2)</x:f>
      </x:c>
      <x:c r="O21" s="230">
        <x:f>M11</x:f>
      </x:c>
      <x:c r="P21" s="235" t="s"/>
      <x:c r="Q21" s="236" t="s"/>
      <x:c r="R21" s="237" t="s">
        <x:v>43</x:v>
      </x:c>
      <x:c r="S21" s="238" t="s"/>
      <x:c r="T21" s="239" t="s"/>
    </x:row>
    <x:row r="22" spans="1:24" customFormat="1" ht="24" customHeight="1" x14ac:dyDescent="0.2">
      <x:c r="A22" s="226" t="n">
        <x:v>3</x:v>
      </x:c>
      <x:c r="B22" s="226" t="n">
        <x:v>99990008656795</x:v>
      </x:c>
      <x:c r="C22" s="227" t="n">
        <x:v>792962</x:v>
      </x:c>
      <x:c r="D22" s="228" t="s">
        <x:v>46</x:v>
      </x:c>
      <x:c r="E22" s="229" t="s"/>
      <x:c r="F22" s="229" t="n">
        <x:v>792962</x:v>
      </x:c>
      <x:c r="G22" s="229" t="s">
        <x:v>42</x:v>
      </x:c>
      <x:c r="H22" s="230" t="n">
        <x:v>0</x:v>
      </x:c>
      <x:c r="I22" s="231" t="n">
        <x:v>30</x:v>
      </x:c>
      <x:c r="J22" s="232" t="n">
        <x:v>0</x:v>
      </x:c>
      <x:c r="K22" s="233" t="s"/>
      <x:c r="L22" s="231" t="n">
        <x:v>0</x:v>
      </x:c>
      <x:c r="M22" s="231" t="n">
        <x:v>0</x:v>
      </x:c>
      <x:c r="N22" s="234" t="s">
        <x:f>ROUND(((I22*J22)-((I22*J22)*L22/100))+(((I22*J22)-((I22*J22)*L22/100))*M22/100), 2)</x:f>
      </x:c>
      <x:c r="O22" s="230" t="s">
        <x:f>M11</x:f>
      </x:c>
      <x:c r="P22" s="235" t="s"/>
      <x:c r="Q22" s="236" t="s"/>
      <x:c r="R22" s="237" t="s"/>
      <x:c r="S22" s="238" t="s"/>
      <x:c r="T22" s="239" t="s"/>
    </x:row>
    <x:row r="23" spans="1:24" customFormat="1" ht="24" customHeight="1" x14ac:dyDescent="0.2">
      <x:c r="A23" s="226" t="n">
        <x:v>4</x:v>
      </x:c>
      <x:c r="B23" s="226" t="n">
        <x:v>99990008197127</x:v>
      </x:c>
      <x:c r="C23" s="227" t="n">
        <x:v>671122</x:v>
      </x:c>
      <x:c r="D23" s="228" t="s">
        <x:v>47</x:v>
      </x:c>
      <x:c r="E23" s="229" t="s"/>
      <x:c r="F23" s="229" t="n">
        <x:v>671122</x:v>
      </x:c>
      <x:c r="G23" s="229" t="s">
        <x:v>48</x:v>
      </x:c>
      <x:c r="H23" s="230" t="n">
        <x:v>0</x:v>
      </x:c>
      <x:c r="I23" s="231" t="n">
        <x:v>3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>
        <x:v>43</x:v>
      </x:c>
      <x:c r="S23" s="238" t="s"/>
      <x:c r="T23" s="239" t="s"/>
    </x:row>
    <x:row r="24" spans="1:24" customFormat="1" ht="24" customHeight="1" x14ac:dyDescent="0.2">
      <x:c r="A24" s="226" t="n">
        <x:v>5</x:v>
      </x:c>
      <x:c r="B24" s="226" t="n">
        <x:v>99990008655512</x:v>
      </x:c>
      <x:c r="C24" s="227" t="n">
        <x:v>232901</x:v>
      </x:c>
      <x:c r="D24" s="228" t="s">
        <x:v>49</x:v>
      </x:c>
      <x:c r="E24" s="229" t="s"/>
      <x:c r="F24" s="229" t="n">
        <x:v>232901</x:v>
      </x:c>
      <x:c r="G24" s="229" t="s">
        <x:v>48</x:v>
      </x:c>
      <x:c r="H24" s="230" t="n">
        <x:v>0</x:v>
      </x:c>
      <x:c r="I24" s="231" t="n">
        <x:v>100</x:v>
      </x:c>
      <x:c r="J24" s="232" t="n">
        <x:v>0</x:v>
      </x:c>
      <x:c r="K24" s="233" t="s"/>
      <x:c r="L24" s="231" t="n">
        <x:v>0</x:v>
      </x:c>
      <x:c r="M24" s="231" t="n">
        <x:v>0</x:v>
      </x:c>
      <x:c r="N24" s="234">
        <x:f>ROUND(((I24*J24)-((I24*J24)*L24/100))+(((I24*J24)-((I24*J24)*L24/100))*M24/100), 2)</x:f>
      </x:c>
      <x:c r="O24" s="230">
        <x:f>M11</x:f>
      </x:c>
      <x:c r="P24" s="235" t="s"/>
      <x:c r="Q24" s="236" t="s"/>
      <x:c r="R24" s="237" t="s">
        <x:v>43</x:v>
      </x:c>
      <x:c r="S24" s="238" t="s"/>
      <x:c r="T24" s="239" t="s"/>
    </x:row>
    <x:row r="25" spans="1:24" customFormat="1" ht="24" customHeight="1" x14ac:dyDescent="0.2">
      <x:c r="A25" s="226" t="n">
        <x:v>6</x:v>
      </x:c>
      <x:c r="B25" s="226" t="n">
        <x:v>99990008656706</x:v>
      </x:c>
      <x:c r="C25" s="227" t="n">
        <x:v>791414</x:v>
      </x:c>
      <x:c r="D25" s="228" t="s">
        <x:v>50</x:v>
      </x:c>
      <x:c r="E25" s="229" t="s"/>
      <x:c r="F25" s="229" t="n">
        <x:v>791414</x:v>
      </x:c>
      <x:c r="G25" s="229" t="s">
        <x:v>42</x:v>
      </x:c>
      <x:c r="H25" s="230" t="n">
        <x:v>0</x:v>
      </x:c>
      <x:c r="I25" s="231" t="n">
        <x:v>200</x:v>
      </x:c>
      <x:c r="J25" s="232" t="n">
        <x:v>0</x:v>
      </x:c>
      <x:c r="K25" s="233" t="s"/>
      <x:c r="L25" s="231" t="n">
        <x:v>0</x:v>
      </x:c>
      <x:c r="M25" s="231" t="n">
        <x:v>0</x:v>
      </x:c>
      <x:c r="N25" s="234">
        <x:f>ROUND(((I25*J25)-((I25*J25)*L25/100))+(((I25*J25)-((I25*J25)*L25/100))*M25/100), 2)</x:f>
      </x:c>
      <x:c r="O25" s="230">
        <x:f>M11</x:f>
      </x:c>
      <x:c r="P25" s="235" t="s"/>
      <x:c r="Q25" s="236" t="s"/>
      <x:c r="R25" s="237" t="s">
        <x:v>51</x:v>
      </x:c>
      <x:c r="S25" s="238" t="s"/>
      <x:c r="T25" s="239" t="s"/>
    </x:row>
    <x:row r="26" spans="1:24" customFormat="1" ht="24" customHeight="1" x14ac:dyDescent="0.2">
      <x:c r="A26" s="226" t="n">
        <x:v>7</x:v>
      </x:c>
      <x:c r="B26" s="226" t="n">
        <x:v>99990009574382</x:v>
      </x:c>
      <x:c r="C26" s="227" t="n">
        <x:v>2137253</x:v>
      </x:c>
      <x:c r="D26" s="228" t="s">
        <x:v>52</x:v>
      </x:c>
      <x:c r="E26" s="229" t="s"/>
      <x:c r="F26" s="229" t="n">
        <x:v>792229</x:v>
      </x:c>
      <x:c r="G26" s="229" t="s">
        <x:v>42</x:v>
      </x:c>
      <x:c r="H26" s="230" t="n">
        <x:v>0</x:v>
      </x:c>
      <x:c r="I26" s="231" t="n">
        <x:v>3</x:v>
      </x:c>
      <x:c r="J26" s="232" t="n">
        <x:v>0</x:v>
      </x:c>
      <x:c r="K26" s="233" t="s"/>
      <x:c r="L26" s="231" t="n">
        <x:v>0</x:v>
      </x:c>
      <x:c r="M26" s="231" t="n">
        <x:v>0</x:v>
      </x:c>
      <x:c r="N26" s="234">
        <x:f>ROUND(((I26*J26)-((I26*J26)*L26/100))+(((I26*J26)-((I26*J26)*L26/100))*M26/100), 2)</x:f>
      </x:c>
      <x:c r="O26" s="230">
        <x:f>M11</x:f>
      </x:c>
      <x:c r="P26" s="235" t="s"/>
      <x:c r="Q26" s="236" t="s"/>
      <x:c r="R26" s="237" t="s"/>
      <x:c r="S26" s="238" t="s"/>
      <x:c r="T26" s="239" t="s"/>
    </x:row>
    <x:row r="27" spans="1:24" customFormat="1" ht="24" customHeight="1" x14ac:dyDescent="0.2">
      <x:c r="A27" s="226" t="n">
        <x:v>8</x:v>
      </x:c>
      <x:c r="B27" s="226" t="n">
        <x:v>99990009868379</x:v>
      </x:c>
      <x:c r="C27" s="227" t="n">
        <x:v>330620</x:v>
      </x:c>
      <x:c r="D27" s="228" t="s">
        <x:v>53</x:v>
      </x:c>
      <x:c r="E27" s="229" t="s"/>
      <x:c r="F27" s="229" t="n">
        <x:v>330620</x:v>
      </x:c>
      <x:c r="G27" s="229" t="s">
        <x:v>45</x:v>
      </x:c>
      <x:c r="H27" s="230" t="n">
        <x:v>0</x:v>
      </x:c>
      <x:c r="I27" s="231" t="n">
        <x:v>2</x:v>
      </x:c>
      <x:c r="J27" s="232" t="n">
        <x:v>0</x:v>
      </x:c>
      <x:c r="K27" s="233" t="s"/>
      <x:c r="L27" s="231" t="n">
        <x:v>0</x:v>
      </x:c>
      <x:c r="M27" s="231" t="n">
        <x:v>0</x:v>
      </x:c>
      <x:c r="N27" s="234">
        <x:f>ROUND(((I27*J27)-((I27*J27)*L27/100))+(((I27*J27)-((I27*J27)*L27/100))*M27/100), 2)</x:f>
      </x:c>
      <x:c r="O27" s="230">
        <x:f>M11</x:f>
      </x:c>
      <x:c r="P27" s="235" t="s"/>
      <x:c r="Q27" s="236" t="s"/>
      <x:c r="R27" s="237" t="s">
        <x:v>43</x:v>
      </x:c>
      <x:c r="S27" s="238" t="s"/>
      <x:c r="T27" s="239" t="s"/>
    </x:row>
    <x:row r="28" spans="1:24" customFormat="1" ht="24" customHeight="1" x14ac:dyDescent="0.2">
      <x:c r="A28" s="226" t="n">
        <x:v>9</x:v>
      </x:c>
      <x:c r="B28" s="226" t="n">
        <x:v>99990009873204</x:v>
      </x:c>
      <x:c r="C28" s="227" t="n">
        <x:v>311101</x:v>
      </x:c>
      <x:c r="D28" s="228" t="s">
        <x:v>54</x:v>
      </x:c>
      <x:c r="E28" s="229" t="s"/>
      <x:c r="F28" s="229" t="n">
        <x:v>311101</x:v>
      </x:c>
      <x:c r="G28" s="229" t="s">
        <x:v>55</x:v>
      </x:c>
      <x:c r="H28" s="230" t="n">
        <x:v>0</x:v>
      </x:c>
      <x:c r="I28" s="231" t="n">
        <x:v>5</x:v>
      </x:c>
      <x:c r="J28" s="232" t="n">
        <x:v>0</x:v>
      </x:c>
      <x:c r="K28" s="233" t="s"/>
      <x:c r="L28" s="231" t="n">
        <x:v>0</x:v>
      </x:c>
      <x:c r="M28" s="231" t="n">
        <x:v>0</x:v>
      </x:c>
      <x:c r="N28" s="234">
        <x:f>ROUND(((I28*J28)-((I28*J28)*L28/100))+(((I28*J28)-((I28*J28)*L28/100))*M28/100), 2)</x:f>
      </x:c>
      <x:c r="O28" s="230">
        <x:f>M11</x:f>
      </x:c>
      <x:c r="P28" s="235" t="s"/>
      <x:c r="Q28" s="236" t="s"/>
      <x:c r="R28" s="237" t="s">
        <x:v>43</x:v>
      </x:c>
      <x:c r="S28" s="238" t="s"/>
      <x:c r="T28" s="239" t="s"/>
    </x:row>
    <x:row r="29" spans="1:24" customFormat="1" ht="24" customHeight="1" x14ac:dyDescent="0.2">
      <x:c r="A29" s="226" t="n">
        <x:v>10</x:v>
      </x:c>
      <x:c r="B29" s="226" t="n">
        <x:v>99990010171005</x:v>
      </x:c>
      <x:c r="C29" s="227" t="n">
        <x:v>812216</x:v>
      </x:c>
      <x:c r="D29" s="228" t="s">
        <x:v>56</x:v>
      </x:c>
      <x:c r="E29" s="229" t="s"/>
      <x:c r="F29" s="229" t="n">
        <x:v>812216</x:v>
      </x:c>
      <x:c r="G29" s="229" t="s">
        <x:v>45</x:v>
      </x:c>
      <x:c r="H29" s="230" t="n">
        <x:v>0</x:v>
      </x:c>
      <x:c r="I29" s="231" t="n">
        <x:v>5</x:v>
      </x:c>
      <x:c r="J29" s="232" t="n">
        <x:v>0</x:v>
      </x:c>
      <x:c r="K29" s="233" t="s"/>
      <x:c r="L29" s="231" t="n">
        <x:v>0</x:v>
      </x:c>
      <x:c r="M29" s="231" t="n">
        <x:v>0</x:v>
      </x:c>
      <x:c r="N29" s="234" t="s">
        <x:f>ROUND(((I29*J29)-((I29*J29)*L29/100))+(((I29*J29)-((I29*J29)*L29/100))*M29/100), 2)</x:f>
      </x:c>
      <x:c r="O29" s="230">
        <x:f>M11</x:f>
      </x:c>
      <x:c r="P29" s="235" t="s"/>
      <x:c r="Q29" s="236" t="s"/>
      <x:c r="R29" s="237" t="s">
        <x:v>43</x:v>
      </x:c>
      <x:c r="S29" s="238" t="s"/>
      <x:c r="T29" s="239" t="s"/>
    </x:row>
    <x:row r="30" spans="1:24" customFormat="1" ht="24" customHeight="1" x14ac:dyDescent="0.2">
      <x:c r="A30" s="226" t="n">
        <x:v>11</x:v>
      </x:c>
      <x:c r="B30" s="226" t="n">
        <x:v>99990010190528</x:v>
      </x:c>
      <x:c r="C30" s="227" t="n">
        <x:v>812223</x:v>
      </x:c>
      <x:c r="D30" s="228" t="s">
        <x:v>57</x:v>
      </x:c>
      <x:c r="E30" s="229" t="s"/>
      <x:c r="F30" s="229" t="n">
        <x:v>812223</x:v>
      </x:c>
      <x:c r="G30" s="229" t="s">
        <x:v>58</x:v>
      </x:c>
      <x:c r="H30" s="230" t="n">
        <x:v>0</x:v>
      </x:c>
      <x:c r="I30" s="231" t="n">
        <x:v>5</x:v>
      </x:c>
      <x:c r="J30" s="232" t="n">
        <x:v>0</x:v>
      </x:c>
      <x:c r="K30" s="233" t="s"/>
      <x:c r="L30" s="231" t="n">
        <x:v>0</x:v>
      </x:c>
      <x:c r="M30" s="231" t="n">
        <x:v>0</x:v>
      </x:c>
      <x:c r="N30" s="234">
        <x:f>ROUND(((I30*J30)-((I30*J30)*L30/100))+(((I30*J30)-((I30*J30)*L30/100))*M30/100), 2)</x:f>
      </x:c>
      <x:c r="O30" s="230">
        <x:f>M11</x:f>
      </x:c>
      <x:c r="P30" s="235" t="s"/>
      <x:c r="Q30" s="236" t="s"/>
      <x:c r="R30" s="237" t="s">
        <x:v>43</x:v>
      </x:c>
      <x:c r="S30" s="238" t="s"/>
      <x:c r="T30" s="239" t="s"/>
    </x:row>
    <x:row r="31" spans="1:24" customFormat="1" ht="24" customHeight="1" x14ac:dyDescent="0.2">
      <x:c r="A31" s="226" t="n">
        <x:v>12</x:v>
      </x:c>
      <x:c r="B31" s="226" t="n">
        <x:v>99990008655499</x:v>
      </x:c>
      <x:c r="C31" s="227" t="n">
        <x:v>232604</x:v>
      </x:c>
      <x:c r="D31" s="228" t="s">
        <x:v>59</x:v>
      </x:c>
      <x:c r="E31" s="229" t="s"/>
      <x:c r="F31" s="229" t="n">
        <x:v>232604</x:v>
      </x:c>
      <x:c r="G31" s="229" t="s">
        <x:v>42</x:v>
      </x:c>
      <x:c r="H31" s="230" t="n">
        <x:v>0</x:v>
      </x:c>
      <x:c r="I31" s="231" t="n">
        <x:v>2</x:v>
      </x:c>
      <x:c r="J31" s="232" t="n">
        <x:v>0</x:v>
      </x:c>
      <x:c r="K31" s="233" t="s"/>
      <x:c r="L31" s="231" t="n">
        <x:v>0</x:v>
      </x:c>
      <x:c r="M31" s="231" t="n">
        <x:v>0</x:v>
      </x:c>
      <x:c r="N31" s="234">
        <x:f>ROUND(((I31*J31)-((I31*J31)*L31/100))+(((I31*J31)-((I31*J31)*L31/100))*M31/100), 2)</x:f>
      </x:c>
      <x:c r="O31" s="230">
        <x:f>M11</x:f>
      </x:c>
      <x:c r="P31" s="235" t="s"/>
      <x:c r="Q31" s="236" t="s"/>
      <x:c r="R31" s="237" t="s">
        <x:v>43</x:v>
      </x:c>
      <x:c r="S31" s="238" t="s"/>
      <x:c r="T31" s="239" t="s"/>
    </x:row>
    <x:row r="32" spans="1:24" customFormat="1" ht="24" customHeight="1" x14ac:dyDescent="0.2">
      <x:c r="A32" s="226" t="n">
        <x:v>13</x:v>
      </x:c>
      <x:c r="B32" s="226" t="n">
        <x:v>99990009355239</x:v>
      </x:c>
      <x:c r="C32" s="227" t="n">
        <x:v>2092968</x:v>
      </x:c>
      <x:c r="D32" s="228" t="s">
        <x:v>60</x:v>
      </x:c>
      <x:c r="E32" s="229" t="s"/>
      <x:c r="F32" s="229" t="n">
        <x:v>232601</x:v>
      </x:c>
      <x:c r="G32" s="229" t="s">
        <x:v>42</x:v>
      </x:c>
      <x:c r="H32" s="230" t="n">
        <x:v>0</x:v>
      </x:c>
      <x:c r="I32" s="231" t="n">
        <x:v>2</x:v>
      </x:c>
      <x:c r="J32" s="232" t="n">
        <x:v>0</x:v>
      </x:c>
      <x:c r="K32" s="233" t="s"/>
      <x:c r="L32" s="231" t="n">
        <x:v>0</x:v>
      </x:c>
      <x:c r="M32" s="231" t="n">
        <x:v>0</x:v>
      </x:c>
      <x:c r="N32" s="234">
        <x:f>ROUND(((I32*J32)-((I32*J32)*L32/100))+(((I32*J32)-((I32*J32)*L32/100))*M32/100), 2)</x:f>
      </x:c>
      <x:c r="O32" s="230">
        <x:f>M11</x:f>
      </x:c>
      <x:c r="P32" s="235" t="s"/>
      <x:c r="Q32" s="236" t="s"/>
      <x:c r="R32" s="237" t="s">
        <x:v>43</x:v>
      </x:c>
      <x:c r="S32" s="238" t="s"/>
      <x:c r="T32" s="239" t="s"/>
    </x:row>
    <x:row r="33" spans="1:24" customFormat="1" ht="24" customHeight="1" x14ac:dyDescent="0.2">
      <x:c r="A33" s="226" t="n">
        <x:v>14</x:v>
      </x:c>
      <x:c r="B33" s="226" t="n">
        <x:v>99990009866955</x:v>
      </x:c>
      <x:c r="C33" s="227" t="n">
        <x:v>331156</x:v>
      </x:c>
      <x:c r="D33" s="228" t="s">
        <x:v>61</x:v>
      </x:c>
      <x:c r="E33" s="229" t="s"/>
      <x:c r="F33" s="229" t="n">
        <x:v>331156</x:v>
      </x:c>
      <x:c r="G33" s="229" t="s">
        <x:v>42</x:v>
      </x:c>
      <x:c r="H33" s="230" t="n">
        <x:v>0</x:v>
      </x:c>
      <x:c r="I33" s="231" t="n">
        <x:v>30</x:v>
      </x:c>
      <x:c r="J33" s="232" t="n">
        <x:v>0</x:v>
      </x:c>
      <x:c r="K33" s="233" t="s"/>
      <x:c r="L33" s="231" t="n">
        <x:v>0</x:v>
      </x:c>
      <x:c r="M33" s="231" t="n">
        <x:v>0</x:v>
      </x:c>
      <x:c r="N33" s="234">
        <x:f>ROUND(((I33*J33)-((I33*J33)*L33/100))+(((I33*J33)-((I33*J33)*L33/100))*M33/100), 2)</x:f>
      </x:c>
      <x:c r="O33" s="230">
        <x:f>M11</x:f>
      </x:c>
      <x:c r="P33" s="235" t="s"/>
      <x:c r="Q33" s="236" t="s"/>
      <x:c r="R33" s="237" t="s">
        <x:v>43</x:v>
      </x:c>
      <x:c r="S33" s="238" t="s"/>
      <x:c r="T33" s="239" t="s"/>
    </x:row>
    <x:row r="34" spans="1:24" customFormat="1" ht="24" customHeight="1" x14ac:dyDescent="0.2">
      <x:c r="A34" s="226" t="n">
        <x:v>15</x:v>
      </x:c>
      <x:c r="B34" s="226" t="n">
        <x:v>99990009867018</x:v>
      </x:c>
      <x:c r="C34" s="227" t="n">
        <x:v>331130</x:v>
      </x:c>
      <x:c r="D34" s="228" t="s">
        <x:v>62</x:v>
      </x:c>
      <x:c r="E34" s="229" t="s"/>
      <x:c r="F34" s="229" t="n">
        <x:v>331130</x:v>
      </x:c>
      <x:c r="G34" s="229" t="s">
        <x:v>63</x:v>
      </x:c>
      <x:c r="H34" s="230" t="n">
        <x:v>0</x:v>
      </x:c>
      <x:c r="I34" s="231" t="n">
        <x:v>6</x:v>
      </x:c>
      <x:c r="J34" s="232" t="n">
        <x:v>0</x:v>
      </x:c>
      <x:c r="K34" s="233" t="s"/>
      <x:c r="L34" s="231" t="n">
        <x:v>0</x:v>
      </x:c>
      <x:c r="M34" s="231" t="n">
        <x:v>0</x:v>
      </x:c>
      <x:c r="N34" s="234">
        <x:f>ROUND(((I34*J34)-((I34*J34)*L34/100))+(((I34*J34)-((I34*J34)*L34/100))*M34/100), 2)</x:f>
      </x:c>
      <x:c r="O34" s="230">
        <x:f>M11</x:f>
      </x:c>
      <x:c r="P34" s="235" t="s"/>
      <x:c r="Q34" s="236" t="s"/>
      <x:c r="R34" s="237" t="s">
        <x:v>64</x:v>
      </x:c>
      <x:c r="S34" s="238" t="s"/>
      <x:c r="T34" s="239" t="s"/>
    </x:row>
    <x:row r="35" spans="1:24" customFormat="1" ht="24" customHeight="1" x14ac:dyDescent="0.2">
      <x:c r="A35" s="226" t="n">
        <x:v>16</x:v>
      </x:c>
      <x:c r="B35" s="226" t="n">
        <x:v>99990009872907</x:v>
      </x:c>
      <x:c r="C35" s="227" t="n">
        <x:v>190101</x:v>
      </x:c>
      <x:c r="D35" s="228" t="s">
        <x:v>65</x:v>
      </x:c>
      <x:c r="E35" s="229" t="s"/>
      <x:c r="F35" s="229" t="n">
        <x:v>190101</x:v>
      </x:c>
      <x:c r="G35" s="229" t="s">
        <x:v>66</x:v>
      </x:c>
      <x:c r="H35" s="230" t="n">
        <x:v>0</x:v>
      </x:c>
      <x:c r="I35" s="231" t="n">
        <x:v>100</x:v>
      </x:c>
      <x:c r="J35" s="232" t="n">
        <x:v>0</x:v>
      </x:c>
      <x:c r="K35" s="233" t="s"/>
      <x:c r="L35" s="231" t="n">
        <x:v>0</x:v>
      </x:c>
      <x:c r="M35" s="231" t="n">
        <x:v>0</x:v>
      </x:c>
      <x:c r="N35" s="234">
        <x:f>ROUND(((I35*J35)-((I35*J35)*L35/100))+(((I35*J35)-((I35*J35)*L35/100))*M35/100), 2)</x:f>
      </x:c>
      <x:c r="O35" s="230">
        <x:f>M11</x:f>
      </x:c>
      <x:c r="P35" s="235" t="s"/>
      <x:c r="Q35" s="236" t="s"/>
      <x:c r="R35" s="237" t="s">
        <x:v>64</x:v>
      </x:c>
      <x:c r="S35" s="238" t="s"/>
      <x:c r="T35" s="239" t="s"/>
    </x:row>
    <x:row r="36" spans="1:24" customFormat="1" ht="24" customHeight="1" x14ac:dyDescent="0.2">
      <x:c r="A36" s="226" t="n">
        <x:v>17</x:v>
      </x:c>
      <x:c r="B36" s="226" t="n">
        <x:v>99990009860331</x:v>
      </x:c>
      <x:c r="C36" s="227" t="n">
        <x:v>851122</x:v>
      </x:c>
      <x:c r="D36" s="228" t="s">
        <x:v>67</x:v>
      </x:c>
      <x:c r="E36" s="229" t="s"/>
      <x:c r="F36" s="229" t="n">
        <x:v>851122</x:v>
      </x:c>
      <x:c r="G36" s="229" t="s">
        <x:v>42</x:v>
      </x:c>
      <x:c r="H36" s="230" t="n">
        <x:v>0</x:v>
      </x:c>
      <x:c r="I36" s="231" t="n">
        <x:v>2</x:v>
      </x:c>
      <x:c r="J36" s="232" t="n">
        <x:v>0</x:v>
      </x:c>
      <x:c r="K36" s="233" t="s"/>
      <x:c r="L36" s="231" t="n">
        <x:v>0</x:v>
      </x:c>
      <x:c r="M36" s="231" t="n">
        <x:v>0</x:v>
      </x:c>
      <x:c r="N36" s="234">
        <x:f>ROUND(((I36*J36)-((I36*J36)*L36/100))+(((I36*J36)-((I36*J36)*L36/100))*M36/100), 2)</x:f>
      </x:c>
      <x:c r="O36" s="230">
        <x:f>M11</x:f>
      </x:c>
      <x:c r="P36" s="235" t="s"/>
      <x:c r="Q36" s="236" t="s"/>
      <x:c r="R36" s="237" t="s">
        <x:v>43</x:v>
      </x:c>
      <x:c r="S36" s="238" t="s"/>
      <x:c r="T36" s="239" t="s"/>
    </x:row>
    <x:row r="37" spans="1:24" customFormat="1" ht="24" customHeight="1" x14ac:dyDescent="0.2">
      <x:c r="A37" s="226" t="n">
        <x:v>18</x:v>
      </x:c>
      <x:c r="B37" s="226" t="n">
        <x:v>99990008658088</x:v>
      </x:c>
      <x:c r="C37" s="227" t="n">
        <x:v>614073</x:v>
      </x:c>
      <x:c r="D37" s="228" t="s">
        <x:v>68</x:v>
      </x:c>
      <x:c r="E37" s="229" t="s"/>
      <x:c r="F37" s="229" t="n">
        <x:v>614073</x:v>
      </x:c>
      <x:c r="G37" s="229" t="s">
        <x:v>42</x:v>
      </x:c>
      <x:c r="H37" s="230" t="n">
        <x:v>0</x:v>
      </x:c>
      <x:c r="I37" s="231" t="n">
        <x:v>20</x:v>
      </x:c>
      <x:c r="J37" s="232" t="n">
        <x:v>0</x:v>
      </x:c>
      <x:c r="K37" s="233" t="s"/>
      <x:c r="L37" s="231" t="n">
        <x:v>0</x:v>
      </x:c>
      <x:c r="M37" s="231" t="n">
        <x:v>0</x:v>
      </x:c>
      <x:c r="N37" s="234">
        <x:f>ROUND(((I37*J37)-((I37*J37)*L37/100))+(((I37*J37)-((I37*J37)*L37/100))*M37/100), 2)</x:f>
      </x:c>
      <x:c r="O37" s="230">
        <x:f>M11</x:f>
      </x:c>
      <x:c r="P37" s="235" t="s"/>
      <x:c r="Q37" s="236" t="s"/>
      <x:c r="R37" s="237" t="s">
        <x:v>43</x:v>
      </x:c>
      <x:c r="S37" s="238" t="s"/>
      <x:c r="T37" s="239" t="s"/>
    </x:row>
    <x:row r="38" spans="1:24" customFormat="1" ht="24" customHeight="1" x14ac:dyDescent="0.2">
      <x:c r="A38" s="226" t="n">
        <x:v>19</x:v>
      </x:c>
      <x:c r="B38" s="226" t="n">
        <x:v>99990008658086</x:v>
      </x:c>
      <x:c r="C38" s="227" t="n">
        <x:v>614071</x:v>
      </x:c>
      <x:c r="D38" s="228" t="s">
        <x:v>69</x:v>
      </x:c>
      <x:c r="E38" s="229" t="s"/>
      <x:c r="F38" s="229" t="n">
        <x:v>614071</x:v>
      </x:c>
      <x:c r="G38" s="229" t="s">
        <x:v>42</x:v>
      </x:c>
      <x:c r="H38" s="230" t="n">
        <x:v>0</x:v>
      </x:c>
      <x:c r="I38" s="231" t="n">
        <x:v>20</x:v>
      </x:c>
      <x:c r="J38" s="232" t="n">
        <x:v>0</x:v>
      </x:c>
      <x:c r="K38" s="233" t="s"/>
      <x:c r="L38" s="231" t="n">
        <x:v>0</x:v>
      </x:c>
      <x:c r="M38" s="231" t="n">
        <x:v>0</x:v>
      </x:c>
      <x:c r="N38" s="234">
        <x:f>ROUND(((I38*J38)-((I38*J38)*L38/100))+(((I38*J38)-((I38*J38)*L38/100))*M38/100), 2)</x:f>
      </x:c>
      <x:c r="O38" s="230">
        <x:f>M11</x:f>
      </x:c>
      <x:c r="P38" s="235" t="s"/>
      <x:c r="Q38" s="236" t="s"/>
      <x:c r="R38" s="237" t="s">
        <x:v>43</x:v>
      </x:c>
      <x:c r="S38" s="238" t="s"/>
      <x:c r="T38" s="239" t="s"/>
    </x:row>
    <x:row r="39" spans="1:24" customFormat="1" ht="24" customHeight="1" x14ac:dyDescent="0.2">
      <x:c r="A39" s="226" t="n">
        <x:v>20</x:v>
      </x:c>
      <x:c r="B39" s="226" t="n">
        <x:v>99990008658084</x:v>
      </x:c>
      <x:c r="C39" s="227" t="n">
        <x:v>614069</x:v>
      </x:c>
      <x:c r="D39" s="228" t="s">
        <x:v>70</x:v>
      </x:c>
      <x:c r="E39" s="229" t="s"/>
      <x:c r="F39" s="229" t="n">
        <x:v>614069</x:v>
      </x:c>
      <x:c r="G39" s="229" t="s">
        <x:v>42</x:v>
      </x:c>
      <x:c r="H39" s="230" t="n">
        <x:v>0</x:v>
      </x:c>
      <x:c r="I39" s="231" t="n">
        <x:v>20</x:v>
      </x:c>
      <x:c r="J39" s="232" t="n">
        <x:v>0</x:v>
      </x:c>
      <x:c r="K39" s="233" t="s"/>
      <x:c r="L39" s="231" t="n">
        <x:v>0</x:v>
      </x:c>
      <x:c r="M39" s="231" t="n">
        <x:v>0</x:v>
      </x:c>
      <x:c r="N39" s="234">
        <x:f>ROUND(((I39*J39)-((I39*J39)*L39/100))+(((I39*J39)-((I39*J39)*L39/100))*M39/100), 2)</x:f>
      </x:c>
      <x:c r="O39" s="230">
        <x:f>M11</x:f>
      </x:c>
      <x:c r="P39" s="235" t="s"/>
      <x:c r="Q39" s="236" t="s"/>
      <x:c r="R39" s="237" t="s">
        <x:v>43</x:v>
      </x:c>
      <x:c r="S39" s="238" t="s"/>
      <x:c r="T39" s="239" t="s"/>
    </x:row>
    <x:row r="40" spans="1:24" customFormat="1" ht="24" customHeight="1" x14ac:dyDescent="0.2">
      <x:c r="A40" s="226" t="n">
        <x:v>21</x:v>
      </x:c>
      <x:c r="B40" s="226" t="n">
        <x:v>99990008658082</x:v>
      </x:c>
      <x:c r="C40" s="227" t="n">
        <x:v>614067</x:v>
      </x:c>
      <x:c r="D40" s="228" t="s">
        <x:v>71</x:v>
      </x:c>
      <x:c r="E40" s="229" t="s"/>
      <x:c r="F40" s="229" t="n">
        <x:v>614067</x:v>
      </x:c>
      <x:c r="G40" s="229" t="s">
        <x:v>42</x:v>
      </x:c>
      <x:c r="H40" s="230" t="n">
        <x:v>0</x:v>
      </x:c>
      <x:c r="I40" s="231" t="n">
        <x:v>20</x:v>
      </x:c>
      <x:c r="J40" s="232" t="n">
        <x:v>0</x:v>
      </x:c>
      <x:c r="K40" s="233" t="s"/>
      <x:c r="L40" s="231" t="n">
        <x:v>0</x:v>
      </x:c>
      <x:c r="M40" s="231" t="n">
        <x:v>0</x:v>
      </x:c>
      <x:c r="N40" s="234">
        <x:f>ROUND(((I40*J40)-((I40*J40)*L40/100))+(((I40*J40)-((I40*J40)*L40/100))*M40/100), 2)</x:f>
      </x:c>
      <x:c r="O40" s="230">
        <x:f>M11</x:f>
      </x:c>
      <x:c r="P40" s="235" t="s"/>
      <x:c r="Q40" s="236" t="s"/>
      <x:c r="R40" s="237" t="s">
        <x:v>43</x:v>
      </x:c>
      <x:c r="S40" s="238" t="s"/>
      <x:c r="T40" s="239" t="s"/>
    </x:row>
    <x:row r="41" spans="1:24" customFormat="1" ht="24" customHeight="1" x14ac:dyDescent="0.2">
      <x:c r="A41" s="226" t="n">
        <x:v>22</x:v>
      </x:c>
      <x:c r="B41" s="226" t="n">
        <x:v>99990009456524</x:v>
      </x:c>
      <x:c r="C41" s="227" t="n">
        <x:v>2112591</x:v>
      </x:c>
      <x:c r="D41" s="228" t="s">
        <x:v>72</x:v>
      </x:c>
      <x:c r="E41" s="229" t="s"/>
      <x:c r="F41" s="229" t="n">
        <x:v>612753</x:v>
      </x:c>
      <x:c r="G41" s="229" t="s">
        <x:v>42</x:v>
      </x:c>
      <x:c r="H41" s="230" t="n">
        <x:v>0</x:v>
      </x:c>
      <x:c r="I41" s="231" t="n">
        <x:v>1</x:v>
      </x:c>
      <x:c r="J41" s="232" t="n">
        <x:v>0</x:v>
      </x:c>
      <x:c r="K41" s="233" t="s"/>
      <x:c r="L41" s="231" t="n">
        <x:v>0</x:v>
      </x:c>
      <x:c r="M41" s="231" t="n">
        <x:v>0</x:v>
      </x:c>
      <x:c r="N41" s="234">
        <x:f>ROUND(((I41*J41)-((I41*J41)*L41/100))+(((I41*J41)-((I41*J41)*L41/100))*M41/100), 2)</x:f>
      </x:c>
      <x:c r="O41" s="230">
        <x:f>M11</x:f>
      </x:c>
      <x:c r="P41" s="235" t="s"/>
      <x:c r="Q41" s="236" t="s"/>
      <x:c r="R41" s="237" t="s">
        <x:v>43</x:v>
      </x:c>
      <x:c r="S41" s="238" t="s"/>
      <x:c r="T41" s="239" t="s"/>
    </x:row>
    <x:row r="42" spans="1:24" customFormat="1" ht="24" customHeight="1" x14ac:dyDescent="0.2">
      <x:c r="A42" s="226" t="n">
        <x:v>23</x:v>
      </x:c>
      <x:c r="B42" s="226" t="n">
        <x:v>99990009860320</x:v>
      </x:c>
      <x:c r="C42" s="227" t="n">
        <x:v>851146</x:v>
      </x:c>
      <x:c r="D42" s="228" t="s">
        <x:v>73</x:v>
      </x:c>
      <x:c r="E42" s="229" t="s"/>
      <x:c r="F42" s="229" t="n">
        <x:v>851146</x:v>
      </x:c>
      <x:c r="G42" s="229" t="s">
        <x:v>42</x:v>
      </x:c>
      <x:c r="H42" s="230" t="n">
        <x:v>0</x:v>
      </x:c>
      <x:c r="I42" s="231" t="n">
        <x:v>10</x:v>
      </x:c>
      <x:c r="J42" s="232" t="n">
        <x:v>0</x:v>
      </x:c>
      <x:c r="K42" s="233" t="s"/>
      <x:c r="L42" s="231" t="n">
        <x:v>0</x:v>
      </x:c>
      <x:c r="M42" s="231" t="n">
        <x:v>0</x:v>
      </x:c>
      <x:c r="N42" s="234">
        <x:f>ROUND(((I42*J42)-((I42*J42)*L42/100))+(((I42*J42)-((I42*J42)*L42/100))*M42/100), 2)</x:f>
      </x:c>
      <x:c r="O42" s="230">
        <x:f>M11</x:f>
      </x:c>
      <x:c r="P42" s="235" t="s"/>
      <x:c r="Q42" s="236" t="s"/>
      <x:c r="R42" s="237" t="s">
        <x:v>43</x:v>
      </x:c>
      <x:c r="S42" s="238" t="s"/>
      <x:c r="T42" s="239" t="s"/>
    </x:row>
    <x:row r="43" spans="1:24" customFormat="1" ht="24" customHeight="1" x14ac:dyDescent="0.2">
      <x:c r="A43" s="226" t="n">
        <x:v>24</x:v>
      </x:c>
      <x:c r="B43" s="226" t="n">
        <x:v>99990009860321</x:v>
      </x:c>
      <x:c r="C43" s="227" t="n">
        <x:v>851145</x:v>
      </x:c>
      <x:c r="D43" s="228" t="s">
        <x:v>74</x:v>
      </x:c>
      <x:c r="E43" s="229" t="s"/>
      <x:c r="F43" s="229" t="n">
        <x:v>851145</x:v>
      </x:c>
      <x:c r="G43" s="229" t="s">
        <x:v>42</x:v>
      </x:c>
      <x:c r="H43" s="230" t="n">
        <x:v>0</x:v>
      </x:c>
      <x:c r="I43" s="231" t="n">
        <x:v>5</x:v>
      </x:c>
      <x:c r="J43" s="232" t="n">
        <x:v>0</x:v>
      </x:c>
      <x:c r="K43" s="233" t="s"/>
      <x:c r="L43" s="231" t="n">
        <x:v>0</x:v>
      </x:c>
      <x:c r="M43" s="231" t="n">
        <x:v>0</x:v>
      </x:c>
      <x:c r="N43" s="234">
        <x:f>ROUND(((I43*J43)-((I43*J43)*L43/100))+(((I43*J43)-((I43*J43)*L43/100))*M43/100), 2)</x:f>
      </x:c>
      <x:c r="O43" s="230">
        <x:f>M11</x:f>
      </x:c>
      <x:c r="P43" s="235" t="s"/>
      <x:c r="Q43" s="236" t="s"/>
      <x:c r="R43" s="237" t="s">
        <x:v>43</x:v>
      </x:c>
      <x:c r="S43" s="238" t="s"/>
      <x:c r="T43" s="239" t="s"/>
    </x:row>
    <x:row r="44" spans="1:24" customFormat="1" ht="24" customHeight="1" x14ac:dyDescent="0.2">
      <x:c r="A44" s="226" t="n">
        <x:v>25</x:v>
      </x:c>
      <x:c r="B44" s="226" t="n">
        <x:v>99990009860322</x:v>
      </x:c>
      <x:c r="C44" s="227" t="n">
        <x:v>851144</x:v>
      </x:c>
      <x:c r="D44" s="228" t="s">
        <x:v>75</x:v>
      </x:c>
      <x:c r="E44" s="229" t="s"/>
      <x:c r="F44" s="229" t="n">
        <x:v>851144</x:v>
      </x:c>
      <x:c r="G44" s="229" t="s">
        <x:v>42</x:v>
      </x:c>
      <x:c r="H44" s="230" t="n">
        <x:v>0</x:v>
      </x:c>
      <x:c r="I44" s="231" t="n">
        <x:v>5</x:v>
      </x:c>
      <x:c r="J44" s="232" t="n">
        <x:v>0</x:v>
      </x:c>
      <x:c r="K44" s="233" t="s"/>
      <x:c r="L44" s="231" t="n">
        <x:v>0</x:v>
      </x:c>
      <x:c r="M44" s="231" t="n">
        <x:v>0</x:v>
      </x:c>
      <x:c r="N44" s="234">
        <x:f>ROUND(((I44*J44)-((I44*J44)*L44/100))+(((I44*J44)-((I44*J44)*L44/100))*M44/100), 2)</x:f>
      </x:c>
      <x:c r="O44" s="230">
        <x:f>M11</x:f>
      </x:c>
      <x:c r="P44" s="235" t="s"/>
      <x:c r="Q44" s="236" t="s"/>
      <x:c r="R44" s="237" t="s">
        <x:v>43</x:v>
      </x:c>
      <x:c r="S44" s="238" t="s"/>
      <x:c r="T44" s="239" t="s"/>
    </x:row>
    <x:row r="45" spans="1:24" customFormat="1" ht="24" customHeight="1" x14ac:dyDescent="0.2">
      <x:c r="A45" s="226" t="n">
        <x:v>26</x:v>
      </x:c>
      <x:c r="B45" s="226" t="n">
        <x:v>99990009872449</x:v>
      </x:c>
      <x:c r="C45" s="227" t="n">
        <x:v>336001</x:v>
      </x:c>
      <x:c r="D45" s="228" t="s">
        <x:v>76</x:v>
      </x:c>
      <x:c r="E45" s="229" t="s"/>
      <x:c r="F45" s="229" t="n">
        <x:v>336001</x:v>
      </x:c>
      <x:c r="G45" s="229" t="s">
        <x:v>42</x:v>
      </x:c>
      <x:c r="H45" s="230" t="n">
        <x:v>0</x:v>
      </x:c>
      <x:c r="I45" s="231" t="n">
        <x:v>6</x:v>
      </x:c>
      <x:c r="J45" s="232" t="n">
        <x:v>0</x:v>
      </x:c>
      <x:c r="K45" s="233" t="s"/>
      <x:c r="L45" s="231" t="n">
        <x:v>0</x:v>
      </x:c>
      <x:c r="M45" s="231" t="n">
        <x:v>0</x:v>
      </x:c>
      <x:c r="N45" s="234">
        <x:f>ROUND(((I45*J45)-((I45*J45)*L45/100))+(((I45*J45)-((I45*J45)*L45/100))*M45/100), 2)</x:f>
      </x:c>
      <x:c r="O45" s="230">
        <x:f>M11</x:f>
      </x:c>
      <x:c r="P45" s="235" t="s"/>
      <x:c r="Q45" s="236" t="s"/>
      <x:c r="R45" s="237" t="s">
        <x:v>77</x:v>
      </x:c>
      <x:c r="S45" s="238" t="s"/>
      <x:c r="T45" s="239" t="s"/>
    </x:row>
    <x:row r="46" spans="1:24" customFormat="1" ht="24" customHeight="1" x14ac:dyDescent="0.2">
      <x:c r="A46" s="226" t="n">
        <x:v>27</x:v>
      </x:c>
      <x:c r="B46" s="226" t="n">
        <x:v>99990008657381</x:v>
      </x:c>
      <x:c r="C46" s="227" t="n">
        <x:v>174524</x:v>
      </x:c>
      <x:c r="D46" s="228" t="s">
        <x:v>78</x:v>
      </x:c>
      <x:c r="E46" s="229" t="s"/>
      <x:c r="F46" s="229" t="n">
        <x:v>174524</x:v>
      </x:c>
      <x:c r="G46" s="229" t="s">
        <x:v>42</x:v>
      </x:c>
      <x:c r="H46" s="230" t="n">
        <x:v>0</x:v>
      </x:c>
      <x:c r="I46" s="231" t="n">
        <x:v>3</x:v>
      </x:c>
      <x:c r="J46" s="232" t="n">
        <x:v>0</x:v>
      </x:c>
      <x:c r="K46" s="233" t="s"/>
      <x:c r="L46" s="231" t="n">
        <x:v>0</x:v>
      </x:c>
      <x:c r="M46" s="231" t="n">
        <x:v>0</x:v>
      </x:c>
      <x:c r="N46" s="234">
        <x:f>ROUND(((I46*J46)-((I46*J46)*L46/100))+(((I46*J46)-((I46*J46)*L46/100))*M46/100), 2)</x:f>
      </x:c>
      <x:c r="O46" s="230">
        <x:f>M11</x:f>
      </x:c>
      <x:c r="P46" s="235" t="s"/>
      <x:c r="Q46" s="236" t="s"/>
      <x:c r="R46" s="237" t="s">
        <x:v>79</x:v>
      </x:c>
      <x:c r="S46" s="238" t="s"/>
      <x:c r="T46" s="239" t="s"/>
    </x:row>
    <x:row r="47" spans="1:24" customFormat="1" ht="24" customHeight="1" x14ac:dyDescent="0.2">
      <x:c r="A47" s="226" t="n">
        <x:v>28</x:v>
      </x:c>
      <x:c r="B47" s="226" t="n">
        <x:v>99990010975339</x:v>
      </x:c>
      <x:c r="C47" s="227" t="n">
        <x:v>671861</x:v>
      </x:c>
      <x:c r="D47" s="228" t="s">
        <x:v>80</x:v>
      </x:c>
      <x:c r="E47" s="229" t="s"/>
      <x:c r="F47" s="229" t="n">
        <x:v>671861</x:v>
      </x:c>
      <x:c r="G47" s="229" t="s">
        <x:v>48</x:v>
      </x:c>
      <x:c r="H47" s="230" t="n">
        <x:v>0</x:v>
      </x:c>
      <x:c r="I47" s="231" t="n">
        <x:v>3</x:v>
      </x:c>
      <x:c r="J47" s="232" t="n">
        <x:v>0</x:v>
      </x:c>
      <x:c r="K47" s="233" t="s"/>
      <x:c r="L47" s="231" t="n">
        <x:v>0</x:v>
      </x:c>
      <x:c r="M47" s="231" t="n">
        <x:v>0</x:v>
      </x:c>
      <x:c r="N47" s="234">
        <x:f>ROUND(((I47*J47)-((I47*J47)*L47/100))+(((I47*J47)-((I47*J47)*L47/100))*M47/100), 2)</x:f>
      </x:c>
      <x:c r="O47" s="230">
        <x:f>M11</x:f>
      </x:c>
      <x:c r="P47" s="235" t="s"/>
      <x:c r="Q47" s="236" t="s"/>
      <x:c r="R47" s="237" t="s"/>
      <x:c r="S47" s="238" t="s"/>
      <x:c r="T47" s="239" t="s"/>
    </x:row>
    <x:row r="48" spans="1:24" customFormat="1" ht="24" customHeight="1" x14ac:dyDescent="0.2">
      <x:c r="A48" s="226" t="n">
        <x:v>29</x:v>
      </x:c>
      <x:c r="B48" s="226" t="n">
        <x:v>99990008656876</x:v>
      </x:c>
      <x:c r="C48" s="227" t="n">
        <x:v>794855</x:v>
      </x:c>
      <x:c r="D48" s="228" t="s">
        <x:v>81</x:v>
      </x:c>
      <x:c r="E48" s="229" t="s"/>
      <x:c r="F48" s="229" t="n">
        <x:v>794855</x:v>
      </x:c>
      <x:c r="G48" s="229" t="s">
        <x:v>42</x:v>
      </x:c>
      <x:c r="H48" s="230" t="n">
        <x:v>0</x:v>
      </x:c>
      <x:c r="I48" s="231" t="n">
        <x:v>200</x:v>
      </x:c>
      <x:c r="J48" s="232" t="n">
        <x:v>0</x:v>
      </x:c>
      <x:c r="K48" s="233" t="s"/>
      <x:c r="L48" s="231" t="n">
        <x:v>0</x:v>
      </x:c>
      <x:c r="M48" s="231" t="n">
        <x:v>0</x:v>
      </x:c>
      <x:c r="N48" s="234">
        <x:f>ROUND(((I48*J48)-((I48*J48)*L48/100))+(((I48*J48)-((I48*J48)*L48/100))*M48/100), 2)</x:f>
      </x:c>
      <x:c r="O48" s="230">
        <x:f>M11</x:f>
      </x:c>
      <x:c r="P48" s="235" t="s"/>
      <x:c r="Q48" s="236" t="s"/>
      <x:c r="R48" s="237" t="s"/>
      <x:c r="S48" s="238" t="s"/>
      <x:c r="T48" s="239" t="s"/>
    </x:row>
    <x:row r="49" spans="1:24" customFormat="1" ht="24" customHeight="1" x14ac:dyDescent="0.2">
      <x:c r="A49" s="226" t="n">
        <x:v>30</x:v>
      </x:c>
      <x:c r="B49" s="226" t="n">
        <x:v>99990008656873</x:v>
      </x:c>
      <x:c r="C49" s="227" t="n">
        <x:v>794852</x:v>
      </x:c>
      <x:c r="D49" s="228" t="s">
        <x:v>82</x:v>
      </x:c>
      <x:c r="E49" s="229" t="s"/>
      <x:c r="F49" s="229" t="n">
        <x:v>794852</x:v>
      </x:c>
      <x:c r="G49" s="229" t="s">
        <x:v>42</x:v>
      </x:c>
      <x:c r="H49" s="230" t="n">
        <x:v>0</x:v>
      </x:c>
      <x:c r="I49" s="231" t="n">
        <x:v>200</x:v>
      </x:c>
      <x:c r="J49" s="232" t="n">
        <x:v>0</x:v>
      </x:c>
      <x:c r="K49" s="233" t="s"/>
      <x:c r="L49" s="231" t="n">
        <x:v>0</x:v>
      </x:c>
      <x:c r="M49" s="231" t="n">
        <x:v>0</x:v>
      </x:c>
      <x:c r="N49" s="234">
        <x:f>ROUND(((I49*J49)-((I49*J49)*L49/100))+(((I49*J49)-((I49*J49)*L49/100))*M49/100), 2)</x:f>
      </x:c>
      <x:c r="O49" s="230">
        <x:f>M11</x:f>
      </x:c>
      <x:c r="P49" s="235" t="s"/>
      <x:c r="Q49" s="236" t="s"/>
      <x:c r="R49" s="237" t="s"/>
      <x:c r="S49" s="238" t="s"/>
      <x:c r="T49" s="239" t="s"/>
    </x:row>
    <x:row r="50" spans="1:24" customFormat="1" ht="24" customHeight="1" x14ac:dyDescent="0.2">
      <x:c r="A50" s="226" t="n">
        <x:v>31</x:v>
      </x:c>
      <x:c r="B50" s="226" t="n">
        <x:v>99990009813331</x:v>
      </x:c>
      <x:c r="C50" s="227" t="n">
        <x:v>794671</x:v>
      </x:c>
      <x:c r="D50" s="228" t="s">
        <x:v>83</x:v>
      </x:c>
      <x:c r="E50" s="229" t="s"/>
      <x:c r="F50" s="229" t="n">
        <x:v>794671</x:v>
      </x:c>
      <x:c r="G50" s="229" t="s">
        <x:v>42</x:v>
      </x:c>
      <x:c r="H50" s="230" t="n">
        <x:v>0</x:v>
      </x:c>
      <x:c r="I50" s="231" t="n">
        <x:v>30</x:v>
      </x:c>
      <x:c r="J50" s="232" t="n">
        <x:v>0</x:v>
      </x:c>
      <x:c r="K50" s="233" t="s"/>
      <x:c r="L50" s="231" t="n">
        <x:v>0</x:v>
      </x:c>
      <x:c r="M50" s="231" t="n">
        <x:v>0</x:v>
      </x:c>
      <x:c r="N50" s="234">
        <x:f>ROUND(((I50*J50)-((I50*J50)*L50/100))+(((I50*J50)-((I50*J50)*L50/100))*M50/100), 2)</x:f>
      </x:c>
      <x:c r="O50" s="230">
        <x:f>M11</x:f>
      </x:c>
      <x:c r="P50" s="235" t="s"/>
      <x:c r="Q50" s="236" t="s"/>
      <x:c r="R50" s="237" t="s"/>
      <x:c r="S50" s="238" t="s"/>
      <x:c r="T50" s="239" t="s"/>
    </x:row>
    <x:row r="51" spans="1:24" customFormat="1" ht="24" customHeight="1" x14ac:dyDescent="0.2">
      <x:c r="A51" s="226" t="n">
        <x:v>32</x:v>
      </x:c>
      <x:c r="B51" s="226" t="n">
        <x:v>99990008656849</x:v>
      </x:c>
      <x:c r="C51" s="227" t="n">
        <x:v>794563</x:v>
      </x:c>
      <x:c r="D51" s="228" t="s">
        <x:v>84</x:v>
      </x:c>
      <x:c r="E51" s="229" t="s"/>
      <x:c r="F51" s="229" t="n">
        <x:v>794563</x:v>
      </x:c>
      <x:c r="G51" s="229" t="s">
        <x:v>42</x:v>
      </x:c>
      <x:c r="H51" s="230" t="n">
        <x:v>0</x:v>
      </x:c>
      <x:c r="I51" s="231" t="n">
        <x:v>30</x:v>
      </x:c>
      <x:c r="J51" s="232" t="n">
        <x:v>0</x:v>
      </x:c>
      <x:c r="K51" s="233" t="s"/>
      <x:c r="L51" s="231" t="n">
        <x:v>0</x:v>
      </x:c>
      <x:c r="M51" s="231" t="n">
        <x:v>0</x:v>
      </x:c>
      <x:c r="N51" s="234">
        <x:f>ROUND(((I51*J51)-((I51*J51)*L51/100))+(((I51*J51)-((I51*J51)*L51/100))*M51/100), 2)</x:f>
      </x:c>
      <x:c r="O51" s="230">
        <x:f>M11</x:f>
      </x:c>
      <x:c r="P51" s="235" t="s"/>
      <x:c r="Q51" s="236" t="s"/>
      <x:c r="R51" s="237" t="s"/>
      <x:c r="S51" s="238" t="s"/>
      <x:c r="T51" s="239" t="s"/>
    </x:row>
    <x:row r="52" spans="1:24" customFormat="1" ht="24" customHeight="1" x14ac:dyDescent="0.2">
      <x:c r="A52" s="226" t="n">
        <x:v>33</x:v>
      </x:c>
      <x:c r="B52" s="226" t="n">
        <x:v>99990009838376</x:v>
      </x:c>
      <x:c r="C52" s="227" t="n">
        <x:v>794533</x:v>
      </x:c>
      <x:c r="D52" s="228" t="s">
        <x:v>85</x:v>
      </x:c>
      <x:c r="E52" s="229" t="s"/>
      <x:c r="F52" s="229" t="n">
        <x:v>794533</x:v>
      </x:c>
      <x:c r="G52" s="229" t="s">
        <x:v>42</x:v>
      </x:c>
      <x:c r="H52" s="230" t="n">
        <x:v>0</x:v>
      </x:c>
      <x:c r="I52" s="231" t="n">
        <x:v>30</x:v>
      </x:c>
      <x:c r="J52" s="232" t="n">
        <x:v>0</x:v>
      </x:c>
      <x:c r="K52" s="233" t="s"/>
      <x:c r="L52" s="231" t="n">
        <x:v>0</x:v>
      </x:c>
      <x:c r="M52" s="231" t="n">
        <x:v>0</x:v>
      </x:c>
      <x:c r="N52" s="234">
        <x:f>ROUND(((I52*J52)-((I52*J52)*L52/100))+(((I52*J52)-((I52*J52)*L52/100))*M52/100), 2)</x:f>
      </x:c>
      <x:c r="O52" s="230">
        <x:f>M11</x:f>
      </x:c>
      <x:c r="P52" s="235" t="s"/>
      <x:c r="Q52" s="236" t="s"/>
      <x:c r="R52" s="237" t="s"/>
      <x:c r="S52" s="238" t="s"/>
      <x:c r="T52" s="239" t="s"/>
    </x:row>
    <x:row r="53" spans="1:24" customFormat="1" ht="24" customHeight="1" x14ac:dyDescent="0.2">
      <x:c r="A53" s="226" t="n">
        <x:v>34</x:v>
      </x:c>
      <x:c r="B53" s="226" t="n">
        <x:v>99990010080499</x:v>
      </x:c>
      <x:c r="C53" s="227" t="s">
        <x:v>86</x:v>
      </x:c>
      <x:c r="D53" s="228" t="s">
        <x:v>87</x:v>
      </x:c>
      <x:c r="E53" s="229" t="s"/>
      <x:c r="F53" s="229" t="n">
        <x:v>794531</x:v>
      </x:c>
      <x:c r="G53" s="229" t="s">
        <x:v>42</x:v>
      </x:c>
      <x:c r="H53" s="230" t="n">
        <x:v>0</x:v>
      </x:c>
      <x:c r="I53" s="231" t="n">
        <x:v>30</x:v>
      </x:c>
      <x:c r="J53" s="232" t="n">
        <x:v>0</x:v>
      </x:c>
      <x:c r="K53" s="233" t="s"/>
      <x:c r="L53" s="231" t="n">
        <x:v>0</x:v>
      </x:c>
      <x:c r="M53" s="231" t="n">
        <x:v>0</x:v>
      </x:c>
      <x:c r="N53" s="234">
        <x:f>ROUND(((I53*J53)-((I53*J53)*L53/100))+(((I53*J53)-((I53*J53)*L53/100))*M53/100), 2)</x:f>
      </x:c>
      <x:c r="O53" s="230">
        <x:f>M11</x:f>
      </x:c>
      <x:c r="P53" s="235" t="s"/>
      <x:c r="Q53" s="236" t="s"/>
      <x:c r="R53" s="237" t="s"/>
      <x:c r="S53" s="238" t="s"/>
      <x:c r="T53" s="239" t="s"/>
    </x:row>
    <x:row r="54" spans="1:24" customFormat="1" ht="24" customHeight="1" x14ac:dyDescent="0.2">
      <x:c r="A54" s="226" t="n">
        <x:v>35</x:v>
      </x:c>
      <x:c r="B54" s="226" t="n">
        <x:v>99990008656838</x:v>
      </x:c>
      <x:c r="C54" s="227" t="n">
        <x:v>794522</x:v>
      </x:c>
      <x:c r="D54" s="228" t="s">
        <x:v>88</x:v>
      </x:c>
      <x:c r="E54" s="229" t="s"/>
      <x:c r="F54" s="229" t="n">
        <x:v>794522</x:v>
      </x:c>
      <x:c r="G54" s="229" t="s">
        <x:v>42</x:v>
      </x:c>
      <x:c r="H54" s="230" t="n">
        <x:v>0</x:v>
      </x:c>
      <x:c r="I54" s="231" t="n">
        <x:v>30</x:v>
      </x:c>
      <x:c r="J54" s="232" t="n">
        <x:v>0</x:v>
      </x:c>
      <x:c r="K54" s="233" t="s"/>
      <x:c r="L54" s="231" t="n">
        <x:v>0</x:v>
      </x:c>
      <x:c r="M54" s="231" t="n">
        <x:v>0</x:v>
      </x:c>
      <x:c r="N54" s="234">
        <x:f>ROUND(((I54*J54)-((I54*J54)*L54/100))+(((I54*J54)-((I54*J54)*L54/100))*M54/100), 2)</x:f>
      </x:c>
      <x:c r="O54" s="230">
        <x:f>M11</x:f>
      </x:c>
      <x:c r="P54" s="235" t="s"/>
      <x:c r="Q54" s="236" t="s"/>
      <x:c r="R54" s="237" t="s"/>
      <x:c r="S54" s="238" t="s"/>
      <x:c r="T54" s="239" t="s"/>
    </x:row>
    <x:row r="55" spans="1:24" customFormat="1" ht="24" customHeight="1" x14ac:dyDescent="0.2">
      <x:c r="A55" s="226" t="n">
        <x:v>36</x:v>
      </x:c>
      <x:c r="B55" s="226" t="n">
        <x:v>99990008656837</x:v>
      </x:c>
      <x:c r="C55" s="227" t="n">
        <x:v>794521</x:v>
      </x:c>
      <x:c r="D55" s="228" t="s">
        <x:v>89</x:v>
      </x:c>
      <x:c r="E55" s="229" t="s"/>
      <x:c r="F55" s="229" t="n">
        <x:v>794521</x:v>
      </x:c>
      <x:c r="G55" s="229" t="s">
        <x:v>42</x:v>
      </x:c>
      <x:c r="H55" s="230" t="n">
        <x:v>0</x:v>
      </x:c>
      <x:c r="I55" s="231" t="n">
        <x:v>30</x:v>
      </x:c>
      <x:c r="J55" s="232" t="n">
        <x:v>0</x:v>
      </x:c>
      <x:c r="K55" s="233" t="s"/>
      <x:c r="L55" s="231" t="n">
        <x:v>0</x:v>
      </x:c>
      <x:c r="M55" s="231" t="n">
        <x:v>0</x:v>
      </x:c>
      <x:c r="N55" s="234">
        <x:f>ROUND(((I55*J55)-((I55*J55)*L55/100))+(((I55*J55)-((I55*J55)*L55/100))*M55/100), 2)</x:f>
      </x:c>
      <x:c r="O55" s="230">
        <x:f>M11</x:f>
      </x:c>
      <x:c r="P55" s="235" t="s"/>
      <x:c r="Q55" s="236" t="s"/>
      <x:c r="R55" s="237" t="s"/>
      <x:c r="S55" s="238" t="s"/>
      <x:c r="T55" s="239" t="s"/>
    </x:row>
    <x:row r="56" spans="1:24" customFormat="1" ht="24" customHeight="1" x14ac:dyDescent="0.2">
      <x:c r="A56" s="226" t="n">
        <x:v>37</x:v>
      </x:c>
      <x:c r="B56" s="226" t="n">
        <x:v>99990008210549</x:v>
      </x:c>
      <x:c r="C56" s="227" t="n">
        <x:v>793723</x:v>
      </x:c>
      <x:c r="D56" s="228" t="s">
        <x:v>90</x:v>
      </x:c>
      <x:c r="E56" s="229" t="s"/>
      <x:c r="F56" s="229" t="n">
        <x:v>793723</x:v>
      </x:c>
      <x:c r="G56" s="229" t="s">
        <x:v>91</x:v>
      </x:c>
      <x:c r="H56" s="230" t="n">
        <x:v>0</x:v>
      </x:c>
      <x:c r="I56" s="231" t="n">
        <x:v>2</x:v>
      </x:c>
      <x:c r="J56" s="232" t="n">
        <x:v>0</x:v>
      </x:c>
      <x:c r="K56" s="233" t="s"/>
      <x:c r="L56" s="231" t="n">
        <x:v>0</x:v>
      </x:c>
      <x:c r="M56" s="231" t="n">
        <x:v>0</x:v>
      </x:c>
      <x:c r="N56" s="234">
        <x:f>ROUND(((I56*J56)-((I56*J56)*L56/100))+(((I56*J56)-((I56*J56)*L56/100))*M56/100), 2)</x:f>
      </x:c>
      <x:c r="O56" s="230">
        <x:f>M11</x:f>
      </x:c>
      <x:c r="P56" s="235" t="s"/>
      <x:c r="Q56" s="236" t="s"/>
      <x:c r="R56" s="237" t="s"/>
      <x:c r="S56" s="238" t="s"/>
      <x:c r="T56" s="239" t="s"/>
    </x:row>
    <x:row r="57" spans="1:24" customFormat="1" ht="24" customHeight="1" x14ac:dyDescent="0.2">
      <x:c r="A57" s="226" t="n">
        <x:v>38</x:v>
      </x:c>
      <x:c r="B57" s="226" t="n">
        <x:v>99990009869817</x:v>
      </x:c>
      <x:c r="C57" s="227" t="s">
        <x:v>92</x:v>
      </x:c>
      <x:c r="D57" s="228" t="s">
        <x:v>93</x:v>
      </x:c>
      <x:c r="E57" s="229" t="s"/>
      <x:c r="F57" s="229" t="n">
        <x:v>792977</x:v>
      </x:c>
      <x:c r="G57" s="229" t="s">
        <x:v>42</x:v>
      </x:c>
      <x:c r="H57" s="230" t="n">
        <x:v>0</x:v>
      </x:c>
      <x:c r="I57" s="231" t="n">
        <x:v>20</x:v>
      </x:c>
      <x:c r="J57" s="232" t="n">
        <x:v>0</x:v>
      </x:c>
      <x:c r="K57" s="233" t="s"/>
      <x:c r="L57" s="231" t="n">
        <x:v>0</x:v>
      </x:c>
      <x:c r="M57" s="231" t="n">
        <x:v>0</x:v>
      </x:c>
      <x:c r="N57" s="234">
        <x:f>ROUND(((I57*J57)-((I57*J57)*L57/100))+(((I57*J57)-((I57*J57)*L57/100))*M57/100), 2)</x:f>
      </x:c>
      <x:c r="O57" s="230">
        <x:f>M11</x:f>
      </x:c>
      <x:c r="P57" s="235" t="s"/>
      <x:c r="Q57" s="236" t="s"/>
      <x:c r="R57" s="237" t="s"/>
      <x:c r="S57" s="238" t="s"/>
      <x:c r="T57" s="239" t="s"/>
    </x:row>
    <x:row r="58" spans="1:24" customFormat="1" ht="24" customHeight="1" x14ac:dyDescent="0.2">
      <x:c r="A58" s="226" t="n">
        <x:v>39</x:v>
      </x:c>
      <x:c r="B58" s="226" t="n">
        <x:v>99990011750992</x:v>
      </x:c>
      <x:c r="C58" s="227" t="n">
        <x:v>792965</x:v>
      </x:c>
      <x:c r="D58" s="228" t="s">
        <x:v>94</x:v>
      </x:c>
      <x:c r="E58" s="229" t="s"/>
      <x:c r="F58" s="229" t="n">
        <x:v>792965</x:v>
      </x:c>
      <x:c r="G58" s="229" t="s">
        <x:v>42</x:v>
      </x:c>
      <x:c r="H58" s="230" t="n">
        <x:v>0</x:v>
      </x:c>
      <x:c r="I58" s="231" t="n">
        <x:v>5</x:v>
      </x:c>
      <x:c r="J58" s="232" t="n">
        <x:v>0</x:v>
      </x:c>
      <x:c r="K58" s="233" t="s"/>
      <x:c r="L58" s="231" t="n">
        <x:v>0</x:v>
      </x:c>
      <x:c r="M58" s="231" t="n">
        <x:v>0</x:v>
      </x:c>
      <x:c r="N58" s="234">
        <x:f>ROUND(((I58*J58)-((I58*J58)*L58/100))+(((I58*J58)-((I58*J58)*L58/100))*M58/100), 2)</x:f>
      </x:c>
      <x:c r="O58" s="230">
        <x:f>M11</x:f>
      </x:c>
      <x:c r="P58" s="235" t="s"/>
      <x:c r="Q58" s="236" t="s"/>
      <x:c r="R58" s="237" t="s"/>
      <x:c r="S58" s="238" t="s"/>
      <x:c r="T58" s="239" t="s"/>
    </x:row>
    <x:row r="59" spans="1:24" customFormat="1" ht="24" customHeight="1">
      <x:c r="A59" s="226" t="n">
        <x:v>40</x:v>
      </x:c>
      <x:c r="B59" s="226" t="n">
        <x:v>99990009647034</x:v>
      </x:c>
      <x:c r="C59" s="227" t="n">
        <x:v>792774</x:v>
      </x:c>
      <x:c r="D59" s="228" t="s">
        <x:v>95</x:v>
      </x:c>
      <x:c r="E59" s="229" t="s"/>
      <x:c r="F59" s="229" t="n">
        <x:v>792774</x:v>
      </x:c>
      <x:c r="G59" s="229" t="s">
        <x:v>42</x:v>
      </x:c>
      <x:c r="H59" s="230" t="n">
        <x:v>0</x:v>
      </x:c>
      <x:c r="I59" s="231" t="n">
        <x:v>2</x:v>
      </x:c>
      <x:c r="J59" s="232" t="n">
        <x:v>0</x:v>
      </x:c>
      <x:c r="K59" s="233" t="s"/>
      <x:c r="L59" s="231" t="n">
        <x:v>0</x:v>
      </x:c>
      <x:c r="M59" s="231" t="n">
        <x:v>0</x:v>
      </x:c>
      <x:c r="N59" s="234">
        <x:f>ROUND(((I59*J59)-((I59*J59)*L59/100))+(((I59*J59)-((I59*J59)*L59/100))*M59/100), 2)</x:f>
      </x:c>
      <x:c r="O59" s="230">
        <x:f>M11</x:f>
      </x:c>
      <x:c r="P59" s="235" t="s"/>
      <x:c r="Q59" s="236" t="s"/>
      <x:c r="R59" s="237" t="s"/>
      <x:c r="S59" s="238" t="s"/>
      <x:c r="T59" s="239" t="s"/>
    </x:row>
    <x:row r="60" spans="1:24" customFormat="1" ht="24" customHeight="1">
      <x:c r="A60" s="226" t="n">
        <x:v>41</x:v>
      </x:c>
      <x:c r="B60" s="226" t="n">
        <x:v>99990008210160</x:v>
      </x:c>
      <x:c r="C60" s="227" t="n">
        <x:v>792772</x:v>
      </x:c>
      <x:c r="D60" s="228" t="s">
        <x:v>96</x:v>
      </x:c>
      <x:c r="E60" s="229" t="s"/>
      <x:c r="F60" s="229" t="n">
        <x:v>792772</x:v>
      </x:c>
      <x:c r="G60" s="229" t="s">
        <x:v>42</x:v>
      </x:c>
      <x:c r="H60" s="230" t="n">
        <x:v>0</x:v>
      </x:c>
      <x:c r="I60" s="231" t="n">
        <x:v>2</x:v>
      </x:c>
      <x:c r="J60" s="232" t="n">
        <x:v>0</x:v>
      </x:c>
      <x:c r="K60" s="233" t="s"/>
      <x:c r="L60" s="231" t="n">
        <x:v>0</x:v>
      </x:c>
      <x:c r="M60" s="231" t="n">
        <x:v>0</x:v>
      </x:c>
      <x:c r="N60" s="234">
        <x:f>ROUND(((I60*J60)-((I60*J60)*L60/100))+(((I60*J60)-((I60*J60)*L60/100))*M60/100), 2)</x:f>
      </x:c>
      <x:c r="O60" s="230">
        <x:f>M11</x:f>
      </x:c>
      <x:c r="P60" s="235" t="s"/>
      <x:c r="Q60" s="236" t="s"/>
      <x:c r="R60" s="237" t="s"/>
      <x:c r="S60" s="238" t="s"/>
      <x:c r="T60" s="239" t="s"/>
    </x:row>
    <x:row r="61" spans="1:24" customFormat="1" ht="24" customHeight="1">
      <x:c r="A61" s="226" t="n">
        <x:v>42</x:v>
      </x:c>
      <x:c r="B61" s="226" t="n">
        <x:v>99990009647033</x:v>
      </x:c>
      <x:c r="C61" s="227" t="n">
        <x:v>792758</x:v>
      </x:c>
      <x:c r="D61" s="228" t="s">
        <x:v>97</x:v>
      </x:c>
      <x:c r="E61" s="229" t="s"/>
      <x:c r="F61" s="229" t="n">
        <x:v>792758</x:v>
      </x:c>
      <x:c r="G61" s="229" t="s">
        <x:v>42</x:v>
      </x:c>
      <x:c r="H61" s="230" t="n">
        <x:v>0</x:v>
      </x:c>
      <x:c r="I61" s="231" t="n">
        <x:v>2</x:v>
      </x:c>
      <x:c r="J61" s="232" t="n">
        <x:v>0</x:v>
      </x:c>
      <x:c r="K61" s="233" t="s"/>
      <x:c r="L61" s="231" t="n">
        <x:v>0</x:v>
      </x:c>
      <x:c r="M61" s="231" t="n">
        <x:v>0</x:v>
      </x:c>
      <x:c r="N61" s="234">
        <x:f>ROUND(((I61*J61)-((I61*J61)*L61/100))+(((I61*J61)-((I61*J61)*L61/100))*M61/100), 2)</x:f>
      </x:c>
      <x:c r="O61" s="230">
        <x:f>M11</x:f>
      </x:c>
      <x:c r="P61" s="235" t="s"/>
      <x:c r="Q61" s="236" t="s"/>
      <x:c r="R61" s="237" t="s"/>
      <x:c r="S61" s="238" t="s"/>
      <x:c r="T61" s="239" t="s"/>
    </x:row>
    <x:row r="62" spans="1:24" customFormat="1" ht="24" customHeight="1">
      <x:c r="A62" s="226" t="n">
        <x:v>43</x:v>
      </x:c>
      <x:c r="B62" s="226" t="n">
        <x:v>99990009869830</x:v>
      </x:c>
      <x:c r="C62" s="227" t="s">
        <x:v>98</x:v>
      </x:c>
      <x:c r="D62" s="228" t="s">
        <x:v>99</x:v>
      </x:c>
      <x:c r="E62" s="229" t="s"/>
      <x:c r="F62" s="229" t="n">
        <x:v>792756</x:v>
      </x:c>
      <x:c r="G62" s="229" t="s">
        <x:v>42</x:v>
      </x:c>
      <x:c r="H62" s="230" t="n">
        <x:v>0</x:v>
      </x:c>
      <x:c r="I62" s="231" t="n">
        <x:v>5</x:v>
      </x:c>
      <x:c r="J62" s="232" t="n">
        <x:v>0</x:v>
      </x:c>
      <x:c r="K62" s="233" t="s"/>
      <x:c r="L62" s="231" t="n">
        <x:v>0</x:v>
      </x:c>
      <x:c r="M62" s="231" t="n">
        <x:v>0</x:v>
      </x:c>
      <x:c r="N62" s="234">
        <x:f>ROUND(((I62*J62)-((I62*J62)*L62/100))+(((I62*J62)-((I62*J62)*L62/100))*M62/100), 2)</x:f>
      </x:c>
      <x:c r="O62" s="230">
        <x:f>M11</x:f>
      </x:c>
      <x:c r="P62" s="235" t="s"/>
      <x:c r="Q62" s="236" t="s"/>
      <x:c r="R62" s="237" t="s"/>
      <x:c r="S62" s="238" t="s"/>
      <x:c r="T62" s="239" t="s"/>
    </x:row>
    <x:row r="63" spans="1:24" customFormat="1" ht="24" customHeight="1">
      <x:c r="A63" s="226" t="n">
        <x:v>44</x:v>
      </x:c>
      <x:c r="B63" s="226" t="n">
        <x:v>99990008656740</x:v>
      </x:c>
      <x:c r="C63" s="227" t="n">
        <x:v>792151</x:v>
      </x:c>
      <x:c r="D63" s="228" t="s">
        <x:v>100</x:v>
      </x:c>
      <x:c r="E63" s="229" t="s"/>
      <x:c r="F63" s="229" t="n">
        <x:v>792151</x:v>
      </x:c>
      <x:c r="G63" s="229" t="s">
        <x:v>42</x:v>
      </x:c>
      <x:c r="H63" s="230" t="n">
        <x:v>0</x:v>
      </x:c>
      <x:c r="I63" s="231" t="n">
        <x:v>3</x:v>
      </x:c>
      <x:c r="J63" s="232" t="n">
        <x:v>0</x:v>
      </x:c>
      <x:c r="K63" s="233" t="s"/>
      <x:c r="L63" s="231" t="n">
        <x:v>0</x:v>
      </x:c>
      <x:c r="M63" s="231" t="n">
        <x:v>0</x:v>
      </x:c>
      <x:c r="N63" s="234">
        <x:f>ROUND(((I63*J63)-((I63*J63)*L63/100))+(((I63*J63)-((I63*J63)*L63/100))*M63/100), 2)</x:f>
      </x:c>
      <x:c r="O63" s="230">
        <x:f>M11</x:f>
      </x:c>
      <x:c r="P63" s="235" t="s"/>
      <x:c r="Q63" s="236" t="s"/>
      <x:c r="R63" s="237" t="s"/>
      <x:c r="S63" s="238" t="s"/>
      <x:c r="T63" s="239" t="s"/>
    </x:row>
    <x:row r="64" spans="1:24" customFormat="1" ht="24" customHeight="1">
      <x:c r="A64" s="226" t="n">
        <x:v>45</x:v>
      </x:c>
      <x:c r="B64" s="226" t="n">
        <x:v>99990008656697</x:v>
      </x:c>
      <x:c r="C64" s="227" t="n">
        <x:v>791405</x:v>
      </x:c>
      <x:c r="D64" s="228" t="s">
        <x:v>101</x:v>
      </x:c>
      <x:c r="E64" s="229" t="s"/>
      <x:c r="F64" s="229" t="n">
        <x:v>791405</x:v>
      </x:c>
      <x:c r="G64" s="229" t="s">
        <x:v>42</x:v>
      </x:c>
      <x:c r="H64" s="230" t="n">
        <x:v>0</x:v>
      </x:c>
      <x:c r="I64" s="231" t="n">
        <x:v>50</x:v>
      </x:c>
      <x:c r="J64" s="232" t="n">
        <x:v>0</x:v>
      </x:c>
      <x:c r="K64" s="233" t="s"/>
      <x:c r="L64" s="231" t="n">
        <x:v>0</x:v>
      </x:c>
      <x:c r="M64" s="231" t="n">
        <x:v>0</x:v>
      </x:c>
      <x:c r="N64" s="234">
        <x:f>ROUND(((I64*J64)-((I64*J64)*L64/100))+(((I64*J64)-((I64*J64)*L64/100))*M64/100), 2)</x:f>
      </x:c>
      <x:c r="O64" s="230">
        <x:f>M11</x:f>
      </x:c>
      <x:c r="P64" s="235" t="s"/>
      <x:c r="Q64" s="236" t="s"/>
      <x:c r="R64" s="237" t="s">
        <x:v>102</x:v>
      </x:c>
      <x:c r="S64" s="238" t="s"/>
      <x:c r="T64" s="239" t="s"/>
    </x:row>
    <x:row r="65" spans="1:24" customFormat="1" ht="24" customHeight="1">
      <x:c r="A65" s="226" t="n">
        <x:v>46</x:v>
      </x:c>
      <x:c r="B65" s="226" t="n">
        <x:v>99990008656704</x:v>
      </x:c>
      <x:c r="C65" s="227" t="n">
        <x:v>791412</x:v>
      </x:c>
      <x:c r="D65" s="228" t="s">
        <x:v>103</x:v>
      </x:c>
      <x:c r="E65" s="229" t="s"/>
      <x:c r="F65" s="229" t="n">
        <x:v>791412</x:v>
      </x:c>
      <x:c r="G65" s="229" t="s">
        <x:v>42</x:v>
      </x:c>
      <x:c r="H65" s="230" t="n">
        <x:v>0</x:v>
      </x:c>
      <x:c r="I65" s="231" t="n">
        <x:v>150</x:v>
      </x:c>
      <x:c r="J65" s="232" t="n">
        <x:v>0</x:v>
      </x:c>
      <x:c r="K65" s="233" t="s"/>
      <x:c r="L65" s="231" t="n">
        <x:v>0</x:v>
      </x:c>
      <x:c r="M65" s="231" t="n">
        <x:v>0</x:v>
      </x:c>
      <x:c r="N65" s="234">
        <x:f>ROUND(((I65*J65)-((I65*J65)*L65/100))+(((I65*J65)-((I65*J65)*L65/100))*M65/100), 2)</x:f>
      </x:c>
      <x:c r="O65" s="230">
        <x:f>M11</x:f>
      </x:c>
      <x:c r="P65" s="235" t="s"/>
      <x:c r="Q65" s="236" t="s"/>
      <x:c r="R65" s="237" t="s">
        <x:v>104</x:v>
      </x:c>
      <x:c r="S65" s="238" t="s"/>
      <x:c r="T65" s="239" t="s"/>
    </x:row>
    <x:row r="66" spans="1:24" customFormat="1" ht="24" customHeight="1">
      <x:c r="A66" s="226" t="n">
        <x:v>47</x:v>
      </x:c>
      <x:c r="B66" s="226" t="n">
        <x:v>99990008656695</x:v>
      </x:c>
      <x:c r="C66" s="227" t="n">
        <x:v>791403</x:v>
      </x:c>
      <x:c r="D66" s="228" t="s">
        <x:v>105</x:v>
      </x:c>
      <x:c r="E66" s="229" t="s"/>
      <x:c r="F66" s="229" t="n">
        <x:v>791403</x:v>
      </x:c>
      <x:c r="G66" s="229" t="s">
        <x:v>42</x:v>
      </x:c>
      <x:c r="H66" s="230" t="n">
        <x:v>0</x:v>
      </x:c>
      <x:c r="I66" s="231" t="n">
        <x:v>50</x:v>
      </x:c>
      <x:c r="J66" s="232" t="n">
        <x:v>0</x:v>
      </x:c>
      <x:c r="K66" s="233" t="s"/>
      <x:c r="L66" s="231" t="n">
        <x:v>0</x:v>
      </x:c>
      <x:c r="M66" s="231" t="n">
        <x:v>0</x:v>
      </x:c>
      <x:c r="N66" s="234">
        <x:f>ROUND(((I66*J66)-((I66*J66)*L66/100))+(((I66*J66)-((I66*J66)*L66/100))*M66/100), 2)</x:f>
      </x:c>
      <x:c r="O66" s="230">
        <x:f>M11</x:f>
      </x:c>
      <x:c r="P66" s="235" t="s"/>
      <x:c r="Q66" s="236" t="s"/>
      <x:c r="R66" s="237" t="s">
        <x:v>106</x:v>
      </x:c>
      <x:c r="S66" s="238" t="s"/>
      <x:c r="T66" s="239" t="s"/>
    </x:row>
    <x:row r="67" spans="1:24" customFormat="1" ht="24" customHeight="1">
      <x:c r="A67" s="226" t="n">
        <x:v>48</x:v>
      </x:c>
      <x:c r="B67" s="226" t="n">
        <x:v>99990008656663</x:v>
      </x:c>
      <x:c r="C67" s="227" t="n">
        <x:v>790195</x:v>
      </x:c>
      <x:c r="D67" s="228" t="s">
        <x:v>107</x:v>
      </x:c>
      <x:c r="E67" s="229" t="s"/>
      <x:c r="F67" s="229" t="n">
        <x:v>790195</x:v>
      </x:c>
      <x:c r="G67" s="229" t="s">
        <x:v>42</x:v>
      </x:c>
      <x:c r="H67" s="230" t="n">
        <x:v>0</x:v>
      </x:c>
      <x:c r="I67" s="231" t="n">
        <x:v>100</x:v>
      </x:c>
      <x:c r="J67" s="232" t="n">
        <x:v>0</x:v>
      </x:c>
      <x:c r="K67" s="233" t="s"/>
      <x:c r="L67" s="231" t="n">
        <x:v>0</x:v>
      </x:c>
      <x:c r="M67" s="231" t="n">
        <x:v>0</x:v>
      </x:c>
      <x:c r="N67" s="234">
        <x:f>ROUND(((I67*J67)-((I67*J67)*L67/100))+(((I67*J67)-((I67*J67)*L67/100))*M67/100), 2)</x:f>
      </x:c>
      <x:c r="O67" s="230">
        <x:f>M11</x:f>
      </x:c>
      <x:c r="P67" s="235" t="s"/>
      <x:c r="Q67" s="236" t="s"/>
      <x:c r="R67" s="237" t="s"/>
      <x:c r="S67" s="238" t="s"/>
      <x:c r="T67" s="239" t="s"/>
    </x:row>
    <x:row r="68" spans="1:24" customFormat="1" ht="24" customHeight="1">
      <x:c r="A68" s="226" t="n">
        <x:v>49</x:v>
      </x:c>
      <x:c r="B68" s="226" t="n">
        <x:v>99990008656426</x:v>
      </x:c>
      <x:c r="C68" s="227" t="n">
        <x:v>611672</x:v>
      </x:c>
      <x:c r="D68" s="228" t="s">
        <x:v>108</x:v>
      </x:c>
      <x:c r="E68" s="229" t="s"/>
      <x:c r="F68" s="229" t="n">
        <x:v>611672</x:v>
      </x:c>
      <x:c r="G68" s="229" t="s">
        <x:v>55</x:v>
      </x:c>
      <x:c r="H68" s="230" t="n">
        <x:v>0</x:v>
      </x:c>
      <x:c r="I68" s="231" t="n">
        <x:v>2</x:v>
      </x:c>
      <x:c r="J68" s="232" t="n">
        <x:v>0</x:v>
      </x:c>
      <x:c r="K68" s="233" t="s"/>
      <x:c r="L68" s="231" t="n">
        <x:v>0</x:v>
      </x:c>
      <x:c r="M68" s="231" t="n">
        <x:v>0</x:v>
      </x:c>
      <x:c r="N68" s="234">
        <x:f>ROUND(((I68*J68)-((I68*J68)*L68/100))+(((I68*J68)-((I68*J68)*L68/100))*M68/100), 2)</x:f>
      </x:c>
      <x:c r="O68" s="230">
        <x:f>M11</x:f>
      </x:c>
      <x:c r="P68" s="235" t="s"/>
      <x:c r="Q68" s="236" t="s"/>
      <x:c r="R68" s="237" t="s"/>
      <x:c r="S68" s="238" t="s"/>
      <x:c r="T68" s="239" t="s"/>
    </x:row>
    <x:row r="69" spans="1:24" customFormat="1" ht="24" customHeight="1">
      <x:c r="A69" s="226" t="n">
        <x:v>50</x:v>
      </x:c>
      <x:c r="B69" s="226" t="n">
        <x:v>99990008656431</x:v>
      </x:c>
      <x:c r="C69" s="227" t="n">
        <x:v>611687</x:v>
      </x:c>
      <x:c r="D69" s="228" t="s">
        <x:v>109</x:v>
      </x:c>
      <x:c r="E69" s="229" t="s"/>
      <x:c r="F69" s="229" t="n">
        <x:v>611687</x:v>
      </x:c>
      <x:c r="G69" s="229" t="s">
        <x:v>55</x:v>
      </x:c>
      <x:c r="H69" s="230" t="n">
        <x:v>0</x:v>
      </x:c>
      <x:c r="I69" s="231" t="n">
        <x:v>2</x:v>
      </x:c>
      <x:c r="J69" s="232" t="n">
        <x:v>0</x:v>
      </x:c>
      <x:c r="K69" s="233" t="s"/>
      <x:c r="L69" s="231" t="n">
        <x:v>0</x:v>
      </x:c>
      <x:c r="M69" s="231" t="n">
        <x:v>0</x:v>
      </x:c>
      <x:c r="N69" s="234">
        <x:f>ROUND(((I69*J69)-((I69*J69)*L69/100))+(((I69*J69)-((I69*J69)*L69/100))*M69/100), 2)</x:f>
      </x:c>
      <x:c r="O69" s="230">
        <x:f>M11</x:f>
      </x:c>
      <x:c r="P69" s="235" t="s"/>
      <x:c r="Q69" s="236" t="s"/>
      <x:c r="R69" s="237" t="s"/>
      <x:c r="S69" s="238" t="s"/>
      <x:c r="T69" s="239" t="s"/>
    </x:row>
    <x:row r="70" spans="1:24" customFormat="1" ht="24" customHeight="1">
      <x:c r="A70" s="226" t="n">
        <x:v>51</x:v>
      </x:c>
      <x:c r="B70" s="226" t="n">
        <x:v>99990008656509</x:v>
      </x:c>
      <x:c r="C70" s="227" t="n">
        <x:v>612261</x:v>
      </x:c>
      <x:c r="D70" s="228" t="s">
        <x:v>110</x:v>
      </x:c>
      <x:c r="E70" s="229" t="s"/>
      <x:c r="F70" s="229" t="n">
        <x:v>612261</x:v>
      </x:c>
      <x:c r="G70" s="229" t="s">
        <x:v>42</x:v>
      </x:c>
      <x:c r="H70" s="230" t="n">
        <x:v>0</x:v>
      </x:c>
      <x:c r="I70" s="231" t="n">
        <x:v>2</x:v>
      </x:c>
      <x:c r="J70" s="232" t="n">
        <x:v>0</x:v>
      </x:c>
      <x:c r="K70" s="233" t="s"/>
      <x:c r="L70" s="231" t="n">
        <x:v>0</x:v>
      </x:c>
      <x:c r="M70" s="231" t="n">
        <x:v>0</x:v>
      </x:c>
      <x:c r="N70" s="234">
        <x:f>ROUND(((I70*J70)-((I70*J70)*L70/100))+(((I70*J70)-((I70*J70)*L70/100))*M70/100), 2)</x:f>
      </x:c>
      <x:c r="O70" s="230">
        <x:f>M11</x:f>
      </x:c>
      <x:c r="P70" s="235" t="s"/>
      <x:c r="Q70" s="236" t="s"/>
      <x:c r="R70" s="237" t="s"/>
      <x:c r="S70" s="238" t="s"/>
      <x:c r="T70" s="239" t="s"/>
    </x:row>
    <x:row r="71" spans="1:24" customFormat="1" ht="24" customHeight="1">
      <x:c r="A71" s="226" t="n">
        <x:v>52</x:v>
      </x:c>
      <x:c r="B71" s="226" t="n">
        <x:v>99990009573595</x:v>
      </x:c>
      <x:c r="C71" s="227" t="n">
        <x:v>2136545</x:v>
      </x:c>
      <x:c r="D71" s="228" t="s">
        <x:v>111</x:v>
      </x:c>
      <x:c r="E71" s="229" t="s"/>
      <x:c r="F71" s="229" t="n">
        <x:v>611835</x:v>
      </x:c>
      <x:c r="G71" s="229" t="s">
        <x:v>55</x:v>
      </x:c>
      <x:c r="H71" s="230" t="n">
        <x:v>0</x:v>
      </x:c>
      <x:c r="I71" s="231" t="n">
        <x:v>2</x:v>
      </x:c>
      <x:c r="J71" s="232" t="n">
        <x:v>0</x:v>
      </x:c>
      <x:c r="K71" s="233" t="s"/>
      <x:c r="L71" s="231" t="n">
        <x:v>0</x:v>
      </x:c>
      <x:c r="M71" s="231" t="n">
        <x:v>0</x:v>
      </x:c>
      <x:c r="N71" s="234">
        <x:f>ROUND(((I71*J71)-((I71*J71)*L71/100))+(((I71*J71)-((I71*J71)*L71/100))*M71/100), 2)</x:f>
      </x:c>
      <x:c r="O71" s="230">
        <x:f>M11</x:f>
      </x:c>
      <x:c r="P71" s="235" t="s"/>
      <x:c r="Q71" s="236" t="s"/>
      <x:c r="R71" s="237" t="s"/>
      <x:c r="S71" s="238" t="s"/>
      <x:c r="T71" s="239" t="s"/>
    </x:row>
    <x:row r="72" spans="1:24" customFormat="1" ht="24" customHeight="1">
      <x:c r="A72" s="226" t="n">
        <x:v>53</x:v>
      </x:c>
      <x:c r="B72" s="226" t="n">
        <x:v>99990008656468</x:v>
      </x:c>
      <x:c r="C72" s="227" t="n">
        <x:v>611814</x:v>
      </x:c>
      <x:c r="D72" s="228" t="s">
        <x:v>112</x:v>
      </x:c>
      <x:c r="E72" s="229" t="s"/>
      <x:c r="F72" s="229" t="n">
        <x:v>611814</x:v>
      </x:c>
      <x:c r="G72" s="229" t="s">
        <x:v>55</x:v>
      </x:c>
      <x:c r="H72" s="230" t="n">
        <x:v>0</x:v>
      </x:c>
      <x:c r="I72" s="231" t="n">
        <x:v>2</x:v>
      </x:c>
      <x:c r="J72" s="232" t="n">
        <x:v>0</x:v>
      </x:c>
      <x:c r="K72" s="233" t="s"/>
      <x:c r="L72" s="231" t="n">
        <x:v>0</x:v>
      </x:c>
      <x:c r="M72" s="231" t="n">
        <x:v>0</x:v>
      </x:c>
      <x:c r="N72" s="234">
        <x:f>ROUND(((I72*J72)-((I72*J72)*L72/100))+(((I72*J72)-((I72*J72)*L72/100))*M72/100), 2)</x:f>
      </x:c>
      <x:c r="O72" s="230">
        <x:f>M11</x:f>
      </x:c>
      <x:c r="P72" s="235" t="s"/>
      <x:c r="Q72" s="236" t="s"/>
      <x:c r="R72" s="237" t="s"/>
      <x:c r="S72" s="238" t="s"/>
      <x:c r="T72" s="239" t="s"/>
    </x:row>
    <x:row r="73" spans="1:24" customFormat="1" ht="24" customHeight="1">
      <x:c r="A73" s="226" t="n">
        <x:v>54</x:v>
      </x:c>
      <x:c r="B73" s="226" t="n">
        <x:v>99990008655922</x:v>
      </x:c>
      <x:c r="C73" s="227" t="n">
        <x:v>510646</x:v>
      </x:c>
      <x:c r="D73" s="228" t="s">
        <x:v>113</x:v>
      </x:c>
      <x:c r="E73" s="229" t="s"/>
      <x:c r="F73" s="229" t="n">
        <x:v>510646</x:v>
      </x:c>
      <x:c r="G73" s="229" t="s">
        <x:v>42</x:v>
      </x:c>
      <x:c r="H73" s="230" t="n">
        <x:v>0</x:v>
      </x:c>
      <x:c r="I73" s="231" t="n">
        <x:v>3</x:v>
      </x:c>
      <x:c r="J73" s="232" t="n">
        <x:v>0</x:v>
      </x:c>
      <x:c r="K73" s="233" t="s"/>
      <x:c r="L73" s="231" t="n">
        <x:v>0</x:v>
      </x:c>
      <x:c r="M73" s="231" t="n">
        <x:v>0</x:v>
      </x:c>
      <x:c r="N73" s="234">
        <x:f>ROUND(((I73*J73)-((I73*J73)*L73/100))+(((I73*J73)-((I73*J73)*L73/100))*M73/100), 2)</x:f>
      </x:c>
      <x:c r="O73" s="230">
        <x:f>M11</x:f>
      </x:c>
      <x:c r="P73" s="235" t="s"/>
      <x:c r="Q73" s="236" t="s"/>
      <x:c r="R73" s="237" t="s"/>
      <x:c r="S73" s="238" t="s"/>
      <x:c r="T73" s="239" t="s"/>
    </x:row>
    <x:row r="74" spans="1:24" customFormat="1" ht="24" customHeight="1">
      <x:c r="A74" s="226" t="n">
        <x:v>55</x:v>
      </x:c>
      <x:c r="B74" s="226" t="n">
        <x:v>99990008656666</x:v>
      </x:c>
      <x:c r="C74" s="227" t="n">
        <x:v>790406</x:v>
      </x:c>
      <x:c r="D74" s="228" t="s">
        <x:v>114</x:v>
      </x:c>
      <x:c r="E74" s="229" t="s"/>
      <x:c r="F74" s="229" t="n">
        <x:v>790406</x:v>
      </x:c>
      <x:c r="G74" s="229" t="s">
        <x:v>42</x:v>
      </x:c>
      <x:c r="H74" s="230" t="n">
        <x:v>0</x:v>
      </x:c>
      <x:c r="I74" s="231" t="n">
        <x:v>50</x:v>
      </x:c>
      <x:c r="J74" s="232" t="n">
        <x:v>0</x:v>
      </x:c>
      <x:c r="K74" s="233" t="s"/>
      <x:c r="L74" s="231" t="n">
        <x:v>0</x:v>
      </x:c>
      <x:c r="M74" s="231" t="n">
        <x:v>0</x:v>
      </x:c>
      <x:c r="N74" s="234">
        <x:f>ROUND(((I74*J74)-((I74*J74)*L74/100))+(((I74*J74)-((I74*J74)*L74/100))*M74/100), 2)</x:f>
      </x:c>
      <x:c r="O74" s="230">
        <x:f>M11</x:f>
      </x:c>
      <x:c r="P74" s="235" t="s"/>
      <x:c r="Q74" s="236" t="s"/>
      <x:c r="R74" s="237" t="s"/>
      <x:c r="S74" s="238" t="s"/>
      <x:c r="T74" s="239" t="s"/>
    </x:row>
    <x:row r="75" spans="1:24" customFormat="1" ht="24" customHeight="1">
      <x:c r="A75" s="226" t="n">
        <x:v>56</x:v>
      </x:c>
      <x:c r="B75" s="226" t="n">
        <x:v>99990009873254</x:v>
      </x:c>
      <x:c r="C75" s="227" t="n">
        <x:v>311514</x:v>
      </x:c>
      <x:c r="D75" s="228" t="s">
        <x:v>115</x:v>
      </x:c>
      <x:c r="E75" s="229" t="s"/>
      <x:c r="F75" s="229" t="n">
        <x:v>311514</x:v>
      </x:c>
      <x:c r="G75" s="229" t="s">
        <x:v>42</x:v>
      </x:c>
      <x:c r="H75" s="230" t="n">
        <x:v>0</x:v>
      </x:c>
      <x:c r="I75" s="231" t="n">
        <x:v>1</x:v>
      </x:c>
      <x:c r="J75" s="232" t="n">
        <x:v>0</x:v>
      </x:c>
      <x:c r="K75" s="233" t="s"/>
      <x:c r="L75" s="231" t="n">
        <x:v>0</x:v>
      </x:c>
      <x:c r="M75" s="231" t="n">
        <x:v>0</x:v>
      </x:c>
      <x:c r="N75" s="234">
        <x:f>ROUND(((I75*J75)-((I75*J75)*L75/100))+(((I75*J75)-((I75*J75)*L75/100))*M75/100), 2)</x:f>
      </x:c>
      <x:c r="O75" s="230">
        <x:f>M11</x:f>
      </x:c>
      <x:c r="P75" s="235" t="s"/>
      <x:c r="Q75" s="236" t="s"/>
      <x:c r="R75" s="237" t="s"/>
      <x:c r="S75" s="238" t="s"/>
      <x:c r="T75" s="239" t="s"/>
    </x:row>
    <x:row r="76" spans="1:24" customFormat="1" ht="24" customHeight="1">
      <x:c r="A76" s="226" t="n">
        <x:v>57</x:v>
      </x:c>
      <x:c r="B76" s="226" t="n">
        <x:v>99990009860676</x:v>
      </x:c>
      <x:c r="C76" s="227" t="n">
        <x:v>850307</x:v>
      </x:c>
      <x:c r="D76" s="228" t="s">
        <x:v>116</x:v>
      </x:c>
      <x:c r="E76" s="229" t="s"/>
      <x:c r="F76" s="229" t="n">
        <x:v>850307</x:v>
      </x:c>
      <x:c r="G76" s="229" t="s">
        <x:v>42</x:v>
      </x:c>
      <x:c r="H76" s="230" t="n">
        <x:v>0</x:v>
      </x:c>
      <x:c r="I76" s="231" t="n">
        <x:v>10</x:v>
      </x:c>
      <x:c r="J76" s="232" t="n">
        <x:v>0</x:v>
      </x:c>
      <x:c r="K76" s="233" t="s"/>
      <x:c r="L76" s="231" t="n">
        <x:v>0</x:v>
      </x:c>
      <x:c r="M76" s="231" t="n">
        <x:v>0</x:v>
      </x:c>
      <x:c r="N76" s="234">
        <x:f>ROUND(((I76*J76)-((I76*J76)*L76/100))+(((I76*J76)-((I76*J76)*L76/100))*M76/100), 2)</x:f>
      </x:c>
      <x:c r="O76" s="230">
        <x:f>M11</x:f>
      </x:c>
      <x:c r="P76" s="235" t="s"/>
      <x:c r="Q76" s="236" t="s"/>
      <x:c r="R76" s="237" t="s">
        <x:v>43</x:v>
      </x:c>
      <x:c r="S76" s="238" t="s"/>
      <x:c r="T76" s="239" t="s"/>
    </x:row>
    <x:row r="77" spans="1:24" customFormat="1" ht="24" customHeight="1">
      <x:c r="A77" s="226" t="n">
        <x:v>58</x:v>
      </x:c>
      <x:c r="B77" s="226" t="n">
        <x:v>99990009860677</x:v>
      </x:c>
      <x:c r="C77" s="227" t="n">
        <x:v>850306</x:v>
      </x:c>
      <x:c r="D77" s="228" t="s">
        <x:v>117</x:v>
      </x:c>
      <x:c r="E77" s="229" t="s"/>
      <x:c r="F77" s="229" t="n">
        <x:v>850306</x:v>
      </x:c>
      <x:c r="G77" s="229" t="s">
        <x:v>42</x:v>
      </x:c>
      <x:c r="H77" s="230" t="n">
        <x:v>0</x:v>
      </x:c>
      <x:c r="I77" s="231" t="n">
        <x:v>10</x:v>
      </x:c>
      <x:c r="J77" s="232" t="n">
        <x:v>0</x:v>
      </x:c>
      <x:c r="K77" s="233" t="s"/>
      <x:c r="L77" s="231" t="n">
        <x:v>0</x:v>
      </x:c>
      <x:c r="M77" s="231" t="n">
        <x:v>0</x:v>
      </x:c>
      <x:c r="N77" s="234">
        <x:f>ROUND(((I77*J77)-((I77*J77)*L77/100))+(((I77*J77)-((I77*J77)*L77/100))*M77/100), 2)</x:f>
      </x:c>
      <x:c r="O77" s="230">
        <x:f>M11</x:f>
      </x:c>
      <x:c r="P77" s="235" t="s"/>
      <x:c r="Q77" s="236" t="s"/>
      <x:c r="R77" s="237" t="s">
        <x:v>43</x:v>
      </x:c>
      <x:c r="S77" s="238" t="s"/>
      <x:c r="T77" s="239" t="s"/>
    </x:row>
    <x:row r="78" spans="1:24" customFormat="1" ht="24" customHeight="1">
      <x:c r="A78" s="226" t="n">
        <x:v>59</x:v>
      </x:c>
      <x:c r="B78" s="226" t="n">
        <x:v>99990009860680</x:v>
      </x:c>
      <x:c r="C78" s="227" t="n">
        <x:v>850302</x:v>
      </x:c>
      <x:c r="D78" s="228" t="s">
        <x:v>118</x:v>
      </x:c>
      <x:c r="E78" s="229" t="s"/>
      <x:c r="F78" s="229" t="n">
        <x:v>850302</x:v>
      </x:c>
      <x:c r="G78" s="229" t="s">
        <x:v>42</x:v>
      </x:c>
      <x:c r="H78" s="230" t="n">
        <x:v>0</x:v>
      </x:c>
      <x:c r="I78" s="231" t="n">
        <x:v>10</x:v>
      </x:c>
      <x:c r="J78" s="232" t="n">
        <x:v>0</x:v>
      </x:c>
      <x:c r="K78" s="233" t="s"/>
      <x:c r="L78" s="231" t="n">
        <x:v>0</x:v>
      </x:c>
      <x:c r="M78" s="231" t="n">
        <x:v>0</x:v>
      </x:c>
      <x:c r="N78" s="234">
        <x:f>ROUND(((I78*J78)-((I78*J78)*L78/100))+(((I78*J78)-((I78*J78)*L78/100))*M78/100), 2)</x:f>
      </x:c>
      <x:c r="O78" s="230">
        <x:f>M11</x:f>
      </x:c>
      <x:c r="P78" s="235" t="s"/>
      <x:c r="Q78" s="236" t="s"/>
      <x:c r="R78" s="237" t="s">
        <x:v>43</x:v>
      </x:c>
      <x:c r="S78" s="238" t="s"/>
      <x:c r="T78" s="239" t="s"/>
    </x:row>
    <x:row r="79" spans="1:24" customFormat="1" ht="24" customHeight="1">
      <x:c r="A79" s="226" t="n">
        <x:v>60</x:v>
      </x:c>
      <x:c r="B79" s="226" t="n">
        <x:v>99990009860681</x:v>
      </x:c>
      <x:c r="C79" s="227" t="n">
        <x:v>850301</x:v>
      </x:c>
      <x:c r="D79" s="228" t="s">
        <x:v>119</x:v>
      </x:c>
      <x:c r="E79" s="229" t="s"/>
      <x:c r="F79" s="229" t="n">
        <x:v>850301</x:v>
      </x:c>
      <x:c r="G79" s="229" t="s">
        <x:v>42</x:v>
      </x:c>
      <x:c r="H79" s="230" t="n">
        <x:v>0</x:v>
      </x:c>
      <x:c r="I79" s="231" t="n">
        <x:v>10</x:v>
      </x:c>
      <x:c r="J79" s="232" t="n">
        <x:v>0</x:v>
      </x:c>
      <x:c r="K79" s="233" t="s"/>
      <x:c r="L79" s="231" t="n">
        <x:v>0</x:v>
      </x:c>
      <x:c r="M79" s="231" t="n">
        <x:v>0</x:v>
      </x:c>
      <x:c r="N79" s="234">
        <x:f>ROUND(((I79*J79)-((I79*J79)*L79/100))+(((I79*J79)-((I79*J79)*L79/100))*M79/100), 2)</x:f>
      </x:c>
      <x:c r="O79" s="230">
        <x:f>M11</x:f>
      </x:c>
      <x:c r="P79" s="235" t="s"/>
      <x:c r="Q79" s="236" t="s"/>
      <x:c r="R79" s="237" t="s">
        <x:v>43</x:v>
      </x:c>
      <x:c r="S79" s="238" t="s"/>
      <x:c r="T79" s="239" t="s"/>
    </x:row>
    <x:row r="80" spans="1:24" customFormat="1" ht="24" customHeight="1">
      <x:c r="A80" s="226" t="n">
        <x:v>61</x:v>
      </x:c>
      <x:c r="B80" s="226" t="n">
        <x:v>99990008657943</x:v>
      </x:c>
      <x:c r="C80" s="227" t="n">
        <x:v>612412</x:v>
      </x:c>
      <x:c r="D80" s="228" t="s">
        <x:v>120</x:v>
      </x:c>
      <x:c r="E80" s="229" t="s"/>
      <x:c r="F80" s="229" t="n">
        <x:v>612412</x:v>
      </x:c>
      <x:c r="G80" s="229" t="s">
        <x:v>45</x:v>
      </x:c>
      <x:c r="H80" s="230" t="n">
        <x:v>0</x:v>
      </x:c>
      <x:c r="I80" s="231" t="n">
        <x:v>2</x:v>
      </x:c>
      <x:c r="J80" s="232" t="n">
        <x:v>0</x:v>
      </x:c>
      <x:c r="K80" s="233" t="s"/>
      <x:c r="L80" s="231" t="n">
        <x:v>0</x:v>
      </x:c>
      <x:c r="M80" s="231" t="n">
        <x:v>0</x:v>
      </x:c>
      <x:c r="N80" s="234">
        <x:f>ROUND(((I80*J80)-((I80*J80)*L80/100))+(((I80*J80)-((I80*J80)*L80/100))*M80/100), 2)</x:f>
      </x:c>
      <x:c r="O80" s="230">
        <x:f>M11</x:f>
      </x:c>
      <x:c r="P80" s="235" t="s"/>
      <x:c r="Q80" s="236" t="s"/>
      <x:c r="R80" s="237" t="s">
        <x:v>43</x:v>
      </x:c>
      <x:c r="S80" s="238" t="s"/>
      <x:c r="T80" s="239" t="s"/>
    </x:row>
    <x:row r="81" spans="1:24" customFormat="1" ht="24" customHeight="1">
      <x:c r="A81" s="226" t="n">
        <x:v>62</x:v>
      </x:c>
      <x:c r="B81" s="226" t="n">
        <x:v>99990008183693</x:v>
      </x:c>
      <x:c r="C81" s="227" t="n">
        <x:v>450336</x:v>
      </x:c>
      <x:c r="D81" s="228" t="s">
        <x:v>121</x:v>
      </x:c>
      <x:c r="E81" s="229" t="s"/>
      <x:c r="F81" s="229" t="n">
        <x:v>450336</x:v>
      </x:c>
      <x:c r="G81" s="229" t="s">
        <x:v>122</x:v>
      </x:c>
      <x:c r="H81" s="230" t="n">
        <x:v>0</x:v>
      </x:c>
      <x:c r="I81" s="231" t="n">
        <x:v>1</x:v>
      </x:c>
      <x:c r="J81" s="232" t="n">
        <x:v>0</x:v>
      </x:c>
      <x:c r="K81" s="233" t="s"/>
      <x:c r="L81" s="231" t="n">
        <x:v>0</x:v>
      </x:c>
      <x:c r="M81" s="231" t="n">
        <x:v>0</x:v>
      </x:c>
      <x:c r="N81" s="234">
        <x:f>ROUND(((I81*J81)-((I81*J81)*L81/100))+(((I81*J81)-((I81*J81)*L81/100))*M81/100), 2)</x:f>
      </x:c>
      <x:c r="O81" s="230">
        <x:f>M11</x:f>
      </x:c>
      <x:c r="P81" s="235" t="s"/>
      <x:c r="Q81" s="236" t="s"/>
      <x:c r="R81" s="237" t="s"/>
      <x:c r="S81" s="238" t="s"/>
      <x:c r="T81" s="239" t="s"/>
    </x:row>
    <x:row r="82" spans="1:24" customFormat="1" ht="24" customHeight="1">
      <x:c r="A82" s="226" t="n">
        <x:v>63</x:v>
      </x:c>
      <x:c r="B82" s="226" t="n">
        <x:v>99990009630944</x:v>
      </x:c>
      <x:c r="C82" s="227" t="n">
        <x:v>351008</x:v>
      </x:c>
      <x:c r="D82" s="228" t="s">
        <x:v>123</x:v>
      </x:c>
      <x:c r="E82" s="229" t="s"/>
      <x:c r="F82" s="229" t="n">
        <x:v>351008</x:v>
      </x:c>
      <x:c r="G82" s="229" t="s">
        <x:v>42</x:v>
      </x:c>
      <x:c r="H82" s="230" t="n">
        <x:v>0</x:v>
      </x:c>
      <x:c r="I82" s="231" t="n">
        <x:v>3</x:v>
      </x:c>
      <x:c r="J82" s="232" t="n">
        <x:v>0</x:v>
      </x:c>
      <x:c r="K82" s="233" t="s"/>
      <x:c r="L82" s="231" t="n">
        <x:v>0</x:v>
      </x:c>
      <x:c r="M82" s="231" t="n">
        <x:v>0</x:v>
      </x:c>
      <x:c r="N82" s="234">
        <x:f>ROUND(((I82*J82)-((I82*J82)*L82/100))+(((I82*J82)-((I82*J82)*L82/100))*M82/100), 2)</x:f>
      </x:c>
      <x:c r="O82" s="230">
        <x:f>M11</x:f>
      </x:c>
      <x:c r="P82" s="235" t="s"/>
      <x:c r="Q82" s="236" t="s"/>
      <x:c r="R82" s="237" t="s">
        <x:v>43</x:v>
      </x:c>
      <x:c r="S82" s="238" t="s"/>
      <x:c r="T82" s="239" t="s"/>
    </x:row>
    <x:row r="83" spans="1:24" customFormat="1" ht="24" customHeight="1">
      <x:c r="A83" s="226" t="n">
        <x:v>64</x:v>
      </x:c>
      <x:c r="B83" s="226" t="n">
        <x:v>99990008657452</x:v>
      </x:c>
      <x:c r="C83" s="227" t="n">
        <x:v>350329</x:v>
      </x:c>
      <x:c r="D83" s="228" t="s">
        <x:v>124</x:v>
      </x:c>
      <x:c r="E83" s="229" t="s"/>
      <x:c r="F83" s="229" t="n">
        <x:v>350329</x:v>
      </x:c>
      <x:c r="G83" s="229" t="s">
        <x:v>125</x:v>
      </x:c>
      <x:c r="H83" s="230" t="n">
        <x:v>0</x:v>
      </x:c>
      <x:c r="I83" s="231" t="n">
        <x:v>30</x:v>
      </x:c>
      <x:c r="J83" s="232" t="n">
        <x:v>0</x:v>
      </x:c>
      <x:c r="K83" s="233" t="s"/>
      <x:c r="L83" s="231" t="n">
        <x:v>0</x:v>
      </x:c>
      <x:c r="M83" s="231" t="n">
        <x:v>0</x:v>
      </x:c>
      <x:c r="N83" s="234">
        <x:f>ROUND(((I83*J83)-((I83*J83)*L83/100))+(((I83*J83)-((I83*J83)*L83/100))*M83/100), 2)</x:f>
      </x:c>
      <x:c r="O83" s="230">
        <x:f>M11</x:f>
      </x:c>
      <x:c r="P83" s="235" t="s"/>
      <x:c r="Q83" s="236" t="s"/>
      <x:c r="R83" s="237" t="s">
        <x:v>43</x:v>
      </x:c>
      <x:c r="S83" s="238" t="s"/>
      <x:c r="T83" s="239" t="s"/>
    </x:row>
    <x:row r="84" spans="1:24" customFormat="1" ht="24" customHeight="1">
      <x:c r="A84" s="226" t="n">
        <x:v>65</x:v>
      </x:c>
      <x:c r="B84" s="226" t="n">
        <x:v>99990010442257</x:v>
      </x:c>
      <x:c r="C84" s="227" t="n">
        <x:v>511085</x:v>
      </x:c>
      <x:c r="D84" s="228" t="s">
        <x:v>126</x:v>
      </x:c>
      <x:c r="E84" s="229" t="s"/>
      <x:c r="F84" s="229" t="n">
        <x:v>511085</x:v>
      </x:c>
      <x:c r="G84" s="229" t="s">
        <x:v>58</x:v>
      </x:c>
      <x:c r="H84" s="230" t="n">
        <x:v>0</x:v>
      </x:c>
      <x:c r="I84" s="231" t="n">
        <x:v>2</x:v>
      </x:c>
      <x:c r="J84" s="232" t="n">
        <x:v>0</x:v>
      </x:c>
      <x:c r="K84" s="233" t="s"/>
      <x:c r="L84" s="231" t="n">
        <x:v>0</x:v>
      </x:c>
      <x:c r="M84" s="231" t="n">
        <x:v>0</x:v>
      </x:c>
      <x:c r="N84" s="234">
        <x:f>ROUND(((I84*J84)-((I84*J84)*L84/100))+(((I84*J84)-((I84*J84)*L84/100))*M84/100), 2)</x:f>
      </x:c>
      <x:c r="O84" s="230">
        <x:f>M11</x:f>
      </x:c>
      <x:c r="P84" s="235" t="s"/>
      <x:c r="Q84" s="236" t="s"/>
      <x:c r="R84" s="237" t="s">
        <x:v>43</x:v>
      </x:c>
      <x:c r="S84" s="238" t="s"/>
      <x:c r="T84" s="239" t="s"/>
    </x:row>
    <x:row r="85" spans="1:24" customFormat="1" ht="24" customHeight="1">
      <x:c r="A85" s="226" t="n">
        <x:v>66</x:v>
      </x:c>
      <x:c r="B85" s="226" t="n">
        <x:v>99990009559997</x:v>
      </x:c>
      <x:c r="C85" s="227" t="n">
        <x:v>2126256</x:v>
      </x:c>
      <x:c r="D85" s="228" t="s">
        <x:v>127</x:v>
      </x:c>
      <x:c r="E85" s="229" t="s"/>
      <x:c r="F85" s="229" t="n">
        <x:v>694201</x:v>
      </x:c>
      <x:c r="G85" s="229" t="s">
        <x:v>42</x:v>
      </x:c>
      <x:c r="H85" s="230" t="n">
        <x:v>0</x:v>
      </x:c>
      <x:c r="I85" s="231" t="n">
        <x:v>50</x:v>
      </x:c>
      <x:c r="J85" s="232" t="n">
        <x:v>0</x:v>
      </x:c>
      <x:c r="K85" s="233" t="s"/>
      <x:c r="L85" s="231" t="n">
        <x:v>0</x:v>
      </x:c>
      <x:c r="M85" s="231" t="n">
        <x:v>0</x:v>
      </x:c>
      <x:c r="N85" s="234">
        <x:f>ROUND(((I85*J85)-((I85*J85)*L85/100))+(((I85*J85)-((I85*J85)*L85/100))*M85/100), 2)</x:f>
      </x:c>
      <x:c r="O85" s="230">
        <x:f>M11</x:f>
      </x:c>
      <x:c r="P85" s="235" t="s"/>
      <x:c r="Q85" s="236" t="s"/>
      <x:c r="R85" s="237" t="s">
        <x:v>128</x:v>
      </x:c>
      <x:c r="S85" s="238" t="s"/>
      <x:c r="T85" s="239" t="s"/>
    </x:row>
    <x:row r="86" spans="1:24" customFormat="1" ht="24" customHeight="1">
      <x:c r="A86" s="226" t="n">
        <x:v>67</x:v>
      </x:c>
      <x:c r="B86" s="226" t="n">
        <x:v>99990008656937</x:v>
      </x:c>
      <x:c r="C86" s="227" t="n">
        <x:v>812602</x:v>
      </x:c>
      <x:c r="D86" s="228" t="s">
        <x:v>129</x:v>
      </x:c>
      <x:c r="E86" s="229" t="s"/>
      <x:c r="F86" s="229" t="n">
        <x:v>812602</x:v>
      </x:c>
      <x:c r="G86" s="229" t="s">
        <x:v>130</x:v>
      </x:c>
      <x:c r="H86" s="230" t="n">
        <x:v>0</x:v>
      </x:c>
      <x:c r="I86" s="231" t="n">
        <x:v>5</x:v>
      </x:c>
      <x:c r="J86" s="232" t="n">
        <x:v>0</x:v>
      </x:c>
      <x:c r="K86" s="233" t="s"/>
      <x:c r="L86" s="231" t="n">
        <x:v>0</x:v>
      </x:c>
      <x:c r="M86" s="231" t="n">
        <x:v>0</x:v>
      </x:c>
      <x:c r="N86" s="234">
        <x:f>ROUND(((I86*J86)-((I86*J86)*L86/100))+(((I86*J86)-((I86*J86)*L86/100))*M86/100), 2)</x:f>
      </x:c>
      <x:c r="O86" s="230">
        <x:f>M11</x:f>
      </x:c>
      <x:c r="P86" s="235" t="s"/>
      <x:c r="Q86" s="236" t="s"/>
      <x:c r="R86" s="237" t="s">
        <x:v>43</x:v>
      </x:c>
      <x:c r="S86" s="238" t="s"/>
      <x:c r="T86" s="239" t="s"/>
    </x:row>
    <x:row r="87" spans="1:24" customFormat="1" ht="24" customHeight="1">
      <x:c r="A87" s="226" t="n">
        <x:v>68</x:v>
      </x:c>
      <x:c r="B87" s="226" t="n">
        <x:v>99990008655469</x:v>
      </x:c>
      <x:c r="C87" s="227" t="n">
        <x:v>174672</x:v>
      </x:c>
      <x:c r="D87" s="228" t="s">
        <x:v>131</x:v>
      </x:c>
      <x:c r="E87" s="229" t="s"/>
      <x:c r="F87" s="229" t="n">
        <x:v>174672</x:v>
      </x:c>
      <x:c r="G87" s="229" t="s">
        <x:v>45</x:v>
      </x:c>
      <x:c r="H87" s="230" t="n">
        <x:v>0</x:v>
      </x:c>
      <x:c r="I87" s="231" t="n">
        <x:v>2</x:v>
      </x:c>
      <x:c r="J87" s="232" t="n">
        <x:v>0</x:v>
      </x:c>
      <x:c r="K87" s="233" t="s"/>
      <x:c r="L87" s="231" t="n">
        <x:v>0</x:v>
      </x:c>
      <x:c r="M87" s="231" t="n">
        <x:v>0</x:v>
      </x:c>
      <x:c r="N87" s="234">
        <x:f>ROUND(((I87*J87)-((I87*J87)*L87/100))+(((I87*J87)-((I87*J87)*L87/100))*M87/100), 2)</x:f>
      </x:c>
      <x:c r="O87" s="230">
        <x:f>M11</x:f>
      </x:c>
      <x:c r="P87" s="235" t="s"/>
      <x:c r="Q87" s="236" t="s"/>
      <x:c r="R87" s="237" t="s"/>
      <x:c r="S87" s="238" t="s"/>
      <x:c r="T87" s="239" t="s"/>
    </x:row>
    <x:row r="88" spans="1:24" customFormat="1" ht="24" customHeight="1">
      <x:c r="A88" s="226" t="n">
        <x:v>69</x:v>
      </x:c>
      <x:c r="B88" s="226" t="n">
        <x:v>99990009639583</x:v>
      </x:c>
      <x:c r="C88" s="227" t="s">
        <x:v>132</x:v>
      </x:c>
      <x:c r="D88" s="228" t="s">
        <x:v>133</x:v>
      </x:c>
      <x:c r="E88" s="229" t="s"/>
      <x:c r="F88" s="229" t="n">
        <x:v>472186</x:v>
      </x:c>
      <x:c r="G88" s="229" t="s">
        <x:v>63</x:v>
      </x:c>
      <x:c r="H88" s="230" t="n">
        <x:v>0</x:v>
      </x:c>
      <x:c r="I88" s="231" t="n">
        <x:v>10</x:v>
      </x:c>
      <x:c r="J88" s="232" t="n">
        <x:v>0</x:v>
      </x:c>
      <x:c r="K88" s="233" t="s"/>
      <x:c r="L88" s="231" t="n">
        <x:v>0</x:v>
      </x:c>
      <x:c r="M88" s="231" t="n">
        <x:v>0</x:v>
      </x:c>
      <x:c r="N88" s="234">
        <x:f>ROUND(((I88*J88)-((I88*J88)*L88/100))+(((I88*J88)-((I88*J88)*L88/100))*M88/100), 2)</x:f>
      </x:c>
      <x:c r="O88" s="230">
        <x:f>M11</x:f>
      </x:c>
      <x:c r="P88" s="235" t="s"/>
      <x:c r="Q88" s="236" t="s"/>
      <x:c r="R88" s="237" t="s">
        <x:v>134</x:v>
      </x:c>
      <x:c r="S88" s="238" t="s"/>
      <x:c r="T88" s="239" t="s"/>
    </x:row>
    <x:row r="89" spans="1:24" customFormat="1" ht="24" customHeight="1">
      <x:c r="A89" s="226" t="n">
        <x:v>70</x:v>
      </x:c>
      <x:c r="B89" s="226" t="n">
        <x:v>99990008184734</x:v>
      </x:c>
      <x:c r="C89" s="227" t="n">
        <x:v>471318</x:v>
      </x:c>
      <x:c r="D89" s="228" t="s">
        <x:v>135</x:v>
      </x:c>
      <x:c r="E89" s="229" t="s"/>
      <x:c r="F89" s="229" t="n">
        <x:v>471318</x:v>
      </x:c>
      <x:c r="G89" s="229" t="s">
        <x:v>63</x:v>
      </x:c>
      <x:c r="H89" s="230" t="n">
        <x:v>0</x:v>
      </x:c>
      <x:c r="I89" s="231" t="n">
        <x:v>8</x:v>
      </x:c>
      <x:c r="J89" s="232" t="n">
        <x:v>0</x:v>
      </x:c>
      <x:c r="K89" s="233" t="s"/>
      <x:c r="L89" s="231" t="n">
        <x:v>0</x:v>
      </x:c>
      <x:c r="M89" s="231" t="n">
        <x:v>0</x:v>
      </x:c>
      <x:c r="N89" s="234">
        <x:f>ROUND(((I89*J89)-((I89*J89)*L89/100))+(((I89*J89)-((I89*J89)*L89/100))*M89/100), 2)</x:f>
      </x:c>
      <x:c r="O89" s="230">
        <x:f>M11</x:f>
      </x:c>
      <x:c r="P89" s="235" t="s"/>
      <x:c r="Q89" s="236" t="s"/>
      <x:c r="R89" s="237" t="s">
        <x:v>134</x:v>
      </x:c>
      <x:c r="S89" s="238" t="s"/>
      <x:c r="T89" s="239" t="s"/>
    </x:row>
    <x:row r="90" spans="1:24" customFormat="1" ht="24" customHeight="1">
      <x:c r="A90" s="226" t="n">
        <x:v>71</x:v>
      </x:c>
      <x:c r="B90" s="226" t="n">
        <x:v>99990008657854</x:v>
      </x:c>
      <x:c r="C90" s="227" t="s">
        <x:v>132</x:v>
      </x:c>
      <x:c r="D90" s="228" t="s">
        <x:v>136</x:v>
      </x:c>
      <x:c r="E90" s="229" t="s"/>
      <x:c r="F90" s="229" t="n">
        <x:v>471262</x:v>
      </x:c>
      <x:c r="G90" s="229" t="s">
        <x:v>58</x:v>
      </x:c>
      <x:c r="H90" s="230" t="n">
        <x:v>0</x:v>
      </x:c>
      <x:c r="I90" s="231" t="n">
        <x:v>5</x:v>
      </x:c>
      <x:c r="J90" s="232" t="n">
        <x:v>0</x:v>
      </x:c>
      <x:c r="K90" s="233" t="s"/>
      <x:c r="L90" s="231" t="n">
        <x:v>0</x:v>
      </x:c>
      <x:c r="M90" s="231" t="n">
        <x:v>0</x:v>
      </x:c>
      <x:c r="N90" s="234">
        <x:f>ROUND(((I90*J90)-((I90*J90)*L90/100))+(((I90*J90)-((I90*J90)*L90/100))*M90/100), 2)</x:f>
      </x:c>
      <x:c r="O90" s="230">
        <x:f>M11</x:f>
      </x:c>
      <x:c r="P90" s="235" t="s"/>
      <x:c r="Q90" s="236" t="s"/>
      <x:c r="R90" s="237" t="s">
        <x:v>134</x:v>
      </x:c>
      <x:c r="S90" s="238" t="s"/>
      <x:c r="T90" s="239" t="s"/>
    </x:row>
    <x:row r="91" spans="1:24" customFormat="1" ht="24" customHeight="1">
      <x:c r="A91" s="226" t="n">
        <x:v>72</x:v>
      </x:c>
      <x:c r="B91" s="226" t="n">
        <x:v>99990008657864</x:v>
      </x:c>
      <x:c r="C91" s="227" t="s">
        <x:v>132</x:v>
      </x:c>
      <x:c r="D91" s="228" t="s">
        <x:v>137</x:v>
      </x:c>
      <x:c r="E91" s="229" t="s"/>
      <x:c r="F91" s="229" t="n">
        <x:v>471283</x:v>
      </x:c>
      <x:c r="G91" s="229" t="s">
        <x:v>58</x:v>
      </x:c>
      <x:c r="H91" s="230" t="n">
        <x:v>0</x:v>
      </x:c>
      <x:c r="I91" s="231" t="n">
        <x:v>30</x:v>
      </x:c>
      <x:c r="J91" s="232" t="n">
        <x:v>0</x:v>
      </x:c>
      <x:c r="K91" s="233" t="s"/>
      <x:c r="L91" s="231" t="n">
        <x:v>0</x:v>
      </x:c>
      <x:c r="M91" s="231" t="n">
        <x:v>0</x:v>
      </x:c>
      <x:c r="N91" s="234">
        <x:f>ROUND(((I91*J91)-((I91*J91)*L91/100))+(((I91*J91)-((I91*J91)*L91/100))*M91/100), 2)</x:f>
      </x:c>
      <x:c r="O91" s="230">
        <x:f>M11</x:f>
      </x:c>
      <x:c r="P91" s="235" t="s"/>
      <x:c r="Q91" s="236" t="s"/>
      <x:c r="R91" s="237" t="s">
        <x:v>134</x:v>
      </x:c>
      <x:c r="S91" s="238" t="s"/>
      <x:c r="T91" s="239" t="s"/>
    </x:row>
    <x:row r="92" spans="1:24" customFormat="1" ht="24" customHeight="1">
      <x:c r="A92" s="226" t="n">
        <x:v>73</x:v>
      </x:c>
      <x:c r="B92" s="226" t="n">
        <x:v>99990008657821</x:v>
      </x:c>
      <x:c r="C92" s="227" t="s">
        <x:v>132</x:v>
      </x:c>
      <x:c r="D92" s="228" t="s">
        <x:v>138</x:v>
      </x:c>
      <x:c r="E92" s="229" t="s"/>
      <x:c r="F92" s="229" t="n">
        <x:v>471108</x:v>
      </x:c>
      <x:c r="G92" s="229" t="s">
        <x:v>42</x:v>
      </x:c>
      <x:c r="H92" s="230" t="n">
        <x:v>0</x:v>
      </x:c>
      <x:c r="I92" s="231" t="n">
        <x:v>5</x:v>
      </x:c>
      <x:c r="J92" s="232" t="n">
        <x:v>0</x:v>
      </x:c>
      <x:c r="K92" s="233" t="s"/>
      <x:c r="L92" s="231" t="n">
        <x:v>0</x:v>
      </x:c>
      <x:c r="M92" s="231" t="n">
        <x:v>0</x:v>
      </x:c>
      <x:c r="N92" s="234">
        <x:f>ROUND(((I92*J92)-((I92*J92)*L92/100))+(((I92*J92)-((I92*J92)*L92/100))*M92/100), 2)</x:f>
      </x:c>
      <x:c r="O92" s="230">
        <x:f>M11</x:f>
      </x:c>
      <x:c r="P92" s="235" t="s"/>
      <x:c r="Q92" s="236" t="s"/>
      <x:c r="R92" s="237" t="s">
        <x:v>134</x:v>
      </x:c>
      <x:c r="S92" s="238" t="s"/>
      <x:c r="T92" s="239" t="s"/>
    </x:row>
    <x:row r="93" spans="1:24" customFormat="1" ht="24" customHeight="1">
      <x:c r="A93" s="226" t="n">
        <x:v>74</x:v>
      </x:c>
      <x:c r="B93" s="226" t="n">
        <x:v>99990009573554</x:v>
      </x:c>
      <x:c r="C93" s="227" t="s">
        <x:v>132</x:v>
      </x:c>
      <x:c r="D93" s="228" t="s">
        <x:v>139</x:v>
      </x:c>
      <x:c r="E93" s="229" t="s"/>
      <x:c r="F93" s="229" t="n">
        <x:v>472690</x:v>
      </x:c>
      <x:c r="G93" s="229" t="s">
        <x:v>42</x:v>
      </x:c>
      <x:c r="H93" s="230" t="n">
        <x:v>0</x:v>
      </x:c>
      <x:c r="I93" s="231" t="n">
        <x:v>3</x:v>
      </x:c>
      <x:c r="J93" s="232" t="n">
        <x:v>0</x:v>
      </x:c>
      <x:c r="K93" s="233" t="s"/>
      <x:c r="L93" s="231" t="n">
        <x:v>0</x:v>
      </x:c>
      <x:c r="M93" s="231" t="n">
        <x:v>0</x:v>
      </x:c>
      <x:c r="N93" s="234">
        <x:f>ROUND(((I93*J93)-((I93*J93)*L93/100))+(((I93*J93)-((I93*J93)*L93/100))*M93/100), 2)</x:f>
      </x:c>
      <x:c r="O93" s="230">
        <x:f>M11</x:f>
      </x:c>
      <x:c r="P93" s="235" t="s"/>
      <x:c r="Q93" s="236" t="s"/>
      <x:c r="R93" s="237" t="s">
        <x:v>134</x:v>
      </x:c>
      <x:c r="S93" s="238" t="s"/>
      <x:c r="T93" s="239" t="s"/>
    </x:row>
    <x:row r="94" spans="1:24" customFormat="1" ht="24" customHeight="1">
      <x:c r="A94" s="226" t="n">
        <x:v>75</x:v>
      </x:c>
      <x:c r="B94" s="226" t="n">
        <x:v>99990008657836</x:v>
      </x:c>
      <x:c r="C94" s="227" t="s">
        <x:v>132</x:v>
      </x:c>
      <x:c r="D94" s="228" t="s">
        <x:v>140</x:v>
      </x:c>
      <x:c r="E94" s="229" t="s"/>
      <x:c r="F94" s="229" t="n">
        <x:v>471155</x:v>
      </x:c>
      <x:c r="G94" s="229" t="s">
        <x:v>42</x:v>
      </x:c>
      <x:c r="H94" s="230" t="n">
        <x:v>0</x:v>
      </x:c>
      <x:c r="I94" s="231" t="n">
        <x:v>10</x:v>
      </x:c>
      <x:c r="J94" s="232" t="n">
        <x:v>0</x:v>
      </x:c>
      <x:c r="K94" s="233" t="s"/>
      <x:c r="L94" s="231" t="n">
        <x:v>0</x:v>
      </x:c>
      <x:c r="M94" s="231" t="n">
        <x:v>0</x:v>
      </x:c>
      <x:c r="N94" s="234">
        <x:f>ROUND(((I94*J94)-((I94*J94)*L94/100))+(((I94*J94)-((I94*J94)*L94/100))*M94/100), 2)</x:f>
      </x:c>
      <x:c r="O94" s="230">
        <x:f>M11</x:f>
      </x:c>
      <x:c r="P94" s="235" t="s"/>
      <x:c r="Q94" s="236" t="s"/>
      <x:c r="R94" s="237" t="s">
        <x:v>134</x:v>
      </x:c>
      <x:c r="S94" s="238" t="s"/>
      <x:c r="T94" s="239" t="s"/>
    </x:row>
    <x:row r="95" spans="1:24" customFormat="1" ht="24" customHeight="1">
      <x:c r="A95" s="226" t="n">
        <x:v>76</x:v>
      </x:c>
      <x:c r="B95" s="226" t="n">
        <x:v>99990008657834</x:v>
      </x:c>
      <x:c r="C95" s="227" t="s">
        <x:v>132</x:v>
      </x:c>
      <x:c r="D95" s="228" t="s">
        <x:v>141</x:v>
      </x:c>
      <x:c r="E95" s="229" t="s"/>
      <x:c r="F95" s="229" t="n">
        <x:v>471153</x:v>
      </x:c>
      <x:c r="G95" s="229" t="s">
        <x:v>42</x:v>
      </x:c>
      <x:c r="H95" s="230" t="n">
        <x:v>0</x:v>
      </x:c>
      <x:c r="I95" s="231" t="n">
        <x:v>10</x:v>
      </x:c>
      <x:c r="J95" s="232" t="n">
        <x:v>0</x:v>
      </x:c>
      <x:c r="K95" s="233" t="s"/>
      <x:c r="L95" s="231" t="n">
        <x:v>0</x:v>
      </x:c>
      <x:c r="M95" s="231" t="n">
        <x:v>0</x:v>
      </x:c>
      <x:c r="N95" s="234">
        <x:f>ROUND(((I95*J95)-((I95*J95)*L95/100))+(((I95*J95)-((I95*J95)*L95/100))*M95/100), 2)</x:f>
      </x:c>
      <x:c r="O95" s="230">
        <x:f>M11</x:f>
      </x:c>
      <x:c r="P95" s="235" t="s"/>
      <x:c r="Q95" s="236" t="s"/>
      <x:c r="R95" s="237" t="s">
        <x:v>134</x:v>
      </x:c>
      <x:c r="S95" s="238" t="s"/>
      <x:c r="T95" s="239" t="s"/>
    </x:row>
    <x:row r="96" spans="1:24" customFormat="1" ht="24" customHeight="1">
      <x:c r="A96" s="226" t="n">
        <x:v>77</x:v>
      </x:c>
      <x:c r="B96" s="226" t="n">
        <x:v>99990008657831</x:v>
      </x:c>
      <x:c r="C96" s="227" t="s">
        <x:v>132</x:v>
      </x:c>
      <x:c r="D96" s="228" t="s">
        <x:v>142</x:v>
      </x:c>
      <x:c r="E96" s="229" t="s"/>
      <x:c r="F96" s="229" t="n">
        <x:v>471145</x:v>
      </x:c>
      <x:c r="G96" s="229" t="s">
        <x:v>42</x:v>
      </x:c>
      <x:c r="H96" s="230" t="n">
        <x:v>0</x:v>
      </x:c>
      <x:c r="I96" s="231" t="n">
        <x:v>30</x:v>
      </x:c>
      <x:c r="J96" s="232" t="n">
        <x:v>0</x:v>
      </x:c>
      <x:c r="K96" s="233" t="s"/>
      <x:c r="L96" s="231" t="n">
        <x:v>0</x:v>
      </x:c>
      <x:c r="M96" s="231" t="n">
        <x:v>0</x:v>
      </x:c>
      <x:c r="N96" s="234">
        <x:f>ROUND(((I96*J96)-((I96*J96)*L96/100))+(((I96*J96)-((I96*J96)*L96/100))*M96/100), 2)</x:f>
      </x:c>
      <x:c r="O96" s="230">
        <x:f>M11</x:f>
      </x:c>
      <x:c r="P96" s="235" t="s"/>
      <x:c r="Q96" s="236" t="s"/>
      <x:c r="R96" s="237" t="s">
        <x:v>134</x:v>
      </x:c>
      <x:c r="S96" s="238" t="s"/>
      <x:c r="T96" s="239" t="s"/>
    </x:row>
    <x:row r="97" spans="1:24" customFormat="1" ht="24" customHeight="1">
      <x:c r="A97" s="226" t="n">
        <x:v>78</x:v>
      </x:c>
      <x:c r="B97" s="226" t="n">
        <x:v>99990008657830</x:v>
      </x:c>
      <x:c r="C97" s="227" t="s">
        <x:v>132</x:v>
      </x:c>
      <x:c r="D97" s="228" t="s">
        <x:v>143</x:v>
      </x:c>
      <x:c r="E97" s="229" t="s"/>
      <x:c r="F97" s="229" t="n">
        <x:v>471144</x:v>
      </x:c>
      <x:c r="G97" s="229" t="s">
        <x:v>42</x:v>
      </x:c>
      <x:c r="H97" s="230" t="n">
        <x:v>0</x:v>
      </x:c>
      <x:c r="I97" s="231" t="n">
        <x:v>30</x:v>
      </x:c>
      <x:c r="J97" s="232" t="n">
        <x:v>0</x:v>
      </x:c>
      <x:c r="K97" s="233" t="s"/>
      <x:c r="L97" s="231" t="n">
        <x:v>0</x:v>
      </x:c>
      <x:c r="M97" s="231" t="n">
        <x:v>0</x:v>
      </x:c>
      <x:c r="N97" s="234">
        <x:f>ROUND(((I97*J97)-((I97*J97)*L97/100))+(((I97*J97)-((I97*J97)*L97/100))*M97/100), 2)</x:f>
      </x:c>
      <x:c r="O97" s="230">
        <x:f>M11</x:f>
      </x:c>
      <x:c r="P97" s="235" t="s"/>
      <x:c r="Q97" s="236" t="s"/>
      <x:c r="R97" s="237" t="s">
        <x:v>134</x:v>
      </x:c>
      <x:c r="S97" s="238" t="s"/>
      <x:c r="T97" s="239" t="s"/>
    </x:row>
    <x:row r="98" spans="1:24" customFormat="1" ht="24" customHeight="1">
      <x:c r="A98" s="226" t="n">
        <x:v>79</x:v>
      </x:c>
      <x:c r="B98" s="226" t="n">
        <x:v>99990008657887</x:v>
      </x:c>
      <x:c r="C98" s="227" t="s">
        <x:v>132</x:v>
      </x:c>
      <x:c r="D98" s="228" t="s">
        <x:v>144</x:v>
      </x:c>
      <x:c r="E98" s="229" t="s"/>
      <x:c r="F98" s="229" t="n">
        <x:v>471641</x:v>
      </x:c>
      <x:c r="G98" s="229" t="s">
        <x:v>42</x:v>
      </x:c>
      <x:c r="H98" s="230" t="n">
        <x:v>0</x:v>
      </x:c>
      <x:c r="I98" s="231" t="n">
        <x:v>5</x:v>
      </x:c>
      <x:c r="J98" s="232" t="n">
        <x:v>0</x:v>
      </x:c>
      <x:c r="K98" s="233" t="s"/>
      <x:c r="L98" s="231" t="n">
        <x:v>0</x:v>
      </x:c>
      <x:c r="M98" s="231" t="n">
        <x:v>0</x:v>
      </x:c>
      <x:c r="N98" s="234">
        <x:f>ROUND(((I98*J98)-((I98*J98)*L98/100))+(((I98*J98)-((I98*J98)*L98/100))*M98/100), 2)</x:f>
      </x:c>
      <x:c r="O98" s="230">
        <x:f>M11</x:f>
      </x:c>
      <x:c r="P98" s="235" t="s"/>
      <x:c r="Q98" s="236" t="s"/>
      <x:c r="R98" s="237" t="s">
        <x:v>134</x:v>
      </x:c>
      <x:c r="S98" s="238" t="s"/>
      <x:c r="T98" s="239" t="s"/>
    </x:row>
    <x:row r="99" spans="1:24" customFormat="1" ht="24" customHeight="1">
      <x:c r="A99" s="226" t="n">
        <x:v>80</x:v>
      </x:c>
      <x:c r="B99" s="226" t="n">
        <x:v>99990008657868</x:v>
      </x:c>
      <x:c r="C99" s="227" t="s">
        <x:v>132</x:v>
      </x:c>
      <x:c r="D99" s="228" t="s">
        <x:v>145</x:v>
      </x:c>
      <x:c r="E99" s="229" t="s"/>
      <x:c r="F99" s="229" t="n">
        <x:v>471321</x:v>
      </x:c>
      <x:c r="G99" s="229" t="s">
        <x:v>63</x:v>
      </x:c>
      <x:c r="H99" s="230" t="n">
        <x:v>0</x:v>
      </x:c>
      <x:c r="I99" s="231" t="n">
        <x:v>20</x:v>
      </x:c>
      <x:c r="J99" s="232" t="n">
        <x:v>0</x:v>
      </x:c>
      <x:c r="K99" s="233" t="s"/>
      <x:c r="L99" s="231" t="n">
        <x:v>0</x:v>
      </x:c>
      <x:c r="M99" s="231" t="n">
        <x:v>0</x:v>
      </x:c>
      <x:c r="N99" s="234">
        <x:f>ROUND(((I99*J99)-((I99*J99)*L99/100))+(((I99*J99)-((I99*J99)*L99/100))*M99/100), 2)</x:f>
      </x:c>
      <x:c r="O99" s="230">
        <x:f>M11</x:f>
      </x:c>
      <x:c r="P99" s="235" t="s"/>
      <x:c r="Q99" s="236" t="s"/>
      <x:c r="R99" s="237" t="s">
        <x:v>134</x:v>
      </x:c>
      <x:c r="S99" s="238" t="s"/>
      <x:c r="T99" s="239" t="s"/>
    </x:row>
    <x:row r="100" spans="1:24" customFormat="1" ht="24" customHeight="1">
      <x:c r="A100" s="226" t="n">
        <x:v>81</x:v>
      </x:c>
      <x:c r="B100" s="226" t="n">
        <x:v>99990009573529</x:v>
      </x:c>
      <x:c r="C100" s="227" t="s">
        <x:v>132</x:v>
      </x:c>
      <x:c r="D100" s="228" t="s">
        <x:v>146</x:v>
      </x:c>
      <x:c r="E100" s="229" t="s"/>
      <x:c r="F100" s="229" t="n">
        <x:v>470661</x:v>
      </x:c>
      <x:c r="G100" s="229" t="s">
        <x:v>42</x:v>
      </x:c>
      <x:c r="H100" s="230" t="n">
        <x:v>0</x:v>
      </x:c>
      <x:c r="I100" s="231" t="n">
        <x:v>20</x:v>
      </x:c>
      <x:c r="J100" s="232" t="n">
        <x:v>0</x:v>
      </x:c>
      <x:c r="K100" s="233" t="s"/>
      <x:c r="L100" s="231" t="n">
        <x:v>0</x:v>
      </x:c>
      <x:c r="M100" s="231" t="n">
        <x:v>0</x:v>
      </x:c>
      <x:c r="N100" s="234">
        <x:f>ROUND(((I100*J100)-((I100*J100)*L100/100))+(((I100*J100)-((I100*J100)*L100/100))*M100/100), 2)</x:f>
      </x:c>
      <x:c r="O100" s="230">
        <x:f>M11</x:f>
      </x:c>
      <x:c r="P100" s="235" t="s"/>
      <x:c r="Q100" s="236" t="s"/>
      <x:c r="R100" s="237" t="s">
        <x:v>134</x:v>
      </x:c>
      <x:c r="S100" s="238" t="s"/>
      <x:c r="T100" s="239" t="s"/>
    </x:row>
    <x:row r="101" spans="1:24" customFormat="1" ht="24" customHeight="1">
      <x:c r="A101" s="226" t="n">
        <x:v>82</x:v>
      </x:c>
      <x:c r="B101" s="226" t="n">
        <x:v>99990008184385</x:v>
      </x:c>
      <x:c r="C101" s="227" t="n">
        <x:v>470662</x:v>
      </x:c>
      <x:c r="D101" s="228" t="s">
        <x:v>147</x:v>
      </x:c>
      <x:c r="E101" s="229" t="s"/>
      <x:c r="F101" s="229" t="n">
        <x:v>470662</x:v>
      </x:c>
      <x:c r="G101" s="229" t="s">
        <x:v>42</x:v>
      </x:c>
      <x:c r="H101" s="230" t="n">
        <x:v>0</x:v>
      </x:c>
      <x:c r="I101" s="231" t="n">
        <x:v>20</x:v>
      </x:c>
      <x:c r="J101" s="232" t="n">
        <x:v>0</x:v>
      </x:c>
      <x:c r="K101" s="233" t="s"/>
      <x:c r="L101" s="231" t="n">
        <x:v>0</x:v>
      </x:c>
      <x:c r="M101" s="231" t="n">
        <x:v>0</x:v>
      </x:c>
      <x:c r="N101" s="234">
        <x:f>ROUND(((I101*J101)-((I101*J101)*L101/100))+(((I101*J101)-((I101*J101)*L101/100))*M101/100), 2)</x:f>
      </x:c>
      <x:c r="O101" s="230">
        <x:f>M11</x:f>
      </x:c>
      <x:c r="P101" s="235" t="s"/>
      <x:c r="Q101" s="236" t="s"/>
      <x:c r="R101" s="237" t="s">
        <x:v>134</x:v>
      </x:c>
      <x:c r="S101" s="238" t="s"/>
      <x:c r="T101" s="239" t="s"/>
    </x:row>
    <x:row r="102" spans="1:24" customFormat="1" ht="24" customHeight="1">
      <x:c r="A102" s="226" t="n">
        <x:v>83</x:v>
      </x:c>
      <x:c r="B102" s="226" t="n">
        <x:v>99990010098500</x:v>
      </x:c>
      <x:c r="C102" s="227" t="s">
        <x:v>132</x:v>
      </x:c>
      <x:c r="D102" s="228" t="s">
        <x:v>148</x:v>
      </x:c>
      <x:c r="E102" s="229" t="s"/>
      <x:c r="F102" s="229" t="n">
        <x:v>470663</x:v>
      </x:c>
      <x:c r="G102" s="229" t="s">
        <x:v>42</x:v>
      </x:c>
      <x:c r="H102" s="230" t="n">
        <x:v>0</x:v>
      </x:c>
      <x:c r="I102" s="231" t="n">
        <x:v>50</x:v>
      </x:c>
      <x:c r="J102" s="232" t="n">
        <x:v>0</x:v>
      </x:c>
      <x:c r="K102" s="233" t="s"/>
      <x:c r="L102" s="231" t="n">
        <x:v>0</x:v>
      </x:c>
      <x:c r="M102" s="231" t="n">
        <x:v>0</x:v>
      </x:c>
      <x:c r="N102" s="234">
        <x:f>ROUND(((I102*J102)-((I102*J102)*L102/100))+(((I102*J102)-((I102*J102)*L102/100))*M102/100), 2)</x:f>
      </x:c>
      <x:c r="O102" s="230">
        <x:f>M11</x:f>
      </x:c>
      <x:c r="P102" s="235" t="s"/>
      <x:c r="Q102" s="236" t="s"/>
      <x:c r="R102" s="237" t="s">
        <x:v>134</x:v>
      </x:c>
      <x:c r="S102" s="238" t="s"/>
      <x:c r="T102" s="239" t="s"/>
    </x:row>
    <x:row r="103" spans="1:24" customFormat="1" ht="24" customHeight="1">
      <x:c r="A103" s="226" t="n">
        <x:v>84</x:v>
      </x:c>
      <x:c r="B103" s="226" t="n">
        <x:v>99990008657745</x:v>
      </x:c>
      <x:c r="C103" s="227" t="s">
        <x:v>132</x:v>
      </x:c>
      <x:c r="D103" s="228" t="s">
        <x:v>149</x:v>
      </x:c>
      <x:c r="E103" s="229" t="s"/>
      <x:c r="F103" s="229" t="n">
        <x:v>470558</x:v>
      </x:c>
      <x:c r="G103" s="229" t="s">
        <x:v>150</x:v>
      </x:c>
      <x:c r="H103" s="230" t="n">
        <x:v>0</x:v>
      </x:c>
      <x:c r="I103" s="231" t="n">
        <x:v>4</x:v>
      </x:c>
      <x:c r="J103" s="232" t="n">
        <x:v>0</x:v>
      </x:c>
      <x:c r="K103" s="233" t="s"/>
      <x:c r="L103" s="231" t="n">
        <x:v>0</x:v>
      </x:c>
      <x:c r="M103" s="231" t="n">
        <x:v>0</x:v>
      </x:c>
      <x:c r="N103" s="234">
        <x:f>ROUND(((I103*J103)-((I103*J103)*L103/100))+(((I103*J103)-((I103*J103)*L103/100))*M103/100), 2)</x:f>
      </x:c>
      <x:c r="O103" s="230">
        <x:f>M11</x:f>
      </x:c>
      <x:c r="P103" s="235" t="s"/>
      <x:c r="Q103" s="236" t="s"/>
      <x:c r="R103" s="237" t="s">
        <x:v>134</x:v>
      </x:c>
      <x:c r="S103" s="238" t="s"/>
      <x:c r="T103" s="239" t="s"/>
    </x:row>
    <x:row r="104" spans="1:24" customFormat="1" ht="24" customHeight="1">
      <x:c r="A104" s="226" t="n">
        <x:v>85</x:v>
      </x:c>
      <x:c r="B104" s="226" t="n">
        <x:v>99990010171050</x:v>
      </x:c>
      <x:c r="C104" s="227" t="s">
        <x:v>132</x:v>
      </x:c>
      <x:c r="D104" s="228" t="s">
        <x:v>151</x:v>
      </x:c>
      <x:c r="E104" s="229" t="s"/>
      <x:c r="F104" s="229" t="n">
        <x:v>472685</x:v>
      </x:c>
      <x:c r="G104" s="229" t="s">
        <x:v>42</x:v>
      </x:c>
      <x:c r="H104" s="230" t="n">
        <x:v>0</x:v>
      </x:c>
      <x:c r="I104" s="231" t="n">
        <x:v>5</x:v>
      </x:c>
      <x:c r="J104" s="232" t="n">
        <x:v>0</x:v>
      </x:c>
      <x:c r="K104" s="233" t="s"/>
      <x:c r="L104" s="231" t="n">
        <x:v>0</x:v>
      </x:c>
      <x:c r="M104" s="231" t="n">
        <x:v>0</x:v>
      </x:c>
      <x:c r="N104" s="234">
        <x:f>ROUND(((I104*J104)-((I104*J104)*L104/100))+(((I104*J104)-((I104*J104)*L104/100))*M104/100), 2)</x:f>
      </x:c>
      <x:c r="O104" s="230">
        <x:f>M11</x:f>
      </x:c>
      <x:c r="P104" s="235" t="s"/>
      <x:c r="Q104" s="236" t="s"/>
      <x:c r="R104" s="237" t="s">
        <x:v>152</x:v>
      </x:c>
      <x:c r="S104" s="238" t="s"/>
      <x:c r="T104" s="239" t="s"/>
    </x:row>
    <x:row r="105" spans="1:24" customFormat="1" ht="24" customHeight="1">
      <x:c r="A105" s="226" t="n">
        <x:v>86</x:v>
      </x:c>
      <x:c r="B105" s="226" t="n">
        <x:v>99990010101181</x:v>
      </x:c>
      <x:c r="C105" s="227" t="s">
        <x:v>132</x:v>
      </x:c>
      <x:c r="D105" s="228" t="s">
        <x:v>153</x:v>
      </x:c>
      <x:c r="E105" s="229" t="s"/>
      <x:c r="F105" s="229" t="n">
        <x:v>470103</x:v>
      </x:c>
      <x:c r="G105" s="229" t="s">
        <x:v>154</x:v>
      </x:c>
      <x:c r="H105" s="230" t="n">
        <x:v>0</x:v>
      </x:c>
      <x:c r="I105" s="231" t="n">
        <x:v>10</x:v>
      </x:c>
      <x:c r="J105" s="232" t="n">
        <x:v>0</x:v>
      </x:c>
      <x:c r="K105" s="233" t="s"/>
      <x:c r="L105" s="231" t="n">
        <x:v>0</x:v>
      </x:c>
      <x:c r="M105" s="231" t="n">
        <x:v>0</x:v>
      </x:c>
      <x:c r="N105" s="234">
        <x:f>ROUND(((I105*J105)-((I105*J105)*L105/100))+(((I105*J105)-((I105*J105)*L105/100))*M105/100), 2)</x:f>
      </x:c>
      <x:c r="O105" s="230">
        <x:f>M11</x:f>
      </x:c>
      <x:c r="P105" s="235" t="s"/>
      <x:c r="Q105" s="236" t="s"/>
      <x:c r="R105" s="237" t="s">
        <x:v>134</x:v>
      </x:c>
      <x:c r="S105" s="238" t="s"/>
      <x:c r="T105" s="239" t="s"/>
    </x:row>
    <x:row r="106" spans="1:24" customFormat="1" ht="24" customHeight="1">
      <x:c r="A106" s="226" t="n">
        <x:v>87</x:v>
      </x:c>
      <x:c r="B106" s="226" t="n">
        <x:v>99990008657692</x:v>
      </x:c>
      <x:c r="C106" s="227" t="s">
        <x:v>132</x:v>
      </x:c>
      <x:c r="D106" s="228" t="s">
        <x:v>155</x:v>
      </x:c>
      <x:c r="E106" s="229" t="s"/>
      <x:c r="F106" s="229" t="n">
        <x:v>470101</x:v>
      </x:c>
      <x:c r="G106" s="229" t="s">
        <x:v>154</x:v>
      </x:c>
      <x:c r="H106" s="230" t="n">
        <x:v>0</x:v>
      </x:c>
      <x:c r="I106" s="231" t="n">
        <x:v>10</x:v>
      </x:c>
      <x:c r="J106" s="232" t="n">
        <x:v>0</x:v>
      </x:c>
      <x:c r="K106" s="233" t="s"/>
      <x:c r="L106" s="231" t="n">
        <x:v>0</x:v>
      </x:c>
      <x:c r="M106" s="231" t="n">
        <x:v>0</x:v>
      </x:c>
      <x:c r="N106" s="234">
        <x:f>ROUND(((I106*J106)-((I106*J106)*L106/100))+(((I106*J106)-((I106*J106)*L106/100))*M106/100), 2)</x:f>
      </x:c>
      <x:c r="O106" s="230">
        <x:f>M11</x:f>
      </x:c>
      <x:c r="P106" s="235" t="s"/>
      <x:c r="Q106" s="236" t="s"/>
      <x:c r="R106" s="237" t="s">
        <x:v>134</x:v>
      </x:c>
      <x:c r="S106" s="238" t="s"/>
      <x:c r="T106" s="239" t="s"/>
    </x:row>
    <x:row r="107" spans="1:24" customFormat="1" ht="24" customHeight="1">
      <x:c r="A107" s="226" t="n">
        <x:v>88</x:v>
      </x:c>
      <x:c r="B107" s="226" t="n">
        <x:v>99990009635229</x:v>
      </x:c>
      <x:c r="C107" s="227" t="n">
        <x:v>770253</x:v>
      </x:c>
      <x:c r="D107" s="228" t="s">
        <x:v>156</x:v>
      </x:c>
      <x:c r="E107" s="229" t="s"/>
      <x:c r="F107" s="229" t="n">
        <x:v>770253</x:v>
      </x:c>
      <x:c r="G107" s="229" t="s">
        <x:v>42</x:v>
      </x:c>
      <x:c r="H107" s="230" t="n">
        <x:v>0</x:v>
      </x:c>
      <x:c r="I107" s="231" t="n">
        <x:v>6</x:v>
      </x:c>
      <x:c r="J107" s="232" t="n">
        <x:v>0</x:v>
      </x:c>
      <x:c r="K107" s="233" t="s"/>
      <x:c r="L107" s="231" t="n">
        <x:v>0</x:v>
      </x:c>
      <x:c r="M107" s="231" t="n">
        <x:v>0</x:v>
      </x:c>
      <x:c r="N107" s="234">
        <x:f>ROUND(((I107*J107)-((I107*J107)*L107/100))+(((I107*J107)-((I107*J107)*L107/100))*M107/100), 2)</x:f>
      </x:c>
      <x:c r="O107" s="230">
        <x:f>M11</x:f>
      </x:c>
      <x:c r="P107" s="235" t="s"/>
      <x:c r="Q107" s="236" t="s"/>
      <x:c r="R107" s="237" t="s">
        <x:v>43</x:v>
      </x:c>
      <x:c r="S107" s="238" t="s"/>
      <x:c r="T107" s="239" t="s"/>
    </x:row>
    <x:row r="108" spans="1:24" customFormat="1" ht="24" customHeight="1">
      <x:c r="A108" s="226" t="n">
        <x:v>89</x:v>
      </x:c>
      <x:c r="B108" s="226" t="n">
        <x:v>99990011493642</x:v>
      </x:c>
      <x:c r="C108" s="227" t="n">
        <x:v>530144</x:v>
      </x:c>
      <x:c r="D108" s="228" t="s">
        <x:v>157</x:v>
      </x:c>
      <x:c r="E108" s="229" t="s"/>
      <x:c r="F108" s="229" t="n">
        <x:v>530144</x:v>
      </x:c>
      <x:c r="G108" s="229" t="s">
        <x:v>42</x:v>
      </x:c>
      <x:c r="H108" s="230" t="n">
        <x:v>0</x:v>
      </x:c>
      <x:c r="I108" s="231" t="n">
        <x:v>3</x:v>
      </x:c>
      <x:c r="J108" s="232" t="n">
        <x:v>0</x:v>
      </x:c>
      <x:c r="K108" s="233" t="s"/>
      <x:c r="L108" s="231" t="n">
        <x:v>0</x:v>
      </x:c>
      <x:c r="M108" s="231" t="n">
        <x:v>0</x:v>
      </x:c>
      <x:c r="N108" s="234">
        <x:f>ROUND(((I108*J108)-((I108*J108)*L108/100))+(((I108*J108)-((I108*J108)*L108/100))*M108/100), 2)</x:f>
      </x:c>
      <x:c r="O108" s="230">
        <x:f>M11</x:f>
      </x:c>
      <x:c r="P108" s="235" t="s"/>
      <x:c r="Q108" s="236" t="s"/>
      <x:c r="R108" s="237" t="s"/>
      <x:c r="S108" s="238" t="s"/>
      <x:c r="T108" s="239" t="s"/>
    </x:row>
    <x:row r="109" spans="1:24" customFormat="1" ht="24" customHeight="1">
      <x:c r="A109" s="226" t="n">
        <x:v>90</x:v>
      </x:c>
      <x:c r="B109" s="226" t="n">
        <x:v>99990008186211</x:v>
      </x:c>
      <x:c r="C109" s="227" t="n">
        <x:v>530124</x:v>
      </x:c>
      <x:c r="D109" s="228" t="s">
        <x:v>158</x:v>
      </x:c>
      <x:c r="E109" s="229" t="s"/>
      <x:c r="F109" s="229" t="n">
        <x:v>530124</x:v>
      </x:c>
      <x:c r="G109" s="229" t="s">
        <x:v>42</x:v>
      </x:c>
      <x:c r="H109" s="230" t="n">
        <x:v>0</x:v>
      </x:c>
      <x:c r="I109" s="231" t="n">
        <x:v>3</x:v>
      </x:c>
      <x:c r="J109" s="232" t="n">
        <x:v>0</x:v>
      </x:c>
      <x:c r="K109" s="233" t="s"/>
      <x:c r="L109" s="231" t="n">
        <x:v>0</x:v>
      </x:c>
      <x:c r="M109" s="231" t="n">
        <x:v>0</x:v>
      </x:c>
      <x:c r="N109" s="234">
        <x:f>ROUND(((I109*J109)-((I109*J109)*L109/100))+(((I109*J109)-((I109*J109)*L109/100))*M109/100), 2)</x:f>
      </x:c>
      <x:c r="O109" s="230">
        <x:f>M11</x:f>
      </x:c>
      <x:c r="P109" s="235" t="s"/>
      <x:c r="Q109" s="236" t="s"/>
      <x:c r="R109" s="237" t="s"/>
      <x:c r="S109" s="238" t="s"/>
      <x:c r="T109" s="239" t="s"/>
    </x:row>
    <x:row r="110" spans="1:24" customFormat="1" ht="24" customHeight="1">
      <x:c r="A110" s="226" t="n">
        <x:v>91</x:v>
      </x:c>
      <x:c r="B110" s="226" t="n">
        <x:v>99990010009837</x:v>
      </x:c>
      <x:c r="C110" s="227" t="n">
        <x:v>530168</x:v>
      </x:c>
      <x:c r="D110" s="228" t="s">
        <x:v>159</x:v>
      </x:c>
      <x:c r="E110" s="229" t="s"/>
      <x:c r="F110" s="229" t="n">
        <x:v>530168</x:v>
      </x:c>
      <x:c r="G110" s="229" t="s">
        <x:v>42</x:v>
      </x:c>
      <x:c r="H110" s="230" t="n">
        <x:v>0</x:v>
      </x:c>
      <x:c r="I110" s="231" t="n">
        <x:v>3</x:v>
      </x:c>
      <x:c r="J110" s="232" t="n">
        <x:v>0</x:v>
      </x:c>
      <x:c r="K110" s="233" t="s"/>
      <x:c r="L110" s="231" t="n">
        <x:v>0</x:v>
      </x:c>
      <x:c r="M110" s="231" t="n">
        <x:v>0</x:v>
      </x:c>
      <x:c r="N110" s="234">
        <x:f>ROUND(((I110*J110)-((I110*J110)*L110/100))+(((I110*J110)-((I110*J110)*L110/100))*M110/100), 2)</x:f>
      </x:c>
      <x:c r="O110" s="230">
        <x:f>M11</x:f>
      </x:c>
      <x:c r="P110" s="235" t="s"/>
      <x:c r="Q110" s="236" t="s"/>
      <x:c r="R110" s="237" t="s"/>
      <x:c r="S110" s="238" t="s"/>
      <x:c r="T110" s="239" t="s"/>
    </x:row>
    <x:row r="111" spans="1:24" customFormat="1" ht="24" customHeight="1">
      <x:c r="A111" s="226" t="n">
        <x:v>92</x:v>
      </x:c>
      <x:c r="B111" s="226" t="n">
        <x:v>99990008655281</x:v>
      </x:c>
      <x:c r="C111" s="227" t="n">
        <x:v>530375</x:v>
      </x:c>
      <x:c r="D111" s="228" t="s">
        <x:v>160</x:v>
      </x:c>
      <x:c r="E111" s="229" t="s"/>
      <x:c r="F111" s="229" t="n">
        <x:v>530375</x:v>
      </x:c>
      <x:c r="G111" s="229" t="s">
        <x:v>42</x:v>
      </x:c>
      <x:c r="H111" s="230" t="n">
        <x:v>0</x:v>
      </x:c>
      <x:c r="I111" s="231" t="n">
        <x:v>3</x:v>
      </x:c>
      <x:c r="J111" s="232" t="n">
        <x:v>0</x:v>
      </x:c>
      <x:c r="K111" s="233" t="s"/>
      <x:c r="L111" s="231" t="n">
        <x:v>0</x:v>
      </x:c>
      <x:c r="M111" s="231" t="n">
        <x:v>0</x:v>
      </x:c>
      <x:c r="N111" s="234">
        <x:f>ROUND(((I111*J111)-((I111*J111)*L111/100))+(((I111*J111)-((I111*J111)*L111/100))*M111/100), 2)</x:f>
      </x:c>
      <x:c r="O111" s="230">
        <x:f>M11</x:f>
      </x:c>
      <x:c r="P111" s="235" t="s"/>
      <x:c r="Q111" s="236" t="s"/>
      <x:c r="R111" s="237" t="s"/>
      <x:c r="S111" s="238" t="s"/>
      <x:c r="T111" s="239" t="s"/>
    </x:row>
    <x:row r="112" spans="1:24" customFormat="1" ht="24" customHeight="1">
      <x:c r="A112" s="226" t="n">
        <x:v>93</x:v>
      </x:c>
      <x:c r="B112" s="226" t="n">
        <x:v>99990010009838</x:v>
      </x:c>
      <x:c r="C112" s="227" t="n">
        <x:v>530366</x:v>
      </x:c>
      <x:c r="D112" s="228" t="s">
        <x:v>161</x:v>
      </x:c>
      <x:c r="E112" s="229" t="s"/>
      <x:c r="F112" s="229" t="n">
        <x:v>530366</x:v>
      </x:c>
      <x:c r="G112" s="229" t="s">
        <x:v>42</x:v>
      </x:c>
      <x:c r="H112" s="230" t="n">
        <x:v>0</x:v>
      </x:c>
      <x:c r="I112" s="231" t="n">
        <x:v>2</x:v>
      </x:c>
      <x:c r="J112" s="232" t="n">
        <x:v>0</x:v>
      </x:c>
      <x:c r="K112" s="233" t="s"/>
      <x:c r="L112" s="231" t="n">
        <x:v>0</x:v>
      </x:c>
      <x:c r="M112" s="231" t="n">
        <x:v>0</x:v>
      </x:c>
      <x:c r="N112" s="234">
        <x:f>ROUND(((I112*J112)-((I112*J112)*L112/100))+(((I112*J112)-((I112*J112)*L112/100))*M112/100), 2)</x:f>
      </x:c>
      <x:c r="O112" s="230">
        <x:f>M11</x:f>
      </x:c>
      <x:c r="P112" s="235" t="s"/>
      <x:c r="Q112" s="236" t="s"/>
      <x:c r="R112" s="237" t="s"/>
      <x:c r="S112" s="238" t="s"/>
      <x:c r="T112" s="239" t="s"/>
    </x:row>
    <x:row r="113" spans="1:24" customFormat="1" ht="24" customHeight="1">
      <x:c r="A113" s="226" t="n">
        <x:v>94</x:v>
      </x:c>
      <x:c r="B113" s="226" t="n">
        <x:v>99990009860520</x:v>
      </x:c>
      <x:c r="C113" s="227" t="n">
        <x:v>850742</x:v>
      </x:c>
      <x:c r="D113" s="228" t="s">
        <x:v>162</x:v>
      </x:c>
      <x:c r="E113" s="229" t="s"/>
      <x:c r="F113" s="229" t="n">
        <x:v>850742</x:v>
      </x:c>
      <x:c r="G113" s="229" t="s">
        <x:v>63</x:v>
      </x:c>
      <x:c r="H113" s="230" t="n">
        <x:v>0</x:v>
      </x:c>
      <x:c r="I113" s="231" t="n">
        <x:v>2</x:v>
      </x:c>
      <x:c r="J113" s="232" t="n">
        <x:v>0</x:v>
      </x:c>
      <x:c r="K113" s="233" t="s"/>
      <x:c r="L113" s="231" t="n">
        <x:v>0</x:v>
      </x:c>
      <x:c r="M113" s="231" t="n">
        <x:v>0</x:v>
      </x:c>
      <x:c r="N113" s="234">
        <x:f>ROUND(((I113*J113)-((I113*J113)*L113/100))+(((I113*J113)-((I113*J113)*L113/100))*M113/100), 2)</x:f>
      </x:c>
      <x:c r="O113" s="230">
        <x:f>M11</x:f>
      </x:c>
      <x:c r="P113" s="235" t="s"/>
      <x:c r="Q113" s="236" t="s"/>
      <x:c r="R113" s="237" t="s">
        <x:v>43</x:v>
      </x:c>
      <x:c r="S113" s="238" t="s"/>
      <x:c r="T113" s="239" t="s"/>
    </x:row>
    <x:row r="114" spans="1:24" customFormat="1" ht="24" customHeight="1">
      <x:c r="A114" s="226" t="n">
        <x:v>95</x:v>
      </x:c>
      <x:c r="B114" s="226" t="n">
        <x:v>99990008658137</x:v>
      </x:c>
      <x:c r="C114" s="227" t="n">
        <x:v>614695</x:v>
      </x:c>
      <x:c r="D114" s="228" t="s">
        <x:v>163</x:v>
      </x:c>
      <x:c r="E114" s="229" t="s"/>
      <x:c r="F114" s="229" t="n">
        <x:v>614695</x:v>
      </x:c>
      <x:c r="G114" s="229" t="s">
        <x:v>164</x:v>
      </x:c>
      <x:c r="H114" s="230" t="n">
        <x:v>0</x:v>
      </x:c>
      <x:c r="I114" s="231" t="n">
        <x:v>20</x:v>
      </x:c>
      <x:c r="J114" s="232" t="n">
        <x:v>0</x:v>
      </x:c>
      <x:c r="K114" s="233" t="s"/>
      <x:c r="L114" s="231" t="n">
        <x:v>0</x:v>
      </x:c>
      <x:c r="M114" s="231" t="n">
        <x:v>0</x:v>
      </x:c>
      <x:c r="N114" s="234">
        <x:f>ROUND(((I114*J114)-((I114*J114)*L114/100))+(((I114*J114)-((I114*J114)*L114/100))*M114/100), 2)</x:f>
      </x:c>
      <x:c r="O114" s="230">
        <x:f>M11</x:f>
      </x:c>
      <x:c r="P114" s="235" t="s"/>
      <x:c r="Q114" s="236" t="s"/>
      <x:c r="R114" s="237" t="s">
        <x:v>43</x:v>
      </x:c>
      <x:c r="S114" s="238" t="s"/>
      <x:c r="T114" s="239" t="s"/>
    </x:row>
    <x:row r="115" spans="1:24" customFormat="1" ht="24" customHeight="1">
      <x:c r="A115" s="226" t="n">
        <x:v>96</x:v>
      </x:c>
      <x:c r="B115" s="226" t="n">
        <x:v>99990008655630</x:v>
      </x:c>
      <x:c r="C115" s="227" t="n">
        <x:v>614690</x:v>
      </x:c>
      <x:c r="D115" s="228" t="s">
        <x:v>165</x:v>
      </x:c>
      <x:c r="E115" s="229" t="s"/>
      <x:c r="F115" s="229" t="n">
        <x:v>614690</x:v>
      </x:c>
      <x:c r="G115" s="229" t="s">
        <x:v>164</x:v>
      </x:c>
      <x:c r="H115" s="230" t="n">
        <x:v>0</x:v>
      </x:c>
      <x:c r="I115" s="231" t="n">
        <x:v>20</x:v>
      </x:c>
      <x:c r="J115" s="232" t="n">
        <x:v>0</x:v>
      </x:c>
      <x:c r="K115" s="233" t="s"/>
      <x:c r="L115" s="231" t="n">
        <x:v>0</x:v>
      </x:c>
      <x:c r="M115" s="231" t="n">
        <x:v>0</x:v>
      </x:c>
      <x:c r="N115" s="234">
        <x:f>ROUND(((I115*J115)-((I115*J115)*L115/100))+(((I115*J115)-((I115*J115)*L115/100))*M115/100), 2)</x:f>
      </x:c>
      <x:c r="O115" s="230">
        <x:f>M11</x:f>
      </x:c>
      <x:c r="P115" s="235" t="s"/>
      <x:c r="Q115" s="236" t="s"/>
      <x:c r="R115" s="237" t="s">
        <x:v>43</x:v>
      </x:c>
      <x:c r="S115" s="238" t="s"/>
      <x:c r="T115" s="239" t="s"/>
    </x:row>
    <x:row r="116" spans="1:24" customFormat="1" ht="24" customHeight="1">
      <x:c r="A116" s="226" t="n">
        <x:v>97</x:v>
      </x:c>
      <x:c r="B116" s="226" t="n">
        <x:v>99990009868191</x:v>
      </x:c>
      <x:c r="C116" s="227" t="n">
        <x:v>333602</x:v>
      </x:c>
      <x:c r="D116" s="228" t="s">
        <x:v>166</x:v>
      </x:c>
      <x:c r="E116" s="229" t="s"/>
      <x:c r="F116" s="229" t="n">
        <x:v>333602</x:v>
      </x:c>
      <x:c r="G116" s="229" t="s">
        <x:v>42</x:v>
      </x:c>
      <x:c r="H116" s="230" t="n">
        <x:v>0</x:v>
      </x:c>
      <x:c r="I116" s="231" t="n">
        <x:v>5</x:v>
      </x:c>
      <x:c r="J116" s="232" t="n">
        <x:v>0</x:v>
      </x:c>
      <x:c r="K116" s="233" t="s"/>
      <x:c r="L116" s="231" t="n">
        <x:v>0</x:v>
      </x:c>
      <x:c r="M116" s="231" t="n">
        <x:v>0</x:v>
      </x:c>
      <x:c r="N116" s="234">
        <x:f>ROUND(((I116*J116)-((I116*J116)*L116/100))+(((I116*J116)-((I116*J116)*L116/100))*M116/100), 2)</x:f>
      </x:c>
      <x:c r="O116" s="230">
        <x:f>M11</x:f>
      </x:c>
      <x:c r="P116" s="235" t="s"/>
      <x:c r="Q116" s="236" t="s"/>
      <x:c r="R116" s="237" t="s">
        <x:v>167</x:v>
      </x:c>
      <x:c r="S116" s="238" t="s"/>
      <x:c r="T116" s="239" t="s"/>
    </x:row>
    <x:row r="117" spans="1:24" customFormat="1" ht="24" customHeight="1">
      <x:c r="A117" s="226" t="n">
        <x:v>98</x:v>
      </x:c>
      <x:c r="B117" s="226" t="n">
        <x:v>99990008656943</x:v>
      </x:c>
      <x:c r="C117" s="227" t="n">
        <x:v>812703</x:v>
      </x:c>
      <x:c r="D117" s="228" t="s">
        <x:v>168</x:v>
      </x:c>
      <x:c r="E117" s="229" t="s"/>
      <x:c r="F117" s="229" t="n">
        <x:v>812703</x:v>
      </x:c>
      <x:c r="G117" s="229" t="s">
        <x:v>122</x:v>
      </x:c>
      <x:c r="H117" s="230" t="n">
        <x:v>0</x:v>
      </x:c>
      <x:c r="I117" s="231" t="n">
        <x:v>5</x:v>
      </x:c>
      <x:c r="J117" s="232" t="n">
        <x:v>0</x:v>
      </x:c>
      <x:c r="K117" s="233" t="s"/>
      <x:c r="L117" s="231" t="n">
        <x:v>0</x:v>
      </x:c>
      <x:c r="M117" s="231" t="n">
        <x:v>0</x:v>
      </x:c>
      <x:c r="N117" s="234">
        <x:f>ROUND(((I117*J117)-((I117*J117)*L117/100))+(((I117*J117)-((I117*J117)*L117/100))*M117/100), 2)</x:f>
      </x:c>
      <x:c r="O117" s="230">
        <x:f>M11</x:f>
      </x:c>
      <x:c r="P117" s="235" t="s"/>
      <x:c r="Q117" s="236" t="s"/>
      <x:c r="R117" s="237" t="s">
        <x:v>169</x:v>
      </x:c>
      <x:c r="S117" s="238" t="s"/>
      <x:c r="T117" s="239" t="s"/>
    </x:row>
    <x:row r="118" spans="1:24" customFormat="1" ht="24" customHeight="1">
      <x:c r="A118" s="226" t="n">
        <x:v>99</x:v>
      </x:c>
      <x:c r="B118" s="226" t="n">
        <x:v>99990008176036</x:v>
      </x:c>
      <x:c r="C118" s="227" t="n">
        <x:v>232226</x:v>
      </x:c>
      <x:c r="D118" s="228" t="s">
        <x:v>170</x:v>
      </x:c>
      <x:c r="E118" s="229" t="s"/>
      <x:c r="F118" s="229" t="n">
        <x:v>232226</x:v>
      </x:c>
      <x:c r="G118" s="229" t="s">
        <x:v>125</x:v>
      </x:c>
      <x:c r="H118" s="230" t="n">
        <x:v>0</x:v>
      </x:c>
      <x:c r="I118" s="231" t="n">
        <x:v>30</x:v>
      </x:c>
      <x:c r="J118" s="232" t="n">
        <x:v>0</x:v>
      </x:c>
      <x:c r="K118" s="233" t="s"/>
      <x:c r="L118" s="231" t="n">
        <x:v>0</x:v>
      </x:c>
      <x:c r="M118" s="231" t="n">
        <x:v>0</x:v>
      </x:c>
      <x:c r="N118" s="234">
        <x:f>ROUND(((I118*J118)-((I118*J118)*L118/100))+(((I118*J118)-((I118*J118)*L118/100))*M118/100), 2)</x:f>
      </x:c>
      <x:c r="O118" s="230">
        <x:f>M11</x:f>
      </x:c>
      <x:c r="P118" s="235" t="s"/>
      <x:c r="Q118" s="236" t="s"/>
      <x:c r="R118" s="237" t="s">
        <x:v>169</x:v>
      </x:c>
      <x:c r="S118" s="238" t="s"/>
      <x:c r="T118" s="239" t="s"/>
    </x:row>
    <x:row r="119" spans="1:24" customFormat="1" ht="24" customHeight="1">
      <x:c r="A119" s="226" t="n">
        <x:v>100</x:v>
      </x:c>
      <x:c r="B119" s="226" t="n">
        <x:v>99990009872738</x:v>
      </x:c>
      <x:c r="C119" s="227" t="n">
        <x:v>330190</x:v>
      </x:c>
      <x:c r="D119" s="228" t="s">
        <x:v>171</x:v>
      </x:c>
      <x:c r="E119" s="229" t="s"/>
      <x:c r="F119" s="229" t="n">
        <x:v>330190</x:v>
      </x:c>
      <x:c r="G119" s="229" t="s">
        <x:v>42</x:v>
      </x:c>
      <x:c r="H119" s="230" t="n">
        <x:v>0</x:v>
      </x:c>
      <x:c r="I119" s="231" t="n">
        <x:v>2</x:v>
      </x:c>
      <x:c r="J119" s="232" t="n">
        <x:v>0</x:v>
      </x:c>
      <x:c r="K119" s="233" t="s"/>
      <x:c r="L119" s="231" t="n">
        <x:v>0</x:v>
      </x:c>
      <x:c r="M119" s="231" t="n">
        <x:v>0</x:v>
      </x:c>
      <x:c r="N119" s="234">
        <x:f>ROUND(((I119*J119)-((I119*J119)*L119/100))+(((I119*J119)-((I119*J119)*L119/100))*M119/100), 2)</x:f>
      </x:c>
      <x:c r="O119" s="230">
        <x:f>M11</x:f>
      </x:c>
      <x:c r="P119" s="235" t="s"/>
      <x:c r="Q119" s="236" t="s"/>
      <x:c r="R119" s="237" t="s">
        <x:v>172</x:v>
      </x:c>
      <x:c r="S119" s="238" t="s"/>
      <x:c r="T119" s="239" t="s"/>
    </x:row>
    <x:row r="120" spans="1:24" customFormat="1" ht="24" customHeight="1">
      <x:c r="A120" s="226" t="n">
        <x:v>101</x:v>
      </x:c>
      <x:c r="B120" s="226" t="n">
        <x:v>99990009873061</x:v>
      </x:c>
      <x:c r="C120" s="227" t="n">
        <x:v>330158</x:v>
      </x:c>
      <x:c r="D120" s="228" t="s">
        <x:v>173</x:v>
      </x:c>
      <x:c r="E120" s="229" t="s"/>
      <x:c r="F120" s="229" t="n">
        <x:v>330158</x:v>
      </x:c>
      <x:c r="G120" s="229" t="s">
        <x:v>42</x:v>
      </x:c>
      <x:c r="H120" s="230" t="n">
        <x:v>0</x:v>
      </x:c>
      <x:c r="I120" s="231" t="n">
        <x:v>2</x:v>
      </x:c>
      <x:c r="J120" s="232" t="n">
        <x:v>0</x:v>
      </x:c>
      <x:c r="K120" s="233" t="s"/>
      <x:c r="L120" s="231" t="n">
        <x:v>0</x:v>
      </x:c>
      <x:c r="M120" s="231" t="n">
        <x:v>0</x:v>
      </x:c>
      <x:c r="N120" s="234">
        <x:f>ROUND(((I120*J120)-((I120*J120)*L120/100))+(((I120*J120)-((I120*J120)*L120/100))*M120/100), 2)</x:f>
      </x:c>
      <x:c r="O120" s="230">
        <x:f>M11</x:f>
      </x:c>
      <x:c r="P120" s="235" t="s"/>
      <x:c r="Q120" s="236" t="s"/>
      <x:c r="R120" s="237" t="s"/>
      <x:c r="S120" s="238" t="s"/>
      <x:c r="T120" s="239" t="s"/>
    </x:row>
    <x:row r="121" spans="1:24" customFormat="1" ht="24" customHeight="1">
      <x:c r="A121" s="226" t="n">
        <x:v>102</x:v>
      </x:c>
      <x:c r="B121" s="226" t="n">
        <x:v>99990010101227</x:v>
      </x:c>
      <x:c r="C121" s="227" t="n">
        <x:v>756057</x:v>
      </x:c>
      <x:c r="D121" s="228" t="s">
        <x:v>174</x:v>
      </x:c>
      <x:c r="E121" s="229" t="s"/>
      <x:c r="F121" s="229" t="n">
        <x:v>756057</x:v>
      </x:c>
      <x:c r="G121" s="229" t="s">
        <x:v>42</x:v>
      </x:c>
      <x:c r="H121" s="230" t="n">
        <x:v>0</x:v>
      </x:c>
      <x:c r="I121" s="231" t="n">
        <x:v>3</x:v>
      </x:c>
      <x:c r="J121" s="232" t="n">
        <x:v>0</x:v>
      </x:c>
      <x:c r="K121" s="233" t="s"/>
      <x:c r="L121" s="231" t="n">
        <x:v>0</x:v>
      </x:c>
      <x:c r="M121" s="231" t="n">
        <x:v>0</x:v>
      </x:c>
      <x:c r="N121" s="234">
        <x:f>ROUND(((I121*J121)-((I121*J121)*L121/100))+(((I121*J121)-((I121*J121)*L121/100))*M121/100), 2)</x:f>
      </x:c>
      <x:c r="O121" s="230">
        <x:f>M11</x:f>
      </x:c>
      <x:c r="P121" s="235" t="s"/>
      <x:c r="Q121" s="236" t="s"/>
      <x:c r="R121" s="237" t="s"/>
      <x:c r="S121" s="238" t="s"/>
      <x:c r="T121" s="239" t="s"/>
    </x:row>
    <x:row r="122" spans="1:24" customFormat="1" ht="24" customHeight="1">
      <x:c r="A122" s="226" t="n">
        <x:v>103</x:v>
      </x:c>
      <x:c r="B122" s="226" t="n">
        <x:v>99990009866953</x:v>
      </x:c>
      <x:c r="C122" s="227" t="n">
        <x:v>331158</x:v>
      </x:c>
      <x:c r="D122" s="228" t="s">
        <x:v>175</x:v>
      </x:c>
      <x:c r="E122" s="229" t="s"/>
      <x:c r="F122" s="229" t="n">
        <x:v>331158</x:v>
      </x:c>
      <x:c r="G122" s="229" t="s">
        <x:v>55</x:v>
      </x:c>
      <x:c r="H122" s="230" t="n">
        <x:v>0</x:v>
      </x:c>
      <x:c r="I122" s="231" t="n">
        <x:v>20</x:v>
      </x:c>
      <x:c r="J122" s="232" t="n">
        <x:v>0</x:v>
      </x:c>
      <x:c r="K122" s="233" t="s"/>
      <x:c r="L122" s="231" t="n">
        <x:v>0</x:v>
      </x:c>
      <x:c r="M122" s="231" t="n">
        <x:v>0</x:v>
      </x:c>
      <x:c r="N122" s="234">
        <x:f>ROUND(((I122*J122)-((I122*J122)*L122/100))+(((I122*J122)-((I122*J122)*L122/100))*M122/100), 2)</x:f>
      </x:c>
      <x:c r="O122" s="230">
        <x:f>M11</x:f>
      </x:c>
      <x:c r="P122" s="235" t="s"/>
      <x:c r="Q122" s="236" t="s"/>
      <x:c r="R122" s="237" t="s">
        <x:v>43</x:v>
      </x:c>
      <x:c r="S122" s="238" t="s"/>
      <x:c r="T122" s="239" t="s"/>
    </x:row>
    <x:row r="123" spans="1:24" customFormat="1" ht="24" customHeight="1">
      <x:c r="A123" s="226" t="n">
        <x:v>104</x:v>
      </x:c>
      <x:c r="B123" s="226" t="n">
        <x:v>99990008655427</x:v>
      </x:c>
      <x:c r="C123" s="227" t="n">
        <x:v>174124</x:v>
      </x:c>
      <x:c r="D123" s="228" t="s">
        <x:v>176</x:v>
      </x:c>
      <x:c r="E123" s="229" t="s"/>
      <x:c r="F123" s="229" t="n">
        <x:v>174124</x:v>
      </x:c>
      <x:c r="G123" s="229" t="s">
        <x:v>42</x:v>
      </x:c>
      <x:c r="H123" s="230" t="n">
        <x:v>0</x:v>
      </x:c>
      <x:c r="I123" s="231" t="n">
        <x:v>5</x:v>
      </x:c>
      <x:c r="J123" s="232" t="n">
        <x:v>0</x:v>
      </x:c>
      <x:c r="K123" s="233" t="s"/>
      <x:c r="L123" s="231" t="n">
        <x:v>0</x:v>
      </x:c>
      <x:c r="M123" s="231" t="n">
        <x:v>0</x:v>
      </x:c>
      <x:c r="N123" s="234">
        <x:f>ROUND(((I123*J123)-((I123*J123)*L123/100))+(((I123*J123)-((I123*J123)*L123/100))*M123/100), 2)</x:f>
      </x:c>
      <x:c r="O123" s="230">
        <x:f>M11</x:f>
      </x:c>
      <x:c r="P123" s="235" t="s"/>
      <x:c r="Q123" s="236" t="s"/>
      <x:c r="R123" s="237" t="s">
        <x:v>43</x:v>
      </x:c>
      <x:c r="S123" s="238" t="s"/>
      <x:c r="T123" s="239" t="s"/>
    </x:row>
    <x:row r="124" spans="1:24" customFormat="1" ht="24" customHeight="1">
      <x:c r="A124" s="226" t="n">
        <x:v>105</x:v>
      </x:c>
      <x:c r="B124" s="226" t="n">
        <x:v>99990009431858</x:v>
      </x:c>
      <x:c r="C124" s="227" t="n">
        <x:v>2110801</x:v>
      </x:c>
      <x:c r="D124" s="228" t="s">
        <x:v>177</x:v>
      </x:c>
      <x:c r="E124" s="229" t="s"/>
      <x:c r="F124" s="229" t="n">
        <x:v>735532</x:v>
      </x:c>
      <x:c r="G124" s="229" t="s">
        <x:v>42</x:v>
      </x:c>
      <x:c r="H124" s="230" t="n">
        <x:v>0</x:v>
      </x:c>
      <x:c r="I124" s="231" t="n">
        <x:v>4</x:v>
      </x:c>
      <x:c r="J124" s="232" t="n">
        <x:v>0</x:v>
      </x:c>
      <x:c r="K124" s="233" t="s"/>
      <x:c r="L124" s="231" t="n">
        <x:v>0</x:v>
      </x:c>
      <x:c r="M124" s="231" t="n">
        <x:v>0</x:v>
      </x:c>
      <x:c r="N124" s="234">
        <x:f>ROUND(((I124*J124)-((I124*J124)*L124/100))+(((I124*J124)-((I124*J124)*L124/100))*M124/100), 2)</x:f>
      </x:c>
      <x:c r="O124" s="230">
        <x:f>M11</x:f>
      </x:c>
      <x:c r="P124" s="235" t="s"/>
      <x:c r="Q124" s="236" t="s"/>
      <x:c r="R124" s="237" t="s">
        <x:v>43</x:v>
      </x:c>
      <x:c r="S124" s="238" t="s"/>
      <x:c r="T124" s="239" t="s"/>
    </x:row>
    <x:row r="125" spans="1:24" customFormat="1" ht="24" customHeight="1">
      <x:c r="A125" s="226" t="n">
        <x:v>106</x:v>
      </x:c>
      <x:c r="B125" s="226" t="n">
        <x:v>99990011222783</x:v>
      </x:c>
      <x:c r="C125" s="227" t="n">
        <x:v>735534</x:v>
      </x:c>
      <x:c r="D125" s="228" t="s">
        <x:v>178</x:v>
      </x:c>
      <x:c r="E125" s="229" t="s"/>
      <x:c r="F125" s="229" t="n">
        <x:v>735534</x:v>
      </x:c>
      <x:c r="G125" s="229" t="s">
        <x:v>42</x:v>
      </x:c>
      <x:c r="H125" s="230" t="n">
        <x:v>0</x:v>
      </x:c>
      <x:c r="I125" s="231" t="n">
        <x:v>4</x:v>
      </x:c>
      <x:c r="J125" s="232" t="n">
        <x:v>0</x:v>
      </x:c>
      <x:c r="K125" s="233" t="s"/>
      <x:c r="L125" s="231" t="n">
        <x:v>0</x:v>
      </x:c>
      <x:c r="M125" s="231" t="n">
        <x:v>0</x:v>
      </x:c>
      <x:c r="N125" s="234">
        <x:f>ROUND(((I125*J125)-((I125*J125)*L125/100))+(((I125*J125)-((I125*J125)*L125/100))*M125/100), 2)</x:f>
      </x:c>
      <x:c r="O125" s="230">
        <x:f>M11</x:f>
      </x:c>
      <x:c r="P125" s="235" t="s"/>
      <x:c r="Q125" s="236" t="s"/>
      <x:c r="R125" s="237" t="s">
        <x:v>43</x:v>
      </x:c>
      <x:c r="S125" s="238" t="s"/>
      <x:c r="T125" s="239" t="s"/>
    </x:row>
    <x:row r="126" spans="1:24" customFormat="1" ht="24" customHeight="1">
      <x:c r="A126" s="226" t="n">
        <x:v>107</x:v>
      </x:c>
      <x:c r="B126" s="226" t="n">
        <x:v>99990008657940</x:v>
      </x:c>
      <x:c r="C126" s="227" t="n">
        <x:v>612366</x:v>
      </x:c>
      <x:c r="D126" s="228" t="s">
        <x:v>179</x:v>
      </x:c>
      <x:c r="E126" s="229" t="s"/>
      <x:c r="F126" s="229" t="n">
        <x:v>612366</x:v>
      </x:c>
      <x:c r="G126" s="229" t="s">
        <x:v>45</x:v>
      </x:c>
      <x:c r="H126" s="230" t="n">
        <x:v>0</x:v>
      </x:c>
      <x:c r="I126" s="231" t="n">
        <x:v>1</x:v>
      </x:c>
      <x:c r="J126" s="232" t="n">
        <x:v>0</x:v>
      </x:c>
      <x:c r="K126" s="233" t="s"/>
      <x:c r="L126" s="231" t="n">
        <x:v>0</x:v>
      </x:c>
      <x:c r="M126" s="231" t="n">
        <x:v>0</x:v>
      </x:c>
      <x:c r="N126" s="234">
        <x:f>ROUND(((I126*J126)-((I126*J126)*L126/100))+(((I126*J126)-((I126*J126)*L126/100))*M126/100), 2)</x:f>
      </x:c>
      <x:c r="O126" s="230">
        <x:f>M11</x:f>
      </x:c>
      <x:c r="P126" s="235" t="s"/>
      <x:c r="Q126" s="236" t="s"/>
      <x:c r="R126" s="237" t="s">
        <x:v>43</x:v>
      </x:c>
      <x:c r="S126" s="238" t="s"/>
      <x:c r="T126" s="239" t="s"/>
    </x:row>
    <x:row r="127" spans="1:24" customFormat="1" ht="24" customHeight="1">
      <x:c r="A127" s="226" t="n">
        <x:v>108</x:v>
      </x:c>
      <x:c r="B127" s="226" t="n">
        <x:v>99990008656477</x:v>
      </x:c>
      <x:c r="C127" s="227" t="n">
        <x:v>611843</x:v>
      </x:c>
      <x:c r="D127" s="228" t="s">
        <x:v>180</x:v>
      </x:c>
      <x:c r="E127" s="229" t="s"/>
      <x:c r="F127" s="229" t="n">
        <x:v>611843</x:v>
      </x:c>
      <x:c r="G127" s="229" t="s">
        <x:v>55</x:v>
      </x:c>
      <x:c r="H127" s="230" t="n">
        <x:v>0</x:v>
      </x:c>
      <x:c r="I127" s="231" t="n">
        <x:v>2</x:v>
      </x:c>
      <x:c r="J127" s="232" t="n">
        <x:v>0</x:v>
      </x:c>
      <x:c r="K127" s="233" t="s"/>
      <x:c r="L127" s="231" t="n">
        <x:v>0</x:v>
      </x:c>
      <x:c r="M127" s="231" t="n">
        <x:v>0</x:v>
      </x:c>
      <x:c r="N127" s="234">
        <x:f>ROUND(((I127*J127)-((I127*J127)*L127/100))+(((I127*J127)-((I127*J127)*L127/100))*M127/100), 2)</x:f>
      </x:c>
      <x:c r="O127" s="230">
        <x:f>M11</x:f>
      </x:c>
      <x:c r="P127" s="235" t="s"/>
      <x:c r="Q127" s="236" t="s"/>
      <x:c r="R127" s="237" t="s">
        <x:v>43</x:v>
      </x:c>
      <x:c r="S127" s="238" t="s"/>
      <x:c r="T127" s="239" t="s"/>
    </x:row>
    <x:row r="128" spans="1:24" customFormat="1" ht="24" customHeight="1">
      <x:c r="A128" s="226" t="n">
        <x:v>109</x:v>
      </x:c>
      <x:c r="B128" s="226" t="n">
        <x:v>99990008655514</x:v>
      </x:c>
      <x:c r="C128" s="227" t="n">
        <x:v>232906</x:v>
      </x:c>
      <x:c r="D128" s="228" t="s">
        <x:v>181</x:v>
      </x:c>
      <x:c r="E128" s="229" t="s"/>
      <x:c r="F128" s="229" t="n">
        <x:v>232906</x:v>
      </x:c>
      <x:c r="G128" s="229" t="s">
        <x:v>48</x:v>
      </x:c>
      <x:c r="H128" s="230" t="n">
        <x:v>0</x:v>
      </x:c>
      <x:c r="I128" s="231" t="n">
        <x:v>200</x:v>
      </x:c>
      <x:c r="J128" s="232" t="n">
        <x:v>0</x:v>
      </x:c>
      <x:c r="K128" s="233" t="s"/>
      <x:c r="L128" s="231" t="n">
        <x:v>0</x:v>
      </x:c>
      <x:c r="M128" s="231" t="n">
        <x:v>0</x:v>
      </x:c>
      <x:c r="N128" s="234">
        <x:f>ROUND(((I128*J128)-((I128*J128)*L128/100))+(((I128*J128)-((I128*J128)*L128/100))*M128/100), 2)</x:f>
      </x:c>
      <x:c r="O128" s="230">
        <x:f>M11</x:f>
      </x:c>
      <x:c r="P128" s="235" t="s"/>
      <x:c r="Q128" s="236" t="s"/>
      <x:c r="R128" s="237" t="s">
        <x:v>43</x:v>
      </x:c>
      <x:c r="S128" s="238" t="s"/>
      <x:c r="T128" s="239" t="s"/>
    </x:row>
    <x:row r="129" spans="1:24" customFormat="1" ht="24" customHeight="1">
      <x:c r="A129" s="226" t="n">
        <x:v>110</x:v>
      </x:c>
      <x:c r="B129" s="226" t="n">
        <x:v>99990008656766</x:v>
      </x:c>
      <x:c r="C129" s="227" t="n">
        <x:v>792410</x:v>
      </x:c>
      <x:c r="D129" s="228" t="s">
        <x:v>182</x:v>
      </x:c>
      <x:c r="E129" s="229" t="s"/>
      <x:c r="F129" s="229" t="n">
        <x:v>792410</x:v>
      </x:c>
      <x:c r="G129" s="229" t="s">
        <x:v>42</x:v>
      </x:c>
      <x:c r="H129" s="230" t="n">
        <x:v>0</x:v>
      </x:c>
      <x:c r="I129" s="231" t="n">
        <x:v>50</x:v>
      </x:c>
      <x:c r="J129" s="232" t="n">
        <x:v>0</x:v>
      </x:c>
      <x:c r="K129" s="233" t="s"/>
      <x:c r="L129" s="231" t="n">
        <x:v>0</x:v>
      </x:c>
      <x:c r="M129" s="231" t="n">
        <x:v>0</x:v>
      </x:c>
      <x:c r="N129" s="234">
        <x:f>ROUND(((I129*J129)-((I129*J129)*L129/100))+(((I129*J129)-((I129*J129)*L129/100))*M129/100), 2)</x:f>
      </x:c>
      <x:c r="O129" s="230">
        <x:f>M11</x:f>
      </x:c>
      <x:c r="P129" s="235" t="s"/>
      <x:c r="Q129" s="236" t="s"/>
      <x:c r="R129" s="237" t="s">
        <x:v>43</x:v>
      </x:c>
      <x:c r="S129" s="238" t="s"/>
      <x:c r="T129" s="239" t="s"/>
    </x:row>
    <x:row r="130" spans="1:24" customFormat="1" ht="24" customHeight="1">
      <x:c r="A130" s="226" t="n">
        <x:v>111</x:v>
      </x:c>
      <x:c r="B130" s="226" t="n">
        <x:v>99990008656965</x:v>
      </x:c>
      <x:c r="C130" s="227" t="n">
        <x:v>813101</x:v>
      </x:c>
      <x:c r="D130" s="228" t="s">
        <x:v>183</x:v>
      </x:c>
      <x:c r="E130" s="229" t="s"/>
      <x:c r="F130" s="229" t="n">
        <x:v>813101</x:v>
      </x:c>
      <x:c r="G130" s="229" t="s">
        <x:v>125</x:v>
      </x:c>
      <x:c r="H130" s="230" t="n">
        <x:v>0</x:v>
      </x:c>
      <x:c r="I130" s="231" t="n">
        <x:v>60</x:v>
      </x:c>
      <x:c r="J130" s="232" t="n">
        <x:v>0</x:v>
      </x:c>
      <x:c r="K130" s="233" t="s"/>
      <x:c r="L130" s="231" t="n">
        <x:v>0</x:v>
      </x:c>
      <x:c r="M130" s="231" t="n">
        <x:v>0</x:v>
      </x:c>
      <x:c r="N130" s="234">
        <x:f>ROUND(((I130*J130)-((I130*J130)*L130/100))+(((I130*J130)-((I130*J130)*L130/100))*M130/100), 2)</x:f>
      </x:c>
      <x:c r="O130" s="230">
        <x:f>M11</x:f>
      </x:c>
      <x:c r="P130" s="235" t="s"/>
      <x:c r="Q130" s="236" t="s"/>
      <x:c r="R130" s="237" t="s">
        <x:v>43</x:v>
      </x:c>
      <x:c r="S130" s="238" t="s"/>
      <x:c r="T130" s="239" t="s"/>
    </x:row>
    <x:row r="131" spans="1:24" customFormat="1" ht="24" customHeight="1">
      <x:c r="A131" s="226" t="n">
        <x:v>112</x:v>
      </x:c>
      <x:c r="B131" s="226" t="n">
        <x:v>99990010275237</x:v>
      </x:c>
      <x:c r="C131" s="227" t="n">
        <x:v>611036</x:v>
      </x:c>
      <x:c r="D131" s="228" t="s">
        <x:v>184</x:v>
      </x:c>
      <x:c r="E131" s="229" t="s"/>
      <x:c r="F131" s="229" t="n">
        <x:v>611036</x:v>
      </x:c>
      <x:c r="G131" s="229" t="s">
        <x:v>42</x:v>
      </x:c>
      <x:c r="H131" s="230" t="n">
        <x:v>0</x:v>
      </x:c>
      <x:c r="I131" s="231" t="n">
        <x:v>1</x:v>
      </x:c>
      <x:c r="J131" s="232" t="n">
        <x:v>0</x:v>
      </x:c>
      <x:c r="K131" s="233" t="s"/>
      <x:c r="L131" s="231" t="n">
        <x:v>0</x:v>
      </x:c>
      <x:c r="M131" s="231" t="n">
        <x:v>0</x:v>
      </x:c>
      <x:c r="N131" s="234">
        <x:f>ROUND(((I131*J131)-((I131*J131)*L131/100))+(((I131*J131)-((I131*J131)*L131/100))*M131/100), 2)</x:f>
      </x:c>
      <x:c r="O131" s="230">
        <x:f>M11</x:f>
      </x:c>
      <x:c r="P131" s="235" t="s"/>
      <x:c r="Q131" s="236" t="s"/>
      <x:c r="R131" s="237" t="s"/>
      <x:c r="S131" s="238" t="s"/>
      <x:c r="T131" s="239" t="s"/>
    </x:row>
    <x:row r="132" spans="1:24" customFormat="1" ht="24" customHeight="1">
      <x:c r="A132" s="226" t="n">
        <x:v>113</x:v>
      </x:c>
      <x:c r="B132" s="226" t="n">
        <x:v>99990009608089</x:v>
      </x:c>
      <x:c r="C132" s="227" t="n">
        <x:v>611037</x:v>
      </x:c>
      <x:c r="D132" s="228" t="s">
        <x:v>185</x:v>
      </x:c>
      <x:c r="E132" s="229" t="s"/>
      <x:c r="F132" s="229" t="n">
        <x:v>611037</x:v>
      </x:c>
      <x:c r="G132" s="229" t="s">
        <x:v>42</x:v>
      </x:c>
      <x:c r="H132" s="230" t="n">
        <x:v>0</x:v>
      </x:c>
      <x:c r="I132" s="231" t="n">
        <x:v>1</x:v>
      </x:c>
      <x:c r="J132" s="232" t="n">
        <x:v>0</x:v>
      </x:c>
      <x:c r="K132" s="233" t="s"/>
      <x:c r="L132" s="231" t="n">
        <x:v>0</x:v>
      </x:c>
      <x:c r="M132" s="231" t="n">
        <x:v>0</x:v>
      </x:c>
      <x:c r="N132" s="234">
        <x:f>ROUND(((I132*J132)-((I132*J132)*L132/100))+(((I132*J132)-((I132*J132)*L132/100))*M132/100), 2)</x:f>
      </x:c>
      <x:c r="O132" s="230">
        <x:f>M11</x:f>
      </x:c>
      <x:c r="P132" s="235" t="s"/>
      <x:c r="Q132" s="236" t="s"/>
      <x:c r="R132" s="237" t="s"/>
      <x:c r="S132" s="238" t="s"/>
      <x:c r="T132" s="239" t="s"/>
    </x:row>
    <x:row r="133" spans="1:24" customFormat="1" ht="24" customHeight="1">
      <x:c r="A133" s="226" t="n">
        <x:v>114</x:v>
      </x:c>
      <x:c r="B133" s="226" t="n">
        <x:v>99990008656340</x:v>
      </x:c>
      <x:c r="C133" s="227" t="n">
        <x:v>611042</x:v>
      </x:c>
      <x:c r="D133" s="228" t="s">
        <x:v>186</x:v>
      </x:c>
      <x:c r="E133" s="229" t="s"/>
      <x:c r="F133" s="229" t="n">
        <x:v>611042</x:v>
      </x:c>
      <x:c r="G133" s="229" t="s">
        <x:v>42</x:v>
      </x:c>
      <x:c r="H133" s="230" t="n">
        <x:v>0</x:v>
      </x:c>
      <x:c r="I133" s="231" t="n">
        <x:v>1</x:v>
      </x:c>
      <x:c r="J133" s="232" t="n">
        <x:v>0</x:v>
      </x:c>
      <x:c r="K133" s="233" t="s"/>
      <x:c r="L133" s="231" t="n">
        <x:v>0</x:v>
      </x:c>
      <x:c r="M133" s="231" t="n">
        <x:v>0</x:v>
      </x:c>
      <x:c r="N133" s="234">
        <x:f>ROUND(((I133*J133)-((I133*J133)*L133/100))+(((I133*J133)-((I133*J133)*L133/100))*M133/100), 2)</x:f>
      </x:c>
      <x:c r="O133" s="230">
        <x:f>M11</x:f>
      </x:c>
      <x:c r="P133" s="235" t="s"/>
      <x:c r="Q133" s="236" t="s"/>
      <x:c r="R133" s="237" t="s"/>
      <x:c r="S133" s="238" t="s"/>
      <x:c r="T133" s="239" t="s"/>
    </x:row>
    <x:row r="134" spans="1:24" customFormat="1" ht="24" customHeight="1">
      <x:c r="A134" s="226" t="n">
        <x:v>115</x:v>
      </x:c>
      <x:c r="B134" s="226" t="n">
        <x:v>99990010009834</x:v>
      </x:c>
      <x:c r="C134" s="227" t="n">
        <x:v>812614</x:v>
      </x:c>
      <x:c r="D134" s="228" t="s">
        <x:v>187</x:v>
      </x:c>
      <x:c r="E134" s="229" t="s"/>
      <x:c r="F134" s="229" t="n">
        <x:v>812614</x:v>
      </x:c>
      <x:c r="G134" s="229" t="s">
        <x:v>130</x:v>
      </x:c>
      <x:c r="H134" s="230" t="n">
        <x:v>0</x:v>
      </x:c>
      <x:c r="I134" s="231" t="n">
        <x:v>4</x:v>
      </x:c>
      <x:c r="J134" s="232" t="n">
        <x:v>0</x:v>
      </x:c>
      <x:c r="K134" s="233" t="s"/>
      <x:c r="L134" s="231" t="n">
        <x:v>0</x:v>
      </x:c>
      <x:c r="M134" s="231" t="n">
        <x:v>0</x:v>
      </x:c>
      <x:c r="N134" s="234">
        <x:f>ROUND(((I134*J134)-((I134*J134)*L134/100))+(((I134*J134)-((I134*J134)*L134/100))*M134/100), 2)</x:f>
      </x:c>
      <x:c r="O134" s="230">
        <x:f>M11</x:f>
      </x:c>
      <x:c r="P134" s="235" t="s"/>
      <x:c r="Q134" s="236" t="s"/>
      <x:c r="R134" s="237" t="s"/>
      <x:c r="S134" s="238" t="s"/>
      <x:c r="T134" s="239" t="s"/>
    </x:row>
    <x:row r="135" spans="1:24" customFormat="1" ht="24" customHeight="1">
      <x:c r="A135" s="226" t="n">
        <x:v>116</x:v>
      </x:c>
      <x:c r="B135" s="226" t="n">
        <x:v>99990010866638</x:v>
      </x:c>
      <x:c r="C135" s="227" t="n">
        <x:v>812230</x:v>
      </x:c>
      <x:c r="D135" s="228" t="s">
        <x:v>188</x:v>
      </x:c>
      <x:c r="E135" s="229" t="s"/>
      <x:c r="F135" s="229" t="n">
        <x:v>812230</x:v>
      </x:c>
      <x:c r="G135" s="229" t="s">
        <x:v>45</x:v>
      </x:c>
      <x:c r="H135" s="230" t="n">
        <x:v>0</x:v>
      </x:c>
      <x:c r="I135" s="231" t="n">
        <x:v>5</x:v>
      </x:c>
      <x:c r="J135" s="232" t="n">
        <x:v>0</x:v>
      </x:c>
      <x:c r="K135" s="233" t="s"/>
      <x:c r="L135" s="231" t="n">
        <x:v>0</x:v>
      </x:c>
      <x:c r="M135" s="231" t="n">
        <x:v>0</x:v>
      </x:c>
      <x:c r="N135" s="234">
        <x:f>ROUND(((I135*J135)-((I135*J135)*L135/100))+(((I135*J135)-((I135*J135)*L135/100))*M135/100), 2)</x:f>
      </x:c>
      <x:c r="O135" s="230">
        <x:f>M11</x:f>
      </x:c>
      <x:c r="P135" s="235" t="s"/>
      <x:c r="Q135" s="236" t="s"/>
      <x:c r="R135" s="237" t="s"/>
      <x:c r="S135" s="238" t="s"/>
      <x:c r="T135" s="239" t="s"/>
    </x:row>
    <x:row r="136" spans="1:24" customFormat="1" ht="24" customHeight="1">
      <x:c r="A136" s="226" t="n">
        <x:v>117</x:v>
      </x:c>
      <x:c r="B136" s="226" t="n">
        <x:v>99990010270495</x:v>
      </x:c>
      <x:c r="C136" s="227" t="n">
        <x:v>450707</x:v>
      </x:c>
      <x:c r="D136" s="228" t="s">
        <x:v>189</x:v>
      </x:c>
      <x:c r="E136" s="229" t="s"/>
      <x:c r="F136" s="229" t="n">
        <x:v>450707</x:v>
      </x:c>
      <x:c r="G136" s="229" t="s">
        <x:v>190</x:v>
      </x:c>
      <x:c r="H136" s="230" t="n">
        <x:v>0</x:v>
      </x:c>
      <x:c r="I136" s="231" t="n">
        <x:v>8</x:v>
      </x:c>
      <x:c r="J136" s="232" t="n">
        <x:v>0</x:v>
      </x:c>
      <x:c r="K136" s="233" t="s"/>
      <x:c r="L136" s="231" t="n">
        <x:v>0</x:v>
      </x:c>
      <x:c r="M136" s="231" t="n">
        <x:v>0</x:v>
      </x:c>
      <x:c r="N136" s="234">
        <x:f>ROUND(((I136*J136)-((I136*J136)*L136/100))+(((I136*J136)-((I136*J136)*L136/100))*M136/100), 2)</x:f>
      </x:c>
      <x:c r="O136" s="230">
        <x:f>M11</x:f>
      </x:c>
      <x:c r="P136" s="235" t="s"/>
      <x:c r="Q136" s="236" t="s"/>
      <x:c r="R136" s="237" t="s"/>
      <x:c r="S136" s="238" t="s"/>
      <x:c r="T136" s="239" t="s"/>
    </x:row>
    <x:row r="137" spans="1:24" customFormat="1" ht="24" customHeight="1">
      <x:c r="A137" s="226" t="n">
        <x:v>118</x:v>
      </x:c>
      <x:c r="B137" s="226" t="n">
        <x:v>99990008212026</x:v>
      </x:c>
      <x:c r="C137" s="227" t="n">
        <x:v>815609</x:v>
      </x:c>
      <x:c r="D137" s="228" t="s">
        <x:v>191</x:v>
      </x:c>
      <x:c r="E137" s="229" t="s"/>
      <x:c r="F137" s="229" t="n">
        <x:v>815609</x:v>
      </x:c>
      <x:c r="G137" s="229" t="s">
        <x:v>164</x:v>
      </x:c>
      <x:c r="H137" s="230" t="n">
        <x:v>0</x:v>
      </x:c>
      <x:c r="I137" s="231" t="n">
        <x:v>1</x:v>
      </x:c>
      <x:c r="J137" s="232" t="n">
        <x:v>0</x:v>
      </x:c>
      <x:c r="K137" s="233" t="s"/>
      <x:c r="L137" s="231" t="n">
        <x:v>0</x:v>
      </x:c>
      <x:c r="M137" s="231" t="n">
        <x:v>0</x:v>
      </x:c>
      <x:c r="N137" s="234">
        <x:f>ROUND(((I137*J137)-((I137*J137)*L137/100))+(((I137*J137)-((I137*J137)*L137/100))*M137/100), 2)</x:f>
      </x:c>
      <x:c r="O137" s="230">
        <x:f>M11</x:f>
      </x:c>
      <x:c r="P137" s="235" t="s"/>
      <x:c r="Q137" s="236" t="s"/>
      <x:c r="R137" s="237" t="s"/>
      <x:c r="S137" s="238" t="s"/>
      <x:c r="T137" s="239" t="s"/>
    </x:row>
    <x:row r="138" spans="1:24" customFormat="1" ht="24" customHeight="1">
      <x:c r="A138" s="226" t="n">
        <x:v>119</x:v>
      </x:c>
      <x:c r="B138" s="226" t="n">
        <x:v>99990009860336</x:v>
      </x:c>
      <x:c r="C138" s="227" t="n">
        <x:v>851103</x:v>
      </x:c>
      <x:c r="D138" s="228" t="s">
        <x:v>192</x:v>
      </x:c>
      <x:c r="E138" s="229" t="s"/>
      <x:c r="F138" s="229" t="n">
        <x:v>851103</x:v>
      </x:c>
      <x:c r="G138" s="229" t="s">
        <x:v>193</x:v>
      </x:c>
      <x:c r="H138" s="230" t="n">
        <x:v>0</x:v>
      </x:c>
      <x:c r="I138" s="231" t="n">
        <x:v>1</x:v>
      </x:c>
      <x:c r="J138" s="232" t="n">
        <x:v>0</x:v>
      </x:c>
      <x:c r="K138" s="233" t="s"/>
      <x:c r="L138" s="231" t="n">
        <x:v>0</x:v>
      </x:c>
      <x:c r="M138" s="231" t="n">
        <x:v>0</x:v>
      </x:c>
      <x:c r="N138" s="234">
        <x:f>ROUND(((I138*J138)-((I138*J138)*L138/100))+(((I138*J138)-((I138*J138)*L138/100))*M138/100), 2)</x:f>
      </x:c>
      <x:c r="O138" s="230">
        <x:f>M11</x:f>
      </x:c>
      <x:c r="P138" s="235" t="s"/>
      <x:c r="Q138" s="236" t="s"/>
      <x:c r="R138" s="237" t="s"/>
      <x:c r="S138" s="238" t="s"/>
      <x:c r="T138" s="239" t="s"/>
    </x:row>
    <x:row r="139" spans="1:24" customFormat="1" ht="24" customHeight="1">
      <x:c r="A139" s="226" t="n">
        <x:v>120</x:v>
      </x:c>
      <x:c r="B139" s="226" t="n">
        <x:v>99990009860592</x:v>
      </x:c>
      <x:c r="C139" s="227" t="n">
        <x:v>850485</x:v>
      </x:c>
      <x:c r="D139" s="228" t="s">
        <x:v>194</x:v>
      </x:c>
      <x:c r="E139" s="229" t="s"/>
      <x:c r="F139" s="229" t="n">
        <x:v>850485</x:v>
      </x:c>
      <x:c r="G139" s="229" t="s">
        <x:v>122</x:v>
      </x:c>
      <x:c r="H139" s="230" t="n">
        <x:v>0</x:v>
      </x:c>
      <x:c r="I139" s="231" t="n">
        <x:v>1</x:v>
      </x:c>
      <x:c r="J139" s="232" t="n">
        <x:v>0</x:v>
      </x:c>
      <x:c r="K139" s="233" t="s"/>
      <x:c r="L139" s="231" t="n">
        <x:v>0</x:v>
      </x:c>
      <x:c r="M139" s="231" t="n">
        <x:v>0</x:v>
      </x:c>
      <x:c r="N139" s="234">
        <x:f>ROUND(((I139*J139)-((I139*J139)*L139/100))+(((I139*J139)-((I139*J139)*L139/100))*M139/100), 2)</x:f>
      </x:c>
      <x:c r="O139" s="230">
        <x:f>M11</x:f>
      </x:c>
      <x:c r="P139" s="235" t="s"/>
      <x:c r="Q139" s="236" t="s"/>
      <x:c r="R139" s="237" t="s"/>
      <x:c r="S139" s="238" t="s"/>
      <x:c r="T139" s="239" t="s"/>
    </x:row>
    <x:row r="140" spans="1:24" customFormat="1" ht="24" customHeight="1">
      <x:c r="A140" s="226" t="n">
        <x:v>121</x:v>
      </x:c>
      <x:c r="B140" s="226" t="n">
        <x:v>99990009860430</x:v>
      </x:c>
      <x:c r="C140" s="227" t="n">
        <x:v>851372</x:v>
      </x:c>
      <x:c r="D140" s="228" t="s">
        <x:v>195</x:v>
      </x:c>
      <x:c r="E140" s="229" t="s"/>
      <x:c r="F140" s="229" t="n">
        <x:v>851372</x:v>
      </x:c>
      <x:c r="G140" s="229" t="s">
        <x:v>63</x:v>
      </x:c>
      <x:c r="H140" s="230" t="n">
        <x:v>0</x:v>
      </x:c>
      <x:c r="I140" s="231" t="n">
        <x:v>1</x:v>
      </x:c>
      <x:c r="J140" s="232" t="n">
        <x:v>0</x:v>
      </x:c>
      <x:c r="K140" s="233" t="s"/>
      <x:c r="L140" s="231" t="n">
        <x:v>0</x:v>
      </x:c>
      <x:c r="M140" s="231" t="n">
        <x:v>0</x:v>
      </x:c>
      <x:c r="N140" s="234">
        <x:f>ROUND(((I140*J140)-((I140*J140)*L140/100))+(((I140*J140)-((I140*J140)*L140/100))*M140/100), 2)</x:f>
      </x:c>
      <x:c r="O140" s="230">
        <x:f>M11</x:f>
      </x:c>
      <x:c r="P140" s="235" t="s"/>
      <x:c r="Q140" s="236" t="s"/>
      <x:c r="R140" s="237" t="s"/>
      <x:c r="S140" s="238" t="s"/>
      <x:c r="T140" s="239" t="s"/>
    </x:row>
    <x:row r="141" spans="1:24" customFormat="1" ht="24" customHeight="1">
      <x:c r="A141" s="226" t="n">
        <x:v>122</x:v>
      </x:c>
      <x:c r="B141" s="226" t="n">
        <x:v>99990008656331</x:v>
      </x:c>
      <x:c r="C141" s="227" t="n">
        <x:v>610793</x:v>
      </x:c>
      <x:c r="D141" s="228" t="s">
        <x:v>196</x:v>
      </x:c>
      <x:c r="E141" s="229" t="s"/>
      <x:c r="F141" s="229" t="n">
        <x:v>610793</x:v>
      </x:c>
      <x:c r="G141" s="229" t="s">
        <x:v>42</x:v>
      </x:c>
      <x:c r="H141" s="230" t="n">
        <x:v>0</x:v>
      </x:c>
      <x:c r="I141" s="231" t="n">
        <x:v>2</x:v>
      </x:c>
      <x:c r="J141" s="232" t="n">
        <x:v>0</x:v>
      </x:c>
      <x:c r="K141" s="233" t="s"/>
      <x:c r="L141" s="231" t="n">
        <x:v>0</x:v>
      </x:c>
      <x:c r="M141" s="231" t="n">
        <x:v>0</x:v>
      </x:c>
      <x:c r="N141" s="234">
        <x:f>ROUND(((I141*J141)-((I141*J141)*L141/100))+(((I141*J141)-((I141*J141)*L141/100))*M141/100), 2)</x:f>
      </x:c>
      <x:c r="O141" s="230">
        <x:f>M11</x:f>
      </x:c>
      <x:c r="P141" s="235" t="s"/>
      <x:c r="Q141" s="236" t="s"/>
      <x:c r="R141" s="237" t="s"/>
      <x:c r="S141" s="238" t="s"/>
      <x:c r="T141" s="239" t="s"/>
    </x:row>
    <x:row r="142" spans="1:24" customFormat="1" ht="24" customHeight="1">
      <x:c r="A142" s="226" t="n">
        <x:v>123</x:v>
      </x:c>
      <x:c r="B142" s="226" t="n">
        <x:v>99990008656317</x:v>
      </x:c>
      <x:c r="C142" s="227" t="n">
        <x:v>610772</x:v>
      </x:c>
      <x:c r="D142" s="228" t="s">
        <x:v>197</x:v>
      </x:c>
      <x:c r="E142" s="229" t="s"/>
      <x:c r="F142" s="229" t="n">
        <x:v>610772</x:v>
      </x:c>
      <x:c r="G142" s="229" t="s">
        <x:v>42</x:v>
      </x:c>
      <x:c r="H142" s="230" t="n">
        <x:v>0</x:v>
      </x:c>
      <x:c r="I142" s="231" t="n">
        <x:v>2</x:v>
      </x:c>
      <x:c r="J142" s="232" t="n">
        <x:v>0</x:v>
      </x:c>
      <x:c r="K142" s="233" t="s"/>
      <x:c r="L142" s="231" t="n">
        <x:v>0</x:v>
      </x:c>
      <x:c r="M142" s="231" t="n">
        <x:v>0</x:v>
      </x:c>
      <x:c r="N142" s="234">
        <x:f>ROUND(((I142*J142)-((I142*J142)*L142/100))+(((I142*J142)-((I142*J142)*L142/100))*M142/100), 2)</x:f>
      </x:c>
      <x:c r="O142" s="230">
        <x:f>M11</x:f>
      </x:c>
      <x:c r="P142" s="235" t="s"/>
      <x:c r="Q142" s="236" t="s"/>
      <x:c r="R142" s="237" t="s"/>
      <x:c r="S142" s="238" t="s"/>
      <x:c r="T142" s="239" t="s"/>
    </x:row>
    <x:row r="143" spans="1:24" customFormat="1" ht="24" customHeight="1">
      <x:c r="A143" s="226" t="n">
        <x:v>124</x:v>
      </x:c>
      <x:c r="B143" s="226" t="n">
        <x:v>99990008656316</x:v>
      </x:c>
      <x:c r="C143" s="227" t="n">
        <x:v>610771</x:v>
      </x:c>
      <x:c r="D143" s="228" t="s">
        <x:v>198</x:v>
      </x:c>
      <x:c r="E143" s="229" t="s"/>
      <x:c r="F143" s="229" t="n">
        <x:v>610771</x:v>
      </x:c>
      <x:c r="G143" s="229" t="s">
        <x:v>42</x:v>
      </x:c>
      <x:c r="H143" s="230" t="n">
        <x:v>0</x:v>
      </x:c>
      <x:c r="I143" s="231" t="n">
        <x:v>2</x:v>
      </x:c>
      <x:c r="J143" s="232" t="n">
        <x:v>0</x:v>
      </x:c>
      <x:c r="K143" s="233" t="s"/>
      <x:c r="L143" s="231" t="n">
        <x:v>0</x:v>
      </x:c>
      <x:c r="M143" s="231" t="n">
        <x:v>0</x:v>
      </x:c>
      <x:c r="N143" s="234">
        <x:f>ROUND(((I143*J143)-((I143*J143)*L143/100))+(((I143*J143)-((I143*J143)*L143/100))*M143/100), 2)</x:f>
      </x:c>
      <x:c r="O143" s="230">
        <x:f>M11</x:f>
      </x:c>
      <x:c r="P143" s="235" t="s"/>
      <x:c r="Q143" s="236" t="s"/>
      <x:c r="R143" s="237" t="s"/>
      <x:c r="S143" s="238" t="s"/>
      <x:c r="T143" s="239" t="s"/>
    </x:row>
    <x:row r="144" spans="1:24" customFormat="1" ht="24" customHeight="1">
      <x:c r="A144" s="226" t="n">
        <x:v>125</x:v>
      </x:c>
      <x:c r="B144" s="226" t="n">
        <x:v>99990008656313</x:v>
      </x:c>
      <x:c r="C144" s="227" t="n">
        <x:v>610768</x:v>
      </x:c>
      <x:c r="D144" s="228" t="s">
        <x:v>199</x:v>
      </x:c>
      <x:c r="E144" s="229" t="s"/>
      <x:c r="F144" s="229" t="n">
        <x:v>610768</x:v>
      </x:c>
      <x:c r="G144" s="229" t="s">
        <x:v>42</x:v>
      </x:c>
      <x:c r="H144" s="230" t="n">
        <x:v>0</x:v>
      </x:c>
      <x:c r="I144" s="231" t="n">
        <x:v>2</x:v>
      </x:c>
      <x:c r="J144" s="232" t="n">
        <x:v>0</x:v>
      </x:c>
      <x:c r="K144" s="233" t="s"/>
      <x:c r="L144" s="231" t="n">
        <x:v>0</x:v>
      </x:c>
      <x:c r="M144" s="231" t="n">
        <x:v>0</x:v>
      </x:c>
      <x:c r="N144" s="234">
        <x:f>ROUND(((I144*J144)-((I144*J144)*L144/100))+(((I144*J144)-((I144*J144)*L144/100))*M144/100), 2)</x:f>
      </x:c>
      <x:c r="O144" s="230">
        <x:f>M11</x:f>
      </x:c>
      <x:c r="P144" s="235" t="s"/>
      <x:c r="Q144" s="236" t="s"/>
      <x:c r="R144" s="237" t="s"/>
      <x:c r="S144" s="238" t="s"/>
      <x:c r="T144" s="239" t="s"/>
    </x:row>
    <x:row r="145" spans="1:24" customFormat="1" ht="24" customHeight="1">
      <x:c r="A145" s="226" t="n">
        <x:v>126</x:v>
      </x:c>
      <x:c r="B145" s="226" t="n">
        <x:v>99990009546302</x:v>
      </x:c>
      <x:c r="C145" s="227" t="n">
        <x:v>2121053</x:v>
      </x:c>
      <x:c r="D145" s="228" t="s">
        <x:v>200</x:v>
      </x:c>
      <x:c r="E145" s="229" t="s"/>
      <x:c r="F145" s="229" t="n">
        <x:v>691145</x:v>
      </x:c>
      <x:c r="G145" s="229" t="s">
        <x:v>45</x:v>
      </x:c>
      <x:c r="H145" s="230" t="n">
        <x:v>0</x:v>
      </x:c>
      <x:c r="I145" s="231" t="n">
        <x:v>50</x:v>
      </x:c>
      <x:c r="J145" s="232" t="n">
        <x:v>0</x:v>
      </x:c>
      <x:c r="K145" s="233" t="s"/>
      <x:c r="L145" s="231" t="n">
        <x:v>0</x:v>
      </x:c>
      <x:c r="M145" s="231" t="n">
        <x:v>0</x:v>
      </x:c>
      <x:c r="N145" s="234">
        <x:f>ROUND(((I145*J145)-((I145*J145)*L145/100))+(((I145*J145)-((I145*J145)*L145/100))*M145/100), 2)</x:f>
      </x:c>
      <x:c r="O145" s="230">
        <x:f>M11</x:f>
      </x:c>
      <x:c r="P145" s="235" t="s"/>
      <x:c r="Q145" s="236" t="s"/>
      <x:c r="R145" s="237" t="s">
        <x:v>201</x:v>
      </x:c>
      <x:c r="S145" s="238" t="s"/>
      <x:c r="T145" s="239" t="s"/>
    </x:row>
    <x:row r="146" spans="1:24" customFormat="1" ht="24" customHeight="1">
      <x:c r="A146" s="226" t="n">
        <x:v>127</x:v>
      </x:c>
      <x:c r="B146" s="226" t="n">
        <x:v>99990009546305</x:v>
      </x:c>
      <x:c r="C146" s="227" t="n">
        <x:v>2121056</x:v>
      </x:c>
      <x:c r="D146" s="228" t="s">
        <x:v>202</x:v>
      </x:c>
      <x:c r="E146" s="229" t="s"/>
      <x:c r="F146" s="229" t="n">
        <x:v>691183</x:v>
      </x:c>
      <x:c r="G146" s="229" t="s">
        <x:v>45</x:v>
      </x:c>
      <x:c r="H146" s="230" t="n">
        <x:v>0</x:v>
      </x:c>
      <x:c r="I146" s="231" t="n">
        <x:v>50</x:v>
      </x:c>
      <x:c r="J146" s="232" t="n">
        <x:v>0</x:v>
      </x:c>
      <x:c r="K146" s="233" t="s"/>
      <x:c r="L146" s="231" t="n">
        <x:v>0</x:v>
      </x:c>
      <x:c r="M146" s="231" t="n">
        <x:v>0</x:v>
      </x:c>
      <x:c r="N146" s="234">
        <x:f>ROUND(((I146*J146)-((I146*J146)*L146/100))+(((I146*J146)-((I146*J146)*L146/100))*M146/100), 2)</x:f>
      </x:c>
      <x:c r="O146" s="230">
        <x:f>M11</x:f>
      </x:c>
      <x:c r="P146" s="235" t="s"/>
      <x:c r="Q146" s="236" t="s"/>
      <x:c r="R146" s="237" t="s">
        <x:v>201</x:v>
      </x:c>
      <x:c r="S146" s="238" t="s"/>
      <x:c r="T146" s="239" t="s"/>
    </x:row>
    <x:row r="147" spans="1:24" customFormat="1" ht="24" customHeight="1">
      <x:c r="A147" s="226" t="n">
        <x:v>128</x:v>
      </x:c>
      <x:c r="B147" s="226" t="n">
        <x:v>99990009798387</x:v>
      </x:c>
      <x:c r="C147" s="227" t="n">
        <x:v>691228</x:v>
      </x:c>
      <x:c r="D147" s="228" t="s">
        <x:v>203</x:v>
      </x:c>
      <x:c r="E147" s="229" t="s"/>
      <x:c r="F147" s="229" t="n">
        <x:v>691228</x:v>
      </x:c>
      <x:c r="G147" s="229" t="s">
        <x:v>45</x:v>
      </x:c>
      <x:c r="H147" s="230" t="n">
        <x:v>0</x:v>
      </x:c>
      <x:c r="I147" s="231" t="n">
        <x:v>50</x:v>
      </x:c>
      <x:c r="J147" s="232" t="n">
        <x:v>0</x:v>
      </x:c>
      <x:c r="K147" s="233" t="s"/>
      <x:c r="L147" s="231" t="n">
        <x:v>0</x:v>
      </x:c>
      <x:c r="M147" s="231" t="n">
        <x:v>0</x:v>
      </x:c>
      <x:c r="N147" s="234">
        <x:f>ROUND(((I147*J147)-((I147*J147)*L147/100))+(((I147*J147)-((I147*J147)*L147/100))*M147/100), 2)</x:f>
      </x:c>
      <x:c r="O147" s="230">
        <x:f>M11</x:f>
      </x:c>
      <x:c r="P147" s="235" t="s"/>
      <x:c r="Q147" s="236" t="s"/>
      <x:c r="R147" s="237" t="s">
        <x:v>201</x:v>
      </x:c>
      <x:c r="S147" s="238" t="s"/>
      <x:c r="T147" s="239" t="s"/>
    </x:row>
    <x:row r="148" spans="1:24" customFormat="1" ht="24" customHeight="1">
      <x:c r="A148" s="226" t="n">
        <x:v>129</x:v>
      </x:c>
      <x:c r="B148" s="226" t="n">
        <x:v>99990009573501</x:v>
      </x:c>
      <x:c r="C148" s="227" t="n">
        <x:v>2136453</x:v>
      </x:c>
      <x:c r="D148" s="228" t="s">
        <x:v>204</x:v>
      </x:c>
      <x:c r="E148" s="229" t="s"/>
      <x:c r="F148" s="229" t="n">
        <x:v>691287</x:v>
      </x:c>
      <x:c r="G148" s="229" t="s">
        <x:v>45</x:v>
      </x:c>
      <x:c r="H148" s="230" t="n">
        <x:v>0</x:v>
      </x:c>
      <x:c r="I148" s="231" t="n">
        <x:v>50</x:v>
      </x:c>
      <x:c r="J148" s="232" t="n">
        <x:v>0</x:v>
      </x:c>
      <x:c r="K148" s="233" t="s"/>
      <x:c r="L148" s="231" t="n">
        <x:v>0</x:v>
      </x:c>
      <x:c r="M148" s="231" t="n">
        <x:v>0</x:v>
      </x:c>
      <x:c r="N148" s="234">
        <x:f>ROUND(((I148*J148)-((I148*J148)*L148/100))+(((I148*J148)-((I148*J148)*L148/100))*M148/100), 2)</x:f>
      </x:c>
      <x:c r="O148" s="230">
        <x:f>M11</x:f>
      </x:c>
      <x:c r="P148" s="235" t="s"/>
      <x:c r="Q148" s="236" t="s"/>
      <x:c r="R148" s="237" t="s">
        <x:v>201</x:v>
      </x:c>
      <x:c r="S148" s="238" t="s"/>
      <x:c r="T148" s="239" t="s"/>
    </x:row>
    <x:row r="149" spans="1:24" customFormat="1" ht="24" customHeight="1">
      <x:c r="A149" s="226" t="n">
        <x:v>130</x:v>
      </x:c>
      <x:c r="B149" s="226" t="n">
        <x:v>99990009573502</x:v>
      </x:c>
      <x:c r="C149" s="227" t="n">
        <x:v>2136454</x:v>
      </x:c>
      <x:c r="D149" s="228" t="s">
        <x:v>205</x:v>
      </x:c>
      <x:c r="E149" s="229" t="s"/>
      <x:c r="F149" s="229" t="n">
        <x:v>691319</x:v>
      </x:c>
      <x:c r="G149" s="229" t="s">
        <x:v>45</x:v>
      </x:c>
      <x:c r="H149" s="230" t="n">
        <x:v>0</x:v>
      </x:c>
      <x:c r="I149" s="231" t="n">
        <x:v>50</x:v>
      </x:c>
      <x:c r="J149" s="232" t="n">
        <x:v>0</x:v>
      </x:c>
      <x:c r="K149" s="233" t="s"/>
      <x:c r="L149" s="231" t="n">
        <x:v>0</x:v>
      </x:c>
      <x:c r="M149" s="231" t="n">
        <x:v>0</x:v>
      </x:c>
      <x:c r="N149" s="234">
        <x:f>ROUND(((I149*J149)-((I149*J149)*L149/100))+(((I149*J149)-((I149*J149)*L149/100))*M149/100), 2)</x:f>
      </x:c>
      <x:c r="O149" s="230">
        <x:f>M11</x:f>
      </x:c>
      <x:c r="P149" s="235" t="s"/>
      <x:c r="Q149" s="236" t="s"/>
      <x:c r="R149" s="237" t="s">
        <x:v>201</x:v>
      </x:c>
      <x:c r="S149" s="238" t="s"/>
      <x:c r="T149" s="239" t="s"/>
    </x:row>
    <x:row r="150" spans="1:24" customFormat="1" ht="24" customHeight="1">
      <x:c r="A150" s="226" t="n">
        <x:v>131</x:v>
      </x:c>
      <x:c r="B150" s="226" t="n">
        <x:v>99990008656604</x:v>
      </x:c>
      <x:c r="C150" s="227" t="n">
        <x:v>110904</x:v>
      </x:c>
      <x:c r="D150" s="228" t="s">
        <x:v>206</x:v>
      </x:c>
      <x:c r="E150" s="229" t="s"/>
      <x:c r="F150" s="229" t="n">
        <x:v>110904</x:v>
      </x:c>
      <x:c r="G150" s="229" t="s">
        <x:v>45</x:v>
      </x:c>
      <x:c r="H150" s="230" t="n">
        <x:v>0</x:v>
      </x:c>
      <x:c r="I150" s="231" t="n">
        <x:v>1</x:v>
      </x:c>
      <x:c r="J150" s="232" t="n">
        <x:v>0</x:v>
      </x:c>
      <x:c r="K150" s="233" t="s"/>
      <x:c r="L150" s="231" t="n">
        <x:v>0</x:v>
      </x:c>
      <x:c r="M150" s="231" t="n">
        <x:v>0</x:v>
      </x:c>
      <x:c r="N150" s="234">
        <x:f>ROUND(((I150*J150)-((I150*J150)*L150/100))+(((I150*J150)-((I150*J150)*L150/100))*M150/100), 2)</x:f>
      </x:c>
      <x:c r="O150" s="230">
        <x:f>M11</x:f>
      </x:c>
      <x:c r="P150" s="235" t="s"/>
      <x:c r="Q150" s="236" t="s"/>
      <x:c r="R150" s="237" t="s"/>
      <x:c r="S150" s="238" t="s"/>
      <x:c r="T150" s="239" t="s"/>
    </x:row>
    <x:row r="151" spans="1:24" customFormat="1" ht="24" customHeight="1">
      <x:c r="A151" s="226" t="n">
        <x:v>132</x:v>
      </x:c>
      <x:c r="B151" s="226" t="n">
        <x:v>99990008655260</x:v>
      </x:c>
      <x:c r="C151" s="227" t="n">
        <x:v>150691</x:v>
      </x:c>
      <x:c r="D151" s="228" t="s">
        <x:v>207</x:v>
      </x:c>
      <x:c r="E151" s="229" t="s"/>
      <x:c r="F151" s="229" t="n">
        <x:v>150691</x:v>
      </x:c>
      <x:c r="G151" s="229" t="s">
        <x:v>125</x:v>
      </x:c>
      <x:c r="H151" s="230" t="n">
        <x:v>0</x:v>
      </x:c>
      <x:c r="I151" s="231" t="n">
        <x:v>30</x:v>
      </x:c>
      <x:c r="J151" s="232" t="n">
        <x:v>0</x:v>
      </x:c>
      <x:c r="K151" s="233" t="s"/>
      <x:c r="L151" s="231" t="n">
        <x:v>0</x:v>
      </x:c>
      <x:c r="M151" s="231" t="n">
        <x:v>0</x:v>
      </x:c>
      <x:c r="N151" s="234">
        <x:f>ROUND(((I151*J151)-((I151*J151)*L151/100))+(((I151*J151)-((I151*J151)*L151/100))*M151/100), 2)</x:f>
      </x:c>
      <x:c r="O151" s="230">
        <x:f>M11</x:f>
      </x:c>
      <x:c r="P151" s="235" t="s"/>
      <x:c r="Q151" s="236" t="s"/>
      <x:c r="R151" s="237" t="s"/>
      <x:c r="S151" s="238" t="s"/>
      <x:c r="T151" s="239" t="s"/>
    </x:row>
    <x:row r="152" spans="1:24" customFormat="1" ht="24" customHeight="1">
      <x:c r="A152" s="226" t="n">
        <x:v>133</x:v>
      </x:c>
      <x:c r="B152" s="226" t="n">
        <x:v>99990008657415</x:v>
      </x:c>
      <x:c r="C152" s="227" t="n">
        <x:v>550134</x:v>
      </x:c>
      <x:c r="D152" s="228" t="s">
        <x:v>208</x:v>
      </x:c>
      <x:c r="E152" s="229" t="s"/>
      <x:c r="F152" s="229" t="n">
        <x:v>550134</x:v>
      </x:c>
      <x:c r="G152" s="229" t="s">
        <x:v>209</x:v>
      </x:c>
      <x:c r="H152" s="230" t="n">
        <x:v>0</x:v>
      </x:c>
      <x:c r="I152" s="231" t="n">
        <x:v>4</x:v>
      </x:c>
      <x:c r="J152" s="232" t="n">
        <x:v>0</x:v>
      </x:c>
      <x:c r="K152" s="233" t="s"/>
      <x:c r="L152" s="231" t="n">
        <x:v>0</x:v>
      </x:c>
      <x:c r="M152" s="231" t="n">
        <x:v>0</x:v>
      </x:c>
      <x:c r="N152" s="234">
        <x:f>ROUND(((I152*J152)-((I152*J152)*L152/100))+(((I152*J152)-((I152*J152)*L152/100))*M152/100), 2)</x:f>
      </x:c>
      <x:c r="O152" s="230">
        <x:f>M11</x:f>
      </x:c>
      <x:c r="P152" s="235" t="s"/>
      <x:c r="Q152" s="236" t="s"/>
      <x:c r="R152" s="237" t="s"/>
      <x:c r="S152" s="238" t="s"/>
      <x:c r="T152" s="239" t="s"/>
    </x:row>
    <x:row r="153" spans="1:24" customFormat="1" ht="24" customHeight="1">
      <x:c r="A153" s="226" t="n">
        <x:v>134</x:v>
      </x:c>
      <x:c r="B153" s="226" t="n">
        <x:v>99990009575491</x:v>
      </x:c>
      <x:c r="C153" s="227" t="n">
        <x:v>2138208</x:v>
      </x:c>
      <x:c r="D153" s="228" t="s">
        <x:v>210</x:v>
      </x:c>
      <x:c r="E153" s="229" t="s"/>
      <x:c r="F153" s="229" t="n">
        <x:v>550627</x:v>
      </x:c>
      <x:c r="G153" s="229" t="s">
        <x:v>150</x:v>
      </x:c>
      <x:c r="H153" s="230" t="n">
        <x:v>0</x:v>
      </x:c>
      <x:c r="I153" s="231" t="n">
        <x:v>3</x:v>
      </x:c>
      <x:c r="J153" s="232" t="n">
        <x:v>0</x:v>
      </x:c>
      <x:c r="K153" s="233" t="s"/>
      <x:c r="L153" s="231" t="n">
        <x:v>0</x:v>
      </x:c>
      <x:c r="M153" s="231" t="n">
        <x:v>0</x:v>
      </x:c>
      <x:c r="N153" s="234">
        <x:f>ROUND(((I153*J153)-((I153*J153)*L153/100))+(((I153*J153)-((I153*J153)*L153/100))*M153/100), 2)</x:f>
      </x:c>
      <x:c r="O153" s="230">
        <x:f>M11</x:f>
      </x:c>
      <x:c r="P153" s="235" t="s"/>
      <x:c r="Q153" s="236" t="s"/>
      <x:c r="R153" s="237" t="s"/>
      <x:c r="S153" s="238" t="s"/>
      <x:c r="T153" s="239" t="s"/>
    </x:row>
    <x:row r="154" spans="1:24" customFormat="1" ht="24" customHeight="1">
      <x:c r="A154" s="226" t="n">
        <x:v>135</x:v>
      </x:c>
      <x:c r="B154" s="226" t="n">
        <x:v>99990008655297</x:v>
      </x:c>
      <x:c r="C154" s="227" t="n">
        <x:v>550291</x:v>
      </x:c>
      <x:c r="D154" s="228" t="s">
        <x:v>211</x:v>
      </x:c>
      <x:c r="E154" s="229" t="s"/>
      <x:c r="F154" s="229" t="n">
        <x:v>550291</x:v>
      </x:c>
      <x:c r="G154" s="229" t="s">
        <x:v>42</x:v>
      </x:c>
      <x:c r="H154" s="230" t="n">
        <x:v>0</x:v>
      </x:c>
      <x:c r="I154" s="231" t="n">
        <x:v>12</x:v>
      </x:c>
      <x:c r="J154" s="232" t="n">
        <x:v>0</x:v>
      </x:c>
      <x:c r="K154" s="233" t="s"/>
      <x:c r="L154" s="231" t="n">
        <x:v>0</x:v>
      </x:c>
      <x:c r="M154" s="231" t="n">
        <x:v>0</x:v>
      </x:c>
      <x:c r="N154" s="234">
        <x:f>ROUND(((I154*J154)-((I154*J154)*L154/100))+(((I154*J154)-((I154*J154)*L154/100))*M154/100), 2)</x:f>
      </x:c>
      <x:c r="O154" s="230">
        <x:f>M11</x:f>
      </x:c>
      <x:c r="P154" s="235" t="s"/>
      <x:c r="Q154" s="236" t="s"/>
      <x:c r="R154" s="237" t="s"/>
      <x:c r="S154" s="238" t="s"/>
      <x:c r="T154" s="239" t="s"/>
    </x:row>
    <x:row r="155" spans="1:24" customFormat="1" ht="24" customHeight="1">
      <x:c r="A155" s="226" t="n">
        <x:v>136</x:v>
      </x:c>
      <x:c r="B155" s="226" t="n">
        <x:v>99990008655292</x:v>
      </x:c>
      <x:c r="C155" s="227" t="n">
        <x:v>550253</x:v>
      </x:c>
      <x:c r="D155" s="228" t="s">
        <x:v>212</x:v>
      </x:c>
      <x:c r="E155" s="229" t="s"/>
      <x:c r="F155" s="229" t="n">
        <x:v>550253</x:v>
      </x:c>
      <x:c r="G155" s="229" t="s">
        <x:v>213</x:v>
      </x:c>
      <x:c r="H155" s="230" t="n">
        <x:v>0</x:v>
      </x:c>
      <x:c r="I155" s="231" t="n">
        <x:v>3</x:v>
      </x:c>
      <x:c r="J155" s="232" t="n">
        <x:v>0</x:v>
      </x:c>
      <x:c r="K155" s="233" t="s"/>
      <x:c r="L155" s="231" t="n">
        <x:v>0</x:v>
      </x:c>
      <x:c r="M155" s="231" t="n">
        <x:v>0</x:v>
      </x:c>
      <x:c r="N155" s="234">
        <x:f>ROUND(((I155*J155)-((I155*J155)*L155/100))+(((I155*J155)-((I155*J155)*L155/100))*M155/100), 2)</x:f>
      </x:c>
      <x:c r="O155" s="230">
        <x:f>M11</x:f>
      </x:c>
      <x:c r="P155" s="235" t="s"/>
      <x:c r="Q155" s="236" t="s"/>
      <x:c r="R155" s="237" t="s"/>
      <x:c r="S155" s="238" t="s"/>
      <x:c r="T155" s="239" t="s"/>
    </x:row>
    <x:row r="156" spans="1:24" customFormat="1" ht="24" customHeight="1">
      <x:c r="A156" s="226" t="n">
        <x:v>137</x:v>
      </x:c>
      <x:c r="B156" s="226" t="n">
        <x:v>99990009864597</x:v>
      </x:c>
      <x:c r="C156" s="227" t="s">
        <x:v>214</x:v>
      </x:c>
      <x:c r="D156" s="228" t="s">
        <x:v>215</x:v>
      </x:c>
      <x:c r="E156" s="229" t="s"/>
      <x:c r="F156" s="229" t="n">
        <x:v>550173</x:v>
      </x:c>
      <x:c r="G156" s="229" t="s">
        <x:v>150</x:v>
      </x:c>
      <x:c r="H156" s="230" t="n">
        <x:v>0</x:v>
      </x:c>
      <x:c r="I156" s="231" t="n">
        <x:v>24</x:v>
      </x:c>
      <x:c r="J156" s="232" t="n">
        <x:v>0</x:v>
      </x:c>
      <x:c r="K156" s="233" t="s"/>
      <x:c r="L156" s="231" t="n">
        <x:v>0</x:v>
      </x:c>
      <x:c r="M156" s="231" t="n">
        <x:v>0</x:v>
      </x:c>
      <x:c r="N156" s="234">
        <x:f>ROUND(((I156*J156)-((I156*J156)*L156/100))+(((I156*J156)-((I156*J156)*L156/100))*M156/100), 2)</x:f>
      </x:c>
      <x:c r="O156" s="230">
        <x:f>M11</x:f>
      </x:c>
      <x:c r="P156" s="235" t="s"/>
      <x:c r="Q156" s="236" t="s"/>
      <x:c r="R156" s="237" t="s"/>
      <x:c r="S156" s="238" t="s"/>
      <x:c r="T156" s="239" t="s"/>
    </x:row>
    <x:row r="157" spans="1:24" customFormat="1" ht="24" customHeight="1">
      <x:c r="A157" s="226" t="n">
        <x:v>138</x:v>
      </x:c>
      <x:c r="B157" s="226" t="n">
        <x:v>99990008657416</x:v>
      </x:c>
      <x:c r="C157" s="227" t="n">
        <x:v>550141</x:v>
      </x:c>
      <x:c r="D157" s="228" t="s">
        <x:v>216</x:v>
      </x:c>
      <x:c r="E157" s="229" t="s"/>
      <x:c r="F157" s="229" t="n">
        <x:v>550141</x:v>
      </x:c>
      <x:c r="G157" s="229" t="s">
        <x:v>150</x:v>
      </x:c>
      <x:c r="H157" s="230" t="n">
        <x:v>0</x:v>
      </x:c>
      <x:c r="I157" s="231" t="n">
        <x:v>36</x:v>
      </x:c>
      <x:c r="J157" s="232" t="n">
        <x:v>0</x:v>
      </x:c>
      <x:c r="K157" s="233" t="s"/>
      <x:c r="L157" s="231" t="n">
        <x:v>0</x:v>
      </x:c>
      <x:c r="M157" s="231" t="n">
        <x:v>0</x:v>
      </x:c>
      <x:c r="N157" s="234">
        <x:f>ROUND(((I157*J157)-((I157*J157)*L157/100))+(((I157*J157)-((I157*J157)*L157/100))*M157/100), 2)</x:f>
      </x:c>
      <x:c r="O157" s="230">
        <x:f>M11</x:f>
      </x:c>
      <x:c r="P157" s="235" t="s"/>
      <x:c r="Q157" s="236" t="s"/>
      <x:c r="R157" s="237" t="s"/>
      <x:c r="S157" s="238" t="s"/>
      <x:c r="T157" s="239" t="s"/>
    </x:row>
    <x:row r="158" spans="1:24" customFormat="1" ht="24" customHeight="1">
      <x:c r="A158" s="226" t="n">
        <x:v>139</x:v>
      </x:c>
      <x:c r="B158" s="226" t="n">
        <x:v>99990008657411</x:v>
      </x:c>
      <x:c r="C158" s="227" t="n">
        <x:v>550121</x:v>
      </x:c>
      <x:c r="D158" s="228" t="s">
        <x:v>217</x:v>
      </x:c>
      <x:c r="E158" s="229" t="s"/>
      <x:c r="F158" s="229" t="n">
        <x:v>550121</x:v>
      </x:c>
      <x:c r="G158" s="229" t="s">
        <x:v>150</x:v>
      </x:c>
      <x:c r="H158" s="230" t="n">
        <x:v>0</x:v>
      </x:c>
      <x:c r="I158" s="231" t="n">
        <x:v>24</x:v>
      </x:c>
      <x:c r="J158" s="232" t="n">
        <x:v>0</x:v>
      </x:c>
      <x:c r="K158" s="233" t="s"/>
      <x:c r="L158" s="231" t="n">
        <x:v>0</x:v>
      </x:c>
      <x:c r="M158" s="231" t="n">
        <x:v>0</x:v>
      </x:c>
      <x:c r="N158" s="234">
        <x:f>ROUND(((I158*J158)-((I158*J158)*L158/100))+(((I158*J158)-((I158*J158)*L158/100))*M158/100), 2)</x:f>
      </x:c>
      <x:c r="O158" s="230">
        <x:f>M11</x:f>
      </x:c>
      <x:c r="P158" s="235" t="s"/>
      <x:c r="Q158" s="236" t="s"/>
      <x:c r="R158" s="237" t="s"/>
      <x:c r="S158" s="238" t="s"/>
      <x:c r="T158" s="239" t="s"/>
    </x:row>
    <x:row r="159" spans="1:24" customFormat="1" ht="24" customHeight="1">
      <x:c r="A159" s="226" t="n">
        <x:v>140</x:v>
      </x:c>
      <x:c r="B159" s="226" t="n">
        <x:v>99990010100427</x:v>
      </x:c>
      <x:c r="C159" s="227" t="n">
        <x:v>550118</x:v>
      </x:c>
      <x:c r="D159" s="228" t="s">
        <x:v>218</x:v>
      </x:c>
      <x:c r="E159" s="229" t="s"/>
      <x:c r="F159" s="229" t="n">
        <x:v>550118</x:v>
      </x:c>
      <x:c r="G159" s="229" t="s">
        <x:v>209</x:v>
      </x:c>
      <x:c r="H159" s="230" t="n">
        <x:v>0</x:v>
      </x:c>
      <x:c r="I159" s="231" t="n">
        <x:v>120</x:v>
      </x:c>
      <x:c r="J159" s="232" t="n">
        <x:v>0</x:v>
      </x:c>
      <x:c r="K159" s="233" t="s"/>
      <x:c r="L159" s="231" t="n">
        <x:v>0</x:v>
      </x:c>
      <x:c r="M159" s="231" t="n">
        <x:v>0</x:v>
      </x:c>
      <x:c r="N159" s="234">
        <x:f>ROUND(((I159*J159)-((I159*J159)*L159/100))+(((I159*J159)-((I159*J159)*L159/100))*M159/100), 2)</x:f>
      </x:c>
      <x:c r="O159" s="230">
        <x:f>M11</x:f>
      </x:c>
      <x:c r="P159" s="235" t="s"/>
      <x:c r="Q159" s="236" t="s"/>
      <x:c r="R159" s="237" t="s">
        <x:v>219</x:v>
      </x:c>
      <x:c r="S159" s="238" t="s"/>
      <x:c r="T159" s="239" t="s"/>
    </x:row>
    <x:row r="160" spans="1:24" customFormat="1" ht="24" customHeight="1">
      <x:c r="A160" s="226" t="n">
        <x:v>141</x:v>
      </x:c>
      <x:c r="B160" s="226" t="n">
        <x:v>99990010632532</x:v>
      </x:c>
      <x:c r="C160" s="227" t="n">
        <x:v>174617</x:v>
      </x:c>
      <x:c r="D160" s="228" t="s">
        <x:v>220</x:v>
      </x:c>
      <x:c r="E160" s="229" t="s"/>
      <x:c r="F160" s="229" t="n">
        <x:v>174617</x:v>
      </x:c>
      <x:c r="G160" s="229" t="s">
        <x:v>45</x:v>
      </x:c>
      <x:c r="H160" s="230" t="n">
        <x:v>0</x:v>
      </x:c>
      <x:c r="I160" s="231" t="n">
        <x:v>1</x:v>
      </x:c>
      <x:c r="J160" s="232" t="n">
        <x:v>0</x:v>
      </x:c>
      <x:c r="K160" s="233" t="s"/>
      <x:c r="L160" s="231" t="n">
        <x:v>0</x:v>
      </x:c>
      <x:c r="M160" s="231" t="n">
        <x:v>0</x:v>
      </x:c>
      <x:c r="N160" s="234">
        <x:f>ROUND(((I160*J160)-((I160*J160)*L160/100))+(((I160*J160)-((I160*J160)*L160/100))*M160/100), 2)</x:f>
      </x:c>
      <x:c r="O160" s="230">
        <x:f>M11</x:f>
      </x:c>
      <x:c r="P160" s="235" t="s"/>
      <x:c r="Q160" s="236" t="s"/>
      <x:c r="R160" s="237" t="s"/>
      <x:c r="S160" s="238" t="s"/>
      <x:c r="T160" s="239" t="s"/>
    </x:row>
    <x:row r="161" spans="1:24" customFormat="1" ht="24" customHeight="1">
      <x:c r="A161" s="226" t="n">
        <x:v>142</x:v>
      </x:c>
      <x:c r="B161" s="226" t="n">
        <x:v>99990009630935</x:v>
      </x:c>
      <x:c r="C161" s="227" t="n">
        <x:v>172316</x:v>
      </x:c>
      <x:c r="D161" s="228" t="s">
        <x:v>221</x:v>
      </x:c>
      <x:c r="E161" s="229" t="s"/>
      <x:c r="F161" s="229" t="n">
        <x:v>172316</x:v>
      </x:c>
      <x:c r="G161" s="229" t="s">
        <x:v>42</x:v>
      </x:c>
      <x:c r="H161" s="230" t="n">
        <x:v>0</x:v>
      </x:c>
      <x:c r="I161" s="231" t="n">
        <x:v>1</x:v>
      </x:c>
      <x:c r="J161" s="232" t="n">
        <x:v>0</x:v>
      </x:c>
      <x:c r="K161" s="233" t="s"/>
      <x:c r="L161" s="231" t="n">
        <x:v>0</x:v>
      </x:c>
      <x:c r="M161" s="231" t="n">
        <x:v>0</x:v>
      </x:c>
      <x:c r="N161" s="234">
        <x:f>ROUND(((I161*J161)-((I161*J161)*L161/100))+(((I161*J161)-((I161*J161)*L161/100))*M161/100), 2)</x:f>
      </x:c>
      <x:c r="O161" s="230">
        <x:f>M11</x:f>
      </x:c>
      <x:c r="P161" s="235" t="s"/>
      <x:c r="Q161" s="236" t="s"/>
      <x:c r="R161" s="237" t="s"/>
      <x:c r="S161" s="238" t="s"/>
      <x:c r="T161" s="239" t="s"/>
    </x:row>
    <x:row r="162" spans="1:24" customFormat="1" ht="24" customHeight="1">
      <x:c r="A162" s="226" t="n">
        <x:v>143</x:v>
      </x:c>
      <x:c r="B162" s="226" t="n">
        <x:v>99990008657333</x:v>
      </x:c>
      <x:c r="C162" s="227" t="n">
        <x:v>174055</x:v>
      </x:c>
      <x:c r="D162" s="228" t="s">
        <x:v>222</x:v>
      </x:c>
      <x:c r="E162" s="229" t="s"/>
      <x:c r="F162" s="229" t="n">
        <x:v>174055</x:v>
      </x:c>
      <x:c r="G162" s="229" t="s">
        <x:v>42</x:v>
      </x:c>
      <x:c r="H162" s="230" t="n">
        <x:v>0</x:v>
      </x:c>
      <x:c r="I162" s="231" t="n">
        <x:v>50</x:v>
      </x:c>
      <x:c r="J162" s="232" t="n">
        <x:v>0</x:v>
      </x:c>
      <x:c r="K162" s="233" t="s"/>
      <x:c r="L162" s="231" t="n">
        <x:v>0</x:v>
      </x:c>
      <x:c r="M162" s="231" t="n">
        <x:v>0</x:v>
      </x:c>
      <x:c r="N162" s="234">
        <x:f>ROUND(((I162*J162)-((I162*J162)*L162/100))+(((I162*J162)-((I162*J162)*L162/100))*M162/100), 2)</x:f>
      </x:c>
      <x:c r="O162" s="230">
        <x:f>M11</x:f>
      </x:c>
      <x:c r="P162" s="235" t="s"/>
      <x:c r="Q162" s="236" t="s"/>
      <x:c r="R162" s="237" t="s"/>
      <x:c r="S162" s="238" t="s"/>
      <x:c r="T162" s="239" t="s"/>
    </x:row>
    <x:row r="163" spans="1:24" customFormat="1" ht="24" customHeight="1">
      <x:c r="A163" s="226" t="n">
        <x:v>144</x:v>
      </x:c>
      <x:c r="B163" s="226" t="n">
        <x:v>99990009566578</x:v>
      </x:c>
      <x:c r="C163" s="227" t="n">
        <x:v>2131492</x:v>
      </x:c>
      <x:c r="D163" s="228" t="s">
        <x:v>223</x:v>
      </x:c>
      <x:c r="E163" s="229" t="s"/>
      <x:c r="F163" s="229" t="n">
        <x:v>174169</x:v>
      </x:c>
      <x:c r="G163" s="229" t="s">
        <x:v>63</x:v>
      </x:c>
      <x:c r="H163" s="230" t="n">
        <x:v>0</x:v>
      </x:c>
      <x:c r="I163" s="231" t="n">
        <x:v>10</x:v>
      </x:c>
      <x:c r="J163" s="232" t="n">
        <x:v>0</x:v>
      </x:c>
      <x:c r="K163" s="233" t="s"/>
      <x:c r="L163" s="231" t="n">
        <x:v>0</x:v>
      </x:c>
      <x:c r="M163" s="231" t="n">
        <x:v>0</x:v>
      </x:c>
      <x:c r="N163" s="234">
        <x:f>ROUND(((I163*J163)-((I163*J163)*L163/100))+(((I163*J163)-((I163*J163)*L163/100))*M163/100), 2)</x:f>
      </x:c>
      <x:c r="O163" s="230">
        <x:f>M11</x:f>
      </x:c>
      <x:c r="P163" s="235" t="s"/>
      <x:c r="Q163" s="236" t="s"/>
      <x:c r="R163" s="237" t="s"/>
      <x:c r="S163" s="238" t="s"/>
      <x:c r="T163" s="239" t="s"/>
    </x:row>
    <x:row r="164" spans="1:24" customFormat="1" ht="24" customHeight="1">
      <x:c r="A164" s="226" t="n">
        <x:v>145</x:v>
      </x:c>
      <x:c r="B164" s="226" t="n">
        <x:v>99990008655444</x:v>
      </x:c>
      <x:c r="C164" s="227" t="n">
        <x:v>174176</x:v>
      </x:c>
      <x:c r="D164" s="228" t="s">
        <x:v>224</x:v>
      </x:c>
      <x:c r="E164" s="229" t="s"/>
      <x:c r="F164" s="229" t="n">
        <x:v>174176</x:v>
      </x:c>
      <x:c r="G164" s="229" t="s">
        <x:v>63</x:v>
      </x:c>
      <x:c r="H164" s="230" t="n">
        <x:v>0</x:v>
      </x:c>
      <x:c r="I164" s="231" t="n">
        <x:v>10</x:v>
      </x:c>
      <x:c r="J164" s="232" t="n">
        <x:v>0</x:v>
      </x:c>
      <x:c r="K164" s="233" t="s"/>
      <x:c r="L164" s="231" t="n">
        <x:v>0</x:v>
      </x:c>
      <x:c r="M164" s="231" t="n">
        <x:v>0</x:v>
      </x:c>
      <x:c r="N164" s="234">
        <x:f>ROUND(((I164*J164)-((I164*J164)*L164/100))+(((I164*J164)-((I164*J164)*L164/100))*M164/100), 2)</x:f>
      </x:c>
      <x:c r="O164" s="230">
        <x:f>M11</x:f>
      </x:c>
      <x:c r="P164" s="235" t="s"/>
      <x:c r="Q164" s="236" t="s"/>
      <x:c r="R164" s="237" t="s"/>
      <x:c r="S164" s="238" t="s"/>
      <x:c r="T164" s="239" t="s"/>
    </x:row>
    <x:row r="165" spans="1:24" customFormat="1" ht="24" customHeight="1">
      <x:c r="A165" s="226" t="n">
        <x:v>146</x:v>
      </x:c>
      <x:c r="B165" s="226" t="n">
        <x:v>99990010171733</x:v>
      </x:c>
      <x:c r="C165" s="227" t="n">
        <x:v>174244</x:v>
      </x:c>
      <x:c r="D165" s="228" t="s">
        <x:v>225</x:v>
      </x:c>
      <x:c r="E165" s="229" t="s"/>
      <x:c r="F165" s="229" t="n">
        <x:v>174244</x:v>
      </x:c>
      <x:c r="G165" s="229" t="s">
        <x:v>213</x:v>
      </x:c>
      <x:c r="H165" s="230" t="n">
        <x:v>0</x:v>
      </x:c>
      <x:c r="I165" s="231" t="n">
        <x:v>3</x:v>
      </x:c>
      <x:c r="J165" s="232" t="n">
        <x:v>0</x:v>
      </x:c>
      <x:c r="K165" s="233" t="s"/>
      <x:c r="L165" s="231" t="n">
        <x:v>0</x:v>
      </x:c>
      <x:c r="M165" s="231" t="n">
        <x:v>0</x:v>
      </x:c>
      <x:c r="N165" s="234">
        <x:f>ROUND(((I165*J165)-((I165*J165)*L165/100))+(((I165*J165)-((I165*J165)*L165/100))*M165/100), 2)</x:f>
      </x:c>
      <x:c r="O165" s="230">
        <x:f>M11</x:f>
      </x:c>
      <x:c r="P165" s="235" t="s"/>
      <x:c r="Q165" s="236" t="s"/>
      <x:c r="R165" s="237" t="s"/>
      <x:c r="S165" s="238" t="s"/>
      <x:c r="T165" s="239" t="s"/>
    </x:row>
    <x:row r="166" spans="1:24" customFormat="1" ht="24" customHeight="1">
      <x:c r="A166" s="226" t="n">
        <x:v>147</x:v>
      </x:c>
      <x:c r="B166" s="226" t="n">
        <x:v>99990008655464</x:v>
      </x:c>
      <x:c r="C166" s="227" t="n">
        <x:v>174293</x:v>
      </x:c>
      <x:c r="D166" s="228" t="s">
        <x:v>226</x:v>
      </x:c>
      <x:c r="E166" s="229" t="s"/>
      <x:c r="F166" s="229" t="n">
        <x:v>174293</x:v>
      </x:c>
      <x:c r="G166" s="229" t="s">
        <x:v>42</x:v>
      </x:c>
      <x:c r="H166" s="230" t="n">
        <x:v>0</x:v>
      </x:c>
      <x:c r="I166" s="231" t="n">
        <x:v>15</x:v>
      </x:c>
      <x:c r="J166" s="232" t="n">
        <x:v>0</x:v>
      </x:c>
      <x:c r="K166" s="233" t="s"/>
      <x:c r="L166" s="231" t="n">
        <x:v>0</x:v>
      </x:c>
      <x:c r="M166" s="231" t="n">
        <x:v>0</x:v>
      </x:c>
      <x:c r="N166" s="234">
        <x:f>ROUND(((I166*J166)-((I166*J166)*L166/100))+(((I166*J166)-((I166*J166)*L166/100))*M166/100), 2)</x:f>
      </x:c>
      <x:c r="O166" s="230">
        <x:f>M11</x:f>
      </x:c>
      <x:c r="P166" s="235" t="s"/>
      <x:c r="Q166" s="236" t="s"/>
      <x:c r="R166" s="237" t="s"/>
      <x:c r="S166" s="238" t="s"/>
      <x:c r="T166" s="239" t="s"/>
    </x:row>
    <x:row r="167" spans="1:24" customFormat="1" ht="24" customHeight="1">
      <x:c r="A167" s="226" t="n">
        <x:v>148</x:v>
      </x:c>
      <x:c r="B167" s="226" t="n">
        <x:v>99990008657235</x:v>
      </x:c>
      <x:c r="C167" s="227" t="n">
        <x:v>172362</x:v>
      </x:c>
      <x:c r="D167" s="228" t="s">
        <x:v>227</x:v>
      </x:c>
      <x:c r="E167" s="229" t="s"/>
      <x:c r="F167" s="229" t="n">
        <x:v>172362</x:v>
      </x:c>
      <x:c r="G167" s="229" t="s">
        <x:v>42</x:v>
      </x:c>
      <x:c r="H167" s="230" t="n">
        <x:v>0</x:v>
      </x:c>
      <x:c r="I167" s="231" t="n">
        <x:v>5</x:v>
      </x:c>
      <x:c r="J167" s="232" t="n">
        <x:v>0</x:v>
      </x:c>
      <x:c r="K167" s="233" t="s"/>
      <x:c r="L167" s="231" t="n">
        <x:v>0</x:v>
      </x:c>
      <x:c r="M167" s="231" t="n">
        <x:v>0</x:v>
      </x:c>
      <x:c r="N167" s="234">
        <x:f>ROUND(((I167*J167)-((I167*J167)*L167/100))+(((I167*J167)-((I167*J167)*L167/100))*M167/100), 2)</x:f>
      </x:c>
      <x:c r="O167" s="230">
        <x:f>M11</x:f>
      </x:c>
      <x:c r="P167" s="235" t="s"/>
      <x:c r="Q167" s="236" t="s"/>
      <x:c r="R167" s="237" t="s"/>
      <x:c r="S167" s="238" t="s"/>
      <x:c r="T167" s="239" t="s"/>
    </x:row>
    <x:row r="168" spans="1:24" customFormat="1" ht="24" customHeight="1">
      <x:c r="A168" s="226" t="n">
        <x:v>149</x:v>
      </x:c>
      <x:c r="B168" s="226" t="n">
        <x:v>99990010449236</x:v>
      </x:c>
      <x:c r="C168" s="227" t="n">
        <x:v>171454</x:v>
      </x:c>
      <x:c r="D168" s="228" t="s">
        <x:v>228</x:v>
      </x:c>
      <x:c r="E168" s="229" t="s"/>
      <x:c r="F168" s="229" t="n">
        <x:v>171454</x:v>
      </x:c>
      <x:c r="G168" s="229" t="s">
        <x:v>213</x:v>
      </x:c>
      <x:c r="H168" s="230" t="n">
        <x:v>0</x:v>
      </x:c>
      <x:c r="I168" s="231" t="n">
        <x:v>2</x:v>
      </x:c>
      <x:c r="J168" s="232" t="n">
        <x:v>0</x:v>
      </x:c>
      <x:c r="K168" s="233" t="s"/>
      <x:c r="L168" s="231" t="n">
        <x:v>0</x:v>
      </x:c>
      <x:c r="M168" s="231" t="n">
        <x:v>0</x:v>
      </x:c>
      <x:c r="N168" s="234">
        <x:f>ROUND(((I168*J168)-((I168*J168)*L168/100))+(((I168*J168)-((I168*J168)*L168/100))*M168/100), 2)</x:f>
      </x:c>
      <x:c r="O168" s="230">
        <x:f>M11</x:f>
      </x:c>
      <x:c r="P168" s="235" t="s"/>
      <x:c r="Q168" s="236" t="s"/>
      <x:c r="R168" s="237" t="s"/>
      <x:c r="S168" s="238" t="s"/>
      <x:c r="T168" s="239" t="s"/>
    </x:row>
    <x:row r="169" spans="1:24" customFormat="1" ht="24" customHeight="1">
      <x:c r="A169" s="226" t="n">
        <x:v>150</x:v>
      </x:c>
      <x:c r="B169" s="226" t="n">
        <x:v>99990008169681</x:v>
      </x:c>
      <x:c r="C169" s="227" t="n">
        <x:v>170303</x:v>
      </x:c>
      <x:c r="D169" s="228" t="s">
        <x:v>229</x:v>
      </x:c>
      <x:c r="E169" s="229" t="s"/>
      <x:c r="F169" s="229" t="n">
        <x:v>170303</x:v>
      </x:c>
      <x:c r="G169" s="229" t="s">
        <x:v>42</x:v>
      </x:c>
      <x:c r="H169" s="230" t="n">
        <x:v>0</x:v>
      </x:c>
      <x:c r="I169" s="231" t="n">
        <x:v>10</x:v>
      </x:c>
      <x:c r="J169" s="232" t="n">
        <x:v>0</x:v>
      </x:c>
      <x:c r="K169" s="233" t="s"/>
      <x:c r="L169" s="231" t="n">
        <x:v>0</x:v>
      </x:c>
      <x:c r="M169" s="231" t="n">
        <x:v>0</x:v>
      </x:c>
      <x:c r="N169" s="234">
        <x:f>ROUND(((I169*J169)-((I169*J169)*L169/100))+(((I169*J169)-((I169*J169)*L169/100))*M169/100), 2)</x:f>
      </x:c>
      <x:c r="O169" s="230">
        <x:f>M11</x:f>
      </x:c>
      <x:c r="P169" s="235" t="s"/>
      <x:c r="Q169" s="236" t="s"/>
      <x:c r="R169" s="237" t="s"/>
      <x:c r="S169" s="238" t="s"/>
      <x:c r="T169" s="239" t="s"/>
    </x:row>
    <x:row r="170" spans="1:24" customFormat="1" ht="24" customHeight="1">
      <x:c r="A170" s="226" t="n">
        <x:v>151</x:v>
      </x:c>
      <x:c r="B170" s="226" t="n">
        <x:v>99990008655257</x:v>
      </x:c>
      <x:c r="C170" s="227" t="n">
        <x:v>150616</x:v>
      </x:c>
      <x:c r="D170" s="228" t="s">
        <x:v>230</x:v>
      </x:c>
      <x:c r="E170" s="229" t="s"/>
      <x:c r="F170" s="229" t="n">
        <x:v>150616</x:v>
      </x:c>
      <x:c r="G170" s="229" t="s">
        <x:v>164</x:v>
      </x:c>
      <x:c r="H170" s="230" t="n">
        <x:v>0</x:v>
      </x:c>
      <x:c r="I170" s="231" t="n">
        <x:v>30</x:v>
      </x:c>
      <x:c r="J170" s="232" t="n">
        <x:v>0</x:v>
      </x:c>
      <x:c r="K170" s="233" t="s"/>
      <x:c r="L170" s="231" t="n">
        <x:v>0</x:v>
      </x:c>
      <x:c r="M170" s="231" t="n">
        <x:v>0</x:v>
      </x:c>
      <x:c r="N170" s="234">
        <x:f>ROUND(((I170*J170)-((I170*J170)*L170/100))+(((I170*J170)-((I170*J170)*L170/100))*M170/100), 2)</x:f>
      </x:c>
      <x:c r="O170" s="230">
        <x:f>M11</x:f>
      </x:c>
      <x:c r="P170" s="235" t="s"/>
      <x:c r="Q170" s="236" t="s"/>
      <x:c r="R170" s="237" t="s"/>
      <x:c r="S170" s="238" t="s"/>
      <x:c r="T170" s="239" t="s"/>
    </x:row>
    <x:row r="171" spans="1:24" customFormat="1" ht="24" customHeight="1">
      <x:c r="A171" s="226" t="n">
        <x:v>152</x:v>
      </x:c>
      <x:c r="B171" s="226" t="n">
        <x:v>99990008655252</x:v>
      </x:c>
      <x:c r="C171" s="227" t="n">
        <x:v>150606</x:v>
      </x:c>
      <x:c r="D171" s="228" t="s">
        <x:v>231</x:v>
      </x:c>
      <x:c r="E171" s="229" t="s"/>
      <x:c r="F171" s="229" t="n">
        <x:v>150606</x:v>
      </x:c>
      <x:c r="G171" s="229" t="s">
        <x:v>42</x:v>
      </x:c>
      <x:c r="H171" s="230" t="n">
        <x:v>0</x:v>
      </x:c>
      <x:c r="I171" s="231" t="n">
        <x:v>50</x:v>
      </x:c>
      <x:c r="J171" s="232" t="n">
        <x:v>0</x:v>
      </x:c>
      <x:c r="K171" s="233" t="s"/>
      <x:c r="L171" s="231" t="n">
        <x:v>0</x:v>
      </x:c>
      <x:c r="M171" s="231" t="n">
        <x:v>0</x:v>
      </x:c>
      <x:c r="N171" s="234">
        <x:f>ROUND(((I171*J171)-((I171*J171)*L171/100))+(((I171*J171)-((I171*J171)*L171/100))*M171/100), 2)</x:f>
      </x:c>
      <x:c r="O171" s="230">
        <x:f>M11</x:f>
      </x:c>
      <x:c r="P171" s="235" t="s"/>
      <x:c r="Q171" s="236" t="s"/>
      <x:c r="R171" s="237" t="s"/>
      <x:c r="S171" s="238" t="s"/>
      <x:c r="T171" s="239" t="s"/>
    </x:row>
    <x:row r="172" spans="1:24" customFormat="1" ht="24" customHeight="1">
      <x:c r="A172" s="226" t="n">
        <x:v>153</x:v>
      </x:c>
      <x:c r="B172" s="226" t="n">
        <x:v>99990008655248</x:v>
      </x:c>
      <x:c r="C172" s="227" t="n">
        <x:v>150601</x:v>
      </x:c>
      <x:c r="D172" s="228" t="s">
        <x:v>232</x:v>
      </x:c>
      <x:c r="E172" s="229" t="s"/>
      <x:c r="F172" s="229" t="n">
        <x:v>150601</x:v>
      </x:c>
      <x:c r="G172" s="229" t="s">
        <x:v>164</x:v>
      </x:c>
      <x:c r="H172" s="230" t="n">
        <x:v>0</x:v>
      </x:c>
      <x:c r="I172" s="231" t="n">
        <x:v>42</x:v>
      </x:c>
      <x:c r="J172" s="232" t="n">
        <x:v>0</x:v>
      </x:c>
      <x:c r="K172" s="233" t="s"/>
      <x:c r="L172" s="231" t="n">
        <x:v>0</x:v>
      </x:c>
      <x:c r="M172" s="231" t="n">
        <x:v>0</x:v>
      </x:c>
      <x:c r="N172" s="234">
        <x:f>ROUND(((I172*J172)-((I172*J172)*L172/100))+(((I172*J172)-((I172*J172)*L172/100))*M172/100), 2)</x:f>
      </x:c>
      <x:c r="O172" s="230">
        <x:f>M11</x:f>
      </x:c>
      <x:c r="P172" s="235" t="s"/>
      <x:c r="Q172" s="236" t="s"/>
      <x:c r="R172" s="237" t="s"/>
      <x:c r="S172" s="238" t="s"/>
      <x:c r="T172" s="239" t="s"/>
    </x:row>
    <x:row r="173" spans="1:24" customFormat="1" ht="24" customHeight="1">
      <x:c r="A173" s="226" t="n">
        <x:v>154</x:v>
      </x:c>
      <x:c r="B173" s="226" t="n">
        <x:v>99990009374701</x:v>
      </x:c>
      <x:c r="C173" s="227" t="n">
        <x:v>2096606</x:v>
      </x:c>
      <x:c r="D173" s="228" t="s">
        <x:v>233</x:v>
      </x:c>
      <x:c r="E173" s="229" t="s"/>
      <x:c r="F173" s="229" t="n">
        <x:v>150289</x:v>
      </x:c>
      <x:c r="G173" s="229" t="s">
        <x:v>164</x:v>
      </x:c>
      <x:c r="H173" s="230" t="n">
        <x:v>0</x:v>
      </x:c>
      <x:c r="I173" s="231" t="n">
        <x:v>80</x:v>
      </x:c>
      <x:c r="J173" s="232" t="n">
        <x:v>0</x:v>
      </x:c>
      <x:c r="K173" s="233" t="s"/>
      <x:c r="L173" s="231" t="n">
        <x:v>0</x:v>
      </x:c>
      <x:c r="M173" s="231" t="n">
        <x:v>0</x:v>
      </x:c>
      <x:c r="N173" s="234">
        <x:f>ROUND(((I173*J173)-((I173*J173)*L173/100))+(((I173*J173)-((I173*J173)*L173/100))*M173/100), 2)</x:f>
      </x:c>
      <x:c r="O173" s="230">
        <x:f>M11</x:f>
      </x:c>
      <x:c r="P173" s="235" t="s"/>
      <x:c r="Q173" s="236" t="s"/>
      <x:c r="R173" s="237" t="s"/>
      <x:c r="S173" s="238" t="s"/>
      <x:c r="T173" s="239" t="s"/>
    </x:row>
    <x:row r="174" spans="1:24" customFormat="1" ht="24" customHeight="1">
      <x:c r="A174" s="226" t="n">
        <x:v>155</x:v>
      </x:c>
      <x:c r="B174" s="226" t="n">
        <x:v>99990008169403</x:v>
      </x:c>
      <x:c r="C174" s="227" t="n">
        <x:v>150127</x:v>
      </x:c>
      <x:c r="D174" s="228" t="s">
        <x:v>234</x:v>
      </x:c>
      <x:c r="E174" s="229" t="s"/>
      <x:c r="F174" s="229" t="n">
        <x:v>150127</x:v>
      </x:c>
      <x:c r="G174" s="229" t="s">
        <x:v>164</x:v>
      </x:c>
      <x:c r="H174" s="230" t="n">
        <x:v>0</x:v>
      </x:c>
      <x:c r="I174" s="231" t="n">
        <x:v>80</x:v>
      </x:c>
      <x:c r="J174" s="232" t="n">
        <x:v>0</x:v>
      </x:c>
      <x:c r="K174" s="233" t="s"/>
      <x:c r="L174" s="231" t="n">
        <x:v>0</x:v>
      </x:c>
      <x:c r="M174" s="231" t="n">
        <x:v>0</x:v>
      </x:c>
      <x:c r="N174" s="234">
        <x:f>ROUND(((I174*J174)-((I174*J174)*L174/100))+(((I174*J174)-((I174*J174)*L174/100))*M174/100), 2)</x:f>
      </x:c>
      <x:c r="O174" s="230">
        <x:f>M11</x:f>
      </x:c>
      <x:c r="P174" s="235" t="s"/>
      <x:c r="Q174" s="236" t="s"/>
      <x:c r="R174" s="237" t="s"/>
      <x:c r="S174" s="238" t="s"/>
      <x:c r="T174" s="239" t="s"/>
    </x:row>
    <x:row r="175" spans="1:24" customFormat="1" ht="24" customHeight="1">
      <x:c r="A175" s="226" t="n">
        <x:v>156</x:v>
      </x:c>
      <x:c r="B175" s="226" t="n">
        <x:v>99990008655231</x:v>
      </x:c>
      <x:c r="C175" s="227" t="n">
        <x:v>150286</x:v>
      </x:c>
      <x:c r="D175" s="228" t="s">
        <x:v>235</x:v>
      </x:c>
      <x:c r="E175" s="229" t="s"/>
      <x:c r="F175" s="229" t="n">
        <x:v>150286</x:v>
      </x:c>
      <x:c r="G175" s="229" t="s">
        <x:v>42</x:v>
      </x:c>
      <x:c r="H175" s="230" t="n">
        <x:v>0</x:v>
      </x:c>
      <x:c r="I175" s="231" t="n">
        <x:v>42</x:v>
      </x:c>
      <x:c r="J175" s="232" t="n">
        <x:v>0</x:v>
      </x:c>
      <x:c r="K175" s="233" t="s"/>
      <x:c r="L175" s="231" t="n">
        <x:v>0</x:v>
      </x:c>
      <x:c r="M175" s="231" t="n">
        <x:v>0</x:v>
      </x:c>
      <x:c r="N175" s="234">
        <x:f>ROUND(((I175*J175)-((I175*J175)*L175/100))+(((I175*J175)-((I175*J175)*L175/100))*M175/100), 2)</x:f>
      </x:c>
      <x:c r="O175" s="230">
        <x:f>M11</x:f>
      </x:c>
      <x:c r="P175" s="235" t="s"/>
      <x:c r="Q175" s="236" t="s"/>
      <x:c r="R175" s="237" t="s"/>
      <x:c r="S175" s="238" t="s"/>
      <x:c r="T175" s="239" t="s"/>
    </x:row>
    <x:row r="176" spans="1:24" customFormat="1" ht="24" customHeight="1">
      <x:c r="A176" s="226" t="n">
        <x:v>157</x:v>
      </x:c>
      <x:c r="B176" s="226" t="n">
        <x:v>99990009872321</x:v>
      </x:c>
      <x:c r="C176" s="227" t="n">
        <x:v>190609</x:v>
      </x:c>
      <x:c r="D176" s="228" t="s">
        <x:v>236</x:v>
      </x:c>
      <x:c r="E176" s="229" t="s"/>
      <x:c r="F176" s="229" t="n">
        <x:v>190609</x:v>
      </x:c>
      <x:c r="G176" s="229" t="s">
        <x:v>42</x:v>
      </x:c>
      <x:c r="H176" s="230" t="n">
        <x:v>0</x:v>
      </x:c>
      <x:c r="I176" s="231" t="n">
        <x:v>6</x:v>
      </x:c>
      <x:c r="J176" s="232" t="n">
        <x:v>0</x:v>
      </x:c>
      <x:c r="K176" s="233" t="s"/>
      <x:c r="L176" s="231" t="n">
        <x:v>0</x:v>
      </x:c>
      <x:c r="M176" s="231" t="n">
        <x:v>0</x:v>
      </x:c>
      <x:c r="N176" s="234">
        <x:f>ROUND(((I176*J176)-((I176*J176)*L176/100))+(((I176*J176)-((I176*J176)*L176/100))*M176/100), 2)</x:f>
      </x:c>
      <x:c r="O176" s="230">
        <x:f>M11</x:f>
      </x:c>
      <x:c r="P176" s="235" t="s"/>
      <x:c r="Q176" s="236" t="s"/>
      <x:c r="R176" s="237" t="s">
        <x:v>237</x:v>
      </x:c>
      <x:c r="S176" s="238" t="s"/>
      <x:c r="T176" s="239" t="s"/>
    </x:row>
    <x:row r="177" spans="1:24" customFormat="1" ht="24" customHeight="1">
      <x:c r="A177" s="226" t="n">
        <x:v>158</x:v>
      </x:c>
      <x:c r="B177" s="226" t="n">
        <x:v>99990009872311</x:v>
      </x:c>
      <x:c r="C177" s="227" t="n">
        <x:v>190629</x:v>
      </x:c>
      <x:c r="D177" s="228" t="s">
        <x:v>238</x:v>
      </x:c>
      <x:c r="E177" s="229" t="s"/>
      <x:c r="F177" s="229" t="n">
        <x:v>190629</x:v>
      </x:c>
      <x:c r="G177" s="229" t="s">
        <x:v>55</x:v>
      </x:c>
      <x:c r="H177" s="230" t="n">
        <x:v>0</x:v>
      </x:c>
      <x:c r="I177" s="231" t="n">
        <x:v>6</x:v>
      </x:c>
      <x:c r="J177" s="232" t="n">
        <x:v>0</x:v>
      </x:c>
      <x:c r="K177" s="233" t="s"/>
      <x:c r="L177" s="231" t="n">
        <x:v>0</x:v>
      </x:c>
      <x:c r="M177" s="231" t="n">
        <x:v>0</x:v>
      </x:c>
      <x:c r="N177" s="234">
        <x:f>ROUND(((I177*J177)-((I177*J177)*L177/100))+(((I177*J177)-((I177*J177)*L177/100))*M177/100), 2)</x:f>
      </x:c>
      <x:c r="O177" s="230">
        <x:f>M11</x:f>
      </x:c>
      <x:c r="P177" s="235" t="s"/>
      <x:c r="Q177" s="236" t="s"/>
      <x:c r="R177" s="237" t="s">
        <x:v>237</x:v>
      </x:c>
      <x:c r="S177" s="238" t="s"/>
      <x:c r="T177" s="239" t="s"/>
    </x:row>
    <x:row r="178" spans="1:24" customFormat="1" ht="24" customHeight="1">
      <x:c r="A178" s="226" t="n">
        <x:v>159</x:v>
      </x:c>
      <x:c r="B178" s="226" t="n">
        <x:v>99990009872300</x:v>
      </x:c>
      <x:c r="C178" s="227" t="n">
        <x:v>190632</x:v>
      </x:c>
      <x:c r="D178" s="228" t="s">
        <x:v>239</x:v>
      </x:c>
      <x:c r="E178" s="229" t="s"/>
      <x:c r="F178" s="229" t="n">
        <x:v>190632</x:v>
      </x:c>
      <x:c r="G178" s="229" t="s">
        <x:v>42</x:v>
      </x:c>
      <x:c r="H178" s="230" t="n">
        <x:v>0</x:v>
      </x:c>
      <x:c r="I178" s="231" t="n">
        <x:v>21</x:v>
      </x:c>
      <x:c r="J178" s="232" t="n">
        <x:v>0</x:v>
      </x:c>
      <x:c r="K178" s="233" t="s"/>
      <x:c r="L178" s="231" t="n">
        <x:v>0</x:v>
      </x:c>
      <x:c r="M178" s="231" t="n">
        <x:v>0</x:v>
      </x:c>
      <x:c r="N178" s="234">
        <x:f>ROUND(((I178*J178)-((I178*J178)*L178/100))+(((I178*J178)-((I178*J178)*L178/100))*M178/100), 2)</x:f>
      </x:c>
      <x:c r="O178" s="230">
        <x:f>M11</x:f>
      </x:c>
      <x:c r="P178" s="235" t="s"/>
      <x:c r="Q178" s="236" t="s"/>
      <x:c r="R178" s="237" t="s">
        <x:v>237</x:v>
      </x:c>
      <x:c r="S178" s="238" t="s"/>
      <x:c r="T178" s="239" t="s"/>
    </x:row>
    <x:row r="179" spans="1:24" customFormat="1" ht="24" customHeight="1">
      <x:c r="A179" s="226" t="n">
        <x:v>160</x:v>
      </x:c>
      <x:c r="B179" s="226" t="n">
        <x:v>99990009594913</x:v>
      </x:c>
      <x:c r="C179" s="227" t="n">
        <x:v>2142303</x:v>
      </x:c>
      <x:c r="D179" s="228" t="s">
        <x:v>240</x:v>
      </x:c>
      <x:c r="E179" s="229" t="s"/>
      <x:c r="F179" s="229" t="n">
        <x:v>650501</x:v>
      </x:c>
      <x:c r="G179" s="229" t="s">
        <x:v>42</x:v>
      </x:c>
      <x:c r="H179" s="230" t="n">
        <x:v>0</x:v>
      </x:c>
      <x:c r="I179" s="231" t="n">
        <x:v>1</x:v>
      </x:c>
      <x:c r="J179" s="232" t="n">
        <x:v>0</x:v>
      </x:c>
      <x:c r="K179" s="233" t="s"/>
      <x:c r="L179" s="231" t="n">
        <x:v>0</x:v>
      </x:c>
      <x:c r="M179" s="231" t="n">
        <x:v>0</x:v>
      </x:c>
      <x:c r="N179" s="234">
        <x:f>ROUND(((I179*J179)-((I179*J179)*L179/100))+(((I179*J179)-((I179*J179)*L179/100))*M179/100), 2)</x:f>
      </x:c>
      <x:c r="O179" s="230">
        <x:f>M11</x:f>
      </x:c>
      <x:c r="P179" s="235" t="s"/>
      <x:c r="Q179" s="236" t="s"/>
      <x:c r="R179" s="237" t="s"/>
      <x:c r="S179" s="238" t="s"/>
      <x:c r="T179" s="239" t="s"/>
    </x:row>
    <x:row r="180" spans="1:24" customFormat="1" ht="24" customHeight="1">
      <x:c r="A180" s="226" t="n">
        <x:v>161</x:v>
      </x:c>
      <x:c r="B180" s="226" t="n">
        <x:v>99990008655761</x:v>
      </x:c>
      <x:c r="C180" s="227" t="n">
        <x:v>650873</x:v>
      </x:c>
      <x:c r="D180" s="228" t="s">
        <x:v>241</x:v>
      </x:c>
      <x:c r="E180" s="229" t="s"/>
      <x:c r="F180" s="229" t="n">
        <x:v>650873</x:v>
      </x:c>
      <x:c r="G180" s="229" t="s">
        <x:v>42</x:v>
      </x:c>
      <x:c r="H180" s="230" t="n">
        <x:v>0</x:v>
      </x:c>
      <x:c r="I180" s="231" t="n">
        <x:v>2</x:v>
      </x:c>
      <x:c r="J180" s="232" t="n">
        <x:v>0</x:v>
      </x:c>
      <x:c r="K180" s="233" t="s"/>
      <x:c r="L180" s="231" t="n">
        <x:v>0</x:v>
      </x:c>
      <x:c r="M180" s="231" t="n">
        <x:v>0</x:v>
      </x:c>
      <x:c r="N180" s="234">
        <x:f>ROUND(((I180*J180)-((I180*J180)*L180/100))+(((I180*J180)-((I180*J180)*L180/100))*M180/100), 2)</x:f>
      </x:c>
      <x:c r="O180" s="230">
        <x:f>M11</x:f>
      </x:c>
      <x:c r="P180" s="235" t="s"/>
      <x:c r="Q180" s="236" t="s"/>
      <x:c r="R180" s="237" t="s"/>
      <x:c r="S180" s="238" t="s"/>
      <x:c r="T180" s="239" t="s"/>
    </x:row>
    <x:row r="181" spans="1:24" customFormat="1" ht="24" customHeight="1">
      <x:c r="A181" s="226" t="n">
        <x:v>162</x:v>
      </x:c>
      <x:c r="B181" s="226" t="n">
        <x:v>99990008657464</x:v>
      </x:c>
      <x:c r="C181" s="227" t="n">
        <x:v>351222</x:v>
      </x:c>
      <x:c r="D181" s="228" t="s">
        <x:v>242</x:v>
      </x:c>
      <x:c r="E181" s="229" t="s"/>
      <x:c r="F181" s="229" t="n">
        <x:v>351222</x:v>
      </x:c>
      <x:c r="G181" s="229" t="s">
        <x:v>42</x:v>
      </x:c>
      <x:c r="H181" s="230" t="n">
        <x:v>0</x:v>
      </x:c>
      <x:c r="I181" s="231" t="n">
        <x:v>10</x:v>
      </x:c>
      <x:c r="J181" s="232" t="n">
        <x:v>0</x:v>
      </x:c>
      <x:c r="K181" s="233" t="s"/>
      <x:c r="L181" s="231" t="n">
        <x:v>0</x:v>
      </x:c>
      <x:c r="M181" s="231" t="n">
        <x:v>0</x:v>
      </x:c>
      <x:c r="N181" s="234">
        <x:f>ROUND(((I181*J181)-((I181*J181)*L181/100))+(((I181*J181)-((I181*J181)*L181/100))*M181/100), 2)</x:f>
      </x:c>
      <x:c r="O181" s="230">
        <x:f>M11</x:f>
      </x:c>
      <x:c r="P181" s="235" t="s"/>
      <x:c r="Q181" s="236" t="s"/>
      <x:c r="R181" s="237" t="s"/>
      <x:c r="S181" s="238" t="s"/>
      <x:c r="T181" s="239" t="s"/>
    </x:row>
    <x:row r="182" spans="1:24" customFormat="1" ht="24" customHeight="1">
      <x:c r="A182" s="226" t="n">
        <x:v>163</x:v>
      </x:c>
      <x:c r="B182" s="226" t="n">
        <x:v>99990008657470</x:v>
      </x:c>
      <x:c r="C182" s="227" t="n">
        <x:v>351252</x:v>
      </x:c>
      <x:c r="D182" s="228" t="s">
        <x:v>243</x:v>
      </x:c>
      <x:c r="E182" s="229" t="s"/>
      <x:c r="F182" s="229" t="n">
        <x:v>351252</x:v>
      </x:c>
      <x:c r="G182" s="229" t="s">
        <x:v>42</x:v>
      </x:c>
      <x:c r="H182" s="230" t="n">
        <x:v>0</x:v>
      </x:c>
      <x:c r="I182" s="231" t="n">
        <x:v>10</x:v>
      </x:c>
      <x:c r="J182" s="232" t="n">
        <x:v>0</x:v>
      </x:c>
      <x:c r="K182" s="233" t="s"/>
      <x:c r="L182" s="231" t="n">
        <x:v>0</x:v>
      </x:c>
      <x:c r="M182" s="231" t="n">
        <x:v>0</x:v>
      </x:c>
      <x:c r="N182" s="234">
        <x:f>ROUND(((I182*J182)-((I182*J182)*L182/100))+(((I182*J182)-((I182*J182)*L182/100))*M182/100), 2)</x:f>
      </x:c>
      <x:c r="O182" s="230">
        <x:f>M11</x:f>
      </x:c>
      <x:c r="P182" s="235" t="s"/>
      <x:c r="Q182" s="236" t="s"/>
      <x:c r="R182" s="237" t="s"/>
      <x:c r="S182" s="238" t="s"/>
      <x:c r="T182" s="239" t="s"/>
    </x:row>
    <x:row r="183" spans="1:24" customFormat="1" ht="24" customHeight="1">
      <x:c r="A183" s="226" t="n">
        <x:v>164</x:v>
      </x:c>
      <x:c r="B183" s="226" t="n">
        <x:v>99990008657430</x:v>
      </x:c>
      <x:c r="C183" s="227" t="n">
        <x:v>350102</x:v>
      </x:c>
      <x:c r="D183" s="228" t="s">
        <x:v>244</x:v>
      </x:c>
      <x:c r="E183" s="229" t="s"/>
      <x:c r="F183" s="229" t="n">
        <x:v>350102</x:v>
      </x:c>
      <x:c r="G183" s="229" t="s">
        <x:v>125</x:v>
      </x:c>
      <x:c r="H183" s="230" t="n">
        <x:v>0</x:v>
      </x:c>
      <x:c r="I183" s="231" t="n">
        <x:v>50</x:v>
      </x:c>
      <x:c r="J183" s="232" t="n">
        <x:v>0</x:v>
      </x:c>
      <x:c r="K183" s="233" t="s"/>
      <x:c r="L183" s="231" t="n">
        <x:v>0</x:v>
      </x:c>
      <x:c r="M183" s="231" t="n">
        <x:v>0</x:v>
      </x:c>
      <x:c r="N183" s="234">
        <x:f>ROUND(((I183*J183)-((I183*J183)*L183/100))+(((I183*J183)-((I183*J183)*L183/100))*M183/100), 2)</x:f>
      </x:c>
      <x:c r="O183" s="230">
        <x:f>M11</x:f>
      </x:c>
      <x:c r="P183" s="235" t="s"/>
      <x:c r="Q183" s="236" t="s"/>
      <x:c r="R183" s="237" t="s"/>
      <x:c r="S183" s="238" t="s"/>
      <x:c r="T183" s="239" t="s"/>
    </x:row>
    <x:row r="184" spans="1:24" customFormat="1" ht="24" customHeight="1">
      <x:c r="A184" s="226" t="n">
        <x:v>165</x:v>
      </x:c>
      <x:c r="B184" s="226" t="n">
        <x:v>99990009554111</x:v>
      </x:c>
      <x:c r="C184" s="227" t="n">
        <x:v>2124646</x:v>
      </x:c>
      <x:c r="D184" s="228" t="s">
        <x:v>245</x:v>
      </x:c>
      <x:c r="E184" s="229" t="s"/>
      <x:c r="F184" s="229" t="n">
        <x:v>211402</x:v>
      </x:c>
      <x:c r="G184" s="229" t="s">
        <x:v>246</x:v>
      </x:c>
      <x:c r="H184" s="230" t="n">
        <x:v>0</x:v>
      </x:c>
      <x:c r="I184" s="231" t="n">
        <x:v>3</x:v>
      </x:c>
      <x:c r="J184" s="232" t="n">
        <x:v>0</x:v>
      </x:c>
      <x:c r="K184" s="233" t="s"/>
      <x:c r="L184" s="231" t="n">
        <x:v>0</x:v>
      </x:c>
      <x:c r="M184" s="231" t="n">
        <x:v>0</x:v>
      </x:c>
      <x:c r="N184" s="234">
        <x:f>ROUND(((I184*J184)-((I184*J184)*L184/100))+(((I184*J184)-((I184*J184)*L184/100))*M184/100), 2)</x:f>
      </x:c>
      <x:c r="O184" s="230">
        <x:f>M11</x:f>
      </x:c>
      <x:c r="P184" s="235" t="s"/>
      <x:c r="Q184" s="236" t="s"/>
      <x:c r="R184" s="237" t="s"/>
      <x:c r="S184" s="238" t="s"/>
      <x:c r="T184" s="239" t="s"/>
    </x:row>
    <x:row r="185" spans="1:24" customFormat="1" ht="24" customHeight="1">
      <x:c r="A185" s="226" t="n">
        <x:v>166</x:v>
      </x:c>
      <x:c r="B185" s="226" t="n">
        <x:v>99990008657334</x:v>
      </x:c>
      <x:c r="C185" s="227" t="n">
        <x:v>174058</x:v>
      </x:c>
      <x:c r="D185" s="228" t="s">
        <x:v>247</x:v>
      </x:c>
      <x:c r="E185" s="229" t="s"/>
      <x:c r="F185" s="229" t="n">
        <x:v>174058</x:v>
      </x:c>
      <x:c r="G185" s="229" t="s">
        <x:v>42</x:v>
      </x:c>
      <x:c r="H185" s="230" t="n">
        <x:v>0</x:v>
      </x:c>
      <x:c r="I185" s="231" t="n">
        <x:v>40</x:v>
      </x:c>
      <x:c r="J185" s="232" t="n">
        <x:v>0</x:v>
      </x:c>
      <x:c r="K185" s="233" t="s"/>
      <x:c r="L185" s="231" t="n">
        <x:v>0</x:v>
      </x:c>
      <x:c r="M185" s="231" t="n">
        <x:v>0</x:v>
      </x:c>
      <x:c r="N185" s="234">
        <x:f>ROUND(((I185*J185)-((I185*J185)*L185/100))+(((I185*J185)-((I185*J185)*L185/100))*M185/100), 2)</x:f>
      </x:c>
      <x:c r="O185" s="230">
        <x:f>M11</x:f>
      </x:c>
      <x:c r="P185" s="235" t="s"/>
      <x:c r="Q185" s="236" t="s"/>
      <x:c r="R185" s="237" t="s"/>
      <x:c r="S185" s="238" t="s"/>
      <x:c r="T185" s="239" t="s"/>
    </x:row>
    <x:row r="186" spans="1:24" customFormat="1" ht="24" customHeight="1">
      <x:c r="A186" s="226" t="n">
        <x:v>167</x:v>
      </x:c>
      <x:c r="B186" s="226" t="n">
        <x:v>99990009554097</x:v>
      </x:c>
      <x:c r="C186" s="227" t="n">
        <x:v>2124632</x:v>
      </x:c>
      <x:c r="D186" s="228" t="s">
        <x:v>248</x:v>
      </x:c>
      <x:c r="E186" s="229" t="s"/>
      <x:c r="F186" s="229" t="n">
        <x:v>211286</x:v>
      </x:c>
      <x:c r="G186" s="229" t="s">
        <x:v>249</x:v>
      </x:c>
      <x:c r="H186" s="230" t="n">
        <x:v>0</x:v>
      </x:c>
      <x:c r="I186" s="231" t="n">
        <x:v>1</x:v>
      </x:c>
      <x:c r="J186" s="232" t="n">
        <x:v>0</x:v>
      </x:c>
      <x:c r="K186" s="233" t="s"/>
      <x:c r="L186" s="231" t="n">
        <x:v>0</x:v>
      </x:c>
      <x:c r="M186" s="231" t="n">
        <x:v>0</x:v>
      </x:c>
      <x:c r="N186" s="234">
        <x:f>ROUND(((I186*J186)-((I186*J186)*L186/100))+(((I186*J186)-((I186*J186)*L186/100))*M186/100), 2)</x:f>
      </x:c>
      <x:c r="O186" s="230">
        <x:f>M11</x:f>
      </x:c>
      <x:c r="P186" s="235" t="s"/>
      <x:c r="Q186" s="236" t="s"/>
      <x:c r="R186" s="237" t="s"/>
      <x:c r="S186" s="238" t="s"/>
      <x:c r="T186" s="239" t="s"/>
    </x:row>
    <x:row r="187" spans="1:24" customFormat="1" ht="24" customHeight="1">
      <x:c r="A187" s="226" t="n">
        <x:v>168</x:v>
      </x:c>
      <x:c r="B187" s="226" t="n">
        <x:v>99990010155449</x:v>
      </x:c>
      <x:c r="C187" s="227" t="n">
        <x:v>230348</x:v>
      </x:c>
      <x:c r="D187" s="228" t="s">
        <x:v>250</x:v>
      </x:c>
      <x:c r="E187" s="229" t="s"/>
      <x:c r="F187" s="229" t="n">
        <x:v>230348</x:v>
      </x:c>
      <x:c r="G187" s="229" t="s">
        <x:v>42</x:v>
      </x:c>
      <x:c r="H187" s="230" t="n">
        <x:v>0</x:v>
      </x:c>
      <x:c r="I187" s="231" t="n">
        <x:v>2</x:v>
      </x:c>
      <x:c r="J187" s="232" t="n">
        <x:v>0</x:v>
      </x:c>
      <x:c r="K187" s="233" t="s"/>
      <x:c r="L187" s="231" t="n">
        <x:v>0</x:v>
      </x:c>
      <x:c r="M187" s="231" t="n">
        <x:v>0</x:v>
      </x:c>
      <x:c r="N187" s="234">
        <x:f>ROUND(((I187*J187)-((I187*J187)*L187/100))+(((I187*J187)-((I187*J187)*L187/100))*M187/100), 2)</x:f>
      </x:c>
      <x:c r="O187" s="230">
        <x:f>M11</x:f>
      </x:c>
      <x:c r="P187" s="235" t="s"/>
      <x:c r="Q187" s="236" t="s"/>
      <x:c r="R187" s="237" t="s"/>
      <x:c r="S187" s="238" t="s"/>
      <x:c r="T187" s="239" t="s"/>
    </x:row>
    <x:row r="188" spans="1:24" customFormat="1" ht="24" customHeight="1">
      <x:c r="A188" s="226" t="n">
        <x:v>169</x:v>
      </x:c>
      <x:c r="B188" s="226" t="n">
        <x:v>99990008655471</x:v>
      </x:c>
      <x:c r="C188" s="227" t="n">
        <x:v>232191</x:v>
      </x:c>
      <x:c r="D188" s="228" t="s">
        <x:v>251</x:v>
      </x:c>
      <x:c r="E188" s="229" t="s"/>
      <x:c r="F188" s="229" t="n">
        <x:v>232191</x:v>
      </x:c>
      <x:c r="G188" s="229" t="s">
        <x:v>42</x:v>
      </x:c>
      <x:c r="H188" s="230" t="n">
        <x:v>0</x:v>
      </x:c>
      <x:c r="I188" s="231" t="n">
        <x:v>5</x:v>
      </x:c>
      <x:c r="J188" s="232" t="n">
        <x:v>0</x:v>
      </x:c>
      <x:c r="K188" s="233" t="s"/>
      <x:c r="L188" s="231" t="n">
        <x:v>0</x:v>
      </x:c>
      <x:c r="M188" s="231" t="n">
        <x:v>0</x:v>
      </x:c>
      <x:c r="N188" s="234">
        <x:f>ROUND(((I188*J188)-((I188*J188)*L188/100))+(((I188*J188)-((I188*J188)*L188/100))*M188/100), 2)</x:f>
      </x:c>
      <x:c r="O188" s="230">
        <x:f>M11</x:f>
      </x:c>
      <x:c r="P188" s="235" t="s"/>
      <x:c r="Q188" s="236" t="s"/>
      <x:c r="R188" s="237" t="s">
        <x:v>252</x:v>
      </x:c>
      <x:c r="S188" s="238" t="s"/>
      <x:c r="T188" s="239" t="s"/>
    </x:row>
    <x:row r="189" spans="1:24" customFormat="1" ht="24" customHeight="1">
      <x:c r="A189" s="226" t="n">
        <x:v>170</x:v>
      </x:c>
      <x:c r="B189" s="226" t="n">
        <x:v>99990008656420</x:v>
      </x:c>
      <x:c r="C189" s="227" t="n">
        <x:v>611658</x:v>
      </x:c>
      <x:c r="D189" s="228" t="s">
        <x:v>253</x:v>
      </x:c>
      <x:c r="E189" s="229" t="s"/>
      <x:c r="F189" s="229" t="n">
        <x:v>611658</x:v>
      </x:c>
      <x:c r="G189" s="229" t="s">
        <x:v>55</x:v>
      </x:c>
      <x:c r="H189" s="230" t="n">
        <x:v>0</x:v>
      </x:c>
      <x:c r="I189" s="231" t="n">
        <x:v>2</x:v>
      </x:c>
      <x:c r="J189" s="232" t="n">
        <x:v>0</x:v>
      </x:c>
      <x:c r="K189" s="233" t="s"/>
      <x:c r="L189" s="231" t="n">
        <x:v>0</x:v>
      </x:c>
      <x:c r="M189" s="231" t="n">
        <x:v>0</x:v>
      </x:c>
      <x:c r="N189" s="234">
        <x:f>ROUND(((I189*J189)-((I189*J189)*L189/100))+(((I189*J189)-((I189*J189)*L189/100))*M189/100), 2)</x:f>
      </x:c>
      <x:c r="O189" s="230">
        <x:f>M11</x:f>
      </x:c>
      <x:c r="P189" s="235" t="s"/>
      <x:c r="Q189" s="236" t="s"/>
      <x:c r="R189" s="237" t="s"/>
      <x:c r="S189" s="238" t="s"/>
      <x:c r="T189" s="239" t="s"/>
    </x:row>
    <x:row r="190" spans="1:24" customFormat="1" ht="24" customHeight="1">
      <x:c r="A190" s="226" t="n">
        <x:v>171</x:v>
      </x:c>
      <x:c r="B190" s="226" t="n">
        <x:v>99990010835730</x:v>
      </x:c>
      <x:c r="C190" s="227" t="n">
        <x:v>391282</x:v>
      </x:c>
      <x:c r="D190" s="228" t="s">
        <x:v>254</x:v>
      </x:c>
      <x:c r="E190" s="229" t="s"/>
      <x:c r="F190" s="229" t="n">
        <x:v>391282</x:v>
      </x:c>
      <x:c r="G190" s="229" t="s">
        <x:v>42</x:v>
      </x:c>
      <x:c r="H190" s="230" t="n">
        <x:v>0</x:v>
      </x:c>
      <x:c r="I190" s="231" t="n">
        <x:v>50</x:v>
      </x:c>
      <x:c r="J190" s="232" t="n">
        <x:v>0</x:v>
      </x:c>
      <x:c r="K190" s="233" t="s"/>
      <x:c r="L190" s="231" t="n">
        <x:v>0</x:v>
      </x:c>
      <x:c r="M190" s="231" t="n">
        <x:v>0</x:v>
      </x:c>
      <x:c r="N190" s="234">
        <x:f>ROUND(((I190*J190)-((I190*J190)*L190/100))+(((I190*J190)-((I190*J190)*L190/100))*M190/100), 2)</x:f>
      </x:c>
      <x:c r="O190" s="230">
        <x:f>M11</x:f>
      </x:c>
      <x:c r="P190" s="235" t="s"/>
      <x:c r="Q190" s="236" t="s"/>
      <x:c r="R190" s="237" t="s"/>
      <x:c r="S190" s="238" t="s"/>
      <x:c r="T190" s="239" t="s"/>
    </x:row>
    <x:row r="191" spans="1:24" customFormat="1" ht="24" customHeight="1">
      <x:c r="A191" s="226" t="n">
        <x:v>172</x:v>
      </x:c>
      <x:c r="B191" s="226" t="n">
        <x:v>99990009868378</x:v>
      </x:c>
      <x:c r="C191" s="227" t="n">
        <x:v>330655</x:v>
      </x:c>
      <x:c r="D191" s="228" t="s">
        <x:v>255</x:v>
      </x:c>
      <x:c r="E191" s="229" t="s"/>
      <x:c r="F191" s="229" t="n">
        <x:v>330655</x:v>
      </x:c>
      <x:c r="G191" s="229" t="s">
        <x:v>42</x:v>
      </x:c>
      <x:c r="H191" s="230" t="n">
        <x:v>0</x:v>
      </x:c>
      <x:c r="I191" s="231" t="n">
        <x:v>4</x:v>
      </x:c>
      <x:c r="J191" s="232" t="n">
        <x:v>0</x:v>
      </x:c>
      <x:c r="K191" s="233" t="s"/>
      <x:c r="L191" s="231" t="n">
        <x:v>0</x:v>
      </x:c>
      <x:c r="M191" s="231" t="n">
        <x:v>0</x:v>
      </x:c>
      <x:c r="N191" s="234">
        <x:f>ROUND(((I191*J191)-((I191*J191)*L191/100))+(((I191*J191)-((I191*J191)*L191/100))*M191/100), 2)</x:f>
      </x:c>
      <x:c r="O191" s="230">
        <x:f>M11</x:f>
      </x:c>
      <x:c r="P191" s="235" t="s"/>
      <x:c r="Q191" s="236" t="s"/>
      <x:c r="R191" s="237" t="s"/>
      <x:c r="S191" s="238" t="s"/>
      <x:c r="T191" s="239" t="s"/>
    </x:row>
    <x:row r="192" spans="1:24" customFormat="1" ht="24" customHeight="1">
      <x:c r="A192" s="226" t="n">
        <x:v>173</x:v>
      </x:c>
      <x:c r="B192" s="226" t="n">
        <x:v>99990009873253</x:v>
      </x:c>
      <x:c r="C192" s="227" t="n">
        <x:v>311515</x:v>
      </x:c>
      <x:c r="D192" s="228" t="s">
        <x:v>256</x:v>
      </x:c>
      <x:c r="E192" s="229" t="s"/>
      <x:c r="F192" s="229" t="n">
        <x:v>311515</x:v>
      </x:c>
      <x:c r="G192" s="229" t="s">
        <x:v>42</x:v>
      </x:c>
      <x:c r="H192" s="230" t="n">
        <x:v>0</x:v>
      </x:c>
      <x:c r="I192" s="231" t="n">
        <x:v>3</x:v>
      </x:c>
      <x:c r="J192" s="232" t="n">
        <x:v>0</x:v>
      </x:c>
      <x:c r="K192" s="233" t="s"/>
      <x:c r="L192" s="231" t="n">
        <x:v>0</x:v>
      </x:c>
      <x:c r="M192" s="231" t="n">
        <x:v>0</x:v>
      </x:c>
      <x:c r="N192" s="234">
        <x:f>ROUND(((I192*J192)-((I192*J192)*L192/100))+(((I192*J192)-((I192*J192)*L192/100))*M192/100), 2)</x:f>
      </x:c>
      <x:c r="O192" s="230">
        <x:f>M11</x:f>
      </x:c>
      <x:c r="P192" s="235" t="s"/>
      <x:c r="Q192" s="236" t="s"/>
      <x:c r="R192" s="237" t="s"/>
      <x:c r="S192" s="238" t="s"/>
      <x:c r="T192" s="239" t="s"/>
    </x:row>
    <x:row r="193" spans="1:24" customFormat="1" ht="24" customHeight="1">
      <x:c r="A193" s="226" t="n">
        <x:v>174</x:v>
      </x:c>
      <x:c r="B193" s="226" t="n">
        <x:v>99990009866952</x:v>
      </x:c>
      <x:c r="C193" s="227" t="n">
        <x:v>331159</x:v>
      </x:c>
      <x:c r="D193" s="228" t="s">
        <x:v>257</x:v>
      </x:c>
      <x:c r="E193" s="229" t="s"/>
      <x:c r="F193" s="229" t="n">
        <x:v>331159</x:v>
      </x:c>
      <x:c r="G193" s="229" t="s">
        <x:v>42</x:v>
      </x:c>
      <x:c r="H193" s="230" t="n">
        <x:v>0</x:v>
      </x:c>
      <x:c r="I193" s="231" t="n">
        <x:v>10</x:v>
      </x:c>
      <x:c r="J193" s="232" t="n">
        <x:v>0</x:v>
      </x:c>
      <x:c r="K193" s="233" t="s"/>
      <x:c r="L193" s="231" t="n">
        <x:v>0</x:v>
      </x:c>
      <x:c r="M193" s="231" t="n">
        <x:v>0</x:v>
      </x:c>
      <x:c r="N193" s="234">
        <x:f>ROUND(((I193*J193)-((I193*J193)*L193/100))+(((I193*J193)-((I193*J193)*L193/100))*M193/100), 2)</x:f>
      </x:c>
      <x:c r="O193" s="230">
        <x:f>M11</x:f>
      </x:c>
      <x:c r="P193" s="235" t="s"/>
      <x:c r="Q193" s="236" t="s"/>
      <x:c r="R193" s="237" t="s"/>
      <x:c r="S193" s="238" t="s"/>
      <x:c r="T193" s="239" t="s"/>
    </x:row>
    <x:row r="194" spans="1:24" customFormat="1" ht="24" customHeight="1">
      <x:c r="A194" s="226" t="n">
        <x:v>175</x:v>
      </x:c>
      <x:c r="B194" s="226" t="n">
        <x:v>99990008656088</x:v>
      </x:c>
      <x:c r="C194" s="227" t="n">
        <x:v>232363</x:v>
      </x:c>
      <x:c r="D194" s="228" t="s">
        <x:v>258</x:v>
      </x:c>
      <x:c r="E194" s="229" t="s"/>
      <x:c r="F194" s="229" t="n">
        <x:v>232363</x:v>
      </x:c>
      <x:c r="G194" s="229" t="s">
        <x:v>42</x:v>
      </x:c>
      <x:c r="H194" s="230" t="n">
        <x:v>0</x:v>
      </x:c>
      <x:c r="I194" s="231" t="n">
        <x:v>20</x:v>
      </x:c>
      <x:c r="J194" s="232" t="n">
        <x:v>0</x:v>
      </x:c>
      <x:c r="K194" s="233" t="s"/>
      <x:c r="L194" s="231" t="n">
        <x:v>0</x:v>
      </x:c>
      <x:c r="M194" s="231" t="n">
        <x:v>0</x:v>
      </x:c>
      <x:c r="N194" s="234">
        <x:f>ROUND(((I194*J194)-((I194*J194)*L194/100))+(((I194*J194)-((I194*J194)*L194/100))*M194/100), 2)</x:f>
      </x:c>
      <x:c r="O194" s="230">
        <x:f>M11</x:f>
      </x:c>
      <x:c r="P194" s="235" t="s"/>
      <x:c r="Q194" s="236" t="s"/>
      <x:c r="R194" s="237" t="s"/>
      <x:c r="S194" s="238" t="s"/>
      <x:c r="T194" s="239" t="s"/>
    </x:row>
    <x:row r="195" spans="1:24" customFormat="1" ht="24" customHeight="1">
      <x:c r="A195" s="226" t="n">
        <x:v>176</x:v>
      </x:c>
      <x:c r="B195" s="226" t="n">
        <x:v>99990010004251</x:v>
      </x:c>
      <x:c r="C195" s="227" t="n">
        <x:v>214506</x:v>
      </x:c>
      <x:c r="D195" s="228" t="s">
        <x:v>259</x:v>
      </x:c>
      <x:c r="E195" s="229" t="s"/>
      <x:c r="F195" s="229" t="n">
        <x:v>214506</x:v>
      </x:c>
      <x:c r="G195" s="229" t="s">
        <x:v>42</x:v>
      </x:c>
      <x:c r="H195" s="230" t="n">
        <x:v>0</x:v>
      </x:c>
      <x:c r="I195" s="231" t="n">
        <x:v>3</x:v>
      </x:c>
      <x:c r="J195" s="232" t="n">
        <x:v>0</x:v>
      </x:c>
      <x:c r="K195" s="233" t="s"/>
      <x:c r="L195" s="231" t="n">
        <x:v>0</x:v>
      </x:c>
      <x:c r="M195" s="231" t="n">
        <x:v>0</x:v>
      </x:c>
      <x:c r="N195" s="234">
        <x:f>ROUND(((I195*J195)-((I195*J195)*L195/100))+(((I195*J195)-((I195*J195)*L195/100))*M195/100), 2)</x:f>
      </x:c>
      <x:c r="O195" s="230">
        <x:f>M11</x:f>
      </x:c>
      <x:c r="P195" s="235" t="s"/>
      <x:c r="Q195" s="236" t="s"/>
      <x:c r="R195" s="237" t="s"/>
      <x:c r="S195" s="238" t="s"/>
      <x:c r="T195" s="239" t="s"/>
    </x:row>
    <x:row r="196" spans="1:24" customFormat="1" ht="24" customHeight="1">
      <x:c r="A196" s="226" t="n">
        <x:v>177</x:v>
      </x:c>
      <x:c r="B196" s="226" t="n">
        <x:v>99990009872430</x:v>
      </x:c>
      <x:c r="C196" s="227" t="n">
        <x:v>190414</x:v>
      </x:c>
      <x:c r="D196" s="228" t="s">
        <x:v>260</x:v>
      </x:c>
      <x:c r="E196" s="229" t="s"/>
      <x:c r="F196" s="229" t="n">
        <x:v>190414</x:v>
      </x:c>
      <x:c r="G196" s="229" t="s">
        <x:v>45</x:v>
      </x:c>
      <x:c r="H196" s="230" t="n">
        <x:v>0</x:v>
      </x:c>
      <x:c r="I196" s="231" t="n">
        <x:v>35</x:v>
      </x:c>
      <x:c r="J196" s="232" t="n">
        <x:v>0</x:v>
      </x:c>
      <x:c r="K196" s="233" t="s"/>
      <x:c r="L196" s="231" t="n">
        <x:v>0</x:v>
      </x:c>
      <x:c r="M196" s="231" t="n">
        <x:v>0</x:v>
      </x:c>
      <x:c r="N196" s="234">
        <x:f>ROUND(((I196*J196)-((I196*J196)*L196/100))+(((I196*J196)-((I196*J196)*L196/100))*M196/100), 2)</x:f>
      </x:c>
      <x:c r="O196" s="230">
        <x:f>M11</x:f>
      </x:c>
      <x:c r="P196" s="235" t="s"/>
      <x:c r="Q196" s="236" t="s"/>
      <x:c r="R196" s="237" t="s"/>
      <x:c r="S196" s="238" t="s"/>
      <x:c r="T196" s="239" t="s"/>
    </x:row>
    <x:row r="197" spans="1:24" customFormat="1" ht="24" customHeight="1">
      <x:c r="A197" s="226" t="n">
        <x:v>178</x:v>
      </x:c>
      <x:c r="B197" s="226" t="n">
        <x:v>99990009872809</x:v>
      </x:c>
      <x:c r="C197" s="227" t="n">
        <x:v>190289</x:v>
      </x:c>
      <x:c r="D197" s="228" t="s">
        <x:v>261</x:v>
      </x:c>
      <x:c r="E197" s="229" t="s"/>
      <x:c r="F197" s="229" t="n">
        <x:v>190289</x:v>
      </x:c>
      <x:c r="G197" s="229" t="s">
        <x:v>55</x:v>
      </x:c>
      <x:c r="H197" s="230" t="n">
        <x:v>0</x:v>
      </x:c>
      <x:c r="I197" s="231" t="n">
        <x:v>6</x:v>
      </x:c>
      <x:c r="J197" s="232" t="n">
        <x:v>0</x:v>
      </x:c>
      <x:c r="K197" s="233" t="s"/>
      <x:c r="L197" s="231" t="n">
        <x:v>0</x:v>
      </x:c>
      <x:c r="M197" s="231" t="n">
        <x:v>0</x:v>
      </x:c>
      <x:c r="N197" s="234">
        <x:f>ROUND(((I197*J197)-((I197*J197)*L197/100))+(((I197*J197)-((I197*J197)*L197/100))*M197/100), 2)</x:f>
      </x:c>
      <x:c r="O197" s="230">
        <x:f>M11</x:f>
      </x:c>
      <x:c r="P197" s="235" t="s"/>
      <x:c r="Q197" s="236" t="s"/>
      <x:c r="R197" s="237" t="s"/>
      <x:c r="S197" s="238" t="s"/>
      <x:c r="T197" s="239" t="s"/>
    </x:row>
    <x:row r="198" spans="1:24" customFormat="1" ht="24" customHeight="1">
      <x:c r="A198" s="226" t="n">
        <x:v>179</x:v>
      </x:c>
      <x:c r="B198" s="226" t="n">
        <x:v>99990009872812</x:v>
      </x:c>
      <x:c r="C198" s="227" t="n">
        <x:v>190286</x:v>
      </x:c>
      <x:c r="D198" s="228" t="s">
        <x:v>262</x:v>
      </x:c>
      <x:c r="E198" s="229" t="s"/>
      <x:c r="F198" s="229" t="n">
        <x:v>190286</x:v>
      </x:c>
      <x:c r="G198" s="229" t="s">
        <x:v>55</x:v>
      </x:c>
      <x:c r="H198" s="230" t="n">
        <x:v>0</x:v>
      </x:c>
      <x:c r="I198" s="231" t="n">
        <x:v>4</x:v>
      </x:c>
      <x:c r="J198" s="232" t="n">
        <x:v>0</x:v>
      </x:c>
      <x:c r="K198" s="233" t="s"/>
      <x:c r="L198" s="231" t="n">
        <x:v>0</x:v>
      </x:c>
      <x:c r="M198" s="231" t="n">
        <x:v>0</x:v>
      </x:c>
      <x:c r="N198" s="234">
        <x:f>ROUND(((I198*J198)-((I198*J198)*L198/100))+(((I198*J198)-((I198*J198)*L198/100))*M198/100), 2)</x:f>
      </x:c>
      <x:c r="O198" s="230">
        <x:f>M11</x:f>
      </x:c>
      <x:c r="P198" s="235" t="s"/>
      <x:c r="Q198" s="236" t="s"/>
      <x:c r="R198" s="237" t="s"/>
      <x:c r="S198" s="238" t="s"/>
      <x:c r="T198" s="239" t="s"/>
    </x:row>
    <x:row r="199" spans="1:24" customFormat="1" ht="24" customHeight="1">
      <x:c r="A199" s="226" t="n">
        <x:v>180</x:v>
      </x:c>
      <x:c r="B199" s="226" t="n">
        <x:v>99990009872900</x:v>
      </x:c>
      <x:c r="C199" s="227" t="n">
        <x:v>190109</x:v>
      </x:c>
      <x:c r="D199" s="228" t="s">
        <x:v>263</x:v>
      </x:c>
      <x:c r="E199" s="229" t="s"/>
      <x:c r="F199" s="229" t="n">
        <x:v>190109</x:v>
      </x:c>
      <x:c r="G199" s="229" t="s">
        <x:v>66</x:v>
      </x:c>
      <x:c r="H199" s="230" t="n">
        <x:v>0</x:v>
      </x:c>
      <x:c r="I199" s="231" t="n">
        <x:v>10</x:v>
      </x:c>
      <x:c r="J199" s="232" t="n">
        <x:v>0</x:v>
      </x:c>
      <x:c r="K199" s="233" t="s"/>
      <x:c r="L199" s="231" t="n">
        <x:v>0</x:v>
      </x:c>
      <x:c r="M199" s="231" t="n">
        <x:v>0</x:v>
      </x:c>
      <x:c r="N199" s="234">
        <x:f>ROUND(((I199*J199)-((I199*J199)*L199/100))+(((I199*J199)-((I199*J199)*L199/100))*M199/100), 2)</x:f>
      </x:c>
      <x:c r="O199" s="230">
        <x:f>M11</x:f>
      </x:c>
      <x:c r="P199" s="235" t="s"/>
      <x:c r="Q199" s="236" t="s"/>
      <x:c r="R199" s="237" t="s"/>
      <x:c r="S199" s="238" t="s"/>
      <x:c r="T199" s="239" t="s"/>
    </x:row>
    <x:row r="200" spans="1:24" customFormat="1" ht="24" customHeight="1">
      <x:c r="A200" s="226" t="n">
        <x:v>181</x:v>
      </x:c>
      <x:c r="B200" s="226" t="n">
        <x:v>99990010098482</x:v>
      </x:c>
      <x:c r="C200" s="227" t="n">
        <x:v>550545</x:v>
      </x:c>
      <x:c r="D200" s="228" t="s">
        <x:v>264</x:v>
      </x:c>
      <x:c r="E200" s="229" t="s"/>
      <x:c r="F200" s="229" t="n">
        <x:v>550545</x:v>
      </x:c>
      <x:c r="G200" s="229" t="s">
        <x:v>122</x:v>
      </x:c>
      <x:c r="H200" s="230" t="n">
        <x:v>0</x:v>
      </x:c>
      <x:c r="I200" s="231" t="n">
        <x:v>3</x:v>
      </x:c>
      <x:c r="J200" s="232" t="n">
        <x:v>0</x:v>
      </x:c>
      <x:c r="K200" s="233" t="s"/>
      <x:c r="L200" s="231" t="n">
        <x:v>0</x:v>
      </x:c>
      <x:c r="M200" s="231" t="n">
        <x:v>0</x:v>
      </x:c>
      <x:c r="N200" s="234">
        <x:f>ROUND(((I200*J200)-((I200*J200)*L200/100))+(((I200*J200)-((I200*J200)*L200/100))*M200/100), 2)</x:f>
      </x:c>
      <x:c r="O200" s="230">
        <x:f>M11</x:f>
      </x:c>
      <x:c r="P200" s="235" t="s"/>
      <x:c r="Q200" s="236" t="s"/>
      <x:c r="R200" s="237" t="s"/>
      <x:c r="S200" s="238" t="s"/>
      <x:c r="T200" s="239" t="s"/>
    </x:row>
    <x:row r="201" spans="1:24" customFormat="1" ht="24" customHeight="1">
      <x:c r="A201" s="226" t="n">
        <x:v>182</x:v>
      </x:c>
      <x:c r="B201" s="226" t="n">
        <x:v>99990010237004</x:v>
      </x:c>
      <x:c r="C201" s="227" t="n">
        <x:v>550504</x:v>
      </x:c>
      <x:c r="D201" s="228" t="s">
        <x:v>265</x:v>
      </x:c>
      <x:c r="E201" s="229" t="s"/>
      <x:c r="F201" s="229" t="n">
        <x:v>550504</x:v>
      </x:c>
      <x:c r="G201" s="229" t="s">
        <x:v>122</x:v>
      </x:c>
      <x:c r="H201" s="230" t="n">
        <x:v>0</x:v>
      </x:c>
      <x:c r="I201" s="231" t="n">
        <x:v>3</x:v>
      </x:c>
      <x:c r="J201" s="232" t="n">
        <x:v>0</x:v>
      </x:c>
      <x:c r="K201" s="233" t="s"/>
      <x:c r="L201" s="231" t="n">
        <x:v>0</x:v>
      </x:c>
      <x:c r="M201" s="231" t="n">
        <x:v>0</x:v>
      </x:c>
      <x:c r="N201" s="234">
        <x:f>ROUND(((I201*J201)-((I201*J201)*L201/100))+(((I201*J201)-((I201*J201)*L201/100))*M201/100), 2)</x:f>
      </x:c>
      <x:c r="O201" s="230">
        <x:f>M11</x:f>
      </x:c>
      <x:c r="P201" s="235" t="s"/>
      <x:c r="Q201" s="236" t="s"/>
      <x:c r="R201" s="237" t="s"/>
      <x:c r="S201" s="238" t="s"/>
      <x:c r="T201" s="239" t="s"/>
    </x:row>
    <x:row r="202" spans="1:24" customFormat="1" ht="24" customHeight="1">
      <x:c r="A202" s="226" t="n">
        <x:v>183</x:v>
      </x:c>
      <x:c r="B202" s="226" t="n">
        <x:v>99990008658180</x:v>
      </x:c>
      <x:c r="C202" s="227" t="n">
        <x:v>617609</x:v>
      </x:c>
      <x:c r="D202" s="228" t="s">
        <x:v>266</x:v>
      </x:c>
      <x:c r="E202" s="229" t="s"/>
      <x:c r="F202" s="229" t="n">
        <x:v>617609</x:v>
      </x:c>
      <x:c r="G202" s="229" t="s">
        <x:v>42</x:v>
      </x:c>
      <x:c r="H202" s="230" t="n">
        <x:v>0</x:v>
      </x:c>
      <x:c r="I202" s="231" t="n">
        <x:v>30</x:v>
      </x:c>
      <x:c r="J202" s="232" t="n">
        <x:v>0</x:v>
      </x:c>
      <x:c r="K202" s="233" t="s"/>
      <x:c r="L202" s="231" t="n">
        <x:v>0</x:v>
      </x:c>
      <x:c r="M202" s="231" t="n">
        <x:v>0</x:v>
      </x:c>
      <x:c r="N202" s="234">
        <x:f>ROUND(((I202*J202)-((I202*J202)*L202/100))+(((I202*J202)-((I202*J202)*L202/100))*M202/100), 2)</x:f>
      </x:c>
      <x:c r="O202" s="230">
        <x:f>M11</x:f>
      </x:c>
      <x:c r="P202" s="235" t="s"/>
      <x:c r="Q202" s="236" t="s"/>
      <x:c r="R202" s="237" t="s"/>
      <x:c r="S202" s="238" t="s"/>
      <x:c r="T202" s="239" t="s"/>
    </x:row>
    <x:row r="203" spans="1:24" customFormat="1" ht="24" customHeight="1">
      <x:c r="A203" s="226" t="n">
        <x:v>184</x:v>
      </x:c>
      <x:c r="B203" s="226" t="n">
        <x:v>99990009868243</x:v>
      </x:c>
      <x:c r="C203" s="227" t="n">
        <x:v>330733</x:v>
      </x:c>
      <x:c r="D203" s="228" t="s">
        <x:v>267</x:v>
      </x:c>
      <x:c r="E203" s="229" t="s"/>
      <x:c r="F203" s="229" t="n">
        <x:v>330733</x:v>
      </x:c>
      <x:c r="G203" s="229" t="s">
        <x:v>249</x:v>
      </x:c>
      <x:c r="H203" s="230" t="n">
        <x:v>0</x:v>
      </x:c>
      <x:c r="I203" s="231" t="n">
        <x:v>3</x:v>
      </x:c>
      <x:c r="J203" s="232" t="n">
        <x:v>0</x:v>
      </x:c>
      <x:c r="K203" s="233" t="s"/>
      <x:c r="L203" s="231" t="n">
        <x:v>0</x:v>
      </x:c>
      <x:c r="M203" s="231" t="n">
        <x:v>0</x:v>
      </x:c>
      <x:c r="N203" s="234">
        <x:f>ROUND(((I203*J203)-((I203*J203)*L203/100))+(((I203*J203)-((I203*J203)*L203/100))*M203/100), 2)</x:f>
      </x:c>
      <x:c r="O203" s="230">
        <x:f>M11</x:f>
      </x:c>
      <x:c r="P203" s="235" t="s"/>
      <x:c r="Q203" s="236" t="s"/>
      <x:c r="R203" s="237" t="s"/>
      <x:c r="S203" s="238" t="s"/>
      <x:c r="T203" s="239" t="s"/>
    </x:row>
    <x:row r="204" spans="1:24" customFormat="1" ht="24" customHeight="1">
      <x:c r="A204" s="226" t="n">
        <x:v>185</x:v>
      </x:c>
      <x:c r="B204" s="226" t="n">
        <x:v>99990010100426</x:v>
      </x:c>
      <x:c r="C204" s="227" t="n">
        <x:v>232448</x:v>
      </x:c>
      <x:c r="D204" s="228" t="s">
        <x:v>268</x:v>
      </x:c>
      <x:c r="E204" s="229" t="s"/>
      <x:c r="F204" s="229" t="n">
        <x:v>232448</x:v>
      </x:c>
      <x:c r="G204" s="229" t="s">
        <x:v>193</x:v>
      </x:c>
      <x:c r="H204" s="230" t="n">
        <x:v>0</x:v>
      </x:c>
      <x:c r="I204" s="231" t="n">
        <x:v>20</x:v>
      </x:c>
      <x:c r="J204" s="232" t="n">
        <x:v>0</x:v>
      </x:c>
      <x:c r="K204" s="233" t="s"/>
      <x:c r="L204" s="231" t="n">
        <x:v>0</x:v>
      </x:c>
      <x:c r="M204" s="231" t="n">
        <x:v>0</x:v>
      </x:c>
      <x:c r="N204" s="234">
        <x:f>ROUND(((I204*J204)-((I204*J204)*L204/100))+(((I204*J204)-((I204*J204)*L204/100))*M204/100), 2)</x:f>
      </x:c>
      <x:c r="O204" s="230">
        <x:f>M11</x:f>
      </x:c>
      <x:c r="P204" s="235" t="s"/>
      <x:c r="Q204" s="236" t="s"/>
      <x:c r="R204" s="237" t="s"/>
      <x:c r="S204" s="238" t="s"/>
      <x:c r="T204" s="239" t="s"/>
    </x:row>
    <x:row r="205" spans="1:24" customFormat="1" ht="24" customHeight="1">
      <x:c r="A205" s="226" t="n">
        <x:v>186</x:v>
      </x:c>
      <x:c r="B205" s="226" t="n">
        <x:v>99990008656475</x:v>
      </x:c>
      <x:c r="C205" s="227" t="n">
        <x:v>611841</x:v>
      </x:c>
      <x:c r="D205" s="228" t="s">
        <x:v>269</x:v>
      </x:c>
      <x:c r="E205" s="229" t="s"/>
      <x:c r="F205" s="229" t="n">
        <x:v>611841</x:v>
      </x:c>
      <x:c r="G205" s="229" t="s">
        <x:v>55</x:v>
      </x:c>
      <x:c r="H205" s="230" t="n">
        <x:v>0</x:v>
      </x:c>
      <x:c r="I205" s="231" t="n">
        <x:v>2</x:v>
      </x:c>
      <x:c r="J205" s="232" t="n">
        <x:v>0</x:v>
      </x:c>
      <x:c r="K205" s="233" t="s"/>
      <x:c r="L205" s="231" t="n">
        <x:v>0</x:v>
      </x:c>
      <x:c r="M205" s="231" t="n">
        <x:v>0</x:v>
      </x:c>
      <x:c r="N205" s="234">
        <x:f>ROUND(((I205*J205)-((I205*J205)*L205/100))+(((I205*J205)-((I205*J205)*L205/100))*M205/100), 2)</x:f>
      </x:c>
      <x:c r="O205" s="230">
        <x:f>M11</x:f>
      </x:c>
      <x:c r="P205" s="235" t="s"/>
      <x:c r="Q205" s="236" t="s"/>
      <x:c r="R205" s="237" t="s"/>
      <x:c r="S205" s="238" t="s"/>
      <x:c r="T205" s="239" t="s"/>
    </x:row>
    <x:row r="206" spans="1:24" customFormat="1" ht="24" customHeight="1">
      <x:c r="A206" s="226" t="n">
        <x:v>187</x:v>
      </x:c>
      <x:c r="B206" s="226" t="n">
        <x:v>99990009573604</x:v>
      </x:c>
      <x:c r="C206" s="227" t="n">
        <x:v>2136554</x:v>
      </x:c>
      <x:c r="D206" s="228" t="s">
        <x:v>270</x:v>
      </x:c>
      <x:c r="E206" s="229" t="s"/>
      <x:c r="F206" s="229" t="n">
        <x:v>614802</x:v>
      </x:c>
      <x:c r="G206" s="229" t="s">
        <x:v>42</x:v>
      </x:c>
      <x:c r="H206" s="230" t="n">
        <x:v>0</x:v>
      </x:c>
      <x:c r="I206" s="231" t="n">
        <x:v>60</x:v>
      </x:c>
      <x:c r="J206" s="232" t="n">
        <x:v>0</x:v>
      </x:c>
      <x:c r="K206" s="233" t="s"/>
      <x:c r="L206" s="231" t="n">
        <x:v>0</x:v>
      </x:c>
      <x:c r="M206" s="231" t="n">
        <x:v>0</x:v>
      </x:c>
      <x:c r="N206" s="234">
        <x:f>ROUND(((I206*J206)-((I206*J206)*L206/100))+(((I206*J206)-((I206*J206)*L206/100))*M206/100), 2)</x:f>
      </x:c>
      <x:c r="O206" s="230">
        <x:f>M11</x:f>
      </x:c>
      <x:c r="P206" s="235" t="s"/>
      <x:c r="Q206" s="236" t="s"/>
      <x:c r="R206" s="237" t="s"/>
      <x:c r="S206" s="238" t="s"/>
      <x:c r="T206" s="239" t="s"/>
    </x:row>
    <x:row r="207" spans="1:24" customFormat="1" ht="24" customHeight="1">
      <x:c r="A207" s="226" t="n">
        <x:v>188</x:v>
      </x:c>
      <x:c r="B207" s="226" t="n">
        <x:v>99990008657871</x:v>
      </x:c>
      <x:c r="C207" s="227" t="s">
        <x:v>132</x:v>
      </x:c>
      <x:c r="D207" s="228" t="s">
        <x:v>271</x:v>
      </x:c>
      <x:c r="E207" s="229" t="s"/>
      <x:c r="F207" s="229" t="n">
        <x:v>471332</x:v>
      </x:c>
      <x:c r="G207" s="229" t="s">
        <x:v>58</x:v>
      </x:c>
      <x:c r="H207" s="230" t="n">
        <x:v>0</x:v>
      </x:c>
      <x:c r="I207" s="231" t="n">
        <x:v>5</x:v>
      </x:c>
      <x:c r="J207" s="232" t="n">
        <x:v>0</x:v>
      </x:c>
      <x:c r="K207" s="233" t="s"/>
      <x:c r="L207" s="231" t="n">
        <x:v>0</x:v>
      </x:c>
      <x:c r="M207" s="231" t="n">
        <x:v>0</x:v>
      </x:c>
      <x:c r="N207" s="234">
        <x:f>ROUND(((I207*J207)-((I207*J207)*L207/100))+(((I207*J207)-((I207*J207)*L207/100))*M207/100), 2)</x:f>
      </x:c>
      <x:c r="O207" s="230">
        <x:f>M11</x:f>
      </x:c>
      <x:c r="P207" s="235" t="s"/>
      <x:c r="Q207" s="236" t="s"/>
      <x:c r="R207" s="237" t="s"/>
      <x:c r="S207" s="238" t="s"/>
      <x:c r="T207" s="239" t="s"/>
    </x:row>
    <x:row r="208" spans="1:24" customFormat="1" ht="24" customHeight="1">
      <x:c r="A208" s="226" t="n">
        <x:v>189</x:v>
      </x:c>
      <x:c r="B208" s="226" t="n">
        <x:v>99990008655906</x:v>
      </x:c>
      <x:c r="C208" s="227" t="n">
        <x:v>510462</x:v>
      </x:c>
      <x:c r="D208" s="228" t="s">
        <x:v>272</x:v>
      </x:c>
      <x:c r="E208" s="229" t="s"/>
      <x:c r="F208" s="229" t="n">
        <x:v>510462</x:v>
      </x:c>
      <x:c r="G208" s="229" t="s">
        <x:v>42</x:v>
      </x:c>
      <x:c r="H208" s="230" t="n">
        <x:v>0</x:v>
      </x:c>
      <x:c r="I208" s="231" t="n">
        <x:v>300</x:v>
      </x:c>
      <x:c r="J208" s="232" t="n">
        <x:v>0</x:v>
      </x:c>
      <x:c r="K208" s="233" t="s"/>
      <x:c r="L208" s="231" t="n">
        <x:v>0</x:v>
      </x:c>
      <x:c r="M208" s="231" t="n">
        <x:v>0</x:v>
      </x:c>
      <x:c r="N208" s="234">
        <x:f>ROUND(((I208*J208)-((I208*J208)*L208/100))+(((I208*J208)-((I208*J208)*L208/100))*M208/100), 2)</x:f>
      </x:c>
      <x:c r="O208" s="230">
        <x:f>M11</x:f>
      </x:c>
      <x:c r="P208" s="235" t="s"/>
      <x:c r="Q208" s="236" t="s"/>
      <x:c r="R208" s="237" t="s"/>
      <x:c r="S208" s="238" t="s"/>
      <x:c r="T208" s="239" t="s"/>
    </x:row>
    <x:row r="209" spans="1:24" customFormat="1" ht="24" customHeight="1">
      <x:c r="A209" s="226" t="n">
        <x:v>190</x:v>
      </x:c>
      <x:c r="B209" s="226" t="n">
        <x:v>99990008655905</x:v>
      </x:c>
      <x:c r="C209" s="227" t="n">
        <x:v>510461</x:v>
      </x:c>
      <x:c r="D209" s="228" t="s">
        <x:v>273</x:v>
      </x:c>
      <x:c r="E209" s="229" t="s"/>
      <x:c r="F209" s="229" t="n">
        <x:v>510461</x:v>
      </x:c>
      <x:c r="G209" s="229" t="s">
        <x:v>45</x:v>
      </x:c>
      <x:c r="H209" s="230" t="n">
        <x:v>0</x:v>
      </x:c>
      <x:c r="I209" s="231" t="n">
        <x:v>30</x:v>
      </x:c>
      <x:c r="J209" s="232" t="n">
        <x:v>0</x:v>
      </x:c>
      <x:c r="K209" s="233" t="s"/>
      <x:c r="L209" s="231" t="n">
        <x:v>0</x:v>
      </x:c>
      <x:c r="M209" s="231" t="n">
        <x:v>0</x:v>
      </x:c>
      <x:c r="N209" s="234">
        <x:f>ROUND(((I209*J209)-((I209*J209)*L209/100))+(((I209*J209)-((I209*J209)*L209/100))*M209/100), 2)</x:f>
      </x:c>
      <x:c r="O209" s="230">
        <x:f>M11</x:f>
      </x:c>
      <x:c r="P209" s="235" t="s"/>
      <x:c r="Q209" s="236" t="s"/>
      <x:c r="R209" s="237" t="s"/>
      <x:c r="S209" s="238" t="s"/>
      <x:c r="T209" s="239" t="s"/>
    </x:row>
    <x:row r="210" spans="1:24" customFormat="1" ht="24" customHeight="1">
      <x:c r="A210" s="226" t="n">
        <x:v>191</x:v>
      </x:c>
      <x:c r="B210" s="226" t="n">
        <x:v>99990008657588</x:v>
      </x:c>
      <x:c r="C210" s="227" t="n">
        <x:v>510165</x:v>
      </x:c>
      <x:c r="D210" s="228" t="s">
        <x:v>274</x:v>
      </x:c>
      <x:c r="E210" s="229" t="s"/>
      <x:c r="F210" s="229" t="n">
        <x:v>510165</x:v>
      </x:c>
      <x:c r="G210" s="229" t="s">
        <x:v>42</x:v>
      </x:c>
      <x:c r="H210" s="230" t="n">
        <x:v>0</x:v>
      </x:c>
      <x:c r="I210" s="231" t="n">
        <x:v>30</x:v>
      </x:c>
      <x:c r="J210" s="232" t="n">
        <x:v>0</x:v>
      </x:c>
      <x:c r="K210" s="233" t="s"/>
      <x:c r="L210" s="231" t="n">
        <x:v>0</x:v>
      </x:c>
      <x:c r="M210" s="231" t="n">
        <x:v>0</x:v>
      </x:c>
      <x:c r="N210" s="234">
        <x:f>ROUND(((I210*J210)-((I210*J210)*L210/100))+(((I210*J210)-((I210*J210)*L210/100))*M210/100), 2)</x:f>
      </x:c>
      <x:c r="O210" s="230">
        <x:f>M11</x:f>
      </x:c>
      <x:c r="P210" s="235" t="s"/>
      <x:c r="Q210" s="236" t="s"/>
      <x:c r="R210" s="237" t="s"/>
      <x:c r="S210" s="238" t="s"/>
      <x:c r="T210" s="239" t="s"/>
    </x:row>
    <x:row r="211" spans="1:24" customFormat="1" ht="24" customHeight="1">
      <x:c r="A211" s="226" t="n">
        <x:v>192</x:v>
      </x:c>
      <x:c r="B211" s="226" t="n">
        <x:v>99990008655899</x:v>
      </x:c>
      <x:c r="C211" s="227" t="n">
        <x:v>510338</x:v>
      </x:c>
      <x:c r="D211" s="228" t="s">
        <x:v>275</x:v>
      </x:c>
      <x:c r="E211" s="229" t="s"/>
      <x:c r="F211" s="229" t="n">
        <x:v>510338</x:v>
      </x:c>
      <x:c r="G211" s="229" t="s">
        <x:v>42</x:v>
      </x:c>
      <x:c r="H211" s="230" t="n">
        <x:v>0</x:v>
      </x:c>
      <x:c r="I211" s="231" t="n">
        <x:v>30</x:v>
      </x:c>
      <x:c r="J211" s="232" t="n">
        <x:v>0</x:v>
      </x:c>
      <x:c r="K211" s="233" t="s"/>
      <x:c r="L211" s="231" t="n">
        <x:v>0</x:v>
      </x:c>
      <x:c r="M211" s="231" t="n">
        <x:v>0</x:v>
      </x:c>
      <x:c r="N211" s="234">
        <x:f>ROUND(((I211*J211)-((I211*J211)*L211/100))+(((I211*J211)-((I211*J211)*L211/100))*M211/100), 2)</x:f>
      </x:c>
      <x:c r="O211" s="230">
        <x:f>M11</x:f>
      </x:c>
      <x:c r="P211" s="235" t="s"/>
      <x:c r="Q211" s="236" t="s"/>
      <x:c r="R211" s="237" t="s"/>
      <x:c r="S211" s="238" t="s"/>
      <x:c r="T211" s="239" t="s"/>
    </x:row>
    <x:row r="212" spans="1:24" customFormat="1" ht="24" customHeight="1">
      <x:c r="A212" s="226" t="n">
        <x:v>193</x:v>
      </x:c>
      <x:c r="B212" s="226" t="n">
        <x:v>99990008655891</x:v>
      </x:c>
      <x:c r="C212" s="227" t="n">
        <x:v>510308</x:v>
      </x:c>
      <x:c r="D212" s="228" t="s">
        <x:v>276</x:v>
      </x:c>
      <x:c r="E212" s="229" t="s"/>
      <x:c r="F212" s="229" t="n">
        <x:v>510308</x:v>
      </x:c>
      <x:c r="G212" s="229" t="s">
        <x:v>45</x:v>
      </x:c>
      <x:c r="H212" s="230" t="n">
        <x:v>0</x:v>
      </x:c>
      <x:c r="I212" s="231" t="n">
        <x:v>10</x:v>
      </x:c>
      <x:c r="J212" s="232" t="n">
        <x:v>0</x:v>
      </x:c>
      <x:c r="K212" s="233" t="s"/>
      <x:c r="L212" s="231" t="n">
        <x:v>0</x:v>
      </x:c>
      <x:c r="M212" s="231" t="n">
        <x:v>0</x:v>
      </x:c>
      <x:c r="N212" s="234">
        <x:f>ROUND(((I212*J212)-((I212*J212)*L212/100))+(((I212*J212)-((I212*J212)*L212/100))*M212/100), 2)</x:f>
      </x:c>
      <x:c r="O212" s="230">
        <x:f>M11</x:f>
      </x:c>
      <x:c r="P212" s="235" t="s"/>
      <x:c r="Q212" s="236" t="s"/>
      <x:c r="R212" s="237" t="s"/>
      <x:c r="S212" s="238" t="s"/>
      <x:c r="T212" s="239" t="s"/>
    </x:row>
    <x:row r="213" spans="1:24" customFormat="1" ht="24" customHeight="1">
      <x:c r="A213" s="226" t="n">
        <x:v>194</x:v>
      </x:c>
      <x:c r="B213" s="226" t="n">
        <x:v>99990010309927</x:v>
      </x:c>
      <x:c r="C213" s="227" t="n">
        <x:v>615242</x:v>
      </x:c>
      <x:c r="D213" s="228" t="s">
        <x:v>277</x:v>
      </x:c>
      <x:c r="E213" s="229" t="s"/>
      <x:c r="F213" s="229" t="n">
        <x:v>615242</x:v>
      </x:c>
      <x:c r="G213" s="229" t="s">
        <x:v>63</x:v>
      </x:c>
      <x:c r="H213" s="230" t="n">
        <x:v>0</x:v>
      </x:c>
      <x:c r="I213" s="231" t="n">
        <x:v>3</x:v>
      </x:c>
      <x:c r="J213" s="232" t="n">
        <x:v>0</x:v>
      </x:c>
      <x:c r="K213" s="233" t="s"/>
      <x:c r="L213" s="231" t="n">
        <x:v>0</x:v>
      </x:c>
      <x:c r="M213" s="231" t="n">
        <x:v>0</x:v>
      </x:c>
      <x:c r="N213" s="234">
        <x:f>ROUND(((I213*J213)-((I213*J213)*L213/100))+(((I213*J213)-((I213*J213)*L213/100))*M213/100), 2)</x:f>
      </x:c>
      <x:c r="O213" s="230">
        <x:f>M11</x:f>
      </x:c>
      <x:c r="P213" s="235" t="s"/>
      <x:c r="Q213" s="236" t="s"/>
      <x:c r="R213" s="237" t="s"/>
      <x:c r="S213" s="238" t="s"/>
      <x:c r="T213" s="239" t="s"/>
    </x:row>
    <x:row r="214" spans="1:24" customFormat="1" ht="24" customHeight="1">
      <x:c r="A214" s="226" t="n">
        <x:v>195</x:v>
      </x:c>
      <x:c r="B214" s="226" t="n">
        <x:v>99990009881159</x:v>
      </x:c>
      <x:c r="C214" s="227" t="s">
        <x:v>132</x:v>
      </x:c>
      <x:c r="D214" s="228" t="s">
        <x:v>278</x:v>
      </x:c>
      <x:c r="E214" s="229" t="s"/>
      <x:c r="F214" s="229" t="n">
        <x:v>471864</x:v>
      </x:c>
      <x:c r="G214" s="229" t="s">
        <x:v>42</x:v>
      </x:c>
      <x:c r="H214" s="230" t="n">
        <x:v>0</x:v>
      </x:c>
      <x:c r="I214" s="231" t="n">
        <x:v>2</x:v>
      </x:c>
      <x:c r="J214" s="232" t="n">
        <x:v>0</x:v>
      </x:c>
      <x:c r="K214" s="233" t="s"/>
      <x:c r="L214" s="231" t="n">
        <x:v>0</x:v>
      </x:c>
      <x:c r="M214" s="231" t="n">
        <x:v>0</x:v>
      </x:c>
      <x:c r="N214" s="234">
        <x:f>ROUND(((I214*J214)-((I214*J214)*L214/100))+(((I214*J214)-((I214*J214)*L214/100))*M214/100), 2)</x:f>
      </x:c>
      <x:c r="O214" s="230">
        <x:f>M11</x:f>
      </x:c>
      <x:c r="P214" s="235" t="s"/>
      <x:c r="Q214" s="236" t="s"/>
      <x:c r="R214" s="237" t="s">
        <x:v>279</x:v>
      </x:c>
      <x:c r="S214" s="238" t="s"/>
      <x:c r="T214" s="239" t="s"/>
    </x:row>
    <x:row r="215" spans="1:24" customFormat="1" ht="24" customHeight="1">
      <x:c r="A215" s="226" t="n">
        <x:v>196</x:v>
      </x:c>
      <x:c r="B215" s="226" t="n">
        <x:v>99990009573535</x:v>
      </x:c>
      <x:c r="C215" s="227" t="s">
        <x:v>132</x:v>
      </x:c>
      <x:c r="D215" s="228" t="s">
        <x:v>280</x:v>
      </x:c>
      <x:c r="E215" s="229" t="s"/>
      <x:c r="F215" s="229" t="n">
        <x:v>471012</x:v>
      </x:c>
      <x:c r="G215" s="229" t="s">
        <x:v>42</x:v>
      </x:c>
      <x:c r="H215" s="230" t="n">
        <x:v>0</x:v>
      </x:c>
      <x:c r="I215" s="231" t="n">
        <x:v>10</x:v>
      </x:c>
      <x:c r="J215" s="232" t="n">
        <x:v>0</x:v>
      </x:c>
      <x:c r="K215" s="233" t="s"/>
      <x:c r="L215" s="231" t="n">
        <x:v>0</x:v>
      </x:c>
      <x:c r="M215" s="231" t="n">
        <x:v>0</x:v>
      </x:c>
      <x:c r="N215" s="234">
        <x:f>ROUND(((I215*J215)-((I215*J215)*L215/100))+(((I215*J215)-((I215*J215)*L215/100))*M215/100), 2)</x:f>
      </x:c>
      <x:c r="O215" s="230">
        <x:f>M11</x:f>
      </x:c>
      <x:c r="P215" s="235" t="s"/>
      <x:c r="Q215" s="236" t="s"/>
      <x:c r="R215" s="237" t="s">
        <x:v>279</x:v>
      </x:c>
      <x:c r="S215" s="238" t="s"/>
      <x:c r="T215" s="239" t="s"/>
    </x:row>
    <x:row r="216" spans="1:24" customFormat="1" ht="24" customHeight="1">
      <x:c r="A216" s="226" t="n">
        <x:v>197</x:v>
      </x:c>
      <x:c r="B216" s="226" t="n">
        <x:v>99990008657711</x:v>
      </x:c>
      <x:c r="C216" s="227" t="s">
        <x:v>132</x:v>
      </x:c>
      <x:c r="D216" s="228" t="s">
        <x:v>281</x:v>
      </x:c>
      <x:c r="E216" s="229" t="s"/>
      <x:c r="F216" s="229" t="n">
        <x:v>470297</x:v>
      </x:c>
      <x:c r="G216" s="229" t="s">
        <x:v>63</x:v>
      </x:c>
      <x:c r="H216" s="230" t="n">
        <x:v>0</x:v>
      </x:c>
      <x:c r="I216" s="231" t="n">
        <x:v>1</x:v>
      </x:c>
      <x:c r="J216" s="232" t="n">
        <x:v>0</x:v>
      </x:c>
      <x:c r="K216" s="233" t="s"/>
      <x:c r="L216" s="231" t="n">
        <x:v>0</x:v>
      </x:c>
      <x:c r="M216" s="231" t="n">
        <x:v>0</x:v>
      </x:c>
      <x:c r="N216" s="234">
        <x:f>ROUND(((I216*J216)-((I216*J216)*L216/100))+(((I216*J216)-((I216*J216)*L216/100))*M216/100), 2)</x:f>
      </x:c>
      <x:c r="O216" s="230">
        <x:f>M11</x:f>
      </x:c>
      <x:c r="P216" s="235" t="s"/>
      <x:c r="Q216" s="236" t="s"/>
      <x:c r="R216" s="237" t="s">
        <x:v>279</x:v>
      </x:c>
      <x:c r="S216" s="238" t="s"/>
      <x:c r="T216" s="239" t="s"/>
    </x:row>
    <x:row r="217" spans="1:24" customFormat="1" ht="24" customHeight="1">
      <x:c r="A217" s="226" t="n">
        <x:v>198</x:v>
      </x:c>
      <x:c r="B217" s="226" t="n">
        <x:v>99990008657806</x:v>
      </x:c>
      <x:c r="C217" s="227" t="s">
        <x:v>132</x:v>
      </x:c>
      <x:c r="D217" s="228" t="s">
        <x:v>282</x:v>
      </x:c>
      <x:c r="E217" s="229" t="s"/>
      <x:c r="F217" s="229" t="n">
        <x:v>471013</x:v>
      </x:c>
      <x:c r="G217" s="229" t="s">
        <x:v>42</x:v>
      </x:c>
      <x:c r="H217" s="230" t="n">
        <x:v>0</x:v>
      </x:c>
      <x:c r="I217" s="231" t="n">
        <x:v>10</x:v>
      </x:c>
      <x:c r="J217" s="232" t="n">
        <x:v>0</x:v>
      </x:c>
      <x:c r="K217" s="233" t="s"/>
      <x:c r="L217" s="231" t="n">
        <x:v>0</x:v>
      </x:c>
      <x:c r="M217" s="231" t="n">
        <x:v>0</x:v>
      </x:c>
      <x:c r="N217" s="234">
        <x:f>ROUND(((I217*J217)-((I217*J217)*L217/100))+(((I217*J217)-((I217*J217)*L217/100))*M217/100), 2)</x:f>
      </x:c>
      <x:c r="O217" s="230">
        <x:f>M11</x:f>
      </x:c>
      <x:c r="P217" s="235" t="s"/>
      <x:c r="Q217" s="236" t="s"/>
      <x:c r="R217" s="237" t="s">
        <x:v>279</x:v>
      </x:c>
      <x:c r="S217" s="238" t="s"/>
      <x:c r="T217" s="239" t="s"/>
    </x:row>
    <x:row r="218" spans="1:24" customFormat="1" ht="24" customHeight="1">
      <x:c r="A218" s="226" t="n">
        <x:v>199</x:v>
      </x:c>
      <x:c r="B218" s="226" t="n">
        <x:v>99990008657879</x:v>
      </x:c>
      <x:c r="C218" s="227" t="s">
        <x:v>132</x:v>
      </x:c>
      <x:c r="D218" s="228" t="s">
        <x:v>283</x:v>
      </x:c>
      <x:c r="E218" s="229" t="s"/>
      <x:c r="F218" s="229" t="n">
        <x:v>471567</x:v>
      </x:c>
      <x:c r="G218" s="229" t="s">
        <x:v>42</x:v>
      </x:c>
      <x:c r="H218" s="230" t="n">
        <x:v>0</x:v>
      </x:c>
      <x:c r="I218" s="231" t="n">
        <x:v>10</x:v>
      </x:c>
      <x:c r="J218" s="232" t="n">
        <x:v>0</x:v>
      </x:c>
      <x:c r="K218" s="233" t="s"/>
      <x:c r="L218" s="231" t="n">
        <x:v>0</x:v>
      </x:c>
      <x:c r="M218" s="231" t="n">
        <x:v>0</x:v>
      </x:c>
      <x:c r="N218" s="234">
        <x:f>ROUND(((I218*J218)-((I218*J218)*L218/100))+(((I218*J218)-((I218*J218)*L218/100))*M218/100), 2)</x:f>
      </x:c>
      <x:c r="O218" s="230">
        <x:f>M11</x:f>
      </x:c>
      <x:c r="P218" s="235" t="s"/>
      <x:c r="Q218" s="236" t="s"/>
      <x:c r="R218" s="237" t="s">
        <x:v>279</x:v>
      </x:c>
      <x:c r="S218" s="238" t="s"/>
      <x:c r="T218" s="239" t="s"/>
    </x:row>
    <x:row r="219" spans="1:24" customFormat="1" ht="24" customHeight="1">
      <x:c r="A219" s="226" t="n">
        <x:v>200</x:v>
      </x:c>
      <x:c r="B219" s="226" t="n">
        <x:v>99990008657747</x:v>
      </x:c>
      <x:c r="C219" s="227" t="s">
        <x:v>132</x:v>
      </x:c>
      <x:c r="D219" s="228" t="s">
        <x:v>284</x:v>
      </x:c>
      <x:c r="E219" s="229" t="s"/>
      <x:c r="F219" s="229" t="n">
        <x:v>470560</x:v>
      </x:c>
      <x:c r="G219" s="229" t="s">
        <x:v>150</x:v>
      </x:c>
      <x:c r="H219" s="230" t="n">
        <x:v>0</x:v>
      </x:c>
      <x:c r="I219" s="231" t="n">
        <x:v>5</x:v>
      </x:c>
      <x:c r="J219" s="232" t="n">
        <x:v>0</x:v>
      </x:c>
      <x:c r="K219" s="233" t="s"/>
      <x:c r="L219" s="231" t="n">
        <x:v>0</x:v>
      </x:c>
      <x:c r="M219" s="231" t="n">
        <x:v>0</x:v>
      </x:c>
      <x:c r="N219" s="234">
        <x:f>ROUND(((I219*J219)-((I219*J219)*L219/100))+(((I219*J219)-((I219*J219)*L219/100))*M219/100), 2)</x:f>
      </x:c>
      <x:c r="O219" s="230">
        <x:f>M11</x:f>
      </x:c>
      <x:c r="P219" s="235" t="s"/>
      <x:c r="Q219" s="236" t="s"/>
      <x:c r="R219" s="237" t="s">
        <x:v>279</x:v>
      </x:c>
      <x:c r="S219" s="238" t="s"/>
      <x:c r="T219" s="239" t="s"/>
    </x:row>
    <x:row r="220" spans="1:24" customFormat="1" ht="24" customHeight="1">
      <x:c r="A220" s="226" t="n">
        <x:v>201</x:v>
      </x:c>
      <x:c r="B220" s="226" t="n">
        <x:v>99990008184122</x:v>
      </x:c>
      <x:c r="C220" s="227" t="n">
        <x:v>470222</x:v>
      </x:c>
      <x:c r="D220" s="228" t="s">
        <x:v>285</x:v>
      </x:c>
      <x:c r="E220" s="229" t="s"/>
      <x:c r="F220" s="229" t="n">
        <x:v>470222</x:v>
      </x:c>
      <x:c r="G220" s="229" t="s">
        <x:v>42</x:v>
      </x:c>
      <x:c r="H220" s="230" t="n">
        <x:v>0</x:v>
      </x:c>
      <x:c r="I220" s="231" t="n">
        <x:v>10</x:v>
      </x:c>
      <x:c r="J220" s="232" t="n">
        <x:v>0</x:v>
      </x:c>
      <x:c r="K220" s="233" t="s"/>
      <x:c r="L220" s="231" t="n">
        <x:v>0</x:v>
      </x:c>
      <x:c r="M220" s="231" t="n">
        <x:v>0</x:v>
      </x:c>
      <x:c r="N220" s="234">
        <x:f>ROUND(((I220*J220)-((I220*J220)*L220/100))+(((I220*J220)-((I220*J220)*L220/100))*M220/100), 2)</x:f>
      </x:c>
      <x:c r="O220" s="230">
        <x:f>M11</x:f>
      </x:c>
      <x:c r="P220" s="235" t="s"/>
      <x:c r="Q220" s="236" t="s"/>
      <x:c r="R220" s="237" t="s">
        <x:v>279</x:v>
      </x:c>
      <x:c r="S220" s="238" t="s"/>
      <x:c r="T220" s="239" t="s"/>
    </x:row>
    <x:row r="221" spans="1:24" customFormat="1" ht="24" customHeight="1">
      <x:c r="A221" s="226" t="n">
        <x:v>202</x:v>
      </x:c>
      <x:c r="B221" s="226" t="n">
        <x:v>99990008657704</x:v>
      </x:c>
      <x:c r="C221" s="227" t="s">
        <x:v>132</x:v>
      </x:c>
      <x:c r="D221" s="228" t="s">
        <x:v>286</x:v>
      </x:c>
      <x:c r="E221" s="229" t="s"/>
      <x:c r="F221" s="229" t="n">
        <x:v>470203</x:v>
      </x:c>
      <x:c r="G221" s="229" t="s">
        <x:v>42</x:v>
      </x:c>
      <x:c r="H221" s="230" t="n">
        <x:v>0</x:v>
      </x:c>
      <x:c r="I221" s="231" t="n">
        <x:v>10</x:v>
      </x:c>
      <x:c r="J221" s="232" t="n">
        <x:v>0</x:v>
      </x:c>
      <x:c r="K221" s="233" t="s"/>
      <x:c r="L221" s="231" t="n">
        <x:v>0</x:v>
      </x:c>
      <x:c r="M221" s="231" t="n">
        <x:v>0</x:v>
      </x:c>
      <x:c r="N221" s="234">
        <x:f>ROUND(((I221*J221)-((I221*J221)*L221/100))+(((I221*J221)-((I221*J221)*L221/100))*M221/100), 2)</x:f>
      </x:c>
      <x:c r="O221" s="230">
        <x:f>M11</x:f>
      </x:c>
      <x:c r="P221" s="235" t="s"/>
      <x:c r="Q221" s="236" t="s"/>
      <x:c r="R221" s="237" t="s">
        <x:v>279</x:v>
      </x:c>
      <x:c r="S221" s="238" t="s"/>
      <x:c r="T221" s="239" t="s"/>
    </x:row>
    <x:row r="222" spans="1:24" customFormat="1" ht="24" customHeight="1">
      <x:c r="A222" s="226" t="n">
        <x:v>203</x:v>
      </x:c>
      <x:c r="B222" s="226" t="n">
        <x:v>99990008657758</x:v>
      </x:c>
      <x:c r="C222" s="227" t="s">
        <x:v>132</x:v>
      </x:c>
      <x:c r="D222" s="228" t="s">
        <x:v>287</x:v>
      </x:c>
      <x:c r="E222" s="229" t="s"/>
      <x:c r="F222" s="229" t="n">
        <x:v>470611</x:v>
      </x:c>
      <x:c r="G222" s="229" t="s">
        <x:v>42</x:v>
      </x:c>
      <x:c r="H222" s="230" t="n">
        <x:v>0</x:v>
      </x:c>
      <x:c r="I222" s="231" t="n">
        <x:v>20</x:v>
      </x:c>
      <x:c r="J222" s="232" t="n">
        <x:v>0</x:v>
      </x:c>
      <x:c r="K222" s="233" t="s"/>
      <x:c r="L222" s="231" t="n">
        <x:v>0</x:v>
      </x:c>
      <x:c r="M222" s="231" t="n">
        <x:v>0</x:v>
      </x:c>
      <x:c r="N222" s="234">
        <x:f>ROUND(((I222*J222)-((I222*J222)*L222/100))+(((I222*J222)-((I222*J222)*L222/100))*M222/100), 2)</x:f>
      </x:c>
      <x:c r="O222" s="230">
        <x:f>M11</x:f>
      </x:c>
      <x:c r="P222" s="235" t="s"/>
      <x:c r="Q222" s="236" t="s"/>
      <x:c r="R222" s="237" t="s">
        <x:v>279</x:v>
      </x:c>
      <x:c r="S222" s="238" t="s"/>
      <x:c r="T222" s="239" t="s"/>
    </x:row>
    <x:row r="223" spans="1:24" customFormat="1" ht="24" customHeight="1">
      <x:c r="A223" s="226" t="n">
        <x:v>204</x:v>
      </x:c>
      <x:c r="B223" s="226" t="n">
        <x:v>99990008657757</x:v>
      </x:c>
      <x:c r="C223" s="227" t="s">
        <x:v>132</x:v>
      </x:c>
      <x:c r="D223" s="228" t="s">
        <x:v>288</x:v>
      </x:c>
      <x:c r="E223" s="229" t="s"/>
      <x:c r="F223" s="229" t="n">
        <x:v>470608</x:v>
      </x:c>
      <x:c r="G223" s="229" t="s">
        <x:v>42</x:v>
      </x:c>
      <x:c r="H223" s="230" t="n">
        <x:v>0</x:v>
      </x:c>
      <x:c r="I223" s="231" t="n">
        <x:v>30</x:v>
      </x:c>
      <x:c r="J223" s="232" t="n">
        <x:v>0</x:v>
      </x:c>
      <x:c r="K223" s="233" t="s"/>
      <x:c r="L223" s="231" t="n">
        <x:v>0</x:v>
      </x:c>
      <x:c r="M223" s="231" t="n">
        <x:v>0</x:v>
      </x:c>
      <x:c r="N223" s="234">
        <x:f>ROUND(((I223*J223)-((I223*J223)*L223/100))+(((I223*J223)-((I223*J223)*L223/100))*M223/100), 2)</x:f>
      </x:c>
      <x:c r="O223" s="230">
        <x:f>M11</x:f>
      </x:c>
      <x:c r="P223" s="235" t="s"/>
      <x:c r="Q223" s="236" t="s"/>
      <x:c r="R223" s="237" t="s">
        <x:v>279</x:v>
      </x:c>
      <x:c r="S223" s="238" t="s"/>
      <x:c r="T223" s="239" t="s"/>
    </x:row>
    <x:row r="224" spans="1:24" customFormat="1" ht="24" customHeight="1">
      <x:c r="A224" s="226" t="n">
        <x:v>205</x:v>
      </x:c>
      <x:c r="B224" s="226" t="n">
        <x:v>99990010171725</x:v>
      </x:c>
      <x:c r="C224" s="227" t="s">
        <x:v>132</x:v>
      </x:c>
      <x:c r="D224" s="228" t="s">
        <x:v>289</x:v>
      </x:c>
      <x:c r="E224" s="229" t="s"/>
      <x:c r="F224" s="229" t="n">
        <x:v>470684</x:v>
      </x:c>
      <x:c r="G224" s="229" t="s">
        <x:v>42</x:v>
      </x:c>
      <x:c r="H224" s="230" t="n">
        <x:v>0</x:v>
      </x:c>
      <x:c r="I224" s="231" t="n">
        <x:v>10</x:v>
      </x:c>
      <x:c r="J224" s="232" t="n">
        <x:v>0</x:v>
      </x:c>
      <x:c r="K224" s="233" t="s"/>
      <x:c r="L224" s="231" t="n">
        <x:v>0</x:v>
      </x:c>
      <x:c r="M224" s="231" t="n">
        <x:v>0</x:v>
      </x:c>
      <x:c r="N224" s="234">
        <x:f>ROUND(((I224*J224)-((I224*J224)*L224/100))+(((I224*J224)-((I224*J224)*L224/100))*M224/100), 2)</x:f>
      </x:c>
      <x:c r="O224" s="230">
        <x:f>M11</x:f>
      </x:c>
      <x:c r="P224" s="235" t="s"/>
      <x:c r="Q224" s="236" t="s"/>
      <x:c r="R224" s="237" t="s">
        <x:v>279</x:v>
      </x:c>
      <x:c r="S224" s="238" t="s"/>
      <x:c r="T224" s="239" t="s"/>
    </x:row>
    <x:row r="225" spans="1:24" customFormat="1" ht="24" customHeight="1">
      <x:c r="A225" s="226" t="n">
        <x:v>206</x:v>
      </x:c>
      <x:c r="B225" s="226" t="n">
        <x:v>99990010270509</x:v>
      </x:c>
      <x:c r="C225" s="227" t="s">
        <x:v>132</x:v>
      </x:c>
      <x:c r="D225" s="228" t="s">
        <x:v>290</x:v>
      </x:c>
      <x:c r="E225" s="229" t="s"/>
      <x:c r="F225" s="229" t="n">
        <x:v>470681</x:v>
      </x:c>
      <x:c r="G225" s="229" t="s">
        <x:v>42</x:v>
      </x:c>
      <x:c r="H225" s="230" t="n">
        <x:v>0</x:v>
      </x:c>
      <x:c r="I225" s="231" t="n">
        <x:v>10</x:v>
      </x:c>
      <x:c r="J225" s="232" t="n">
        <x:v>0</x:v>
      </x:c>
      <x:c r="K225" s="233" t="s"/>
      <x:c r="L225" s="231" t="n">
        <x:v>0</x:v>
      </x:c>
      <x:c r="M225" s="231" t="n">
        <x:v>0</x:v>
      </x:c>
      <x:c r="N225" s="234">
        <x:f>ROUND(((I225*J225)-((I225*J225)*L225/100))+(((I225*J225)-((I225*J225)*L225/100))*M225/100), 2)</x:f>
      </x:c>
      <x:c r="O225" s="230">
        <x:f>M11</x:f>
      </x:c>
      <x:c r="P225" s="235" t="s"/>
      <x:c r="Q225" s="236" t="s"/>
      <x:c r="R225" s="237" t="s">
        <x:v>279</x:v>
      </x:c>
      <x:c r="S225" s="238" t="s"/>
      <x:c r="T225" s="239" t="s"/>
    </x:row>
    <x:row r="226" spans="1:24" customFormat="1" ht="24" customHeight="1">
      <x:c r="A226" s="226" t="n">
        <x:v>207</x:v>
      </x:c>
      <x:c r="B226" s="226" t="n">
        <x:v>99990010149677</x:v>
      </x:c>
      <x:c r="C226" s="227" t="s">
        <x:v>132</x:v>
      </x:c>
      <x:c r="D226" s="228" t="s">
        <x:v>291</x:v>
      </x:c>
      <x:c r="E226" s="229" t="s"/>
      <x:c r="F226" s="229" t="n">
        <x:v>470881</x:v>
      </x:c>
      <x:c r="G226" s="229" t="s">
        <x:v>42</x:v>
      </x:c>
      <x:c r="H226" s="230" t="n">
        <x:v>0</x:v>
      </x:c>
      <x:c r="I226" s="231" t="n">
        <x:v>10</x:v>
      </x:c>
      <x:c r="J226" s="232" t="n">
        <x:v>0</x:v>
      </x:c>
      <x:c r="K226" s="233" t="s"/>
      <x:c r="L226" s="231" t="n">
        <x:v>0</x:v>
      </x:c>
      <x:c r="M226" s="231" t="n">
        <x:v>0</x:v>
      </x:c>
      <x:c r="N226" s="234">
        <x:f>ROUND(((I226*J226)-((I226*J226)*L226/100))+(((I226*J226)-((I226*J226)*L226/100))*M226/100), 2)</x:f>
      </x:c>
      <x:c r="O226" s="230">
        <x:f>M11</x:f>
      </x:c>
      <x:c r="P226" s="235" t="s"/>
      <x:c r="Q226" s="236" t="s"/>
      <x:c r="R226" s="237" t="s">
        <x:v>279</x:v>
      </x:c>
      <x:c r="S226" s="238" t="s"/>
      <x:c r="T226" s="239" t="s"/>
    </x:row>
    <x:row r="227" spans="1:24" customFormat="1" ht="24" customHeight="1">
      <x:c r="A227" s="226" t="n">
        <x:v>208</x:v>
      </x:c>
      <x:c r="B227" s="226" t="n">
        <x:v>99990009865530</x:v>
      </x:c>
      <x:c r="C227" s="227" t="n">
        <x:v>371581</x:v>
      </x:c>
      <x:c r="D227" s="228" t="s">
        <x:v>292</x:v>
      </x:c>
      <x:c r="E227" s="229" t="s"/>
      <x:c r="F227" s="229" t="n">
        <x:v>371581</x:v>
      </x:c>
      <x:c r="G227" s="229" t="s">
        <x:v>45</x:v>
      </x:c>
      <x:c r="H227" s="230" t="n">
        <x:v>0</x:v>
      </x:c>
      <x:c r="I227" s="231" t="n">
        <x:v>10</x:v>
      </x:c>
      <x:c r="J227" s="232" t="n">
        <x:v>0</x:v>
      </x:c>
      <x:c r="K227" s="233" t="s"/>
      <x:c r="L227" s="231" t="n">
        <x:v>0</x:v>
      </x:c>
      <x:c r="M227" s="231" t="n">
        <x:v>0</x:v>
      </x:c>
      <x:c r="N227" s="234">
        <x:f>ROUND(((I227*J227)-((I227*J227)*L227/100))+(((I227*J227)-((I227*J227)*L227/100))*M227/100), 2)</x:f>
      </x:c>
      <x:c r="O227" s="230">
        <x:f>M11</x:f>
      </x:c>
      <x:c r="P227" s="235" t="s"/>
      <x:c r="Q227" s="236" t="s"/>
      <x:c r="R227" s="237" t="s">
        <x:v>169</x:v>
      </x:c>
      <x:c r="S227" s="238" t="s"/>
      <x:c r="T227" s="239" t="s"/>
    </x:row>
    <x:row r="228" spans="1:24" customFormat="1" ht="24" customHeight="1">
      <x:c r="A228" s="226" t="n">
        <x:v>209</x:v>
      </x:c>
      <x:c r="B228" s="226" t="n">
        <x:v>99990008657856</x:v>
      </x:c>
      <x:c r="C228" s="227" t="s">
        <x:v>132</x:v>
      </x:c>
      <x:c r="D228" s="228" t="s">
        <x:v>293</x:v>
      </x:c>
      <x:c r="E228" s="229" t="s"/>
      <x:c r="F228" s="229" t="n">
        <x:v>471268</x:v>
      </x:c>
      <x:c r="G228" s="229" t="s">
        <x:v>58</x:v>
      </x:c>
      <x:c r="H228" s="230" t="n">
        <x:v>0</x:v>
      </x:c>
      <x:c r="I228" s="231" t="n">
        <x:v>10</x:v>
      </x:c>
      <x:c r="J228" s="232" t="n">
        <x:v>0</x:v>
      </x:c>
      <x:c r="K228" s="233" t="s"/>
      <x:c r="L228" s="231" t="n">
        <x:v>0</x:v>
      </x:c>
      <x:c r="M228" s="231" t="n">
        <x:v>0</x:v>
      </x:c>
      <x:c r="N228" s="234">
        <x:f>ROUND(((I228*J228)-((I228*J228)*L228/100))+(((I228*J228)-((I228*J228)*L228/100))*M228/100), 2)</x:f>
      </x:c>
      <x:c r="O228" s="230">
        <x:f>M11</x:f>
      </x:c>
      <x:c r="P228" s="235" t="s"/>
      <x:c r="Q228" s="236" t="s"/>
      <x:c r="R228" s="237" t="s">
        <x:v>279</x:v>
      </x:c>
      <x:c r="S228" s="238" t="s"/>
      <x:c r="T228" s="239" t="s"/>
    </x:row>
    <x:row r="229" spans="1:24" customFormat="1" ht="24" customHeight="1">
      <x:c r="A229" s="226" t="n">
        <x:v>210</x:v>
      </x:c>
      <x:c r="B229" s="226" t="n">
        <x:v>99990008657858</x:v>
      </x:c>
      <x:c r="C229" s="227" t="s">
        <x:v>132</x:v>
      </x:c>
      <x:c r="D229" s="228" t="s">
        <x:v>294</x:v>
      </x:c>
      <x:c r="E229" s="229" t="s"/>
      <x:c r="F229" s="229" t="n">
        <x:v>471270</x:v>
      </x:c>
      <x:c r="G229" s="229" t="s">
        <x:v>58</x:v>
      </x:c>
      <x:c r="H229" s="230" t="n">
        <x:v>0</x:v>
      </x:c>
      <x:c r="I229" s="231" t="n">
        <x:v>10</x:v>
      </x:c>
      <x:c r="J229" s="232" t="n">
        <x:v>0</x:v>
      </x:c>
      <x:c r="K229" s="233" t="s"/>
      <x:c r="L229" s="231" t="n">
        <x:v>0</x:v>
      </x:c>
      <x:c r="M229" s="231" t="n">
        <x:v>0</x:v>
      </x:c>
      <x:c r="N229" s="234">
        <x:f>ROUND(((I229*J229)-((I229*J229)*L229/100))+(((I229*J229)-((I229*J229)*L229/100))*M229/100), 2)</x:f>
      </x:c>
      <x:c r="O229" s="230">
        <x:f>M11</x:f>
      </x:c>
      <x:c r="P229" s="235" t="s"/>
      <x:c r="Q229" s="236" t="s"/>
      <x:c r="R229" s="237" t="s">
        <x:v>279</x:v>
      </x:c>
      <x:c r="S229" s="238" t="s"/>
      <x:c r="T229" s="239" t="s"/>
    </x:row>
    <x:row r="230" spans="1:24" customFormat="1" ht="24" customHeight="1">
      <x:c r="A230" s="226" t="n">
        <x:v>211</x:v>
      </x:c>
      <x:c r="B230" s="226" t="n">
        <x:v>99990010866628</x:v>
      </x:c>
      <x:c r="C230" s="227" t="n">
        <x:v>211317</x:v>
      </x:c>
      <x:c r="D230" s="228" t="s">
        <x:v>295</x:v>
      </x:c>
      <x:c r="E230" s="229" t="s"/>
      <x:c r="F230" s="229" t="n">
        <x:v>211317</x:v>
      </x:c>
      <x:c r="G230" s="229" t="s">
        <x:v>249</x:v>
      </x:c>
      <x:c r="H230" s="230" t="n">
        <x:v>0</x:v>
      </x:c>
      <x:c r="I230" s="231" t="n">
        <x:v>1</x:v>
      </x:c>
      <x:c r="J230" s="232" t="n">
        <x:v>0</x:v>
      </x:c>
      <x:c r="K230" s="233" t="s"/>
      <x:c r="L230" s="231" t="n">
        <x:v>0</x:v>
      </x:c>
      <x:c r="M230" s="231" t="n">
        <x:v>0</x:v>
      </x:c>
      <x:c r="N230" s="234">
        <x:f>ROUND(((I230*J230)-((I230*J230)*L230/100))+(((I230*J230)-((I230*J230)*L230/100))*M230/100), 2)</x:f>
      </x:c>
      <x:c r="O230" s="230">
        <x:f>M11</x:f>
      </x:c>
      <x:c r="P230" s="235" t="s"/>
      <x:c r="Q230" s="236" t="s"/>
      <x:c r="R230" s="237" t="s">
        <x:v>169</x:v>
      </x:c>
      <x:c r="S230" s="238" t="s"/>
      <x:c r="T230" s="239" t="s"/>
    </x:row>
    <x:row r="231" spans="1:24" customFormat="1" ht="24" customHeight="1">
      <x:c r="A231" s="226" t="n">
        <x:v>212</x:v>
      </x:c>
      <x:c r="B231" s="226" t="n">
        <x:v>99990008656202</x:v>
      </x:c>
      <x:c r="C231" s="227" t="n">
        <x:v>590301</x:v>
      </x:c>
      <x:c r="D231" s="228" t="s">
        <x:v>296</x:v>
      </x:c>
      <x:c r="E231" s="229" t="s"/>
      <x:c r="F231" s="229" t="n">
        <x:v>590301</x:v>
      </x:c>
      <x:c r="G231" s="229" t="s">
        <x:v>45</x:v>
      </x:c>
      <x:c r="H231" s="230" t="n">
        <x:v>0</x:v>
      </x:c>
      <x:c r="I231" s="231" t="n">
        <x:v>1</x:v>
      </x:c>
      <x:c r="J231" s="232" t="n">
        <x:v>0</x:v>
      </x:c>
      <x:c r="K231" s="233" t="s"/>
      <x:c r="L231" s="231" t="n">
        <x:v>0</x:v>
      </x:c>
      <x:c r="M231" s="231" t="n">
        <x:v>0</x:v>
      </x:c>
      <x:c r="N231" s="234">
        <x:f>ROUND(((I231*J231)-((I231*J231)*L231/100))+(((I231*J231)-((I231*J231)*L231/100))*M231/100), 2)</x:f>
      </x:c>
      <x:c r="O231" s="230">
        <x:f>M11</x:f>
      </x:c>
      <x:c r="P231" s="235" t="s"/>
      <x:c r="Q231" s="236" t="s"/>
      <x:c r="R231" s="237" t="s"/>
      <x:c r="S231" s="238" t="s"/>
      <x:c r="T231" s="239" t="s"/>
    </x:row>
    <x:row r="232" spans="1:24" customFormat="1" ht="24" customHeight="1">
      <x:c r="A232" s="226" t="n">
        <x:v>213</x:v>
      </x:c>
      <x:c r="B232" s="226" t="n">
        <x:v>99990008658034</x:v>
      </x:c>
      <x:c r="C232" s="227" t="n">
        <x:v>613246</x:v>
      </x:c>
      <x:c r="D232" s="228" t="s">
        <x:v>297</x:v>
      </x:c>
      <x:c r="E232" s="229" t="s"/>
      <x:c r="F232" s="229" t="n">
        <x:v>613246</x:v>
      </x:c>
      <x:c r="G232" s="229" t="s">
        <x:v>42</x:v>
      </x:c>
      <x:c r="H232" s="230" t="n">
        <x:v>0</x:v>
      </x:c>
      <x:c r="I232" s="231" t="n">
        <x:v>6</x:v>
      </x:c>
      <x:c r="J232" s="232" t="n">
        <x:v>0</x:v>
      </x:c>
      <x:c r="K232" s="233" t="s"/>
      <x:c r="L232" s="231" t="n">
        <x:v>0</x:v>
      </x:c>
      <x:c r="M232" s="231" t="n">
        <x:v>0</x:v>
      </x:c>
      <x:c r="N232" s="234">
        <x:f>ROUND(((I232*J232)-((I232*J232)*L232/100))+(((I232*J232)-((I232*J232)*L232/100))*M232/100), 2)</x:f>
      </x:c>
      <x:c r="O232" s="230">
        <x:f>M11</x:f>
      </x:c>
      <x:c r="P232" s="235" t="s"/>
      <x:c r="Q232" s="236" t="s"/>
      <x:c r="R232" s="237" t="s"/>
      <x:c r="S232" s="238" t="s"/>
      <x:c r="T232" s="239" t="s"/>
    </x:row>
    <x:row r="233" spans="1:24" customFormat="1" ht="24" customHeight="1">
      <x:c r="A233" s="226" t="n">
        <x:v>214</x:v>
      </x:c>
      <x:c r="B233" s="226" t="n">
        <x:v>99990009374831</x:v>
      </x:c>
      <x:c r="C233" s="227" t="s">
        <x:v>132</x:v>
      </x:c>
      <x:c r="D233" s="228" t="s">
        <x:v>298</x:v>
      </x:c>
      <x:c r="E233" s="229" t="s"/>
      <x:c r="F233" s="229" t="s">
        <x:v>299</x:v>
      </x:c>
      <x:c r="G233" s="229" t="s">
        <x:v>42</x:v>
      </x:c>
      <x:c r="H233" s="230" t="n">
        <x:v>0</x:v>
      </x:c>
      <x:c r="I233" s="231" t="n">
        <x:v>10</x:v>
      </x:c>
      <x:c r="J233" s="232" t="n">
        <x:v>0</x:v>
      </x:c>
      <x:c r="K233" s="233" t="s"/>
      <x:c r="L233" s="231" t="n">
        <x:v>0</x:v>
      </x:c>
      <x:c r="M233" s="231" t="n">
        <x:v>0</x:v>
      </x:c>
      <x:c r="N233" s="234">
        <x:f>ROUND(((I233*J233)-((I233*J233)*L233/100))+(((I233*J233)-((I233*J233)*L233/100))*M233/100), 2)</x:f>
      </x:c>
      <x:c r="O233" s="230">
        <x:f>M11</x:f>
      </x:c>
      <x:c r="P233" s="235" t="s"/>
      <x:c r="Q233" s="236" t="s"/>
      <x:c r="R233" s="237" t="s">
        <x:v>300</x:v>
      </x:c>
      <x:c r="S233" s="238" t="s"/>
      <x:c r="T233" s="239" t="s"/>
    </x:row>
    <x:row r="234" spans="1:24" customFormat="1" ht="24" customHeight="1">
      <x:c r="A234" s="226" t="n">
        <x:v>215</x:v>
      </x:c>
      <x:c r="B234" s="226" t="n">
        <x:v>99990009694188</x:v>
      </x:c>
      <x:c r="C234" s="227" t="s">
        <x:v>132</x:v>
      </x:c>
      <x:c r="D234" s="228" t="s">
        <x:v>301</x:v>
      </x:c>
      <x:c r="E234" s="229" t="s"/>
      <x:c r="F234" s="229" t="s">
        <x:v>302</x:v>
      </x:c>
      <x:c r="G234" s="229" t="s">
        <x:v>42</x:v>
      </x:c>
      <x:c r="H234" s="230" t="n">
        <x:v>0</x:v>
      </x:c>
      <x:c r="I234" s="231" t="n">
        <x:v>10</x:v>
      </x:c>
      <x:c r="J234" s="232" t="n">
        <x:v>0</x:v>
      </x:c>
      <x:c r="K234" s="233" t="s"/>
      <x:c r="L234" s="231" t="n">
        <x:v>0</x:v>
      </x:c>
      <x:c r="M234" s="231" t="n">
        <x:v>0</x:v>
      </x:c>
      <x:c r="N234" s="234">
        <x:f>ROUND(((I234*J234)-((I234*J234)*L234/100))+(((I234*J234)-((I234*J234)*L234/100))*M234/100), 2)</x:f>
      </x:c>
      <x:c r="O234" s="230">
        <x:f>M11</x:f>
      </x:c>
      <x:c r="P234" s="235" t="s"/>
      <x:c r="Q234" s="236" t="s"/>
      <x:c r="R234" s="237" t="s"/>
      <x:c r="S234" s="238" t="s"/>
      <x:c r="T234" s="239" t="s"/>
    </x:row>
    <x:row r="235" spans="1:24" customFormat="1" ht="24" customHeight="1">
      <x:c r="A235" s="226" t="n">
        <x:v>216</x:v>
      </x:c>
      <x:c r="B235" s="226" t="n">
        <x:v>99990008657820</x:v>
      </x:c>
      <x:c r="C235" s="227" t="s">
        <x:v>132</x:v>
      </x:c>
      <x:c r="D235" s="228" t="s">
        <x:v>303</x:v>
      </x:c>
      <x:c r="E235" s="229" t="s"/>
      <x:c r="F235" s="229" t="n">
        <x:v>471106</x:v>
      </x:c>
      <x:c r="G235" s="229" t="s">
        <x:v>193</x:v>
      </x:c>
      <x:c r="H235" s="230" t="n">
        <x:v>0</x:v>
      </x:c>
      <x:c r="I235" s="231" t="n">
        <x:v>20</x:v>
      </x:c>
      <x:c r="J235" s="232" t="n">
        <x:v>0</x:v>
      </x:c>
      <x:c r="K235" s="233" t="s"/>
      <x:c r="L235" s="231" t="n">
        <x:v>0</x:v>
      </x:c>
      <x:c r="M235" s="231" t="n">
        <x:v>0</x:v>
      </x:c>
      <x:c r="N235" s="234">
        <x:f>ROUND(((I235*J235)-((I235*J235)*L235/100))+(((I235*J235)-((I235*J235)*L235/100))*M235/100), 2)</x:f>
      </x:c>
      <x:c r="O235" s="230">
        <x:f>M11</x:f>
      </x:c>
      <x:c r="P235" s="235" t="s"/>
      <x:c r="Q235" s="236" t="s"/>
      <x:c r="R235" s="237" t="s"/>
      <x:c r="S235" s="238" t="s"/>
      <x:c r="T235" s="239" t="s"/>
    </x:row>
    <x:row r="236" spans="1:24" customFormat="1" ht="24" customHeight="1">
      <x:c r="A236" s="226" t="n">
        <x:v>217</x:v>
      </x:c>
      <x:c r="B236" s="226" t="n">
        <x:v>99990008657819</x:v>
      </x:c>
      <x:c r="C236" s="227" t="s">
        <x:v>132</x:v>
      </x:c>
      <x:c r="D236" s="228" t="s">
        <x:v>304</x:v>
      </x:c>
      <x:c r="E236" s="229" t="s"/>
      <x:c r="F236" s="229" t="n">
        <x:v>471105</x:v>
      </x:c>
      <x:c r="G236" s="229" t="s">
        <x:v>193</x:v>
      </x:c>
      <x:c r="H236" s="230" t="n">
        <x:v>0</x:v>
      </x:c>
      <x:c r="I236" s="231" t="n">
        <x:v>20</x:v>
      </x:c>
      <x:c r="J236" s="232" t="n">
        <x:v>0</x:v>
      </x:c>
      <x:c r="K236" s="233" t="s"/>
      <x:c r="L236" s="231" t="n">
        <x:v>0</x:v>
      </x:c>
      <x:c r="M236" s="231" t="n">
        <x:v>0</x:v>
      </x:c>
      <x:c r="N236" s="234">
        <x:f>ROUND(((I236*J236)-((I236*J236)*L236/100))+(((I236*J236)-((I236*J236)*L236/100))*M236/100), 2)</x:f>
      </x:c>
      <x:c r="O236" s="230">
        <x:f>M11</x:f>
      </x:c>
      <x:c r="P236" s="235" t="s"/>
      <x:c r="Q236" s="236" t="s"/>
      <x:c r="R236" s="237" t="s"/>
      <x:c r="S236" s="238" t="s"/>
      <x:c r="T236" s="239" t="s"/>
    </x:row>
    <x:row r="237" spans="1:24" customFormat="1" ht="24" customHeight="1">
      <x:c r="A237" s="226" t="n">
        <x:v>218</x:v>
      </x:c>
      <x:c r="B237" s="226" t="n">
        <x:v>99990009843235</x:v>
      </x:c>
      <x:c r="C237" s="227" t="s">
        <x:v>132</x:v>
      </x:c>
      <x:c r="D237" s="228" t="s">
        <x:v>305</x:v>
      </x:c>
      <x:c r="E237" s="229" t="s"/>
      <x:c r="F237" s="229" t="s">
        <x:v>306</x:v>
      </x:c>
      <x:c r="G237" s="229" t="s">
        <x:v>42</x:v>
      </x:c>
      <x:c r="H237" s="230" t="n">
        <x:v>0</x:v>
      </x:c>
      <x:c r="I237" s="231" t="n">
        <x:v>2</x:v>
      </x:c>
      <x:c r="J237" s="232" t="n">
        <x:v>0</x:v>
      </x:c>
      <x:c r="K237" s="233" t="s"/>
      <x:c r="L237" s="231" t="n">
        <x:v>0</x:v>
      </x:c>
      <x:c r="M237" s="231" t="n">
        <x:v>0</x:v>
      </x:c>
      <x:c r="N237" s="234">
        <x:f>ROUND(((I237*J237)-((I237*J237)*L237/100))+(((I237*J237)-((I237*J237)*L237/100))*M237/100), 2)</x:f>
      </x:c>
      <x:c r="O237" s="230">
        <x:f>M11</x:f>
      </x:c>
      <x:c r="P237" s="235" t="s"/>
      <x:c r="Q237" s="236" t="s"/>
      <x:c r="R237" s="237" t="s">
        <x:v>307</x:v>
      </x:c>
      <x:c r="S237" s="238" t="s"/>
      <x:c r="T237" s="239" t="s"/>
    </x:row>
    <x:row r="238" spans="1:24" customFormat="1" ht="24" customHeight="1">
      <x:c r="A238" s="226" t="n">
        <x:v>219</x:v>
      </x:c>
      <x:c r="B238" s="226" t="n">
        <x:v>99990009843234</x:v>
      </x:c>
      <x:c r="C238" s="227" t="s">
        <x:v>132</x:v>
      </x:c>
      <x:c r="D238" s="228" t="s">
        <x:v>308</x:v>
      </x:c>
      <x:c r="E238" s="229" t="s"/>
      <x:c r="F238" s="229" t="s">
        <x:v>309</x:v>
      </x:c>
      <x:c r="G238" s="229" t="s">
        <x:v>42</x:v>
      </x:c>
      <x:c r="H238" s="230" t="n">
        <x:v>0</x:v>
      </x:c>
      <x:c r="I238" s="231" t="n">
        <x:v>2</x:v>
      </x:c>
      <x:c r="J238" s="232" t="n">
        <x:v>0</x:v>
      </x:c>
      <x:c r="K238" s="233" t="s"/>
      <x:c r="L238" s="231" t="n">
        <x:v>0</x:v>
      </x:c>
      <x:c r="M238" s="231" t="n">
        <x:v>0</x:v>
      </x:c>
      <x:c r="N238" s="234">
        <x:f>ROUND(((I238*J238)-((I238*J238)*L238/100))+(((I238*J238)-((I238*J238)*L238/100))*M238/100), 2)</x:f>
      </x:c>
      <x:c r="O238" s="230">
        <x:f>M11</x:f>
      </x:c>
      <x:c r="P238" s="235" t="s"/>
      <x:c r="Q238" s="236" t="s"/>
      <x:c r="R238" s="237" t="s">
        <x:v>310</x:v>
      </x:c>
      <x:c r="S238" s="238" t="s"/>
      <x:c r="T238" s="239" t="s"/>
    </x:row>
    <x:row r="239" spans="1:24" customFormat="1" ht="24" customHeight="1">
      <x:c r="A239" s="226" t="n">
        <x:v>220</x:v>
      </x:c>
      <x:c r="B239" s="226" t="n">
        <x:v>99990009880825</x:v>
      </x:c>
      <x:c r="C239" s="227" t="s">
        <x:v>132</x:v>
      </x:c>
      <x:c r="D239" s="228" t="s">
        <x:v>311</x:v>
      </x:c>
      <x:c r="E239" s="229" t="s"/>
      <x:c r="F239" s="229" t="s">
        <x:v>312</x:v>
      </x:c>
      <x:c r="G239" s="229" t="s">
        <x:v>42</x:v>
      </x:c>
      <x:c r="H239" s="230" t="n">
        <x:v>0</x:v>
      </x:c>
      <x:c r="I239" s="231" t="n">
        <x:v>4</x:v>
      </x:c>
      <x:c r="J239" s="232" t="n">
        <x:v>0</x:v>
      </x:c>
      <x:c r="K239" s="233" t="s"/>
      <x:c r="L239" s="231" t="n">
        <x:v>0</x:v>
      </x:c>
      <x:c r="M239" s="231" t="n">
        <x:v>0</x:v>
      </x:c>
      <x:c r="N239" s="234">
        <x:f>ROUND(((I239*J239)-((I239*J239)*L239/100))+(((I239*J239)-((I239*J239)*L239/100))*M239/100), 2)</x:f>
      </x:c>
      <x:c r="O239" s="230">
        <x:f>M11</x:f>
      </x:c>
      <x:c r="P239" s="235" t="s"/>
      <x:c r="Q239" s="236" t="s"/>
      <x:c r="R239" s="237" t="s">
        <x:v>313</x:v>
      </x:c>
      <x:c r="S239" s="238" t="s"/>
      <x:c r="T239" s="239" t="s"/>
    </x:row>
    <x:row r="240" spans="1:24" customFormat="1" ht="24" customHeight="1">
      <x:c r="A240" s="226" t="n">
        <x:v>221</x:v>
      </x:c>
      <x:c r="B240" s="226" t="n">
        <x:v>99990009880826</x:v>
      </x:c>
      <x:c r="C240" s="227" t="s">
        <x:v>132</x:v>
      </x:c>
      <x:c r="D240" s="228" t="s">
        <x:v>314</x:v>
      </x:c>
      <x:c r="E240" s="229" t="s"/>
      <x:c r="F240" s="229" t="s">
        <x:v>315</x:v>
      </x:c>
      <x:c r="G240" s="229" t="s">
        <x:v>42</x:v>
      </x:c>
      <x:c r="H240" s="230" t="n">
        <x:v>0</x:v>
      </x:c>
      <x:c r="I240" s="231" t="n">
        <x:v>4</x:v>
      </x:c>
      <x:c r="J240" s="232" t="n">
        <x:v>0</x:v>
      </x:c>
      <x:c r="K240" s="233" t="s"/>
      <x:c r="L240" s="231" t="n">
        <x:v>0</x:v>
      </x:c>
      <x:c r="M240" s="231" t="n">
        <x:v>0</x:v>
      </x:c>
      <x:c r="N240" s="234">
        <x:f>ROUND(((I240*J240)-((I240*J240)*L240/100))+(((I240*J240)-((I240*J240)*L240/100))*M240/100), 2)</x:f>
      </x:c>
      <x:c r="O240" s="230">
        <x:f>M11</x:f>
      </x:c>
      <x:c r="P240" s="235" t="s"/>
      <x:c r="Q240" s="236" t="s"/>
      <x:c r="R240" s="237" t="s">
        <x:v>313</x:v>
      </x:c>
      <x:c r="S240" s="238" t="s"/>
      <x:c r="T240" s="239" t="s"/>
    </x:row>
    <x:row r="241" spans="1:24" customFormat="1" ht="24" customHeight="1">
      <x:c r="A241" s="226" t="n">
        <x:v>222</x:v>
      </x:c>
      <x:c r="B241" s="226" t="n">
        <x:v>99990009843232</x:v>
      </x:c>
      <x:c r="C241" s="227" t="s">
        <x:v>132</x:v>
      </x:c>
      <x:c r="D241" s="228" t="s">
        <x:v>316</x:v>
      </x:c>
      <x:c r="E241" s="229" t="s"/>
      <x:c r="F241" s="229" t="s">
        <x:v>317</x:v>
      </x:c>
      <x:c r="G241" s="229" t="s">
        <x:v>42</x:v>
      </x:c>
      <x:c r="H241" s="230" t="n">
        <x:v>0</x:v>
      </x:c>
      <x:c r="I241" s="231" t="n">
        <x:v>2</x:v>
      </x:c>
      <x:c r="J241" s="232" t="n">
        <x:v>0</x:v>
      </x:c>
      <x:c r="K241" s="233" t="s"/>
      <x:c r="L241" s="231" t="n">
        <x:v>0</x:v>
      </x:c>
      <x:c r="M241" s="231" t="n">
        <x:v>0</x:v>
      </x:c>
      <x:c r="N241" s="234">
        <x:f>ROUND(((I241*J241)-((I241*J241)*L241/100))+(((I241*J241)-((I241*J241)*L241/100))*M241/100), 2)</x:f>
      </x:c>
      <x:c r="O241" s="230">
        <x:f>M11</x:f>
      </x:c>
      <x:c r="P241" s="235" t="s"/>
      <x:c r="Q241" s="236" t="s"/>
      <x:c r="R241" s="237" t="s">
        <x:v>310</x:v>
      </x:c>
      <x:c r="S241" s="238" t="s"/>
      <x:c r="T241" s="239" t="s"/>
    </x:row>
    <x:row r="242" spans="1:24" customFormat="1" ht="24" customHeight="1">
      <x:c r="A242" s="226" t="n">
        <x:v>223</x:v>
      </x:c>
      <x:c r="B242" s="226" t="n">
        <x:v>99990009843233</x:v>
      </x:c>
      <x:c r="C242" s="227" t="s">
        <x:v>132</x:v>
      </x:c>
      <x:c r="D242" s="228" t="s">
        <x:v>318</x:v>
      </x:c>
      <x:c r="E242" s="229" t="s"/>
      <x:c r="F242" s="229" t="s">
        <x:v>319</x:v>
      </x:c>
      <x:c r="G242" s="229" t="s">
        <x:v>42</x:v>
      </x:c>
      <x:c r="H242" s="230" t="n">
        <x:v>0</x:v>
      </x:c>
      <x:c r="I242" s="231" t="n">
        <x:v>2</x:v>
      </x:c>
      <x:c r="J242" s="232" t="n">
        <x:v>0</x:v>
      </x:c>
      <x:c r="K242" s="233" t="s"/>
      <x:c r="L242" s="231" t="n">
        <x:v>0</x:v>
      </x:c>
      <x:c r="M242" s="231" t="n">
        <x:v>0</x:v>
      </x:c>
      <x:c r="N242" s="234">
        <x:f>ROUND(((I242*J242)-((I242*J242)*L242/100))+(((I242*J242)-((I242*J242)*L242/100))*M242/100), 2)</x:f>
      </x:c>
      <x:c r="O242" s="230">
        <x:f>M11</x:f>
      </x:c>
      <x:c r="P242" s="235" t="s"/>
      <x:c r="Q242" s="236" t="s"/>
      <x:c r="R242" s="237" t="s">
        <x:v>310</x:v>
      </x:c>
      <x:c r="S242" s="238" t="s"/>
      <x:c r="T242" s="239" t="s"/>
    </x:row>
    <x:row r="243" spans="1:24" customFormat="1" ht="24" customHeight="1">
      <x:c r="A243" s="226" t="n">
        <x:v>224</x:v>
      </x:c>
      <x:c r="B243" s="226" t="n">
        <x:v>99990010151919</x:v>
      </x:c>
      <x:c r="C243" s="227" t="s">
        <x:v>132</x:v>
      </x:c>
      <x:c r="D243" s="228" t="s">
        <x:v>320</x:v>
      </x:c>
      <x:c r="E243" s="229" t="s"/>
      <x:c r="F243" s="229" t="s">
        <x:v>321</x:v>
      </x:c>
      <x:c r="G243" s="229" t="s">
        <x:v>42</x:v>
      </x:c>
      <x:c r="H243" s="230" t="n">
        <x:v>0</x:v>
      </x:c>
      <x:c r="I243" s="231" t="n">
        <x:v>3</x:v>
      </x:c>
      <x:c r="J243" s="232" t="n">
        <x:v>0</x:v>
      </x:c>
      <x:c r="K243" s="233" t="s"/>
      <x:c r="L243" s="231" t="n">
        <x:v>0</x:v>
      </x:c>
      <x:c r="M243" s="231" t="n">
        <x:v>0</x:v>
      </x:c>
      <x:c r="N243" s="234">
        <x:f>ROUND(((I243*J243)-((I243*J243)*L243/100))+(((I243*J243)-((I243*J243)*L243/100))*M243/100), 2)</x:f>
      </x:c>
      <x:c r="O243" s="230">
        <x:f>M11</x:f>
      </x:c>
      <x:c r="P243" s="235" t="s"/>
      <x:c r="Q243" s="236" t="s"/>
      <x:c r="R243" s="237" t="s"/>
      <x:c r="S243" s="238" t="s"/>
      <x:c r="T243" s="239" t="s"/>
    </x:row>
    <x:row r="244" spans="1:24" customFormat="1" ht="24" customHeight="1">
      <x:c r="A244" s="226" t="n">
        <x:v>225</x:v>
      </x:c>
      <x:c r="B244" s="226" t="n">
        <x:v>99990008655948</x:v>
      </x:c>
      <x:c r="C244" s="227" t="n">
        <x:v>451001</x:v>
      </x:c>
      <x:c r="D244" s="228" t="s">
        <x:v>322</x:v>
      </x:c>
      <x:c r="E244" s="229" t="s"/>
      <x:c r="F244" s="229" t="n">
        <x:v>451001</x:v>
      </x:c>
      <x:c r="G244" s="229" t="s">
        <x:v>48</x:v>
      </x:c>
      <x:c r="H244" s="230" t="n">
        <x:v>0</x:v>
      </x:c>
      <x:c r="I244" s="231" t="n">
        <x:v>6</x:v>
      </x:c>
      <x:c r="J244" s="232" t="n">
        <x:v>0</x:v>
      </x:c>
      <x:c r="K244" s="233" t="s"/>
      <x:c r="L244" s="231" t="n">
        <x:v>0</x:v>
      </x:c>
      <x:c r="M244" s="231" t="n">
        <x:v>0</x:v>
      </x:c>
      <x:c r="N244" s="234">
        <x:f>ROUND(((I244*J244)-((I244*J244)*L244/100))+(((I244*J244)-((I244*J244)*L244/100))*M244/100), 2)</x:f>
      </x:c>
      <x:c r="O244" s="230">
        <x:f>M11</x:f>
      </x:c>
      <x:c r="P244" s="235" t="s"/>
      <x:c r="Q244" s="236" t="s"/>
      <x:c r="R244" s="237" t="s"/>
      <x:c r="S244" s="238" t="s"/>
      <x:c r="T244" s="239" t="s"/>
    </x:row>
    <x:row r="245" spans="1:24" customFormat="1" ht="24" customHeight="1">
      <x:c r="A245" s="226" t="n">
        <x:v>226</x:v>
      </x:c>
      <x:c r="B245" s="226" t="n">
        <x:v>99990008656586</x:v>
      </x:c>
      <x:c r="C245" s="227" t="n">
        <x:v>110122</x:v>
      </x:c>
      <x:c r="D245" s="228" t="s">
        <x:v>323</x:v>
      </x:c>
      <x:c r="E245" s="229" t="s"/>
      <x:c r="F245" s="229" t="n">
        <x:v>110122</x:v>
      </x:c>
      <x:c r="G245" s="229" t="s">
        <x:v>45</x:v>
      </x:c>
      <x:c r="H245" s="230" t="n">
        <x:v>0</x:v>
      </x:c>
      <x:c r="I245" s="231" t="n">
        <x:v>2</x:v>
      </x:c>
      <x:c r="J245" s="232" t="n">
        <x:v>0</x:v>
      </x:c>
      <x:c r="K245" s="233" t="s"/>
      <x:c r="L245" s="231" t="n">
        <x:v>0</x:v>
      </x:c>
      <x:c r="M245" s="231" t="n">
        <x:v>0</x:v>
      </x:c>
      <x:c r="N245" s="234">
        <x:f>ROUND(((I245*J245)-((I245*J245)*L245/100))+(((I245*J245)-((I245*J245)*L245/100))*M245/100), 2)</x:f>
      </x:c>
      <x:c r="O245" s="230">
        <x:f>M11</x:f>
      </x:c>
      <x:c r="P245" s="235" t="s"/>
      <x:c r="Q245" s="236" t="s"/>
      <x:c r="R245" s="237" t="s">
        <x:v>324</x:v>
      </x:c>
      <x:c r="S245" s="238" t="s"/>
      <x:c r="T245" s="239" t="s"/>
    </x:row>
    <x:row r="246" spans="1:24" customFormat="1" ht="24" customHeight="1">
      <x:c r="A246" s="226" t="n">
        <x:v>227</x:v>
      </x:c>
      <x:c r="B246" s="226" t="n">
        <x:v>99990010910380</x:v>
      </x:c>
      <x:c r="C246" s="227" t="n">
        <x:v>110118</x:v>
      </x:c>
      <x:c r="D246" s="228" t="s">
        <x:v>325</x:v>
      </x:c>
      <x:c r="E246" s="229" t="s"/>
      <x:c r="F246" s="229" t="n">
        <x:v>110118</x:v>
      </x:c>
      <x:c r="G246" s="229" t="s">
        <x:v>42</x:v>
      </x:c>
      <x:c r="H246" s="230" t="n">
        <x:v>0</x:v>
      </x:c>
      <x:c r="I246" s="231" t="n">
        <x:v>2</x:v>
      </x:c>
      <x:c r="J246" s="232" t="n">
        <x:v>0</x:v>
      </x:c>
      <x:c r="K246" s="233" t="s"/>
      <x:c r="L246" s="231" t="n">
        <x:v>0</x:v>
      </x:c>
      <x:c r="M246" s="231" t="n">
        <x:v>0</x:v>
      </x:c>
      <x:c r="N246" s="234">
        <x:f>ROUND(((I246*J246)-((I246*J246)*L246/100))+(((I246*J246)-((I246*J246)*L246/100))*M246/100), 2)</x:f>
      </x:c>
      <x:c r="O246" s="230">
        <x:f>M11</x:f>
      </x:c>
      <x:c r="P246" s="235" t="s"/>
      <x:c r="Q246" s="236" t="s"/>
      <x:c r="R246" s="237" t="s">
        <x:v>169</x:v>
      </x:c>
      <x:c r="S246" s="238" t="s"/>
      <x:c r="T246" s="239" t="s"/>
    </x:row>
    <x:row r="247" spans="1:24" customFormat="1" ht="24" customHeight="1">
      <x:c r="A247" s="226" t="n">
        <x:v>228</x:v>
      </x:c>
      <x:c r="B247" s="226" t="n">
        <x:v>99990010027464</x:v>
      </x:c>
      <x:c r="C247" s="227" t="s">
        <x:v>132</x:v>
      </x:c>
      <x:c r="D247" s="228" t="s">
        <x:v>326</x:v>
      </x:c>
      <x:c r="E247" s="229" t="s"/>
      <x:c r="F247" s="229" t="n">
        <x:v>470376</x:v>
      </x:c>
      <x:c r="G247" s="229" t="s">
        <x:v>164</x:v>
      </x:c>
      <x:c r="H247" s="230" t="n">
        <x:v>0</x:v>
      </x:c>
      <x:c r="I247" s="231" t="n">
        <x:v>10</x:v>
      </x:c>
      <x:c r="J247" s="232" t="n">
        <x:v>0</x:v>
      </x:c>
      <x:c r="K247" s="233" t="s"/>
      <x:c r="L247" s="231" t="n">
        <x:v>0</x:v>
      </x:c>
      <x:c r="M247" s="231" t="n">
        <x:v>0</x:v>
      </x:c>
      <x:c r="N247" s="234">
        <x:f>ROUND(((I247*J247)-((I247*J247)*L247/100))+(((I247*J247)-((I247*J247)*L247/100))*M247/100), 2)</x:f>
      </x:c>
      <x:c r="O247" s="230">
        <x:f>M11</x:f>
      </x:c>
      <x:c r="P247" s="235" t="s"/>
      <x:c r="Q247" s="236" t="s"/>
      <x:c r="R247" s="237" t="s">
        <x:v>279</x:v>
      </x:c>
      <x:c r="S247" s="238" t="s"/>
      <x:c r="T247" s="239" t="s"/>
    </x:row>
    <x:row r="248" spans="1:24" customFormat="1" ht="24" customHeight="1">
      <x:c r="A248" s="226" t="n">
        <x:v>229</x:v>
      </x:c>
      <x:c r="B248" s="226" t="n">
        <x:v>99990008657716</x:v>
      </x:c>
      <x:c r="C248" s="227" t="s">
        <x:v>132</x:v>
      </x:c>
      <x:c r="D248" s="228" t="s">
        <x:v>327</x:v>
      </x:c>
      <x:c r="E248" s="229" t="s"/>
      <x:c r="F248" s="229" t="n">
        <x:v>470354</x:v>
      </x:c>
      <x:c r="G248" s="229" t="s">
        <x:v>42</x:v>
      </x:c>
      <x:c r="H248" s="230" t="n">
        <x:v>0</x:v>
      </x:c>
      <x:c r="I248" s="231" t="n">
        <x:v>20</x:v>
      </x:c>
      <x:c r="J248" s="232" t="n">
        <x:v>0</x:v>
      </x:c>
      <x:c r="K248" s="233" t="s"/>
      <x:c r="L248" s="231" t="n">
        <x:v>0</x:v>
      </x:c>
      <x:c r="M248" s="231" t="n">
        <x:v>0</x:v>
      </x:c>
      <x:c r="N248" s="234">
        <x:f>ROUND(((I248*J248)-((I248*J248)*L248/100))+(((I248*J248)-((I248*J248)*L248/100))*M248/100), 2)</x:f>
      </x:c>
      <x:c r="O248" s="230">
        <x:f>M11</x:f>
      </x:c>
      <x:c r="P248" s="235" t="s"/>
      <x:c r="Q248" s="236" t="s"/>
      <x:c r="R248" s="237" t="s">
        <x:v>279</x:v>
      </x:c>
      <x:c r="S248" s="238" t="s"/>
      <x:c r="T248" s="239" t="s"/>
    </x:row>
    <x:row r="249" spans="1:24" customFormat="1" ht="24" customHeight="1">
      <x:c r="A249" s="226" t="n">
        <x:v>230</x:v>
      </x:c>
      <x:c r="B249" s="226" t="n">
        <x:v>99990008657706</x:v>
      </x:c>
      <x:c r="C249" s="227" t="s">
        <x:v>132</x:v>
      </x:c>
      <x:c r="D249" s="228" t="s">
        <x:v>328</x:v>
      </x:c>
      <x:c r="E249" s="229" t="s"/>
      <x:c r="F249" s="229" t="n">
        <x:v>470225</x:v>
      </x:c>
      <x:c r="G249" s="229" t="s">
        <x:v>42</x:v>
      </x:c>
      <x:c r="H249" s="230" t="n">
        <x:v>0</x:v>
      </x:c>
      <x:c r="I249" s="231" t="n">
        <x:v>20</x:v>
      </x:c>
      <x:c r="J249" s="232" t="n">
        <x:v>0</x:v>
      </x:c>
      <x:c r="K249" s="233" t="s"/>
      <x:c r="L249" s="231" t="n">
        <x:v>0</x:v>
      </x:c>
      <x:c r="M249" s="231" t="n">
        <x:v>0</x:v>
      </x:c>
      <x:c r="N249" s="234">
        <x:f>ROUND(((I249*J249)-((I249*J249)*L249/100))+(((I249*J249)-((I249*J249)*L249/100))*M249/100), 2)</x:f>
      </x:c>
      <x:c r="O249" s="230">
        <x:f>M11</x:f>
      </x:c>
      <x:c r="P249" s="235" t="s"/>
      <x:c r="Q249" s="236" t="s"/>
      <x:c r="R249" s="237" t="s">
        <x:v>279</x:v>
      </x:c>
      <x:c r="S249" s="238" t="s"/>
      <x:c r="T249" s="239" t="s"/>
    </x:row>
    <x:row r="250" spans="1:24" customFormat="1" ht="24" customHeight="1">
      <x:c r="A250" s="226" t="n">
        <x:v>231</x:v>
      </x:c>
      <x:c r="B250" s="226" t="n">
        <x:v>99990008655435</x:v>
      </x:c>
      <x:c r="C250" s="227" t="n">
        <x:v>174154</x:v>
      </x:c>
      <x:c r="D250" s="228" t="s">
        <x:v>329</x:v>
      </x:c>
      <x:c r="E250" s="229" t="s"/>
      <x:c r="F250" s="229" t="n">
        <x:v>174154</x:v>
      </x:c>
      <x:c r="G250" s="229" t="s">
        <x:v>42</x:v>
      </x:c>
      <x:c r="H250" s="230" t="n">
        <x:v>0</x:v>
      </x:c>
      <x:c r="I250" s="231" t="n">
        <x:v>10</x:v>
      </x:c>
      <x:c r="J250" s="232" t="n">
        <x:v>0</x:v>
      </x:c>
      <x:c r="K250" s="233" t="s"/>
      <x:c r="L250" s="231" t="n">
        <x:v>0</x:v>
      </x:c>
      <x:c r="M250" s="231" t="n">
        <x:v>0</x:v>
      </x:c>
      <x:c r="N250" s="234">
        <x:f>ROUND(((I250*J250)-((I250*J250)*L250/100))+(((I250*J250)-((I250*J250)*L250/100))*M250/100), 2)</x:f>
      </x:c>
      <x:c r="O250" s="230">
        <x:f>M11</x:f>
      </x:c>
      <x:c r="P250" s="235" t="s"/>
      <x:c r="Q250" s="236" t="s"/>
      <x:c r="R250" s="237" t="s">
        <x:v>169</x:v>
      </x:c>
      <x:c r="S250" s="238" t="s"/>
      <x:c r="T250" s="239" t="s"/>
    </x:row>
    <x:row r="251" spans="1:24" customFormat="1" ht="24" customHeight="1">
      <x:c r="A251" s="226" t="n">
        <x:v>232</x:v>
      </x:c>
      <x:c r="B251" s="226" t="n">
        <x:v>99990008169098</x:v>
      </x:c>
      <x:c r="C251" s="227" t="n">
        <x:v>110129</x:v>
      </x:c>
      <x:c r="D251" s="228" t="s">
        <x:v>330</x:v>
      </x:c>
      <x:c r="E251" s="229" t="s"/>
      <x:c r="F251" s="229" t="n">
        <x:v>110129</x:v>
      </x:c>
      <x:c r="G251" s="229" t="s">
        <x:v>55</x:v>
      </x:c>
      <x:c r="H251" s="230" t="n">
        <x:v>0</x:v>
      </x:c>
      <x:c r="I251" s="231" t="n">
        <x:v>1</x:v>
      </x:c>
      <x:c r="J251" s="232" t="n">
        <x:v>0</x:v>
      </x:c>
      <x:c r="K251" s="233" t="s"/>
      <x:c r="L251" s="231" t="n">
        <x:v>0</x:v>
      </x:c>
      <x:c r="M251" s="231" t="n">
        <x:v>0</x:v>
      </x:c>
      <x:c r="N251" s="234">
        <x:f>ROUND(((I251*J251)-((I251*J251)*L251/100))+(((I251*J251)-((I251*J251)*L251/100))*M251/100), 2)</x:f>
      </x:c>
      <x:c r="O251" s="230">
        <x:f>M11</x:f>
      </x:c>
      <x:c r="P251" s="235" t="s"/>
      <x:c r="Q251" s="236" t="s"/>
      <x:c r="R251" s="237" t="s"/>
      <x:c r="S251" s="238" t="s"/>
      <x:c r="T251" s="239" t="s"/>
    </x:row>
    <x:row r="252" spans="1:24" customFormat="1" ht="24" customHeight="1">
      <x:c r="A252" s="226" t="n">
        <x:v>233</x:v>
      </x:c>
      <x:c r="B252" s="226" t="n">
        <x:v>99990008169097</x:v>
      </x:c>
      <x:c r="C252" s="227" t="n">
        <x:v>110128</x:v>
      </x:c>
      <x:c r="D252" s="228" t="s">
        <x:v>331</x:v>
      </x:c>
      <x:c r="E252" s="229" t="s"/>
      <x:c r="F252" s="229" t="n">
        <x:v>110128</x:v>
      </x:c>
      <x:c r="G252" s="229" t="s">
        <x:v>55</x:v>
      </x:c>
      <x:c r="H252" s="230" t="n">
        <x:v>0</x:v>
      </x:c>
      <x:c r="I252" s="231" t="n">
        <x:v>1</x:v>
      </x:c>
      <x:c r="J252" s="232" t="n">
        <x:v>0</x:v>
      </x:c>
      <x:c r="K252" s="233" t="s"/>
      <x:c r="L252" s="231" t="n">
        <x:v>0</x:v>
      </x:c>
      <x:c r="M252" s="231" t="n">
        <x:v>0</x:v>
      </x:c>
      <x:c r="N252" s="234">
        <x:f>ROUND(((I252*J252)-((I252*J252)*L252/100))+(((I252*J252)-((I252*J252)*L252/100))*M252/100), 2)</x:f>
      </x:c>
      <x:c r="O252" s="230">
        <x:f>M11</x:f>
      </x:c>
      <x:c r="P252" s="235" t="s"/>
      <x:c r="Q252" s="236" t="s"/>
      <x:c r="R252" s="237" t="s"/>
      <x:c r="S252" s="238" t="s"/>
      <x:c r="T252" s="239" t="s"/>
    </x:row>
    <x:row r="253" spans="1:24" customFormat="1" ht="24" customHeight="1">
      <x:c r="A253" s="226" t="n">
        <x:v>234</x:v>
      </x:c>
      <x:c r="B253" s="226" t="n">
        <x:v>99990008656587</x:v>
      </x:c>
      <x:c r="C253" s="227" t="n">
        <x:v>110124</x:v>
      </x:c>
      <x:c r="D253" s="228" t="s">
        <x:v>332</x:v>
      </x:c>
      <x:c r="E253" s="229" t="s"/>
      <x:c r="F253" s="229" t="n">
        <x:v>110124</x:v>
      </x:c>
      <x:c r="G253" s="229" t="s">
        <x:v>45</x:v>
      </x:c>
      <x:c r="H253" s="230" t="n">
        <x:v>0</x:v>
      </x:c>
      <x:c r="I253" s="231" t="n">
        <x:v>1</x:v>
      </x:c>
      <x:c r="J253" s="232" t="n">
        <x:v>0</x:v>
      </x:c>
      <x:c r="K253" s="233" t="s"/>
      <x:c r="L253" s="231" t="n">
        <x:v>0</x:v>
      </x:c>
      <x:c r="M253" s="231" t="n">
        <x:v>0</x:v>
      </x:c>
      <x:c r="N253" s="234">
        <x:f>ROUND(((I253*J253)-((I253*J253)*L253/100))+(((I253*J253)-((I253*J253)*L253/100))*M253/100), 2)</x:f>
      </x:c>
      <x:c r="O253" s="230">
        <x:f>M11</x:f>
      </x:c>
      <x:c r="P253" s="235" t="s"/>
      <x:c r="Q253" s="236" t="s"/>
      <x:c r="R253" s="237" t="s"/>
      <x:c r="S253" s="238" t="s"/>
      <x:c r="T253" s="239" t="s"/>
    </x:row>
    <x:row r="254" spans="1:24" customFormat="1" ht="24" customHeight="1">
      <x:c r="A254" s="226" t="n">
        <x:v>235</x:v>
      </x:c>
      <x:c r="B254" s="226" t="n">
        <x:v>99990008655762</x:v>
      </x:c>
      <x:c r="C254" s="227" t="n">
        <x:v>650890</x:v>
      </x:c>
      <x:c r="D254" s="228" t="s">
        <x:v>333</x:v>
      </x:c>
      <x:c r="E254" s="229" t="s"/>
      <x:c r="F254" s="229" t="n">
        <x:v>650890</x:v>
      </x:c>
      <x:c r="G254" s="229" t="s">
        <x:v>130</x:v>
      </x:c>
      <x:c r="H254" s="230" t="n">
        <x:v>0</x:v>
      </x:c>
      <x:c r="I254" s="231" t="n">
        <x:v>20</x:v>
      </x:c>
      <x:c r="J254" s="232" t="n">
        <x:v>0</x:v>
      </x:c>
      <x:c r="K254" s="233" t="s"/>
      <x:c r="L254" s="231" t="n">
        <x:v>0</x:v>
      </x:c>
      <x:c r="M254" s="231" t="n">
        <x:v>0</x:v>
      </x:c>
      <x:c r="N254" s="234">
        <x:f>ROUND(((I254*J254)-((I254*J254)*L254/100))+(((I254*J254)-((I254*J254)*L254/100))*M254/100), 2)</x:f>
      </x:c>
      <x:c r="O254" s="230">
        <x:f>M11</x:f>
      </x:c>
      <x:c r="P254" s="235" t="s"/>
      <x:c r="Q254" s="236" t="s"/>
      <x:c r="R254" s="237" t="s"/>
      <x:c r="S254" s="238" t="s"/>
      <x:c r="T254" s="239" t="s"/>
    </x:row>
    <x:row r="255" spans="1:24" customFormat="1" ht="15" customHeight="1">
      <x:c r="A255" s="32" t="s"/>
      <x:c r="B255" s="295" t="s"/>
      <x:c r="C255" s="296" t="s"/>
      <x:c r="D255" s="296" t="s"/>
      <x:c r="E255" s="296" t="s"/>
      <x:c r="F255" s="296" t="s"/>
      <x:c r="G255" s="296" t="s"/>
      <x:c r="H255" s="297" t="s"/>
      <x:c r="I255" s="297" t="s"/>
      <x:c r="J255" s="297" t="s"/>
      <x:c r="K255" s="297" t="s"/>
      <x:c r="L255" s="297" t="s"/>
      <x:c r="M255" s="297" t="s"/>
      <x:c r="N255" s="297" t="s"/>
      <x:c r="O255" s="297" t="s"/>
      <x:c r="P255" s="297" t="s"/>
      <x:c r="Q255" s="297" t="s"/>
      <x:c r="R255" s="297" t="s"/>
      <x:c r="S255" s="297" t="s"/>
      <x:c r="T255" s="298" t="s"/>
    </x:row>
    <x:row r="256" spans="1:24" customFormat="1" ht="12.75" customHeight="1">
      <x:c r="A256" s="289" t="s">
        <x:v>29</x:v>
      </x:c>
      <x:c r="B256" s="289" t="s"/>
      <x:c r="C256" s="290" t="s">
        <x:v>334</x:v>
      </x:c>
      <x:c r="D256" s="291" t="s"/>
      <x:c r="E256" s="291" t="s"/>
      <x:c r="F256" s="291" t="s"/>
      <x:c r="G256" s="291" t="s"/>
      <x:c r="H256" s="291" t="s"/>
      <x:c r="I256" s="292" t="s"/>
      <x:c r="J256" s="292" t="s">
        <x:v>335</x:v>
      </x:c>
      <x:c r="K256" s="292" t="s"/>
      <x:c r="L256" s="292" t="s">
        <x:v>36</x:v>
      </x:c>
      <x:c r="M256" s="292" t="s">
        <x:v>37</x:v>
      </x:c>
      <x:c r="N256" s="293" t="s">
        <x:v>336</x:v>
      </x:c>
      <x:c r="O256" s="294" t="s">
        <x:v>39</x:v>
      </x:c>
      <x:c r="P256" s="294" t="s"/>
      <x:c r="Q256" s="294" t="s"/>
      <x:c r="R256" s="294" t="s"/>
      <x:c r="S256" s="294" t="s"/>
      <x:c r="T256" s="225" t="s"/>
    </x:row>
    <x:row r="257" spans="1:24" customFormat="1" ht="15" customHeight="1">
      <x:c r="A257" s="269" t="n">
        <x:v>1</x:v>
      </x:c>
      <x:c r="B257" s="270" t="s"/>
      <x:c r="C257" s="271" t="s">
        <x:v>337</x:v>
      </x:c>
      <x:c r="D257" s="272" t="s">
        <x:v>337</x:v>
      </x:c>
      <x:c r="E257" s="272" t="s">
        <x:v>337</x:v>
      </x:c>
      <x:c r="F257" s="272" t="s">
        <x:v>337</x:v>
      </x:c>
      <x:c r="G257" s="272" t="s">
        <x:v>337</x:v>
      </x:c>
      <x:c r="H257" s="273" t="s">
        <x:v>337</x:v>
      </x:c>
      <x:c r="I257" s="274" t="s"/>
      <x:c r="J257" s="275" t="n">
        <x:v>0</x:v>
      </x:c>
      <x:c r="K257" s="276" t="s"/>
      <x:c r="L257" s="277" t="n">
        <x:v>0</x:v>
      </x:c>
      <x:c r="M257" s="277" t="n">
        <x:v>0</x:v>
      </x:c>
      <x:c r="N257" s="285">
        <x:f>(J257 -(J257 *L257 /100)+((J257 -(J257 *L257 /100))*M257 /100))</x:f>
      </x:c>
      <x:c r="O257" s="286" t="s"/>
      <x:c r="P257" s="287" t="s"/>
      <x:c r="Q257" s="287" t="s"/>
      <x:c r="R257" s="287" t="s"/>
      <x:c r="S257" s="288" t="s"/>
      <x:c r="T257" s="283" t="s"/>
    </x:row>
    <x:row r="258" spans="1:24" customFormat="1" ht="15" customHeight="1">
      <x:c r="A258" s="269" t="n">
        <x:v>2</x:v>
      </x:c>
      <x:c r="B258" s="270" t="s"/>
      <x:c r="C258" s="271" t="s">
        <x:v>338</x:v>
      </x:c>
      <x:c r="D258" s="272" t="s">
        <x:v>338</x:v>
      </x:c>
      <x:c r="E258" s="272" t="s">
        <x:v>338</x:v>
      </x:c>
      <x:c r="F258" s="272" t="s">
        <x:v>338</x:v>
      </x:c>
      <x:c r="G258" s="272" t="s">
        <x:v>338</x:v>
      </x:c>
      <x:c r="H258" s="273" t="s">
        <x:v>338</x:v>
      </x:c>
      <x:c r="I258" s="284" t="s"/>
      <x:c r="J258" s="275" t="n">
        <x:v>0</x:v>
      </x:c>
      <x:c r="K258" s="276" t="s"/>
      <x:c r="L258" s="277" t="n">
        <x:v>0</x:v>
      </x:c>
      <x:c r="M258" s="277" t="n">
        <x:v>0</x:v>
      </x:c>
      <x:c r="N258" s="279">
        <x:f>(J258 -(J258 *L258 /100)+((J258 -(J258 *L258 /100))*M258 /100))</x:f>
      </x:c>
      <x:c r="O258" s="280" t="s"/>
      <x:c r="P258" s="281" t="s"/>
      <x:c r="Q258" s="281" t="s"/>
      <x:c r="R258" s="281" t="s"/>
      <x:c r="S258" s="282" t="s"/>
      <x:c r="T258" s="283" t="s"/>
    </x:row>
    <x:row r="259" spans="1:24" customFormat="1" ht="15" customHeight="1">
      <x:c r="A259" s="269" t="n">
        <x:v>3</x:v>
      </x:c>
      <x:c r="B259" s="270" t="s"/>
      <x:c r="C259" s="271" t="s"/>
      <x:c r="D259" s="272" t="s"/>
      <x:c r="E259" s="272" t="s"/>
      <x:c r="F259" s="272" t="s"/>
      <x:c r="G259" s="272" t="s"/>
      <x:c r="H259" s="273" t="s"/>
      <x:c r="I259" s="274" t="s"/>
      <x:c r="J259" s="275" t="n">
        <x:v>0</x:v>
      </x:c>
      <x:c r="K259" s="276" t="s"/>
      <x:c r="L259" s="277" t="n">
        <x:v>0</x:v>
      </x:c>
      <x:c r="M259" s="277" t="n">
        <x:v>0</x:v>
      </x:c>
      <x:c r="N259" s="279">
        <x:f>(J259 -(J259 *L259 /100)+((J259 -(J259 *L259 /100))*M259 /100))</x:f>
      </x:c>
      <x:c r="O259" s="280" t="s"/>
      <x:c r="P259" s="281" t="s"/>
      <x:c r="Q259" s="281" t="s"/>
      <x:c r="R259" s="281" t="s"/>
      <x:c r="S259" s="282" t="s"/>
      <x:c r="T259" s="283" t="s"/>
    </x:row>
    <x:row r="260" spans="1:24" customFormat="1" ht="15.75" customHeight="1">
      <x:c r="A260" s="269" t="n">
        <x:v>4</x:v>
      </x:c>
      <x:c r="B260" s="270" t="s"/>
      <x:c r="C260" s="271" t="s"/>
      <x:c r="D260" s="272" t="s"/>
      <x:c r="E260" s="272" t="s"/>
      <x:c r="F260" s="272" t="s"/>
      <x:c r="G260" s="272" t="s"/>
      <x:c r="H260" s="273" t="s"/>
      <x:c r="I260" s="274" t="s"/>
      <x:c r="J260" s="275" t="n">
        <x:v>0</x:v>
      </x:c>
      <x:c r="K260" s="276" t="s"/>
      <x:c r="L260" s="277" t="n">
        <x:v>0</x:v>
      </x:c>
      <x:c r="M260" s="278" t="n">
        <x:v>0</x:v>
      </x:c>
      <x:c r="N260" s="279">
        <x:f>(J260 -(J260 *L260 /100)+((J260 -(J260 *L260 /100))*M260 /100))</x:f>
      </x:c>
      <x:c r="O260" s="280" t="s"/>
      <x:c r="P260" s="281" t="s"/>
      <x:c r="Q260" s="281" t="s"/>
      <x:c r="R260" s="281" t="s"/>
      <x:c r="S260" s="282" t="s"/>
      <x:c r="T260" s="283" t="s"/>
    </x:row>
    <x:row r="261" spans="1:24" customFormat="1" ht="15.95" customHeight="1">
      <x:c r="A261" s="247" t="s"/>
      <x:c r="B261" s="247" t="s"/>
      <x:c r="C261" s="248" t="s"/>
      <x:c r="D261" s="248" t="s"/>
      <x:c r="J261" s="58" t="s">
        <x:v>339</x:v>
      </x:c>
      <x:c r="K261" s="59" t="s"/>
      <x:c r="L261" s="58" t="s"/>
      <x:c r="M261" s="59" t="s"/>
      <x:c r="N261" s="264">
        <x:f>SUM(ItmPrice)</x:f>
      </x:c>
      <x:c r="O261" s="267" t="s"/>
      <x:c r="P261" s="268" t="s"/>
    </x:row>
    <x:row r="262" spans="1:24" customFormat="1" ht="15" customHeight="1">
      <x:c r="A262" s="247" t="s"/>
      <x:c r="B262" s="247" t="s"/>
      <x:c r="C262" s="248" t="s"/>
      <x:c r="D262" s="248" t="s"/>
      <x:c r="J262" s="123" t="s">
        <x:v>340</x:v>
      </x:c>
      <x:c r="K262" s="124" t="s"/>
      <x:c r="L262" s="124" t="s"/>
      <x:c r="M262" s="125" t="s"/>
      <x:c r="N262" s="264">
        <x:f>SUM(N257:N261)</x:f>
      </x:c>
      <x:c r="O262" s="265" t="s"/>
      <x:c r="P262" s="266" t="s"/>
    </x:row>
    <x:row r="263" spans="1:24" customFormat="1" ht="2.25" hidden="1" customHeight="1">
      <x:c r="A263" s="258" t="n">
        <x:v>0</x:v>
      </x:c>
      <x:c r="B263" s="258" t="n">
        <x:v>0</x:v>
      </x:c>
      <x:c r="C263" s="259" t="n">
        <x:v>0</x:v>
      </x:c>
      <x:c r="D263" s="248" t="s"/>
      <x:c r="E263" s="248" t="s"/>
      <x:c r="F263" s="260" t="n">
        <x:v>1</x:v>
      </x:c>
      <x:c r="G263" s="248" t="s"/>
      <x:c r="H263" s="248" t="s"/>
      <x:c r="I263" s="248" t="s"/>
      <x:c r="J263" s="248" t="s"/>
      <x:c r="K263" s="261" t="s"/>
      <x:c r="L263" s="262" t="n">
        <x:v>0</x:v>
      </x:c>
      <x:c r="M263" s="263" t="n">
        <x:v>0</x:v>
      </x:c>
      <x:c r="N263" s="162" t="s">
        <x:v>341</x:v>
      </x:c>
      <x:c r="O263" s="257" t="s"/>
      <x:c r="P263" s="263" t="n">
        <x:v>995</x:v>
      </x:c>
      <x:c r="Q263" s="248" t="s">
        <x:v>342</x:v>
      </x:c>
      <x:c r="R263" s="248" t="s"/>
      <x:c r="S263" s="248" t="s"/>
    </x:row>
    <x:row r="264" spans="1:24" customFormat="1" ht="18.75" customHeight="1">
      <x:c r="A264" s="247" t="s"/>
      <x:c r="B264" s="247" t="s"/>
      <x:c r="C264" s="247" t="s"/>
      <x:c r="H264" s="257" t="s"/>
      <x:c r="J264" s="248" t="s"/>
      <x:c r="K264" s="248" t="s"/>
      <x:c r="L264" s="248" t="s"/>
      <x:c r="M264" s="248" t="s"/>
      <x:c r="N264" s="248" t="s"/>
      <x:c r="O264" s="248" t="s"/>
      <x:c r="P264" s="248" t="s"/>
      <x:c r="R264" s="248" t="s"/>
      <x:c r="S264" s="248" t="s"/>
    </x:row>
    <x:row r="265" spans="1:24" customFormat="1" ht="127.5" customHeight="1">
      <x:c r="A265" s="249" t="s">
        <x:v>343</x:v>
      </x:c>
      <x:c r="B265" s="249" t="s"/>
      <x:c r="C265" s="249" t="s"/>
      <x:c r="D265" s="250" t="s"/>
      <x:c r="E265" s="254" t="s">
        <x:v>344</x:v>
      </x:c>
      <x:c r="F265" s="255" t="s"/>
      <x:c r="G265" s="255" t="s"/>
      <x:c r="H265" s="255" t="s"/>
      <x:c r="I265" s="255" t="s"/>
      <x:c r="J265" s="255" t="s"/>
      <x:c r="K265" s="255" t="s"/>
      <x:c r="L265" s="255" t="s"/>
      <x:c r="M265" s="255" t="s"/>
      <x:c r="N265" s="255" t="s"/>
      <x:c r="O265" s="255" t="s"/>
      <x:c r="P265" s="255" t="s"/>
      <x:c r="Q265" s="255" t="s"/>
      <x:c r="R265" s="255" t="s"/>
      <x:c r="S265" s="255" t="s"/>
      <x:c r="T265" s="256" t="s"/>
    </x:row>
    <x:row r="266" spans="1:24" customFormat="1" ht="129.75" customHeight="1">
      <x:c r="A266" s="249" t="s">
        <x:v>39</x:v>
      </x:c>
      <x:c r="B266" s="249" t="s"/>
      <x:c r="C266" s="249" t="s"/>
      <x:c r="D266" s="250" t="s"/>
      <x:c r="E266" s="251" t="s"/>
      <x:c r="F266" s="252" t="s"/>
      <x:c r="G266" s="252" t="s"/>
      <x:c r="H266" s="252" t="s"/>
      <x:c r="I266" s="252" t="s"/>
      <x:c r="J266" s="252" t="s"/>
      <x:c r="K266" s="252" t="s"/>
      <x:c r="L266" s="252" t="s"/>
      <x:c r="M266" s="252" t="s"/>
      <x:c r="N266" s="252" t="s"/>
      <x:c r="O266" s="252" t="s"/>
      <x:c r="P266" s="252" t="s"/>
      <x:c r="Q266" s="252" t="s"/>
      <x:c r="R266" s="252" t="s"/>
      <x:c r="S266" s="252" t="s"/>
      <x:c r="T266" s="253" t="s"/>
    </x:row>
    <x:row r="267" spans="1:24" customFormat="1" ht="15.95" customHeight="1">
      <x:c r="A267" s="247" t="s"/>
      <x:c r="B267" s="247" t="s"/>
      <x:c r="C267" s="247" t="s"/>
      <x:c r="H267" s="248" t="s"/>
      <x:c r="I267" s="248" t="s"/>
      <x:c r="J267" s="248" t="s"/>
      <x:c r="K267" s="248" t="s"/>
      <x:c r="L267" s="248" t="s"/>
      <x:c r="M267" s="248" t="s"/>
      <x:c r="N267" s="248" t="s"/>
      <x:c r="O267" s="248" t="s"/>
      <x:c r="P267" s="248" t="s"/>
      <x:c r="Q267" s="248" t="s"/>
      <x:c r="R267" s="248" t="s"/>
      <x:c r="S267" s="248" t="s"/>
    </x:row>
    <x:row r="268" spans="1:24" customFormat="1" ht="15.95" customHeight="1">
      <x:c r="A268" s="245" t="s">
        <x:v>345</x:v>
      </x:c>
      <x:c r="B268" s="245" t="s"/>
      <x:c r="C268" s="245" t="s"/>
      <x:c r="D268" s="245" t="s"/>
      <x:c r="E268" s="245" t="s"/>
      <x:c r="F268" s="245" t="s"/>
      <x:c r="G268" s="245" t="s"/>
      <x:c r="H268" s="245" t="s"/>
      <x:c r="I268" s="245" t="s"/>
      <x:c r="J268" s="245" t="s"/>
      <x:c r="K268" s="245" t="s"/>
      <x:c r="L268" s="245" t="s"/>
      <x:c r="M268" s="245" t="s"/>
      <x:c r="N268" s="245" t="s"/>
      <x:c r="O268" s="245" t="s"/>
      <x:c r="P268" s="245" t="s"/>
      <x:c r="Q268" s="245" t="s"/>
      <x:c r="R268" s="245" t="s"/>
      <x:c r="S268" s="245" t="s"/>
      <x:c r="T268" s="246" t="s"/>
    </x:row>
    <x:row r="269" spans="1:24" customFormat="1" ht="12.75" customHeight="1">
      <x:c r="A269" s="243" t="s"/>
      <x:c r="B269" s="243" t="s"/>
      <x:c r="C269" s="243" t="s"/>
      <x:c r="D269" s="243" t="s"/>
      <x:c r="E269" s="243" t="s"/>
      <x:c r="F269" s="243" t="s"/>
      <x:c r="G269" s="243" t="s"/>
      <x:c r="H269" s="243" t="s"/>
      <x:c r="I269" s="243" t="s"/>
      <x:c r="J269" s="243" t="s"/>
      <x:c r="K269" s="243" t="s"/>
      <x:c r="L269" s="243" t="s"/>
      <x:c r="M269" s="243" t="s"/>
      <x:c r="N269" s="243" t="s"/>
      <x:c r="O269" s="243" t="s"/>
      <x:c r="P269" s="243" t="s"/>
      <x:c r="Q269" s="243" t="s"/>
      <x:c r="R269" s="243" t="s"/>
      <x:c r="S269" s="243" t="s"/>
      <x:c r="T269" s="244" t="s"/>
    </x:row>
    <x:row r="270" spans="1:24" customFormat="1" ht="12.75" customHeight="1">
      <x:c r="A270" s="243" t="s"/>
      <x:c r="B270" s="243" t="s"/>
      <x:c r="C270" s="243" t="s"/>
      <x:c r="D270" s="243" t="s"/>
      <x:c r="E270" s="243" t="s"/>
      <x:c r="F270" s="243" t="s"/>
      <x:c r="G270" s="243" t="s"/>
      <x:c r="H270" s="243" t="s"/>
      <x:c r="I270" s="243" t="s"/>
      <x:c r="J270" s="243" t="s"/>
      <x:c r="K270" s="243" t="s"/>
      <x:c r="L270" s="243" t="s"/>
      <x:c r="M270" s="243" t="s"/>
      <x:c r="N270" s="243" t="s"/>
      <x:c r="O270" s="243" t="s"/>
      <x:c r="P270" s="243" t="s"/>
      <x:c r="Q270" s="243" t="s"/>
      <x:c r="R270" s="243" t="s"/>
      <x:c r="S270" s="243" t="s"/>
      <x:c r="T270" s="244" t="s"/>
    </x:row>
    <x:row r="271" spans="1:24" customFormat="1" ht="7.5" customHeight="1">
      <x:c r="A271" s="243" t="s"/>
      <x:c r="B271" s="243" t="s"/>
      <x:c r="C271" s="243" t="s"/>
      <x:c r="D271" s="243" t="s"/>
      <x:c r="E271" s="243" t="s"/>
      <x:c r="F271" s="243" t="s"/>
      <x:c r="G271" s="243" t="s"/>
      <x:c r="H271" s="243" t="s"/>
      <x:c r="I271" s="243" t="s"/>
      <x:c r="J271" s="243" t="s"/>
      <x:c r="K271" s="243" t="s"/>
      <x:c r="L271" s="243" t="s"/>
      <x:c r="M271" s="243" t="s"/>
      <x:c r="N271" s="243" t="s"/>
      <x:c r="O271" s="243" t="s"/>
      <x:c r="P271" s="243" t="s"/>
      <x:c r="Q271" s="243" t="s"/>
      <x:c r="R271" s="243" t="s"/>
      <x:c r="S271" s="243" t="s"/>
      <x:c r="T271" s="244" t="s"/>
    </x:row>
    <x:row r="272" spans="1:24" customFormat="1" ht="12.75" customHeight="1">
      <x:c r="A272" s="243" t="s"/>
      <x:c r="B272" s="243" t="s"/>
      <x:c r="C272" s="243" t="s"/>
      <x:c r="D272" s="243" t="s"/>
      <x:c r="E272" s="243" t="s"/>
      <x:c r="F272" s="243" t="s"/>
      <x:c r="G272" s="243" t="s"/>
      <x:c r="H272" s="243" t="s"/>
      <x:c r="I272" s="243" t="s"/>
      <x:c r="J272" s="243" t="s"/>
      <x:c r="K272" s="243" t="s"/>
      <x:c r="L272" s="243" t="s"/>
      <x:c r="M272" s="243" t="s"/>
      <x:c r="N272" s="243" t="s"/>
      <x:c r="O272" s="243" t="s"/>
      <x:c r="P272" s="243" t="s"/>
      <x:c r="Q272" s="243" t="s"/>
      <x:c r="R272" s="243" t="s"/>
      <x:c r="S272" s="243" t="s"/>
      <x:c r="T272" s="244" t="s"/>
    </x:row>
    <x:row r="273" spans="1:24" customFormat="1" ht="12.75" customHeight="1">
      <x:c r="A273" s="243" t="s"/>
      <x:c r="B273" s="243" t="s"/>
      <x:c r="C273" s="243" t="s"/>
      <x:c r="D273" s="243" t="s"/>
      <x:c r="E273" s="243" t="s"/>
      <x:c r="F273" s="243" t="s"/>
      <x:c r="G273" s="243" t="s"/>
      <x:c r="H273" s="243" t="s"/>
      <x:c r="I273" s="243" t="s"/>
      <x:c r="J273" s="243" t="s"/>
      <x:c r="K273" s="243" t="s"/>
      <x:c r="L273" s="243" t="s"/>
      <x:c r="M273" s="243" t="s"/>
      <x:c r="N273" s="243" t="s"/>
      <x:c r="O273" s="243" t="s"/>
      <x:c r="P273" s="243" t="s"/>
      <x:c r="Q273" s="243" t="s"/>
      <x:c r="R273" s="243" t="s"/>
      <x:c r="S273" s="243" t="s"/>
      <x:c r="T273" s="244" t="s"/>
    </x:row>
    <x:row r="274" spans="1:24" customFormat="1" ht="12.75" customHeight="1">
      <x:c r="A274" s="243" t="s"/>
      <x:c r="B274" s="243" t="s"/>
      <x:c r="C274" s="243" t="s"/>
      <x:c r="D274" s="243" t="s"/>
      <x:c r="E274" s="243" t="s"/>
      <x:c r="F274" s="243" t="s"/>
      <x:c r="G274" s="243" t="s"/>
      <x:c r="H274" s="243" t="s"/>
      <x:c r="I274" s="243" t="s"/>
      <x:c r="J274" s="243" t="s"/>
      <x:c r="K274" s="243" t="s"/>
      <x:c r="L274" s="243" t="s"/>
      <x:c r="M274" s="243" t="s"/>
      <x:c r="N274" s="243" t="s"/>
      <x:c r="O274" s="243" t="s"/>
      <x:c r="P274" s="243" t="s"/>
      <x:c r="Q274" s="243" t="s"/>
      <x:c r="R274" s="243" t="s"/>
      <x:c r="S274" s="243" t="s"/>
      <x:c r="T274" s="244" t="s"/>
    </x:row>
    <x:row r="275" spans="1:24" customFormat="1" ht="7.5" customHeight="1">
      <x:c r="A275" s="243" t="s"/>
      <x:c r="B275" s="243" t="s"/>
      <x:c r="C275" s="243" t="s"/>
      <x:c r="D275" s="243" t="s"/>
      <x:c r="E275" s="243" t="s"/>
      <x:c r="F275" s="243" t="s"/>
      <x:c r="G275" s="243" t="s"/>
      <x:c r="H275" s="243" t="s"/>
      <x:c r="I275" s="243" t="s"/>
      <x:c r="J275" s="243" t="s"/>
      <x:c r="K275" s="243" t="s"/>
      <x:c r="L275" s="243" t="s"/>
      <x:c r="M275" s="243" t="s"/>
      <x:c r="N275" s="243" t="s"/>
      <x:c r="O275" s="243" t="s"/>
      <x:c r="P275" s="243" t="s"/>
      <x:c r="Q275" s="243" t="s"/>
      <x:c r="R275" s="243" t="s"/>
      <x:c r="S275" s="243" t="s"/>
      <x:c r="T275" s="244" t="s"/>
    </x:row>
    <x:row r="276" spans="1:24" customFormat="1" ht="12.75" customHeight="1">
      <x:c r="A276" s="243" t="s"/>
      <x:c r="B276" s="243" t="s"/>
      <x:c r="C276" s="243" t="s"/>
      <x:c r="D276" s="243" t="s"/>
      <x:c r="E276" s="243" t="s"/>
      <x:c r="F276" s="243" t="s"/>
      <x:c r="G276" s="243" t="s"/>
      <x:c r="H276" s="243" t="s"/>
      <x:c r="I276" s="243" t="s"/>
      <x:c r="J276" s="243" t="s"/>
      <x:c r="K276" s="243" t="s"/>
      <x:c r="L276" s="243" t="s"/>
      <x:c r="M276" s="243" t="s"/>
      <x:c r="N276" s="243" t="s"/>
      <x:c r="O276" s="243" t="s"/>
      <x:c r="P276" s="243" t="s"/>
      <x:c r="Q276" s="243" t="s"/>
      <x:c r="R276" s="243" t="s"/>
      <x:c r="S276" s="243" t="s"/>
      <x:c r="T276" s="244" t="s"/>
    </x:row>
    <x:row r="277" spans="1:24" customFormat="1" ht="12.75" customHeight="1">
      <x:c r="A277" s="243" t="s"/>
      <x:c r="B277" s="243" t="s"/>
      <x:c r="C277" s="243" t="s"/>
      <x:c r="D277" s="243" t="s"/>
      <x:c r="E277" s="243" t="s"/>
      <x:c r="F277" s="243" t="s"/>
      <x:c r="G277" s="243" t="s"/>
      <x:c r="H277" s="243" t="s"/>
      <x:c r="I277" s="243" t="s"/>
      <x:c r="J277" s="243" t="s"/>
      <x:c r="K277" s="243" t="s"/>
      <x:c r="L277" s="243" t="s"/>
      <x:c r="M277" s="243" t="s"/>
      <x:c r="N277" s="243" t="s"/>
      <x:c r="O277" s="243" t="s"/>
      <x:c r="P277" s="243" t="s"/>
      <x:c r="Q277" s="243" t="s"/>
      <x:c r="R277" s="243" t="s"/>
      <x:c r="S277" s="243" t="s"/>
      <x:c r="T277" s="244" t="s"/>
    </x:row>
    <x:row r="278" spans="1:24" customFormat="1" ht="12.75" customHeight="1">
      <x:c r="A278" s="243" t="s"/>
      <x:c r="B278" s="243" t="s"/>
      <x:c r="C278" s="243" t="s"/>
      <x:c r="D278" s="243" t="s"/>
      <x:c r="E278" s="243" t="s"/>
      <x:c r="F278" s="243" t="s"/>
      <x:c r="G278" s="243" t="s"/>
      <x:c r="H278" s="243" t="s"/>
      <x:c r="I278" s="243" t="s"/>
      <x:c r="J278" s="243" t="s"/>
      <x:c r="K278" s="243" t="s"/>
      <x:c r="L278" s="243" t="s"/>
      <x:c r="M278" s="243" t="s"/>
      <x:c r="N278" s="243" t="s"/>
      <x:c r="O278" s="243" t="s"/>
      <x:c r="P278" s="243" t="s"/>
      <x:c r="Q278" s="243" t="s"/>
      <x:c r="R278" s="243" t="s"/>
      <x:c r="S278" s="243" t="s"/>
      <x:c r="T278" s="244" t="s"/>
    </x:row>
    <x:row r="279" spans="1:24" customFormat="1" ht="12.75" customHeight="1">
      <x:c r="A279" s="243" t="s"/>
      <x:c r="B279" s="243" t="s"/>
      <x:c r="C279" s="243" t="s"/>
      <x:c r="D279" s="243" t="s"/>
      <x:c r="E279" s="243" t="s"/>
      <x:c r="F279" s="243" t="s"/>
      <x:c r="G279" s="243" t="s"/>
      <x:c r="H279" s="243" t="s"/>
      <x:c r="I279" s="243" t="s"/>
      <x:c r="J279" s="243" t="s"/>
      <x:c r="K279" s="243" t="s"/>
      <x:c r="L279" s="243" t="s"/>
      <x:c r="M279" s="243" t="s"/>
      <x:c r="N279" s="243" t="s"/>
      <x:c r="O279" s="243" t="s"/>
      <x:c r="P279" s="243" t="s"/>
      <x:c r="Q279" s="243" t="s"/>
      <x:c r="R279" s="243" t="s"/>
      <x:c r="S279" s="243" t="s"/>
      <x:c r="T279" s="244" t="s"/>
    </x:row>
    <x:row r="280" spans="1:24" customFormat="1" ht="12.75" customHeight="1">
      <x:c r="A280" s="243" t="s"/>
      <x:c r="B280" s="243" t="s"/>
      <x:c r="C280" s="243" t="s"/>
      <x:c r="D280" s="243" t="s"/>
      <x:c r="E280" s="243" t="s"/>
      <x:c r="F280" s="243" t="s"/>
      <x:c r="G280" s="243" t="s"/>
      <x:c r="H280" s="243" t="s"/>
      <x:c r="I280" s="243" t="s"/>
      <x:c r="J280" s="243" t="s"/>
      <x:c r="K280" s="243" t="s"/>
      <x:c r="L280" s="243" t="s"/>
      <x:c r="M280" s="243" t="s"/>
      <x:c r="N280" s="243" t="s"/>
      <x:c r="O280" s="243" t="s"/>
      <x:c r="P280" s="243" t="s"/>
      <x:c r="Q280" s="243" t="s"/>
      <x:c r="R280" s="243" t="s"/>
      <x:c r="S280" s="243" t="s"/>
      <x:c r="T280" s="244" t="s"/>
    </x:row>
    <x:row r="281" spans="1:24" customFormat="1" ht="12.75" customHeight="1">
      <x:c r="A281" s="243" t="s"/>
      <x:c r="B281" s="243" t="s"/>
      <x:c r="C281" s="243" t="s"/>
      <x:c r="D281" s="243" t="s"/>
      <x:c r="E281" s="243" t="s"/>
      <x:c r="F281" s="243" t="s"/>
      <x:c r="G281" s="243" t="s"/>
      <x:c r="H281" s="243" t="s"/>
      <x:c r="I281" s="243" t="s"/>
      <x:c r="J281" s="243" t="s"/>
      <x:c r="K281" s="243" t="s"/>
      <x:c r="L281" s="243" t="s"/>
      <x:c r="M281" s="243" t="s"/>
      <x:c r="N281" s="243" t="s"/>
      <x:c r="O281" s="243" t="s"/>
      <x:c r="P281" s="243" t="s"/>
      <x:c r="Q281" s="243" t="s"/>
      <x:c r="R281" s="243" t="s"/>
      <x:c r="S281" s="243" t="s"/>
      <x:c r="T281" s="244" t="s"/>
    </x:row>
    <x:row r="282" spans="1:24" customFormat="1" ht="7.5" customHeight="1">
      <x:c r="A282" s="243" t="s"/>
      <x:c r="B282" s="243" t="s"/>
      <x:c r="C282" s="243" t="s"/>
      <x:c r="D282" s="243" t="s"/>
      <x:c r="E282" s="243" t="s"/>
      <x:c r="F282" s="243" t="s"/>
      <x:c r="G282" s="243" t="s"/>
      <x:c r="H282" s="243" t="s"/>
      <x:c r="I282" s="243" t="s"/>
      <x:c r="J282" s="243" t="s"/>
      <x:c r="K282" s="243" t="s"/>
      <x:c r="L282" s="243" t="s"/>
      <x:c r="M282" s="243" t="s"/>
      <x:c r="N282" s="243" t="s"/>
      <x:c r="O282" s="243" t="s"/>
      <x:c r="P282" s="243" t="s"/>
      <x:c r="Q282" s="243" t="s"/>
      <x:c r="R282" s="243" t="s"/>
      <x:c r="S282" s="243" t="s"/>
      <x:c r="T282" s="244" t="s"/>
    </x:row>
    <x:row r="283" spans="1:24" customFormat="1" ht="12.75" customHeight="1">
      <x:c r="A283" s="243" t="s"/>
      <x:c r="B283" s="243" t="s"/>
      <x:c r="C283" s="243" t="s"/>
      <x:c r="D283" s="243" t="s"/>
      <x:c r="E283" s="243" t="s"/>
      <x:c r="F283" s="243" t="s"/>
      <x:c r="G283" s="243" t="s"/>
      <x:c r="H283" s="243" t="s"/>
      <x:c r="I283" s="243" t="s"/>
      <x:c r="J283" s="243" t="s"/>
      <x:c r="K283" s="243" t="s"/>
      <x:c r="L283" s="243" t="s"/>
      <x:c r="M283" s="243" t="s"/>
      <x:c r="N283" s="243" t="s"/>
      <x:c r="O283" s="243" t="s"/>
      <x:c r="P283" s="243" t="s"/>
      <x:c r="Q283" s="243" t="s"/>
      <x:c r="R283" s="243" t="s"/>
      <x:c r="S283" s="243" t="s"/>
      <x:c r="T283" s="244" t="s"/>
    </x:row>
    <x:row r="284" spans="1:24" customFormat="1" ht="12.75" customHeight="1">
      <x:c r="A284" s="243" t="s"/>
      <x:c r="B284" s="243" t="s"/>
      <x:c r="C284" s="243" t="s"/>
      <x:c r="D284" s="243" t="s"/>
      <x:c r="E284" s="243" t="s"/>
      <x:c r="F284" s="243" t="s"/>
      <x:c r="G284" s="243" t="s"/>
      <x:c r="H284" s="243" t="s"/>
      <x:c r="I284" s="243" t="s"/>
      <x:c r="J284" s="243" t="s"/>
      <x:c r="K284" s="243" t="s"/>
      <x:c r="L284" s="243" t="s"/>
      <x:c r="M284" s="243" t="s"/>
      <x:c r="N284" s="243" t="s"/>
      <x:c r="O284" s="243" t="s"/>
      <x:c r="P284" s="243" t="s"/>
      <x:c r="Q284" s="243" t="s"/>
      <x:c r="R284" s="243" t="s"/>
      <x:c r="S284" s="243" t="s"/>
      <x:c r="T284" s="244" t="s"/>
    </x:row>
    <x:row r="285" spans="1:24" customFormat="1" ht="12.75" customHeight="1">
      <x:c r="A285" s="243" t="s"/>
      <x:c r="B285" s="243" t="s"/>
      <x:c r="C285" s="243" t="s"/>
      <x:c r="D285" s="243" t="s"/>
      <x:c r="E285" s="243" t="s"/>
      <x:c r="F285" s="243" t="s"/>
      <x:c r="G285" s="243" t="s"/>
      <x:c r="H285" s="243" t="s"/>
      <x:c r="I285" s="243" t="s"/>
      <x:c r="J285" s="243" t="s"/>
      <x:c r="K285" s="243" t="s"/>
      <x:c r="L285" s="243" t="s"/>
      <x:c r="M285" s="243" t="s"/>
      <x:c r="N285" s="243" t="s"/>
      <x:c r="O285" s="243" t="s"/>
      <x:c r="P285" s="243" t="s"/>
      <x:c r="Q285" s="243" t="s"/>
      <x:c r="R285" s="243" t="s"/>
      <x:c r="S285" s="243" t="s"/>
      <x:c r="T285" s="244" t="s"/>
    </x:row>
    <x:row r="286" spans="1:24" customFormat="1" ht="12.75" customHeight="1">
      <x:c r="A286" s="243" t="s"/>
      <x:c r="B286" s="243" t="s"/>
      <x:c r="C286" s="243" t="s"/>
      <x:c r="D286" s="243" t="s"/>
      <x:c r="E286" s="243" t="s"/>
      <x:c r="F286" s="243" t="s"/>
      <x:c r="G286" s="243" t="s"/>
      <x:c r="H286" s="243" t="s"/>
      <x:c r="I286" s="243" t="s"/>
      <x:c r="J286" s="243" t="s"/>
      <x:c r="K286" s="243" t="s"/>
      <x:c r="L286" s="243" t="s"/>
      <x:c r="M286" s="243" t="s"/>
      <x:c r="N286" s="243" t="s"/>
      <x:c r="O286" s="243" t="s"/>
      <x:c r="P286" s="243" t="s"/>
      <x:c r="Q286" s="243" t="s"/>
      <x:c r="R286" s="243" t="s"/>
      <x:c r="S286" s="243" t="s"/>
      <x:c r="T286" s="244" t="s"/>
    </x:row>
    <x:row r="287" spans="1:24" customFormat="1" ht="12.75" customHeight="1">
      <x:c r="A287" s="243" t="s"/>
      <x:c r="B287" s="243" t="s"/>
      <x:c r="C287" s="243" t="s"/>
      <x:c r="D287" s="243" t="s"/>
      <x:c r="E287" s="243" t="s"/>
      <x:c r="F287" s="243" t="s"/>
      <x:c r="G287" s="243" t="s"/>
      <x:c r="H287" s="243" t="s"/>
      <x:c r="I287" s="243" t="s"/>
      <x:c r="J287" s="243" t="s"/>
      <x:c r="K287" s="243" t="s"/>
      <x:c r="L287" s="243" t="s"/>
      <x:c r="M287" s="243" t="s"/>
      <x:c r="N287" s="243" t="s"/>
      <x:c r="O287" s="243" t="s"/>
      <x:c r="P287" s="243" t="s"/>
      <x:c r="Q287" s="243" t="s"/>
      <x:c r="R287" s="243" t="s"/>
      <x:c r="S287" s="243" t="s"/>
      <x:c r="T287" s="244" t="s"/>
    </x:row>
    <x:row r="288" spans="1:24" customFormat="1" ht="7.5" customHeight="1">
      <x:c r="A288" s="243" t="s"/>
      <x:c r="B288" s="243" t="s"/>
      <x:c r="C288" s="243" t="s"/>
      <x:c r="D288" s="243" t="s"/>
      <x:c r="E288" s="243" t="s"/>
      <x:c r="F288" s="243" t="s"/>
      <x:c r="G288" s="243" t="s"/>
      <x:c r="H288" s="243" t="s"/>
      <x:c r="I288" s="243" t="s"/>
      <x:c r="J288" s="243" t="s"/>
      <x:c r="K288" s="243" t="s"/>
      <x:c r="L288" s="243" t="s"/>
      <x:c r="M288" s="243" t="s"/>
      <x:c r="N288" s="243" t="s"/>
      <x:c r="O288" s="243" t="s"/>
      <x:c r="P288" s="243" t="s"/>
      <x:c r="Q288" s="243" t="s"/>
      <x:c r="R288" s="243" t="s"/>
      <x:c r="S288" s="243" t="s"/>
      <x:c r="T288" s="244" t="s"/>
    </x:row>
    <x:row r="289" spans="1:24" customFormat="1" ht="12.75" customHeight="1">
      <x:c r="A289" s="243" t="s"/>
      <x:c r="B289" s="243" t="s"/>
      <x:c r="C289" s="243" t="s"/>
      <x:c r="D289" s="243" t="s"/>
      <x:c r="E289" s="243" t="s"/>
      <x:c r="F289" s="243" t="s"/>
      <x:c r="G289" s="243" t="s"/>
      <x:c r="H289" s="243" t="s"/>
      <x:c r="I289" s="243" t="s"/>
      <x:c r="J289" s="243" t="s"/>
      <x:c r="K289" s="243" t="s"/>
      <x:c r="L289" s="243" t="s"/>
      <x:c r="M289" s="243" t="s"/>
      <x:c r="N289" s="243" t="s"/>
      <x:c r="O289" s="243" t="s"/>
      <x:c r="P289" s="243" t="s"/>
      <x:c r="Q289" s="243" t="s"/>
      <x:c r="R289" s="243" t="s"/>
      <x:c r="S289" s="243" t="s"/>
      <x:c r="T289" s="244" t="s"/>
    </x:row>
    <x:row r="290" spans="1:24" customFormat="1" ht="12.75" customHeight="1">
      <x:c r="A290" s="243" t="s"/>
      <x:c r="B290" s="243" t="s"/>
      <x:c r="C290" s="243" t="s"/>
      <x:c r="D290" s="243" t="s"/>
      <x:c r="E290" s="243" t="s"/>
      <x:c r="F290" s="243" t="s"/>
      <x:c r="G290" s="243" t="s"/>
      <x:c r="H290" s="243" t="s"/>
      <x:c r="I290" s="243" t="s"/>
      <x:c r="J290" s="243" t="s"/>
      <x:c r="K290" s="243" t="s"/>
      <x:c r="L290" s="243" t="s"/>
      <x:c r="M290" s="243" t="s"/>
      <x:c r="N290" s="243" t="s"/>
      <x:c r="O290" s="243" t="s"/>
      <x:c r="P290" s="243" t="s"/>
      <x:c r="Q290" s="243" t="s"/>
      <x:c r="R290" s="243" t="s"/>
      <x:c r="S290" s="243" t="s"/>
      <x:c r="T290" s="244" t="s"/>
    </x:row>
    <x:row r="291" spans="1:24" customFormat="1" ht="12.75" customHeight="1">
      <x:c r="A291" s="241" t="s"/>
      <x:c r="B291" s="241" t="s"/>
      <x:c r="C291" s="241" t="s"/>
      <x:c r="D291" s="241" t="s"/>
      <x:c r="E291" s="241" t="s"/>
      <x:c r="F291" s="241" t="s"/>
      <x:c r="G291" s="241" t="s"/>
      <x:c r="H291" s="241" t="s"/>
      <x:c r="I291" s="241" t="s"/>
      <x:c r="J291" s="241" t="s"/>
      <x:c r="K291" s="241" t="s"/>
      <x:c r="L291" s="241" t="s"/>
      <x:c r="M291" s="241" t="s"/>
      <x:c r="N291" s="241" t="s"/>
      <x:c r="O291" s="241" t="s"/>
      <x:c r="P291" s="241" t="s"/>
      <x:c r="Q291" s="241" t="s"/>
      <x:c r="R291" s="241" t="s"/>
      <x:c r="S291" s="241" t="s"/>
      <x:c r="T291" s="242" t="s"/>
    </x:row>
    <x:row r="292" spans="1:24">
      <x:c r="A292" s="240" t="s">
        <x:v>346</x:v>
      </x:c>
      <x:c r="B292" s="240" t="s"/>
      <x:c r="C292" s="240" t="s"/>
      <x:c r="D292" s="240" t="s"/>
      <x:c r="E292" s="240" t="s"/>
      <x:c r="F292" s="240" t="s"/>
      <x:c r="G292" s="240" t="s"/>
    </x:row>
  </x:sheetData>
  <x:sheetProtection algorithmName="SHA-512" hashValue="Ob7JE5gXi2nElX2lzfKIV3vpVGSUVqkm5RHb4oTJtgmsP9FXtaPw8qdFk4X7XwQbBqW6cxNu4YaLn6anieYj4g==" saltValue="stTL/gfLvfeoCZMz2qTLBw==" spinCount="100000" sheet="1" objects="1" scenarios="1"/>
  <x:dataConsolidate/>
  <x:mergeCells count="535">
    <x:mergeCell ref="E265:S265"/>
    <x:mergeCell ref="E266:S266"/>
    <x:mergeCell ref="E268:S268"/>
    <x:mergeCell ref="A269:S290"/>
    <x:mergeCell ref="A291:S291"/>
    <x:mergeCell ref="A265:D265"/>
    <x:mergeCell ref="A266:D266"/>
    <x:mergeCell ref="K1:R1"/>
    <x:mergeCell ref="R19:S19"/>
    <x:mergeCell ref="R20:S20"/>
    <x:mergeCell ref="O257:S257"/>
    <x:mergeCell ref="O258:S258"/>
    <x:mergeCell ref="O256:S256"/>
    <x:mergeCell ref="J256:K256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61:P261"/>
    <x:mergeCell ref="O262:P262"/>
    <x:mergeCell ref="J262:M262"/>
    <x:mergeCell ref="O259:S259"/>
    <x:mergeCell ref="O260:S260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56:H256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J21:K21"/>
    <x:mergeCell ref="D22:E22"/>
    <x:mergeCell ref="J22:K22"/>
    <x:mergeCell ref="D23:E23"/>
    <x:mergeCell ref="J23:K23"/>
    <x:mergeCell ref="D24:E24"/>
    <x:mergeCell ref="J24:K24"/>
    <x:mergeCell ref="D25:E25"/>
    <x:mergeCell ref="J25:K25"/>
    <x:mergeCell ref="D26:E26"/>
    <x:mergeCell ref="J26:K26"/>
    <x:mergeCell ref="D27:E27"/>
    <x:mergeCell ref="J27:K27"/>
    <x:mergeCell ref="D28:E28"/>
    <x:mergeCell ref="J28:K28"/>
    <x:mergeCell ref="D29:E29"/>
    <x:mergeCell ref="J29:K29"/>
    <x:mergeCell ref="D30:E30"/>
    <x:mergeCell ref="J30:K30"/>
    <x:mergeCell ref="D31:E31"/>
    <x:mergeCell ref="J31:K31"/>
    <x:mergeCell ref="D32:E32"/>
    <x:mergeCell ref="J32:K32"/>
    <x:mergeCell ref="D33:E33"/>
    <x:mergeCell ref="J33:K33"/>
    <x:mergeCell ref="D34:E34"/>
    <x:mergeCell ref="J34:K34"/>
    <x:mergeCell ref="D35:E35"/>
    <x:mergeCell ref="J35:K35"/>
    <x:mergeCell ref="D36:E36"/>
    <x:mergeCell ref="J36:K36"/>
    <x:mergeCell ref="D37:E37"/>
    <x:mergeCell ref="J37:K37"/>
    <x:mergeCell ref="D38:E38"/>
    <x:mergeCell ref="J38:K38"/>
    <x:mergeCell ref="D39:E39"/>
    <x:mergeCell ref="J39:K39"/>
    <x:mergeCell ref="D40:E40"/>
    <x:mergeCell ref="J40:K40"/>
    <x:mergeCell ref="D41:E41"/>
    <x:mergeCell ref="J41:K41"/>
    <x:mergeCell ref="D42:E42"/>
    <x:mergeCell ref="J42:K42"/>
    <x:mergeCell ref="D43:E43"/>
    <x:mergeCell ref="J43:K43"/>
    <x:mergeCell ref="D44:E44"/>
    <x:mergeCell ref="J44:K44"/>
    <x:mergeCell ref="D45:E45"/>
    <x:mergeCell ref="J45:K45"/>
    <x:mergeCell ref="D46:E46"/>
    <x:mergeCell ref="J46:K46"/>
    <x:mergeCell ref="D47:E47"/>
    <x:mergeCell ref="J47:K47"/>
    <x:mergeCell ref="D48:E48"/>
    <x:mergeCell ref="J48:K48"/>
    <x:mergeCell ref="D49:E49"/>
    <x:mergeCell ref="J49:K49"/>
    <x:mergeCell ref="D50:E50"/>
    <x:mergeCell ref="J50:K50"/>
    <x:mergeCell ref="D51:E51"/>
    <x:mergeCell ref="J51:K51"/>
    <x:mergeCell ref="D52:E52"/>
    <x:mergeCell ref="J52:K52"/>
    <x:mergeCell ref="D53:E53"/>
    <x:mergeCell ref="J53:K53"/>
    <x:mergeCell ref="D54:E54"/>
    <x:mergeCell ref="J54:K54"/>
    <x:mergeCell ref="D55:E55"/>
    <x:mergeCell ref="J55:K55"/>
    <x:mergeCell ref="D56:E56"/>
    <x:mergeCell ref="J56:K56"/>
    <x:mergeCell ref="D57:E57"/>
    <x:mergeCell ref="J57:K57"/>
    <x:mergeCell ref="D58:E58"/>
    <x:mergeCell ref="J58:K58"/>
    <x:mergeCell ref="D59:E59"/>
    <x:mergeCell ref="J59:K59"/>
    <x:mergeCell ref="D60:E60"/>
    <x:mergeCell ref="J60:K60"/>
    <x:mergeCell ref="D61:E61"/>
    <x:mergeCell ref="J61:K61"/>
    <x:mergeCell ref="D62:E62"/>
    <x:mergeCell ref="J62:K62"/>
    <x:mergeCell ref="D63:E63"/>
    <x:mergeCell ref="J63:K63"/>
    <x:mergeCell ref="D64:E64"/>
    <x:mergeCell ref="J64:K64"/>
    <x:mergeCell ref="D65:E65"/>
    <x:mergeCell ref="J65:K65"/>
    <x:mergeCell ref="D66:E66"/>
    <x:mergeCell ref="J66:K66"/>
    <x:mergeCell ref="D67:E67"/>
    <x:mergeCell ref="J67:K67"/>
    <x:mergeCell ref="D68:E68"/>
    <x:mergeCell ref="J68:K68"/>
    <x:mergeCell ref="D69:E69"/>
    <x:mergeCell ref="J69:K69"/>
    <x:mergeCell ref="D70:E70"/>
    <x:mergeCell ref="J70:K70"/>
    <x:mergeCell ref="D71:E71"/>
    <x:mergeCell ref="J71:K71"/>
    <x:mergeCell ref="D72:E72"/>
    <x:mergeCell ref="J72:K72"/>
    <x:mergeCell ref="D73:E73"/>
    <x:mergeCell ref="J73:K73"/>
    <x:mergeCell ref="D74:E74"/>
    <x:mergeCell ref="J74:K74"/>
    <x:mergeCell ref="D75:E75"/>
    <x:mergeCell ref="J75:K75"/>
    <x:mergeCell ref="D76:E76"/>
    <x:mergeCell ref="J76:K76"/>
    <x:mergeCell ref="D77:E77"/>
    <x:mergeCell ref="J77:K77"/>
    <x:mergeCell ref="D78:E78"/>
    <x:mergeCell ref="J78:K78"/>
    <x:mergeCell ref="D79:E79"/>
    <x:mergeCell ref="J79:K79"/>
    <x:mergeCell ref="D80:E80"/>
    <x:mergeCell ref="J80:K80"/>
    <x:mergeCell ref="D81:E81"/>
    <x:mergeCell ref="J81:K81"/>
    <x:mergeCell ref="D82:E82"/>
    <x:mergeCell ref="J82:K82"/>
    <x:mergeCell ref="D83:E83"/>
    <x:mergeCell ref="J83:K83"/>
    <x:mergeCell ref="D84:E84"/>
    <x:mergeCell ref="J84:K84"/>
    <x:mergeCell ref="D85:E85"/>
    <x:mergeCell ref="J85:K85"/>
    <x:mergeCell ref="D86:E86"/>
    <x:mergeCell ref="J86:K86"/>
    <x:mergeCell ref="D87:E87"/>
    <x:mergeCell ref="J87:K87"/>
    <x:mergeCell ref="D88:E88"/>
    <x:mergeCell ref="J88:K88"/>
    <x:mergeCell ref="D89:E89"/>
    <x:mergeCell ref="J89:K89"/>
    <x:mergeCell ref="D90:E90"/>
    <x:mergeCell ref="J90:K90"/>
    <x:mergeCell ref="D91:E91"/>
    <x:mergeCell ref="J91:K91"/>
    <x:mergeCell ref="D92:E92"/>
    <x:mergeCell ref="J92:K92"/>
    <x:mergeCell ref="D93:E93"/>
    <x:mergeCell ref="J93:K93"/>
    <x:mergeCell ref="D94:E94"/>
    <x:mergeCell ref="J94:K94"/>
    <x:mergeCell ref="D95:E95"/>
    <x:mergeCell ref="J95:K95"/>
    <x:mergeCell ref="D96:E96"/>
    <x:mergeCell ref="J96:K96"/>
    <x:mergeCell ref="D97:E97"/>
    <x:mergeCell ref="J97:K97"/>
    <x:mergeCell ref="D98:E98"/>
    <x:mergeCell ref="J98:K98"/>
    <x:mergeCell ref="D99:E99"/>
    <x:mergeCell ref="J99:K99"/>
    <x:mergeCell ref="D100:E100"/>
    <x:mergeCell ref="J100:K100"/>
    <x:mergeCell ref="D101:E101"/>
    <x:mergeCell ref="J101:K101"/>
    <x:mergeCell ref="D102:E102"/>
    <x:mergeCell ref="J102:K102"/>
    <x:mergeCell ref="D103:E103"/>
    <x:mergeCell ref="J103:K103"/>
    <x:mergeCell ref="D104:E104"/>
    <x:mergeCell ref="J104:K104"/>
    <x:mergeCell ref="D105:E105"/>
    <x:mergeCell ref="J105:K105"/>
    <x:mergeCell ref="D106:E106"/>
    <x:mergeCell ref="J106:K106"/>
    <x:mergeCell ref="D107:E107"/>
    <x:mergeCell ref="J107:K107"/>
    <x:mergeCell ref="D108:E108"/>
    <x:mergeCell ref="J108:K108"/>
    <x:mergeCell ref="D109:E109"/>
    <x:mergeCell ref="J109:K109"/>
    <x:mergeCell ref="D110:E110"/>
    <x:mergeCell ref="J110:K110"/>
    <x:mergeCell ref="D111:E111"/>
    <x:mergeCell ref="J111:K111"/>
    <x:mergeCell ref="D112:E112"/>
    <x:mergeCell ref="J112:K112"/>
    <x:mergeCell ref="D113:E113"/>
    <x:mergeCell ref="J113:K113"/>
    <x:mergeCell ref="D114:E114"/>
    <x:mergeCell ref="J114:K114"/>
    <x:mergeCell ref="D115:E115"/>
    <x:mergeCell ref="J115:K115"/>
    <x:mergeCell ref="D116:E116"/>
    <x:mergeCell ref="J116:K116"/>
    <x:mergeCell ref="D117:E117"/>
    <x:mergeCell ref="J117:K117"/>
    <x:mergeCell ref="D118:E118"/>
    <x:mergeCell ref="J118:K118"/>
    <x:mergeCell ref="D119:E119"/>
    <x:mergeCell ref="J119:K119"/>
    <x:mergeCell ref="D120:E120"/>
    <x:mergeCell ref="J120:K120"/>
    <x:mergeCell ref="D121:E121"/>
    <x:mergeCell ref="J121:K121"/>
    <x:mergeCell ref="D122:E122"/>
    <x:mergeCell ref="J122:K122"/>
    <x:mergeCell ref="D123:E123"/>
    <x:mergeCell ref="J123:K123"/>
    <x:mergeCell ref="D124:E124"/>
    <x:mergeCell ref="J124:K124"/>
    <x:mergeCell ref="D125:E125"/>
    <x:mergeCell ref="J125:K125"/>
    <x:mergeCell ref="D126:E126"/>
    <x:mergeCell ref="J126:K126"/>
    <x:mergeCell ref="D127:E127"/>
    <x:mergeCell ref="J127:K127"/>
    <x:mergeCell ref="D128:E128"/>
    <x:mergeCell ref="J128:K128"/>
    <x:mergeCell ref="D129:E129"/>
    <x:mergeCell ref="J129:K129"/>
    <x:mergeCell ref="D130:E130"/>
    <x:mergeCell ref="J130:K130"/>
    <x:mergeCell ref="D131:E131"/>
    <x:mergeCell ref="J131:K131"/>
    <x:mergeCell ref="D132:E132"/>
    <x:mergeCell ref="J132:K132"/>
    <x:mergeCell ref="D133:E133"/>
    <x:mergeCell ref="J133:K133"/>
    <x:mergeCell ref="D134:E134"/>
    <x:mergeCell ref="J134:K134"/>
    <x:mergeCell ref="D135:E135"/>
    <x:mergeCell ref="J135:K135"/>
    <x:mergeCell ref="D136:E136"/>
    <x:mergeCell ref="J136:K136"/>
    <x:mergeCell ref="D137:E137"/>
    <x:mergeCell ref="J137:K137"/>
    <x:mergeCell ref="D138:E138"/>
    <x:mergeCell ref="J138:K138"/>
    <x:mergeCell ref="D139:E139"/>
    <x:mergeCell ref="J139:K139"/>
    <x:mergeCell ref="D140:E140"/>
    <x:mergeCell ref="J140:K140"/>
    <x:mergeCell ref="D141:E141"/>
    <x:mergeCell ref="J141:K141"/>
    <x:mergeCell ref="D142:E142"/>
    <x:mergeCell ref="J142:K142"/>
    <x:mergeCell ref="D143:E143"/>
    <x:mergeCell ref="J143:K143"/>
    <x:mergeCell ref="D144:E144"/>
    <x:mergeCell ref="J144:K144"/>
    <x:mergeCell ref="D145:E145"/>
    <x:mergeCell ref="J145:K145"/>
    <x:mergeCell ref="D146:E146"/>
    <x:mergeCell ref="J146:K146"/>
    <x:mergeCell ref="D147:E147"/>
    <x:mergeCell ref="J147:K147"/>
    <x:mergeCell ref="D148:E148"/>
    <x:mergeCell ref="J148:K148"/>
    <x:mergeCell ref="D149:E149"/>
    <x:mergeCell ref="J149:K149"/>
    <x:mergeCell ref="D150:E150"/>
    <x:mergeCell ref="J150:K150"/>
    <x:mergeCell ref="D151:E151"/>
    <x:mergeCell ref="J151:K151"/>
    <x:mergeCell ref="D152:E152"/>
    <x:mergeCell ref="J152:K152"/>
    <x:mergeCell ref="D153:E153"/>
    <x:mergeCell ref="J153:K153"/>
    <x:mergeCell ref="D154:E154"/>
    <x:mergeCell ref="J154:K154"/>
    <x:mergeCell ref="D155:E155"/>
    <x:mergeCell ref="J155:K155"/>
    <x:mergeCell ref="D156:E156"/>
    <x:mergeCell ref="J156:K156"/>
    <x:mergeCell ref="D157:E157"/>
    <x:mergeCell ref="J157:K157"/>
    <x:mergeCell ref="D158:E158"/>
    <x:mergeCell ref="J158:K158"/>
    <x:mergeCell ref="D159:E159"/>
    <x:mergeCell ref="J159:K159"/>
    <x:mergeCell ref="D160:E160"/>
    <x:mergeCell ref="J160:K160"/>
    <x:mergeCell ref="D161:E161"/>
    <x:mergeCell ref="J161:K161"/>
    <x:mergeCell ref="D162:E162"/>
    <x:mergeCell ref="J162:K162"/>
    <x:mergeCell ref="D163:E163"/>
    <x:mergeCell ref="J163:K163"/>
    <x:mergeCell ref="D164:E164"/>
    <x:mergeCell ref="J164:K164"/>
    <x:mergeCell ref="D165:E165"/>
    <x:mergeCell ref="J165:K165"/>
    <x:mergeCell ref="D166:E166"/>
    <x:mergeCell ref="J166:K166"/>
    <x:mergeCell ref="D167:E167"/>
    <x:mergeCell ref="J167:K167"/>
    <x:mergeCell ref="D168:E168"/>
    <x:mergeCell ref="J168:K168"/>
    <x:mergeCell ref="D169:E169"/>
    <x:mergeCell ref="J169:K169"/>
    <x:mergeCell ref="D170:E170"/>
    <x:mergeCell ref="J170:K170"/>
    <x:mergeCell ref="D171:E171"/>
    <x:mergeCell ref="J171:K171"/>
    <x:mergeCell ref="D172:E172"/>
    <x:mergeCell ref="J172:K172"/>
    <x:mergeCell ref="D173:E173"/>
    <x:mergeCell ref="J173:K173"/>
    <x:mergeCell ref="D174:E174"/>
    <x:mergeCell ref="J174:K174"/>
    <x:mergeCell ref="D175:E175"/>
    <x:mergeCell ref="J175:K175"/>
    <x:mergeCell ref="D176:E176"/>
    <x:mergeCell ref="J176:K176"/>
    <x:mergeCell ref="D177:E177"/>
    <x:mergeCell ref="J177:K177"/>
    <x:mergeCell ref="D178:E178"/>
    <x:mergeCell ref="J178:K178"/>
    <x:mergeCell ref="D179:E179"/>
    <x:mergeCell ref="J179:K179"/>
    <x:mergeCell ref="D180:E180"/>
    <x:mergeCell ref="J180:K180"/>
    <x:mergeCell ref="D181:E181"/>
    <x:mergeCell ref="J181:K181"/>
    <x:mergeCell ref="D182:E182"/>
    <x:mergeCell ref="J182:K182"/>
    <x:mergeCell ref="D183:E183"/>
    <x:mergeCell ref="J183:K183"/>
    <x:mergeCell ref="D184:E184"/>
    <x:mergeCell ref="J184:K184"/>
    <x:mergeCell ref="D185:E185"/>
    <x:mergeCell ref="J185:K185"/>
    <x:mergeCell ref="D186:E186"/>
    <x:mergeCell ref="J186:K186"/>
    <x:mergeCell ref="D187:E187"/>
    <x:mergeCell ref="J187:K187"/>
    <x:mergeCell ref="D188:E188"/>
    <x:mergeCell ref="J188:K188"/>
    <x:mergeCell ref="D189:E189"/>
    <x:mergeCell ref="J189:K189"/>
    <x:mergeCell ref="D190:E190"/>
    <x:mergeCell ref="J190:K190"/>
    <x:mergeCell ref="D191:E191"/>
    <x:mergeCell ref="J191:K191"/>
    <x:mergeCell ref="D192:E192"/>
    <x:mergeCell ref="J192:K192"/>
    <x:mergeCell ref="D193:E193"/>
    <x:mergeCell ref="J193:K193"/>
    <x:mergeCell ref="D194:E194"/>
    <x:mergeCell ref="J194:K194"/>
    <x:mergeCell ref="D195:E195"/>
    <x:mergeCell ref="J195:K195"/>
    <x:mergeCell ref="D196:E196"/>
    <x:mergeCell ref="J196:K196"/>
    <x:mergeCell ref="D197:E197"/>
    <x:mergeCell ref="J197:K197"/>
    <x:mergeCell ref="D198:E198"/>
    <x:mergeCell ref="J198:K198"/>
    <x:mergeCell ref="D199:E199"/>
    <x:mergeCell ref="J199:K199"/>
    <x:mergeCell ref="D200:E200"/>
    <x:mergeCell ref="J200:K200"/>
    <x:mergeCell ref="D201:E201"/>
    <x:mergeCell ref="J201:K201"/>
    <x:mergeCell ref="D202:E202"/>
    <x:mergeCell ref="J202:K202"/>
    <x:mergeCell ref="D203:E203"/>
    <x:mergeCell ref="J203:K203"/>
    <x:mergeCell ref="D204:E204"/>
    <x:mergeCell ref="J204:K204"/>
    <x:mergeCell ref="D205:E205"/>
    <x:mergeCell ref="J205:K205"/>
    <x:mergeCell ref="D206:E206"/>
    <x:mergeCell ref="J206:K206"/>
    <x:mergeCell ref="D207:E207"/>
    <x:mergeCell ref="J207:K207"/>
    <x:mergeCell ref="D208:E208"/>
    <x:mergeCell ref="J208:K208"/>
    <x:mergeCell ref="D209:E209"/>
    <x:mergeCell ref="J209:K209"/>
    <x:mergeCell ref="D210:E210"/>
    <x:mergeCell ref="J210:K210"/>
    <x:mergeCell ref="D211:E211"/>
    <x:mergeCell ref="J211:K211"/>
    <x:mergeCell ref="D212:E212"/>
    <x:mergeCell ref="J212:K212"/>
    <x:mergeCell ref="D213:E213"/>
    <x:mergeCell ref="J213:K213"/>
    <x:mergeCell ref="D214:E214"/>
    <x:mergeCell ref="J214:K214"/>
    <x:mergeCell ref="D215:E215"/>
    <x:mergeCell ref="J215:K215"/>
    <x:mergeCell ref="D216:E216"/>
    <x:mergeCell ref="J216:K216"/>
    <x:mergeCell ref="D217:E217"/>
    <x:mergeCell ref="J217:K217"/>
    <x:mergeCell ref="D218:E218"/>
    <x:mergeCell ref="J218:K218"/>
    <x:mergeCell ref="D219:E219"/>
    <x:mergeCell ref="J219:K219"/>
    <x:mergeCell ref="D220:E220"/>
    <x:mergeCell ref="J220:K220"/>
    <x:mergeCell ref="D221:E221"/>
    <x:mergeCell ref="J221:K221"/>
    <x:mergeCell ref="D222:E222"/>
    <x:mergeCell ref="J222:K222"/>
    <x:mergeCell ref="D223:E223"/>
    <x:mergeCell ref="J223:K223"/>
    <x:mergeCell ref="D224:E224"/>
    <x:mergeCell ref="J224:K224"/>
    <x:mergeCell ref="D225:E225"/>
    <x:mergeCell ref="J225:K225"/>
    <x:mergeCell ref="D226:E226"/>
    <x:mergeCell ref="J226:K226"/>
    <x:mergeCell ref="D227:E227"/>
    <x:mergeCell ref="J227:K227"/>
    <x:mergeCell ref="D228:E228"/>
    <x:mergeCell ref="J228:K228"/>
    <x:mergeCell ref="D229:E229"/>
    <x:mergeCell ref="J229:K229"/>
    <x:mergeCell ref="D230:E230"/>
    <x:mergeCell ref="J230:K230"/>
    <x:mergeCell ref="D231:E231"/>
    <x:mergeCell ref="J231:K231"/>
    <x:mergeCell ref="D232:E232"/>
    <x:mergeCell ref="J232:K232"/>
    <x:mergeCell ref="D233:E233"/>
    <x:mergeCell ref="J233:K233"/>
    <x:mergeCell ref="D234:E234"/>
    <x:mergeCell ref="J234:K234"/>
    <x:mergeCell ref="D235:E235"/>
    <x:mergeCell ref="J235:K235"/>
    <x:mergeCell ref="D236:E236"/>
    <x:mergeCell ref="J236:K236"/>
    <x:mergeCell ref="D237:E237"/>
    <x:mergeCell ref="J237:K237"/>
    <x:mergeCell ref="D238:E238"/>
    <x:mergeCell ref="J238:K238"/>
    <x:mergeCell ref="D239:E239"/>
    <x:mergeCell ref="J239:K239"/>
    <x:mergeCell ref="D240:E240"/>
    <x:mergeCell ref="J240:K240"/>
    <x:mergeCell ref="D241:E241"/>
    <x:mergeCell ref="J241:K241"/>
    <x:mergeCell ref="D242:E242"/>
    <x:mergeCell ref="J242:K242"/>
    <x:mergeCell ref="D243:E243"/>
    <x:mergeCell ref="J243:K243"/>
    <x:mergeCell ref="D244:E244"/>
    <x:mergeCell ref="J244:K244"/>
    <x:mergeCell ref="D245:E245"/>
    <x:mergeCell ref="J245:K245"/>
    <x:mergeCell ref="D246:E246"/>
    <x:mergeCell ref="J246:K246"/>
    <x:mergeCell ref="D247:E247"/>
    <x:mergeCell ref="J247:K247"/>
    <x:mergeCell ref="D248:E248"/>
    <x:mergeCell ref="J248:K248"/>
    <x:mergeCell ref="D249:E249"/>
    <x:mergeCell ref="J249:K249"/>
    <x:mergeCell ref="D250:E250"/>
    <x:mergeCell ref="J250:K250"/>
    <x:mergeCell ref="D251:E251"/>
    <x:mergeCell ref="J251:K251"/>
    <x:mergeCell ref="D252:E252"/>
    <x:mergeCell ref="J252:K252"/>
    <x:mergeCell ref="D253:E253"/>
    <x:mergeCell ref="J253:K253"/>
    <x:mergeCell ref="D254:E254"/>
    <x:mergeCell ref="J254:K254"/>
    <x:mergeCell ref="C257:H257"/>
    <x:mergeCell ref="J257:K257"/>
    <x:mergeCell ref="C258:H258"/>
    <x:mergeCell ref="J258:K258"/>
    <x:mergeCell ref="C259:H259"/>
    <x:mergeCell ref="J259:K259"/>
    <x:mergeCell ref="C260:H260"/>
    <x:mergeCell ref="J260:K260"/>
  </x:mergeCells>
  <x:phoneticPr fontId="3" type="noConversion"/>
  <x:dataValidations count="949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:I2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:J2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:L2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:M2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:I2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:J2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:L2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:M2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4:I2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4:J2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4:L2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4:M2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5:I2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5:J2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5:L2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5:M2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6:I2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6:J2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6:L2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6:M2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7:I2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7:J2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7:L2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7:M2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8:I2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8:J2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8:L2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8:M2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9:I2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9:J2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9:L2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9:M2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0:I3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0:J3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0:L3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0:M3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1:I3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1:J3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1:L3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1:M3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2:I3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2:J3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2:L3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2:M3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3:I3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3:J3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3:L3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3:M3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4:I3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4:J3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4:L3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4:M3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5:I3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5:J3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5:L3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5:M3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6:I3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6:J3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6:L3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6:M3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7:I3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7:J3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7:L3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7:M3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8:I3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8:J3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8:L3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8:M3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9:I3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9:J3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9:L3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9:M3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0:I4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0:J4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0:L4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0:M4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1:I4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1:J4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1:L4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1:M4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2:I4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2:J4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2:L4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2:M4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3:I4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3:J4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3:L4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3:M4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4:I4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4:J4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4:L4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4:M4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5:I4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5:J4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5:L4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5:M4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6:I4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6:J4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6:L4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6:M4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7:I4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7:J4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7:L4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7:M4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8:I4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8:J4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8:L4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8:M4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9:I4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9:J4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9:L4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9:M4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0:I5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0:J5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0:L5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0:M5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1:I5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1:J5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1:L5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1:M5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2:I5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2:J5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2:L5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2:M5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3:I5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3:J5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3:L5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3:M5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4:I5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4:J5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4:L5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4:M5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5:I5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5:J5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5:L5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5:M5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6:I5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6:J5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6:L5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6:M5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7:I5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7:J5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7:L5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7:M5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8:I5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8:J5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8:L5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8:M5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9:I5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9:J5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9:L5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9:M5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0:I6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0:J6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0:L6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0:M6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1:I6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1:J6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1:L6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1:M6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2:I6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2:J6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2:L6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2:M6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3:I6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3:J6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3:L6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3:M6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4:I6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4:J6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4:L6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4:M6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5:I6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5:J6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5:L6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5:M6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6:I6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6:J6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6:L6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6:M6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7:I6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7:J6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7:L6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7:M6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8:I6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8:J6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8:L6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8:M6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9:I6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9:J6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9:L6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9:M6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70:I7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70:J7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70:L7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70:M7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71:I7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71:J7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71:L7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71:M7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72:I7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72:J7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72:L7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72:M7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73:I7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73:J7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73:L7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73:M7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74:I7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74:J7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74:L7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74:M7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75:I7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75:J7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75:L7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75:M7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76:I7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76:J7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76:L7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76:M7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77:I7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77:J7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77:L7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77:M7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78:I7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78:J7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78:L7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78:M7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79:I7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79:J7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79:L7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79:M7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80:I8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80:J8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80:L8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80:M8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81:I8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81:J8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81:L8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81:M8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82:I8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82:J8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82:L8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82:M8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83:I8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83:J8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83:L8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83:M8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84:I8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84:J8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84:L8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84:M8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85:I8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85:J8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85:L8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85:M8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86:I8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86:J8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86:L8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86:M8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87:I8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87:J8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87:L8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87:M8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88:I8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88:J8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88:L8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88:M8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89:I8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89:J8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89:L8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89:M8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90:I9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90:J9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90:L9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90:M9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91:I9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91:J9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91:L9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91:M9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92:I9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92:J9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92:L9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92:M9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93:I9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93:J9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93:L9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93:M9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94:I9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94:J9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94:L9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94:M9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95:I9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95:J9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95:L9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95:M9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96:I9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96:J9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96:L9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96:M9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97:I9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97:J9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97:L9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97:M9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98:I9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98:J9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98:L9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98:M9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99:I9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99:J9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99:L9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99:M9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00:I10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00:J10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00:L10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00:M10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01:I10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01:J10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01:L10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01:M10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02:I10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02:J10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02:L10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02:M10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03:I10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03:J10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03:L10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03:M10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04:I10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04:J10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04:L10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04:M10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05:I10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05:J10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05:L10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05:M10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06:I10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06:J10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06:L10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06:M10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07:I10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07:J10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07:L10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07:M10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08:I10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08:J10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08:L10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08:M10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09:I10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09:J10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09:L10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09:M10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10:I11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10:J11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10:L11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10:M11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11:I11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11:J11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11:L11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11:M11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12:I11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12:J11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12:L11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12:M11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13:I11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13:J11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13:L11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13:M11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14:I11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14:J11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14:L11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14:M11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15:I11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15:J11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15:L11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15:M11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16:I11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16:J11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16:L1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16:M11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17:I11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17:J11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17:L11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17:M11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18:I11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18:J11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18:L11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18:M11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19:I11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19:J11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19:L11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19:M11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20:I1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20:J1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20:L1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20:M1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21:I12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21:J12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21:L12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21:M12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22:I12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22:J12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22:L12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22:M12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23:I1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23:J1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23:L1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23:M12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24:I12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24:J12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24:L12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24:M12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25:I12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25:J12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25:L12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25:M12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26:I12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26:J12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26:L12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26:M12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27:I12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27:J12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27:L12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27:M12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28:I12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28:J12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28:L12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28:M12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29:I12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29:J12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29:L12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29:M12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30:I13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30:J13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30:L13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30:M13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31:I13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31:J13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31:L13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31:M13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32:I13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32:J13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32:L13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32:M13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33:I13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33:J13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33:L13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33:M13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34:I13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34:J13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34:L13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34:M13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35:I13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35:J13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35:L13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35:M13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36:I13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36:J13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36:L13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36:M13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37:I13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37:J13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37:L13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37:M13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38:I13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38:J13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38:L13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38:M13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39:I13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39:J13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39:L13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39:M13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40:I14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40:J14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40:L14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40:M14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41:I14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41:J14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41:L14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41:M14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42:I14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42:J14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42:L14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42:M14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43:I14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43:J14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43:L14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43:M14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44:I14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44:J14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44:L14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44:M14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45:I14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45:J14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45:L14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45:M14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46:I14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46:J14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46:L14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46:M14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47:I14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47:J14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47:L14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47:M14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48:I14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48:J14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48:L14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48:M14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49:I14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49:J14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49:L14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49:M14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50:I15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50:J15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50:L15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50:M15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51:I15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51:J15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51:L15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51:M15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52:I15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52:J15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52:L15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52:M15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53:I15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53:J15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53:L15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53:M15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54:I15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54:J15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54:L15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54:M15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55:I15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55:J15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55:L15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55:M15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56:I15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56:J15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56:L15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56:M15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57:I15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57:J15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57:L15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57:M15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58:I15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58:J15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58:L15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58:M15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59:I15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59:J15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59:L15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59:M15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60:I16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60:J16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60:L16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60:M16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61:I16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61:J16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61:L16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61:M16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62:I16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62:J16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62:L16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62:M16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63:I16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63:J16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63:L16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63:M16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64:I16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64:J16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64:L16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64:M16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65:I16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65:J16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65:L16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65:M16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66:I16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66:J16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66:L16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66:M16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67:I16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67:J16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67:L16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67:M16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68:I16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68:J16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68:L16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68:M16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69:I16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69:J16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69:L16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69:M16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70:I17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70:J17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70:L17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70:M17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71:I17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71:J17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71:L17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71:M17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72:I17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72:J17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72:L17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72:M17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73:I17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73:J17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73:L17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73:M17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74:I17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74:J17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74:L17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74:M17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75:I17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75:J17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75:L17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75:M17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76:I17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76:J17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76:L17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76:M17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77:I17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77:J17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77:L17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77:M17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78:I17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78:J17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78:L17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78:M17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79:I17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79:J17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79:L17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79:M17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80:I18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80:J18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80:L18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80:M18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81:I18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81:J18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81:L18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81:M18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82:I18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82:J18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82:L18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82:M18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83:I18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83:J18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83:L18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83:M18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84:I18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84:J18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84:L18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84:M18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85:I18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85:J18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85:L18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85:M18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86:I18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86:J18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86:L18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86:M18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87:I18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87:J18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87:L18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87:M18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88:I18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88:J18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88:L18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88:M18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89:I18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89:J18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89:L18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89:M18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90:I19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90:J19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90:L19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90:M19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91:I19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91:J19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91:L19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91:M19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92:I19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92:J19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92:L19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92:M19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93:I19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93:J19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93:L19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93:M19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94:I19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94:J19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94:L19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94:M19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95:I19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95:J19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95:L19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95:M19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96:I19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96:J19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96:L19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96:M19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97:I19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97:J19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97:L19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97:M19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98:I19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98:J19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98:L19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98:M19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99:I19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99:J19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99:L19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99:M19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00:I20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0:J20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0:L20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0:M20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01:I20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1:J20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1:L20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1:M20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02:I20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2:J20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2:L20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2:M20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03:I20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3:J20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3:L20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3:M20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04:I20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4:J20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4:L20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4:M20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05:I20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5:J20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5:L20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5:M20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06:I20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6:J20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6:L20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6:M20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07:I20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7:J20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7:L20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7:M20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08:I20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8:J20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8:L20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8:M20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09:I20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9:J20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9:L20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9:M20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0:I21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0:J21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0:L21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0:M21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1:I21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1:J21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1:L21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1:M21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2:I21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2:J21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2:L21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2:M21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3:I21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3:J21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3:L21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3:M21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4:I21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4:J21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4:L21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4:M21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5:I21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5:J21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5:L21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5:M21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6:I21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6:J21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6:L2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6:M21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7:I21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7:J21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7:L21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7:M21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8:I21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8:J21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8:L21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8:M21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9:I21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9:J21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9:L21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9:M21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0:I2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0:J2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0:L2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0:M2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1:I22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1:J22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1:L22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1:M22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2:I22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2:J22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2:L22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2:M22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3:I2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3:J2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3:L2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3:M22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4:I22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4:J22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4:L22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4:M22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5:I22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5:J22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5:L22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5:M22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6:I22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6:J22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6:L22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6:M22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7:I22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7:J22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7:L22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7:M22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8:I22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8:J22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8:L22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8:M22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9:I22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9:J22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9:L22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9:M22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0:I23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0:J23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0:L23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0:M23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1:I23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1:J23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1:L23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1:M23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2:I23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2:J23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2:L23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2:M23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3:I23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3:J23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3:L23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3:M23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4:I23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4:J23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4:L23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4:M23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5:I23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5:J23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5:L23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5:M23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6:I23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6:J23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6:L23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6:M23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7:I23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7:J23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7:L23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7:M23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8:I23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8:J23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8:L23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8:M23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9:I23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9:J23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9:L23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9:M23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40:I24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40:J24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40:L24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40:M24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41:I24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41:J24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41:L24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41:M24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42:I24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42:J24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42:L24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42:M24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43:I24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43:J24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43:L24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43:M24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44:I24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44:J24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44:L24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44:M24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45:I24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45:J24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45:L24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45:M24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46:I24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46:J24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46:L24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46:M24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47:I24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47:J24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47:L24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47:M24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48:I24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48:J24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48:L24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48:M24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49:I24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49:J24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49:L24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49:M24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50:I25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50:J25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50:L25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50:M25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51:I25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51:J25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51:L25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51:M25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52:I25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52:J25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52:L25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52:M25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53:I25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53:J25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53:L25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53:M25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54:I25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54:J25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54:L25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54:M254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57:H257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58:H258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59:H259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0:H260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337</x:v>
      </x:c>
      <x:c r="M1" s="300" t="s">
        <x:v>347</x:v>
      </x:c>
      <x:c r="N1" s="301" t="s">
        <x:v>0</x:v>
      </x:c>
      <x:c r="O1" s="162" t="s">
        <x:v>348</x:v>
      </x:c>
    </x:row>
    <x:row r="2" spans="1:15" x14ac:dyDescent="0.2">
      <x:c r="G2" s="162" t="n">
        <x:v>1001310</x:v>
      </x:c>
      <x:c r="H2" s="162" t="s">
        <x:v>338</x:v>
      </x:c>
      <x:c r="M2" s="300" t="s">
        <x:v>349</x:v>
      </x:c>
      <x:c r="N2" s="301" t="n">
        <x:v>1020470297</x:v>
      </x:c>
      <x:c r="O2" s="162" t="s">
        <x:v>350</x:v>
      </x:c>
    </x:row>
    <x:row r="3" spans="1:15" x14ac:dyDescent="0.2">
      <x:c r="G3" s="162" t="n">
        <x:v>1001352</x:v>
      </x:c>
      <x:c r="H3" s="162" t="s">
        <x:v>334</x:v>
      </x:c>
      <x:c r="M3" s="300" t="s">
        <x:v>351</x:v>
      </x:c>
      <x:c r="N3" s="301" t="n">
        <x:v>99990000370969</x:v>
      </x:c>
      <x:c r="O3" s="162" t="s">
        <x:v>352</x:v>
      </x:c>
    </x:row>
    <x:row r="4" spans="1:15" x14ac:dyDescent="0.2">
      <x:c r="G4" s="162" t="n">
        <x:v>1012729</x:v>
      </x:c>
      <x:c r="H4" s="162" t="s">
        <x:v>353</x:v>
      </x:c>
      <x:c r="M4" s="300" t="s">
        <x:v>354</x:v>
      </x:c>
      <x:c r="N4" s="301" t="n">
        <x:v>1021234747</x:v>
      </x:c>
      <x:c r="O4" s="162" t="s">
        <x:v>355</x:v>
      </x:c>
    </x:row>
    <x:row r="5" spans="1:15" x14ac:dyDescent="0.2">
      <x:c r="G5" s="162" t="n">
        <x:v>1012730</x:v>
      </x:c>
      <x:c r="H5" s="162" t="s">
        <x:v>356</x:v>
      </x:c>
      <x:c r="M5" s="300" t="s">
        <x:v>357</x:v>
      </x:c>
      <x:c r="N5" s="301" t="s"/>
      <x:c r="O5" s="162" t="s">
        <x:v>358</x:v>
      </x:c>
    </x:row>
    <x:row r="6" spans="1:15" x14ac:dyDescent="0.2">
      <x:c r="G6" s="162" t="n">
        <x:v>1012731</x:v>
      </x:c>
      <x:c r="H6" s="162" t="s">
        <x:v>359</x:v>
      </x:c>
      <x:c r="M6" s="300" t="s">
        <x:v>360</x:v>
      </x:c>
      <x:c r="N6" s="301" t="s">
        <x:v>361</x:v>
      </x:c>
      <x:c r="O6" s="162" t="s">
        <x:v>362</x:v>
      </x:c>
    </x:row>
    <x:row r="7" spans="1:15" x14ac:dyDescent="0.2">
      <x:c r="G7" s="162" t="n">
        <x:v>1012732</x:v>
      </x:c>
      <x:c r="H7" s="162" t="s">
        <x:v>363</x:v>
      </x:c>
      <x:c r="M7" s="300" t="s">
        <x:v>364</x:v>
      </x:c>
      <x:c r="N7" s="301" t="n">
        <x:v>0</x:v>
      </x:c>
      <x:c r="O7" s="162" t="s">
        <x:v>365</x:v>
      </x:c>
    </x:row>
    <x:row r="8" spans="1:15" x14ac:dyDescent="0.2">
      <x:c r="G8" s="162" t="n">
        <x:v>1012733</x:v>
      </x:c>
      <x:c r="H8" s="162" t="s">
        <x:v>366</x:v>
      </x:c>
      <x:c r="O8" s="162" t="s">
        <x:v>367</x:v>
      </x:c>
    </x:row>
    <x:row r="9" spans="1:15" x14ac:dyDescent="0.2">
      <x:c r="G9" s="162" t="n">
        <x:v>1012735</x:v>
      </x:c>
      <x:c r="H9" s="162" t="s">
        <x:v>368</x:v>
      </x:c>
      <x:c r="O9" s="162" t="s">
        <x:v>369</x:v>
      </x:c>
    </x:row>
    <x:row r="10" spans="1:15" x14ac:dyDescent="0.2">
      <x:c r="G10" s="162" t="n">
        <x:v>1012736</x:v>
      </x:c>
      <x:c r="H10" s="162" t="s">
        <x:v>370</x:v>
      </x:c>
      <x:c r="O10" s="162" t="s">
        <x:v>371</x:v>
      </x:c>
    </x:row>
    <x:row r="11" spans="1:15" x14ac:dyDescent="0.2">
      <x:c r="G11" s="162" t="n">
        <x:v>1012737</x:v>
      </x:c>
      <x:c r="H11" s="162" t="s">
        <x:v>372</x:v>
      </x:c>
      <x:c r="O11" s="162" t="s">
        <x:v>373</x:v>
      </x:c>
    </x:row>
    <x:row r="12" spans="1:15" x14ac:dyDescent="0.2">
      <x:c r="G12" s="162" t="n">
        <x:v>1012738</x:v>
      </x:c>
      <x:c r="H12" s="162" t="s">
        <x:v>374</x:v>
      </x:c>
      <x:c r="O12" s="162" t="s">
        <x:v>375</x:v>
      </x:c>
    </x:row>
    <x:row r="13" spans="1:15" x14ac:dyDescent="0.2">
      <x:c r="G13" s="162" t="n">
        <x:v>1012739</x:v>
      </x:c>
      <x:c r="H13" s="162" t="s">
        <x:v>376</x:v>
      </x:c>
      <x:c r="O13" s="162" t="s">
        <x:v>377</x:v>
      </x:c>
    </x:row>
    <x:row r="14" spans="1:15" x14ac:dyDescent="0.2">
      <x:c r="G14" s="162" t="n">
        <x:v>1012740</x:v>
      </x:c>
      <x:c r="H14" s="162" t="s">
        <x:v>378</x:v>
      </x:c>
      <x:c r="O14" s="162" t="s">
        <x:v>379</x:v>
      </x:c>
    </x:row>
    <x:row r="15" spans="1:15" x14ac:dyDescent="0.2">
      <x:c r="G15" s="162" t="n">
        <x:v>1012741</x:v>
      </x:c>
      <x:c r="H15" s="162" t="s">
        <x:v>380</x:v>
      </x:c>
      <x:c r="O15" s="162" t="s">
        <x:v>381</x:v>
      </x:c>
    </x:row>
    <x:row r="16" spans="1:15" x14ac:dyDescent="0.2">
      <x:c r="G16" s="162" t="n">
        <x:v>1012742</x:v>
      </x:c>
      <x:c r="H16" s="162" t="s">
        <x:v>382</x:v>
      </x:c>
      <x:c r="O16" s="162" t="s">
        <x:v>383</x:v>
      </x:c>
    </x:row>
    <x:row r="17" spans="1:15" x14ac:dyDescent="0.2">
      <x:c r="G17" s="162" t="n">
        <x:v>1012743</x:v>
      </x:c>
      <x:c r="H17" s="162" t="s">
        <x:v>384</x:v>
      </x:c>
      <x:c r="O17" s="162" t="s">
        <x:v>385</x:v>
      </x:c>
    </x:row>
    <x:row r="18" spans="1:15" x14ac:dyDescent="0.2">
      <x:c r="G18" s="162" t="n">
        <x:v>1012744</x:v>
      </x:c>
      <x:c r="H18" s="162" t="s">
        <x:v>386</x:v>
      </x:c>
      <x:c r="O18" s="162" t="s">
        <x:v>387</x:v>
      </x:c>
    </x:row>
    <x:row r="19" spans="1:15" x14ac:dyDescent="0.2">
      <x:c r="G19" s="162" t="n">
        <x:v>1020032</x:v>
      </x:c>
      <x:c r="H19" s="162" t="s">
        <x:v>388</x:v>
      </x:c>
      <x:c r="O19" s="162" t="s">
        <x:v>389</x:v>
      </x:c>
    </x:row>
    <x:row r="20" spans="1:15" x14ac:dyDescent="0.2">
      <x:c r="G20" s="162" t="n">
        <x:v>1020033</x:v>
      </x:c>
      <x:c r="H20" s="162" t="s">
        <x:v>390</x:v>
      </x:c>
      <x:c r="O20" s="162" t="s">
        <x:v>391</x:v>
      </x:c>
    </x:row>
    <x:row r="21" spans="1:15" x14ac:dyDescent="0.2">
      <x:c r="O21" s="162" t="s">
        <x:v>392</x:v>
      </x:c>
    </x:row>
    <x:row r="22" spans="1:15" x14ac:dyDescent="0.2">
      <x:c r="O22" s="162" t="s">
        <x:v>393</x:v>
      </x:c>
    </x:row>
    <x:row r="23" spans="1:15" x14ac:dyDescent="0.2">
      <x:c r="O23" s="162" t="s">
        <x:v>394</x:v>
      </x:c>
    </x:row>
    <x:row r="24" spans="1:15" x14ac:dyDescent="0.2">
      <x:c r="O24" s="162" t="s">
        <x:v>395</x:v>
      </x:c>
    </x:row>
    <x:row r="25" spans="1:15" x14ac:dyDescent="0.2">
      <x:c r="O25" s="162" t="s">
        <x:v>396</x:v>
      </x:c>
    </x:row>
    <x:row r="26" spans="1:15" x14ac:dyDescent="0.2">
      <x:c r="O26" s="162" t="s">
        <x:v>397</x:v>
      </x:c>
    </x:row>
    <x:row r="27" spans="1:15" x14ac:dyDescent="0.2">
      <x:c r="O27" s="162" t="s">
        <x:v>398</x:v>
      </x:c>
    </x:row>
    <x:row r="28" spans="1:15" x14ac:dyDescent="0.2">
      <x:c r="O28" s="162" t="s">
        <x:v>399</x:v>
      </x:c>
    </x:row>
    <x:row r="29" spans="1:15" x14ac:dyDescent="0.2">
      <x:c r="O29" s="162" t="s">
        <x:v>400</x:v>
      </x:c>
    </x:row>
    <x:row r="30" spans="1:15" x14ac:dyDescent="0.2">
      <x:c r="O30" s="162" t="s">
        <x:v>401</x:v>
      </x:c>
    </x:row>
    <x:row r="31" spans="1:15" x14ac:dyDescent="0.2">
      <x:c r="O31" s="162" t="s">
        <x:v>402</x:v>
      </x:c>
    </x:row>
    <x:row r="32" spans="1:15" x14ac:dyDescent="0.2">
      <x:c r="O32" s="162" t="s">
        <x:v>403</x:v>
      </x:c>
    </x:row>
    <x:row r="33" spans="1:15" x14ac:dyDescent="0.2">
      <x:c r="O33" s="162" t="s">
        <x:v>404</x:v>
      </x:c>
    </x:row>
    <x:row r="34" spans="1:15" x14ac:dyDescent="0.2">
      <x:c r="O34" s="162" t="s">
        <x:v>405</x:v>
      </x:c>
    </x:row>
    <x:row r="35" spans="1:15" x14ac:dyDescent="0.2">
      <x:c r="O35" s="162" t="s">
        <x:v>406</x:v>
      </x:c>
    </x:row>
    <x:row r="36" spans="1:15" x14ac:dyDescent="0.2">
      <x:c r="O36" s="162" t="s">
        <x:v>407</x:v>
      </x:c>
    </x:row>
    <x:row r="37" spans="1:15" x14ac:dyDescent="0.2">
      <x:c r="O37" s="162" t="s">
        <x:v>408</x:v>
      </x:c>
    </x:row>
    <x:row r="38" spans="1:15" x14ac:dyDescent="0.2">
      <x:c r="O38" s="162" t="s">
        <x:v>409</x:v>
      </x:c>
    </x:row>
    <x:row r="39" spans="1:15" x14ac:dyDescent="0.2">
      <x:c r="O39" s="162" t="s">
        <x:v>410</x:v>
      </x:c>
    </x:row>
    <x:row r="40" spans="1:15" x14ac:dyDescent="0.2">
      <x:c r="O40" s="162" t="s">
        <x:v>411</x:v>
      </x:c>
    </x:row>
    <x:row r="41" spans="1:15" x14ac:dyDescent="0.2">
      <x:c r="O41" s="162" t="s">
        <x:v>412</x:v>
      </x:c>
    </x:row>
    <x:row r="42" spans="1:15" x14ac:dyDescent="0.2">
      <x:c r="O42" s="162" t="s">
        <x:v>413</x:v>
      </x:c>
    </x:row>
    <x:row r="43" spans="1:15" x14ac:dyDescent="0.2">
      <x:c r="O43" s="162" t="s">
        <x:v>414</x:v>
      </x:c>
    </x:row>
    <x:row r="44" spans="1:15" x14ac:dyDescent="0.2">
      <x:c r="O44" s="162" t="s">
        <x:v>415</x:v>
      </x:c>
    </x:row>
    <x:row r="45" spans="1:15" x14ac:dyDescent="0.2">
      <x:c r="O45" s="162" t="s">
        <x:v>416</x:v>
      </x:c>
    </x:row>
    <x:row r="46" spans="1:15" x14ac:dyDescent="0.2">
      <x:c r="O46" s="162" t="s">
        <x:v>417</x:v>
      </x:c>
    </x:row>
    <x:row r="47" spans="1:15" x14ac:dyDescent="0.2">
      <x:c r="O47" s="162" t="s">
        <x:v>418</x:v>
      </x:c>
    </x:row>
    <x:row r="48" spans="1:15" x14ac:dyDescent="0.2">
      <x:c r="O48" s="162" t="s">
        <x:v>419</x:v>
      </x:c>
    </x:row>
    <x:row r="49" spans="1:15" x14ac:dyDescent="0.2">
      <x:c r="O49" s="162" t="s">
        <x:v>420</x:v>
      </x:c>
    </x:row>
    <x:row r="50" spans="1:15" x14ac:dyDescent="0.2">
      <x:c r="O50" s="162" t="s">
        <x:v>421</x:v>
      </x:c>
    </x:row>
    <x:row r="51" spans="1:15" x14ac:dyDescent="0.2">
      <x:c r="O51" s="162" t="s">
        <x:v>422</x:v>
      </x:c>
    </x:row>
    <x:row r="52" spans="1:15" x14ac:dyDescent="0.2">
      <x:c r="O52" s="162" t="s">
        <x:v>423</x:v>
      </x:c>
    </x:row>
    <x:row r="53" spans="1:15" x14ac:dyDescent="0.2">
      <x:c r="O53" s="162" t="s">
        <x:v>424</x:v>
      </x:c>
    </x:row>
    <x:row r="54" spans="1:15" x14ac:dyDescent="0.2">
      <x:c r="O54" s="162" t="s">
        <x:v>425</x:v>
      </x:c>
    </x:row>
    <x:row r="55" spans="1:15" x14ac:dyDescent="0.2">
      <x:c r="O55" s="162" t="s">
        <x:v>426</x:v>
      </x:c>
    </x:row>
    <x:row r="56" spans="1:15" x14ac:dyDescent="0.2">
      <x:c r="O56" s="162" t="s">
        <x:v>427</x:v>
      </x:c>
    </x:row>
    <x:row r="57" spans="1:15" x14ac:dyDescent="0.2">
      <x:c r="O57" s="162" t="s">
        <x:v>428</x:v>
      </x:c>
    </x:row>
    <x:row r="58" spans="1:15" x14ac:dyDescent="0.2">
      <x:c r="O58" s="162" t="s">
        <x:v>429</x:v>
      </x:c>
    </x:row>
    <x:row r="59" spans="1:15" x14ac:dyDescent="0.2">
      <x:c r="O59" s="162" t="s">
        <x:v>430</x:v>
      </x:c>
    </x:row>
    <x:row r="60" spans="1:15" x14ac:dyDescent="0.2">
      <x:c r="O60" s="162" t="s">
        <x:v>431</x:v>
      </x:c>
    </x:row>
    <x:row r="61" spans="1:15" x14ac:dyDescent="0.2">
      <x:c r="O61" s="162" t="s">
        <x:v>432</x:v>
      </x:c>
    </x:row>
    <x:row r="62" spans="1:15" x14ac:dyDescent="0.2">
      <x:c r="O62" s="162" t="s">
        <x:v>433</x:v>
      </x:c>
    </x:row>
    <x:row r="63" spans="1:15" x14ac:dyDescent="0.2">
      <x:c r="O63" s="162" t="s">
        <x:v>434</x:v>
      </x:c>
    </x:row>
    <x:row r="64" spans="1:15" x14ac:dyDescent="0.2">
      <x:c r="O64" s="162" t="s">
        <x:v>435</x:v>
      </x:c>
    </x:row>
    <x:row r="65" spans="1:15" x14ac:dyDescent="0.2">
      <x:c r="O65" s="162" t="s">
        <x:v>436</x:v>
      </x:c>
    </x:row>
    <x:row r="66" spans="1:15" x14ac:dyDescent="0.2">
      <x:c r="O66" s="162" t="s">
        <x:v>437</x:v>
      </x:c>
    </x:row>
    <x:row r="67" spans="1:15" x14ac:dyDescent="0.2">
      <x:c r="O67" s="162" t="s">
        <x:v>438</x:v>
      </x:c>
    </x:row>
    <x:row r="68" spans="1:15" x14ac:dyDescent="0.2">
      <x:c r="O68" s="162" t="s">
        <x:v>439</x:v>
      </x:c>
    </x:row>
    <x:row r="69" spans="1:15" x14ac:dyDescent="0.2">
      <x:c r="O69" s="162" t="s">
        <x:v>440</x:v>
      </x:c>
    </x:row>
    <x:row r="70" spans="1:15" x14ac:dyDescent="0.2">
      <x:c r="O70" s="162" t="s">
        <x:v>441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Tocy Tom (MariApps)</lastModifiedBy>
  <lastPrinted>2012-10-28T13:38:36.0000000Z</lastPrinted>
  <dcterms:created xsi:type="dcterms:W3CDTF">2006-01-23T19:37:33.0000000Z</dcterms:created>
  <dcterms:modified xsi:type="dcterms:W3CDTF">2019-01-14T07:01:18.1032644Z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