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7" lowestEdited="5" rupBuild="18431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definedNames>
    <x:definedName name="_xlnm.Print_Area" localSheetId="0">'Quote'!$A$1:$R$54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'Quote'!$A$35</x:definedName>
    <x:definedName name="Enquiry_To_Vendor_ID" comment="Enquiry to Vendor ID">'Quote'!$C$35</x:definedName>
    <x:definedName name="GrandTotal">'Quote'!$N$34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'Quote'!$A$27</x:definedName>
    <x:definedName name="ItemListStartupRow" comment="Item List Start Up Row">Quote!$A$19</x:definedName>
    <x:definedName name="ItemSubTotal">'Quote'!$N$33</x:definedName>
    <x:definedName name="ItemSubTotalTitle">'Quote'!$J$33</x:definedName>
    <x:definedName name="LeadDay">Quote!$M$11</x:definedName>
    <x:definedName name="Lock">'Quote'!$M$35</x:definedName>
    <x:definedName name="LoggedInEmailID">'Quote'!$N$35</x:definedName>
    <x:definedName name="LoggedInPwd">'Quote'!$O$35</x:definedName>
    <x:definedName name="OtherCharges">'Quote'!$C$29</x:definedName>
    <x:definedName name="OtherChargesLastRow">'Quote'!$A$33</x:definedName>
    <x:definedName name="OtherChargesStartRow">'Quote'!$A$28</x:definedName>
    <x:definedName name="Port">'Quote'!$P$35</x:definedName>
    <x:definedName name="PortOfDelivery" comment="Port of Delivery">Quote!$M$9</x:definedName>
    <x:definedName name="PurchaserName">'Quote'!$J$35</x:definedName>
    <x:definedName name="QuoteBefore">Quote!$M$8</x:definedName>
    <x:definedName name="QuoteID">MasterData!$N$7</x:definedName>
    <x:definedName name="QuoteSubject">'Quote'!$E$35</x:definedName>
    <x:definedName name="Remarks">'Quote'!$E$37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'Quote'!$K$35</x:definedName>
    <x:definedName name="SentIndex">'Quote'!$L$35</x:definedName>
    <x:definedName name="Server">'Quote'!$Q$35</x:definedName>
    <x:definedName name="Terms">'Quote'!$A$41:$T$62</x:definedName>
    <x:definedName name="ToEmailID">'Quote'!$I$35</x:definedName>
    <x:definedName name="ToEmailPwd">'Quote'!$H$35</x:definedName>
    <x:definedName name="VAL">'Quote'!$F$35</x:definedName>
    <x:definedName name="VAT_All">Quote!$M$16</x:definedName>
    <x:definedName name="Vendor_ID" comment="Vendor ID">'Quote'!$B$35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'Quote'!$D$35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'Quote'!$E$38</x:definedName>
    <x:definedName name="VesselETA" comment="Vessel ETA">Quote!$M$10</x:definedName>
    <x:definedName name="VesselName" comment="Vessel Name">Quote!$M$4</x:definedName>
    <x:definedName name="ItmPrice">'Quote'!$N$20:$N$20,'Quote'!$N$21:$N$21,'Quote'!$N$22:$N$22,'Quote'!$N$23:$N$23,'Quote'!$N$24:$N$24,'Quote'!$N$25:$N$25,'Quote'!$N$26:$N$26</x:definedName>
  </x:definedNames>
  <x:calcPr calcId="171027"/>
</x:workbook>
</file>

<file path=xl/calcChain.xml><?xml version="1.0" encoding="utf-8"?>
<x:calcChain xmlns:x="http://schemas.openxmlformats.org/spreadsheetml/2006/main">
  <x:c r="J19" i="1"/>
  <x:c r="N20" i="1"/>
  <x:c r="N21" i="1"/>
  <x:c r="N22" i="1"/>
  <x:c r="N23" i="1"/>
  <x:c r="N24" i="1"/>
  <x:c r="N25" i="1"/>
  <x:c r="N26" i="1"/>
  <x:c r="N29" i="1"/>
  <x:c r="N30" i="1"/>
  <x:c r="N31" i="1"/>
  <x:c r="N32" i="1"/>
  <x:c r="N33" i="1"/>
  <x:c r="N34" i="1"/>
</x:calcChain>
</file>

<file path=xl/sharedStrings.xml><?xml version="1.0" encoding="utf-8"?>
<x:sst xmlns:x="http://schemas.openxmlformats.org/spreadsheetml/2006/main" count="156" uniqueCount="156">
  <x:si>
    <x:t>RFQ</x:t>
  </x:si>
  <x:si>
    <x:t>Request for Quote</x:t>
  </x:si>
  <x:si>
    <x:t>Invoice To</x:t>
  </x:si>
  <x:si>
    <x:t>Bernhard Schulte Shipmanagement (Hong Kong) Limited Partnership
MASTER &amp; OWNER OF INTERLINK EQUITY
REGD. OWNER : EQUITY MARITIME CORP.
BERNHARD SCHULTE SHIPMANGEMENT (HONG KONG) LTD. PARTNERSHIP
(AS AGENTS ONLY)
2602, K WAH CENTRE, 191 JAVA ROAD, 
NORTH POINT, HONG KONG
TEL:  +852 2561 8838
FAX:  +852 2561 8803
E-mail : hk-smc-invoices@bs-shipmanagement.com</x:t>
  </x:si>
  <x:si>
    <x:t>Vessel</x:t>
  </x:si>
  <x:si>
    <x:t>Interlink Equity</x:t>
  </x:si>
  <x:si>
    <x:t>RFQ No.</x:t>
  </x:si>
  <x:si>
    <x:t>EQU/O0085/RF19</x:t>
  </x:si>
  <x:si>
    <x:t>RFQ Date</x:t>
  </x:si>
  <x:si>
    <x:t>Submit Quote Before:</x:t>
  </x:si>
  <x:si>
    <x:t>Port of Delivery</x:t>
  </x:si>
  <x:si>
    <x:t>Singapore</x:t>
  </x:si>
  <x:si>
    <x:t>Vessel ETA</x:t>
  </x:si>
  <x:si>
    <x:t>Lead Days</x:t>
  </x:si>
  <x:si>
    <x:t>Vendor Details</x:t>
  </x:si>
  <x:si>
    <x:t>Vendor Reference</x:t>
  </x:si>
  <x:si>
    <x:t>Name</x:t>
  </x:si>
  <x:si>
    <x:t>AMOS INTERNATIONAL (S) PTE LTD</x:t>
  </x:si>
  <x:si>
    <x:t>Address</x:t>
  </x:si>
  <x:si>
    <x:t>156 Gul Circle, Singapore 629613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</x:si>
  <x:si>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</x:si>
  <x:si>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</x:si>
  <x:si>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</x:si>
  <x:si>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</x:si>
  <x:si>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</x:si>
  <x:si>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</x:si>
  <x:si>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</x:si>
  <x:si>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sales.ms.sg@amosgroup.com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</x:si>
  <x:si>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</x:si>
  <x:si>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</x:si>
  <x:si>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</x:si>
  <x:si>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</x:si>
  <x:si>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</x:si>
  <x:si>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</x:si>
  <x:si>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</x:si>
  <x:si>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</x:si>
  <x:si>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</x:si>
  <x:si>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</x:si>
  <x:si>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</x:si>
  <x:si>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</x:si>
  <x:si>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VITAMIN K AMPOULE 1 ML = 10 MG To reverse excessive or unwanted effects of warfarin or related drugs.</x:t>
  </x:si>
  <x:si>
    <x:t>BTL</x:t>
  </x:si>
  <x:si>
    <x:t>POVIDONE IODINE OINTMENT 10%, AND SOLUTION 10% 25 TO 50G  To disinfect skin and wounds.</x:t>
  </x:si>
  <x:si>
    <x:t>PERMETHRIN 5% LOTION VIAL OF, 250G  To treat scabies.</x:t>
  </x:si>
  <x:si>
    <x:t>MIDAZOLAM AMPOULE 1 ML, (= 5 MG)  To terminate epileptic fits.</x:t>
  </x:si>
  <x:si>
    <x:t>ETHANOL 70% LIQUID 500ML</x:t>
  </x:si>
  <x:si>
    <x:t>HYDROCORTISONE OINTMENT 1%, 30GRM TUBE To treat allergy and some other inflammatory skin conditions.</x:t>
  </x:si>
  <x:si>
    <x:t>PCS</x:t>
  </x:si>
  <x:si>
    <x:t>SEDATIVE TABLET (DIAZEPAM), 50MG 100TAB To treat alcohol withdrawal.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</x:si>
  <x:si>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</x:si>
  <x:si>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</x:si>
  <x:si>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</x:si>
  <x:si>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</x:si>
  <x:si>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</x:si>
  <x:si>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</x:si>
  <x:si>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</x:si>
  <x:si>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</x:si>
  <x:si>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</x:si>
  <x:si>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</x:si>
  <x:si>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</x:si>
  <x:si>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</x:si>
  <x:si>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</x:si>
  <x:si>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</x:si>
  <x:si>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</x:si>
  <x:si>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</x:si>
  <x:si>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</x:si>
  <x:si>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</x:si>
  <x:si>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</x:si>
  <x:si>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</x:si>
  <x:si>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</x:si>
  <x:si>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</x:si>
  <x:si>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</x:si>
  <x:si>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</x:si>
  <x:si>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</x:si>
  <x:si>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</x:si>
  <x:si>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CP - SS : MEDICAL STORES &amp; EQUIPMENT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</x:si>
  <x:si>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</x:si>
  <x:si>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</x:si>
  <x:si>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</x:si>
  <x:si>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</x:si>
  <x:si>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</x:si>
  <x:si>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</x:si>
  <x:si>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WAREHOUSING</x:t>
  </x:si>
  <x:si>
    <x:t>BMD</x:t>
  </x:si>
  <x:si>
    <x:t>CRANAGE</x:t>
  </x:si>
  <x:si>
    <x:t>BOL</x:t>
  </x:si>
  <x:si>
    <x:t>CUSTOMS</x:t>
  </x:si>
  <x:si>
    <x:t>BRL</x:t>
  </x:si>
  <x:si>
    <x:t>OTHERS 1</x:t>
  </x:si>
  <x:si>
    <x:t>BSD</x:t>
  </x:si>
  <x:si>
    <x:t>OTHERS 2</x:t>
  </x:si>
  <x:si>
    <x:t>CAD</x:t>
  </x:si>
  <x:si>
    <x:t>OTHERS 3</x:t>
  </x:si>
  <x:si>
    <x:t>CDZ</x:t>
  </x:si>
  <x:si>
    <x:t>LAUNCH HIRE CHARGE</x:t>
  </x:si>
  <x:si>
    <x:t>CHF</x:t>
  </x:si>
  <x:si>
    <x:t>ROUNDING ADJUSTMENT</x:t>
  </x:si>
  <x:si>
    <x:t>CLP</x:t>
  </x:si>
  <x:si>
    <x:t>BOAT CHARGES</x:t>
  </x:si>
  <x:si>
    <x:t>CNY</x:t>
  </x:si>
  <x:si>
    <x:t>MINIMUM QUANTITY CHARGE</x:t>
  </x:si>
  <x:si>
    <x:t>CYP</x:t>
  </x:si>
  <x:si>
    <x:t>PORT SURCHARGE</x:t>
  </x:si>
  <x:si>
    <x:t>CZK</x:t>
  </x:si>
  <x:si>
    <x:t>TRANSPORTATION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</x:si>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</x:sst>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x:numFmts count="12">
    <x:numFmt numFmtId="42" formatCode="_(&quot;$&quot;* #,##0_);_(&quot;$&quot;* \(#,##0\);_(&quot;$&quot;* &quot;-&quot;_);_(@_)"/>
    <x:numFmt numFmtId="41" formatCode="_(* #,##0_);_(* \(#,##0\);_(* &quot;-&quot;_);_(@_)"/>
    <x:numFmt numFmtId="44" formatCode="_(&quot;$&quot;* #,##0.00_);_(&quot;$&quot;* \(#,##0.00\);_(&quot;$&quot;* &quot;-&quot;??_);_(@_)"/>
    <x:numFmt numFmtId="43" formatCode="_(* #,##0.00_);_(* \(#,##0.00\);_(* &quot;-&quot;??_);_(@_)"/>
    <x:numFmt numFmtId="164" formatCode="[$-409]mmmm\ d\,\ yyyy;@"/>
    <x:numFmt numFmtId="165" formatCode="m/d/yy;@"/>
    <x:numFmt numFmtId="166" formatCode="[$-409]d/mmm/yyyy;@"/>
    <x:numFmt numFmtId="167" formatCode=";;;"/>
    <x:numFmt numFmtId="168" formatCode="#,##0.000"/>
    <x:numFmt numFmtId="169" formatCode="0.000"/>
    <x:numFmt numFmtId="170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89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43" fontId="29" fillId="0" borderId="0" applyFont="0" applyFill="0" applyBorder="0" applyAlignment="0" applyProtection="0"/>
    <x:xf numFmtId="41" fontId="29" fillId="0" borderId="0" applyFont="0" applyFill="0" applyBorder="0" applyAlignment="0" applyProtection="0"/>
    <x:xf numFmtId="44" fontId="29" fillId="0" borderId="0" applyFont="0" applyFill="0" applyBorder="0" applyAlignment="0" applyProtection="0"/>
    <x:xf numFmtId="42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167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67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4" fontId="11" fillId="2" borderId="0" applyNumberFormat="1" applyFill="0" applyBorder="0" applyAlignment="1" applyProtection="1">
      <x:protection locked="1" hidden="0"/>
    </x:xf>
    <x:xf numFmtId="167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67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0" fontId="15" fillId="2" borderId="7" applyNumberFormat="1" applyFill="0" applyBorder="1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166" fontId="15" fillId="2" borderId="7" applyNumberFormat="1" applyFill="0" applyBorder="1" applyAlignment="1" applyProtection="1">
      <x:protection locked="1" hidden="0"/>
    </x:xf>
    <x:xf numFmtId="166" fontId="15" fillId="2" borderId="0" applyNumberFormat="1" applyFill="0" applyBorder="0" applyAlignment="1" applyProtection="1">
      <x:protection locked="1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49" fontId="15" fillId="2" borderId="0" applyNumberFormat="1" applyFill="0" applyBorder="0" applyAlignment="1" applyProtection="1">
      <x:protection locked="1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0" fontId="15" fillId="2" borderId="22" applyNumberFormat="1" applyFill="0" applyBorder="1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167" fontId="15" fillId="0" borderId="0" applyNumberFormat="1" applyFill="1" applyBorder="0" applyAlignment="1" applyProtection="1">
      <x:protection locked="1" hidden="0"/>
    </x:xf>
    <x:xf numFmtId="169" fontId="26" fillId="6" borderId="0" applyNumberFormat="1" applyFill="0" applyBorder="0" applyAlignment="1" applyProtection="1">
      <x:protection locked="0" hidden="0"/>
    </x:xf>
    <x:xf numFmtId="166" fontId="15" fillId="2" borderId="4" applyNumberFormat="1" applyFill="0" applyBorder="1" applyAlignment="1" applyProtection="1">
      <x:protection locked="1" hidden="0"/>
    </x:xf>
    <x:xf numFmtId="167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66" fontId="12" fillId="2" borderId="0" applyNumberFormat="1" applyFill="0" applyBorder="0" applyAlignment="1" applyProtection="1">
      <x:protection locked="1" hidden="0"/>
    </x:xf>
    <x:xf numFmtId="166" fontId="12" fillId="2" borderId="0" applyNumberFormat="1" applyFill="0" applyBorder="0" applyAlignment="1" applyProtection="1">
      <x:protection locked="1" hidden="0"/>
    </x:xf>
    <x:xf numFmtId="165" fontId="19" fillId="4" borderId="11" applyNumberFormat="1" applyFill="0" applyBorder="1" applyAlignment="1" applyProtection="1">
      <x:protection locked="1" hidden="0"/>
    </x:xf>
    <x:xf numFmtId="165" fontId="19" fillId="4" borderId="13" applyNumberFormat="1" applyFill="0" applyBorder="1" applyAlignment="1" applyProtection="1">
      <x:protection locked="1" hidden="0"/>
    </x:xf>
    <x:xf numFmtId="165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67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68" fontId="18" fillId="6" borderId="14" applyNumberFormat="1" applyFill="0" applyBorder="1" applyAlignment="1" applyProtection="1">
      <x:protection locked="0" hidden="0"/>
    </x:xf>
    <x:xf numFmtId="168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67" fontId="24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67" fontId="18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67" fontId="16" fillId="9" borderId="0" applyNumberFormat="1" applyFill="0" applyBorder="0" applyAlignment="1" applyProtection="1">
      <x:protection locked="1" hidden="0"/>
    </x:xf>
    <x:xf numFmtId="165" fontId="17" fillId="4" borderId="0" applyNumberFormat="1" applyFill="0" applyBorder="0" applyAlignment="1" applyProtection="1">
      <x:protection locked="1" hidden="0"/>
    </x:xf>
    <x:xf numFmtId="167" fontId="17" fillId="9" borderId="0" applyNumberFormat="1" applyFill="0" applyBorder="0" applyAlignment="1" applyProtection="1">
      <x:protection locked="1" hidden="0"/>
    </x:xf>
    <x:xf numFmtId="0" fontId="13" fillId="2" borderId="0" applyNumberFormat="1" applyFill="0" applyBorder="0" applyAlignment="1" applyProtection="1">
      <x:protection locked="1" hidden="0"/>
    </x:xf>
    <x:xf numFmtId="44" fontId="14" fillId="2" borderId="0" applyNumberFormat="1" applyFill="0" applyBorder="0" applyAlignment="1" applyProtection="1">
      <x:protection locked="1" hidden="0"/>
    </x:xf>
    <x:xf numFmtId="165" fontId="16" fillId="4" borderId="0" applyNumberFormat="1" applyFill="0" applyBorder="0" applyAlignment="1" applyProtection="1">
      <x:protection locked="1" hidden="0"/>
    </x:xf>
    <x:xf numFmtId="165" fontId="16" fillId="4" borderId="8" applyNumberFormat="1" applyFill="0" applyBorder="1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67" fontId="20" fillId="9" borderId="0" applyNumberFormat="1" applyFill="0" applyBorder="0" applyAlignment="1" applyProtection="1">
      <x:protection locked="0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67" fontId="18" fillId="9" borderId="0" applyNumberFormat="1" applyFill="0" applyBorder="0" applyAlignment="1" applyProtection="1">
      <x:protection locked="1" hidden="0"/>
    </x:xf>
    <x:xf numFmtId="44" fontId="14" fillId="2" borderId="0" applyNumberFormat="1" applyFill="0" applyBorder="0" applyAlignment="1" applyProtection="1">
      <x:protection locked="0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68" fontId="16" fillId="3" borderId="11" applyNumberFormat="1" applyFill="0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69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168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67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69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65" fontId="19" fillId="4" borderId="2" applyNumberFormat="1" applyFill="0" applyBorder="1" applyAlignment="1" applyProtection="1">
      <x:protection locked="1" hidden="0"/>
    </x:xf>
    <x:xf numFmtId="165" fontId="19" fillId="4" borderId="24" applyNumberFormat="1" applyFill="0" applyBorder="1" applyAlignment="1" applyProtection="1">
      <x:protection locked="1" hidden="0"/>
    </x:xf>
    <x:xf numFmtId="165" fontId="19" fillId="4" borderId="21" applyNumberFormat="1" applyFill="0" applyBorder="1" applyAlignment="1" applyProtection="1">
      <x:protection locked="1" hidden="0"/>
    </x:xf>
    <x:xf numFmtId="165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67" fontId="9" fillId="9" borderId="0" applyNumberFormat="1" applyFill="0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2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4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66" fontId="12" fillId="2" borderId="0" xfId="0" applyNumberFormat="1" applyFont="1" applyFill="1" applyAlignment="1" applyProtection="1"/>
    <x:xf numFmtId="166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44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66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66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5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5" fontId="19" fillId="4" borderId="2" xfId="0" applyNumberFormat="1" applyFont="1" applyFill="1" applyBorder="1" applyAlignment="1" applyProtection="1">
      <x:alignment horizontal="left" wrapText="1"/>
    </x:xf>
    <x:xf numFmtId="165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66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44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44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5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67" fontId="15" fillId="0" borderId="0" xfId="0" applyNumberFormat="1" applyFont="1" applyProtection="1"/>
    <x:xf numFmtId="168" fontId="18" fillId="7" borderId="11" xfId="0" applyNumberFormat="1" applyFont="1" applyFill="1" applyBorder="1" applyAlignment="1" applyProtection="1">
      <x:alignment vertical="center"/>
      <x:protection locked="0"/>
    </x:xf>
    <x:xf numFmtId="168" fontId="18" fillId="3" borderId="11" xfId="0" applyNumberFormat="1" applyFont="1" applyFill="1" applyBorder="1" applyAlignment="1" applyProtection="1">
      <x:alignment vertical="center"/>
    </x:xf>
    <x:xf numFmtId="168" fontId="16" fillId="3" borderId="11" xfId="0" applyNumberFormat="1" applyFont="1" applyFill="1" applyBorder="1" applyAlignment="1" applyProtection="1">
      <x:alignment vertical="center"/>
    </x:xf>
    <x:xf numFmtId="169" fontId="26" fillId="7" borderId="0" xfId="0" applyNumberFormat="1" applyFont="1" applyFill="1" applyAlignment="1" applyProtection="1">
      <x:alignment horizontal="right"/>
      <x:protection locked="0"/>
    </x:xf>
    <x:xf numFmtId="167" fontId="15" fillId="2" borderId="0" xfId="0" applyNumberFormat="1" applyFont="1" applyFill="1" applyAlignment="1" applyProtection="1">
      <x:alignment horizontal="left"/>
    </x:xf>
    <x:xf numFmtId="165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69" fontId="26" fillId="7" borderId="11" xfId="0" applyNumberFormat="1" applyFont="1" applyFill="1" applyBorder="1" applyAlignment="1" applyProtection="1">
      <x:alignment horizontal="right"/>
    </x:xf>
    <x:xf numFmtId="168" fontId="26" fillId="7" borderId="11" xfId="0" applyNumberFormat="1" applyFont="1" applyFill="1" applyBorder="1" applyAlignment="1" applyProtection="1">
      <x:alignment horizontal="right"/>
    </x:xf>
    <x:xf numFmtId="169" fontId="9" fillId="8" borderId="25" xfId="0" applyNumberFormat="1" applyFont="1" applyFill="1" applyBorder="1" applyProtection="1">
      <x:protection locked="0"/>
    </x:xf>
    <x:xf numFmtId="169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67" fontId="21" fillId="2" borderId="0" xfId="0" applyNumberFormat="1" applyFont="1" applyFill="1" applyBorder="1" applyAlignment="1" applyProtection="1">
      <x:alignment horizontal="right"/>
    </x:xf>
    <x:xf numFmtId="167" fontId="9" fillId="0" borderId="0" xfId="0" applyNumberFormat="1" applyFont="1" applyBorder="1" applyProtection="1"/>
    <x:xf numFmtId="167" fontId="15" fillId="2" borderId="0" xfId="0" applyNumberFormat="1" applyFont="1" applyFill="1" applyBorder="1" applyAlignment="1" applyProtection="1">
      <x:alignment horizontal="left"/>
    </x:xf>
    <x:xf numFmtId="167" fontId="15" fillId="2" borderId="0" xfId="0" applyNumberFormat="1" applyFont="1" applyFill="1" applyBorder="1" applyAlignment="1" applyProtection="1">
      <x:alignment vertical="top"/>
    </x:xf>
    <x:xf numFmtId="167" fontId="11" fillId="0" borderId="0" xfId="0" applyNumberFormat="1" applyFont="1" applyBorder="1" applyProtection="1"/>
    <x:xf numFmtId="167" fontId="19" fillId="9" borderId="0" xfId="0" applyNumberFormat="1" applyFont="1" applyFill="1" applyBorder="1" applyAlignment="1" applyProtection="1">
      <x:alignment horizontal="left" wrapText="1"/>
    </x:xf>
    <x:xf numFmtId="167" fontId="24" fillId="9" borderId="0" xfId="0" applyNumberFormat="1" applyFont="1" applyFill="1" applyBorder="1" applyAlignment="1" applyProtection="1">
      <x:alignment horizontal="left"/>
    </x:xf>
    <x:xf numFmtId="167" fontId="9" fillId="9" borderId="0" xfId="0" applyNumberFormat="1" applyFont="1" applyFill="1" applyBorder="1" applyProtection="1"/>
    <x:xf numFmtId="167" fontId="14" fillId="9" borderId="0" xfId="0" applyNumberFormat="1" applyFont="1" applyFill="1" applyBorder="1" applyAlignment="1" applyProtection="1">
      <x:alignment horizontal="left"/>
      <x:protection locked="0"/>
    </x:xf>
    <x:xf numFmtId="167" fontId="9" fillId="0" borderId="0" xfId="0" applyNumberFormat="1" applyFont="1" applyProtection="1"/>
    <x:xf numFmtId="167" fontId="18" fillId="9" borderId="0" xfId="0" applyNumberFormat="1" applyFont="1" applyFill="1" applyBorder="1" applyAlignment="1" applyProtection="1">
      <x:alignment horizontal="left" vertical="center" wrapText="1"/>
    </x:xf>
    <x:xf numFmtId="167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67" fontId="17" fillId="9" borderId="0" xfId="0" applyNumberFormat="1" applyFont="1" applyFill="1" applyBorder="1" applyAlignment="1" applyProtection="1">
      <x:alignment horizontal="left" wrapText="1"/>
    </x:xf>
    <x:xf numFmtId="167" fontId="16" fillId="9" borderId="0" xfId="0" applyNumberFormat="1" applyFont="1" applyFill="1" applyBorder="1" applyAlignment="1" applyProtection="1">
      <x:alignment horizontal="left" vertical="top" wrapText="1"/>
    </x:xf>
    <x:xf numFmtId="167" fontId="18" fillId="9" borderId="0" xfId="0" applyNumberFormat="1" applyFont="1" applyFill="1" applyBorder="1" applyAlignment="1" applyProtection="1">
      <x:alignment horizontal="center" vertical="top" wrapText="1"/>
    </x:xf>
    <x:xf numFmtId="165" fontId="19" fillId="4" borderId="14" xfId="0" applyNumberFormat="1" applyFont="1" applyFill="1" applyBorder="1" applyAlignment="1" applyProtection="1">
      <x:alignment horizontal="left" wrapText="1"/>
    </x:xf>
    <x:xf numFmtId="168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5" fontId="19" fillId="4" borderId="24" xfId="0" applyNumberFormat="1" applyFont="1" applyFill="1" applyBorder="1" applyAlignment="1" applyProtection="1">
      <x:alignment horizontal="left" wrapText="1"/>
    </x:xf>
    <x:xf numFmtId="165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0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66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5" fontId="19" fillId="4" borderId="13" xfId="0" applyNumberFormat="1" applyFont="1" applyFill="1" applyBorder="1" applyAlignment="1" applyProtection="1">
      <x:alignment horizontal="left" wrapText="1"/>
    </x:xf>
    <x:xf numFmtId="165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69" fontId="9" fillId="8" borderId="26" xfId="0" applyNumberFormat="1" applyFont="1" applyFill="1" applyBorder="1" applyProtection="1">
      <x:protection locked="0"/>
    </x:xf>
    <x:xf numFmtId="169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5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68" fontId="18" fillId="7" borderId="13" xfId="0" applyNumberFormat="1" applyFont="1" applyFill="1" applyBorder="1" applyAlignment="1" applyProtection="1">
      <x:alignment horizontal="right" vertical="center"/>
      <x:protection locked="0"/>
    </x:xf>
    <x:xf numFmtId="168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5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5" fontId="16" fillId="4" borderId="0" xfId="0" applyNumberFormat="1" applyFont="1" applyFill="1" applyBorder="1" applyAlignment="1" applyProtection="1">
      <x:alignment horizontal="left" vertical="center" wrapText="1"/>
    </x:xf>
    <x:xf numFmtId="165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7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67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4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6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7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66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7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6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5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7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68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68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7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67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7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65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7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4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5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5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67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7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44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8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8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7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65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5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67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G4" workbookViewId="0">
      <x:selection activeCell="S11" sqref="S11 S11:S11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79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3" t="s"/>
      <x:c r="B1" s="173" t="s">
        <x:v>0</x:v>
      </x:c>
      <x:c r="C1" s="173" t="s"/>
      <x:c r="E1" s="174" t="s"/>
      <x:c r="F1" s="174" t="s"/>
      <x:c r="G1" s="174" t="s"/>
      <x:c r="J1" s="174" t="s"/>
      <x:c r="K1" s="175" t="s">
        <x:v>1</x:v>
      </x:c>
      <x:c r="L1" s="175" t="s"/>
      <x:c r="M1" s="175" t="s"/>
      <x:c r="N1" s="175" t="s"/>
      <x:c r="O1" s="175" t="s"/>
      <x:c r="P1" s="175" t="s"/>
      <x:c r="Q1" s="175" t="s"/>
      <x:c r="R1" s="175" t="s"/>
      <x:c r="S1" s="175" t="s"/>
      <x:c r="T1" s="176" t="s"/>
    </x:row>
    <x:row r="2" spans="1:24" customFormat="1" ht="5.25" customHeight="1" x14ac:dyDescent="0.25">
      <x:c r="A2" s="177" t="s"/>
      <x:c r="B2" s="177" t="s"/>
      <x:c r="C2" s="177" t="s"/>
      <x:c r="D2" s="177" t="s"/>
      <x:c r="E2" s="177" t="s"/>
      <x:c r="F2" s="177" t="s"/>
      <x:c r="G2" s="177" t="s"/>
      <x:c r="H2" s="178" t="s"/>
      <x:c r="I2" s="178" t="s"/>
      <x:c r="J2" s="178" t="s"/>
      <x:c r="K2" s="178" t="s"/>
      <x:c r="L2" s="178" t="s"/>
      <x:c r="M2" s="178" t="s"/>
      <x:c r="N2" s="178" t="s"/>
      <x:c r="O2" s="178" t="s"/>
      <x:c r="P2" s="178" t="s"/>
      <x:c r="Q2" s="178" t="s"/>
      <x:c r="R2" s="178" t="s"/>
      <x:c r="S2" s="178" t="s"/>
      <x:c r="T2" s="179" t="s"/>
    </x:row>
    <x:row r="3" spans="1:24" customFormat="1" ht="15" customHeight="1" thickBot="1" x14ac:dyDescent="0.35">
      <x:c r="A3" s="180" t="s">
        <x:v>2</x:v>
      </x:c>
      <x:c r="B3" s="180" t="s"/>
      <x:c r="C3" s="180" t="s"/>
      <x:c r="D3" s="180" t="s"/>
      <x:c r="E3" s="180" t="s"/>
      <x:c r="F3" s="180" t="s"/>
      <x:c r="G3" s="180" t="s"/>
      <x:c r="Q3" s="181" t="s"/>
      <x:c r="R3" s="181" t="s"/>
      <x:c r="S3" s="181" t="s"/>
      <x:c r="T3" s="179" t="s"/>
    </x:row>
    <x:row r="4" spans="1:24" customFormat="1" ht="22.5" customHeight="1" thickTop="1" thickBot="1" x14ac:dyDescent="0.35">
      <x:c r="A4" s="182" t="s">
        <x:v>3</x:v>
      </x:c>
      <x:c r="B4" s="182" t="s"/>
      <x:c r="C4" s="182" t="s"/>
      <x:c r="D4" s="182" t="s"/>
      <x:c r="E4" s="182" t="s"/>
      <x:c r="F4" s="182" t="s"/>
      <x:c r="G4" s="182" t="s"/>
      <x:c r="H4" s="182" t="s"/>
      <x:c r="I4" s="182" t="s"/>
      <x:c r="K4" s="183" t="s">
        <x:v>4</x:v>
      </x:c>
      <x:c r="L4" s="183" t="s"/>
      <x:c r="M4" s="184" t="s">
        <x:v>5</x:v>
      </x:c>
      <x:c r="N4" s="184" t="s"/>
      <x:c r="O4" s="184" t="s"/>
      <x:c r="P4" s="184" t="s"/>
      <x:c r="Q4" s="185" t="s"/>
      <x:c r="R4" s="185" t="s"/>
      <x:c r="S4" s="185" t="s"/>
      <x:c r="T4" s="186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5" t="s"/>
      <x:c r="R5" s="185" t="s"/>
      <x:c r="S5" s="185" t="s"/>
      <x:c r="T5" s="186" t="s"/>
    </x:row>
    <x:row r="6" spans="1:24" s="193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90" t="s">
        <x:v>8</x:v>
      </x:c>
      <x:c r="L6" s="190" t="s"/>
      <x:c r="M6" s="191">
        <x:v>43616</x:v>
      </x:c>
      <x:c r="N6" s="191" t="s"/>
      <x:c r="O6" s="191" t="s"/>
      <x:c r="P6" s="191" t="s"/>
      <x:c r="Q6" s="185" t="s"/>
      <x:c r="R6" s="185" t="s"/>
      <x:c r="S6" s="185" t="s"/>
      <x:c r="T6" s="186" t="s"/>
    </x:row>
    <x:row r="7" spans="1:24" s="193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90" t="s"/>
      <x:c r="L7" s="190" t="s"/>
      <x:c r="M7" s="192" t="s"/>
      <x:c r="N7" s="192" t="s"/>
      <x:c r="O7" s="192" t="s"/>
      <x:c r="P7" s="192" t="s"/>
      <x:c r="Q7" s="192" t="s"/>
      <x:c r="R7" s="185" t="s"/>
      <x:c r="S7" s="185" t="s"/>
      <x:c r="T7" s="186" t="s"/>
      <x:c r="U7" s="193" t="s"/>
      <x:c r="V7" s="193" t="s"/>
      <x:c r="W7" s="193" t="s"/>
      <x:c r="X7" s="193" t="s"/>
    </x:row>
    <x:row r="8" spans="1:24" s="193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66" t="s"/>
      <x:c r="K8" s="190" t="s">
        <x:v>9</x:v>
      </x:c>
      <x:c r="L8" s="190" t="s"/>
      <x:c r="M8" s="194">
        <x:v>43616</x:v>
      </x:c>
      <x:c r="N8" s="194" t="s"/>
      <x:c r="O8" s="195" t="s"/>
      <x:c r="P8" s="185" t="s"/>
      <x:c r="Q8" s="164" t="s"/>
      <x:c r="R8" s="164" t="s"/>
      <x:c r="S8" s="164" t="s"/>
      <x:c r="T8" s="172" t="s"/>
    </x:row>
    <x:row r="9" spans="1:24" s="193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66" t="s"/>
      <x:c r="K9" s="167" t="s">
        <x:v>10</x:v>
      </x:c>
      <x:c r="L9" s="168" t="s"/>
      <x:c r="M9" s="192" t="s">
        <x:v>11</x:v>
      </x:c>
      <x:c r="N9" s="192" t="s"/>
      <x:c r="O9" s="192" t="s"/>
      <x:c r="P9" s="192" t="s"/>
      <x:c r="Q9" s="192" t="s"/>
      <x:c r="R9" s="164" t="s"/>
      <x:c r="S9" s="164" t="s"/>
      <x:c r="T9" s="172" t="s"/>
    </x:row>
    <x:row r="10" spans="1:24" s="193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66" t="s"/>
      <x:c r="K10" s="167" t="s">
        <x:v>12</x:v>
      </x:c>
      <x:c r="L10" s="168" t="s"/>
      <x:c r="M10" s="191">
        <x:v>43693.5</x:v>
      </x:c>
      <x:c r="N10" s="191" t="s"/>
      <x:c r="O10" s="195" t="s"/>
      <x:c r="P10" s="168" t="s"/>
      <x:c r="Q10" s="164" t="s"/>
      <x:c r="R10" s="164" t="s"/>
      <x:c r="S10" s="164" t="s"/>
      <x:c r="T10" s="172" t="s"/>
    </x:row>
    <x:row r="11" spans="1:24" s="193" customFormat="1" ht="15" customHeight="1" thickBot="1" x14ac:dyDescent="0.25">
      <x:c r="A11" s="165" t="s"/>
      <x:c r="B11" s="165" t="s"/>
      <x:c r="C11" s="165" t="s"/>
      <x:c r="D11" s="165" t="s"/>
      <x:c r="E11" s="165" t="s"/>
      <x:c r="F11" s="165" t="s"/>
      <x:c r="G11" s="165" t="s"/>
      <x:c r="H11" s="165" t="s"/>
      <x:c r="I11" s="165" t="s"/>
      <x:c r="J11" s="166" t="s"/>
      <x:c r="K11" s="167" t="s">
        <x:v>13</x:v>
      </x:c>
      <x:c r="L11" s="168" t="s"/>
      <x:c r="M11" s="169" t="n">
        <x:v>0</x:v>
      </x:c>
      <x:c r="N11" s="170" t="s"/>
      <x:c r="O11" s="171" t="s"/>
      <x:c r="P11" s="164" t="s"/>
      <x:c r="Q11" s="164" t="s"/>
      <x:c r="R11" s="164" t="s"/>
      <x:c r="S11" s="164" t="s"/>
      <x:c r="T11" s="172" t="s"/>
    </x:row>
    <x:row r="12" spans="1:24" s="193" customFormat="1" ht="15.75" customHeight="1" thickBot="1" x14ac:dyDescent="0.3">
      <x:c r="A12" s="196" t="s">
        <x:v>14</x:v>
      </x:c>
      <x:c r="B12" s="196" t="s"/>
      <x:c r="C12" s="196" t="s"/>
      <x:c r="D12" s="197" t="s"/>
      <x:c r="E12" s="198" t="s"/>
      <x:c r="F12" s="198" t="s"/>
      <x:c r="G12" s="198" t="s"/>
      <x:c r="H12" s="197" t="s"/>
      <x:c r="I12" s="197" t="s"/>
      <x:c r="K12" s="190" t="s">
        <x:v>15</x:v>
      </x:c>
      <x:c r="L12" s="199" t="s"/>
      <x:c r="M12" s="200" t="s"/>
      <x:c r="N12" s="201" t="s"/>
      <x:c r="O12" s="202" t="s"/>
      <x:c r="P12" s="164" t="s"/>
      <x:c r="Q12" s="164" t="s"/>
      <x:c r="R12" s="164" t="s"/>
      <x:c r="S12" s="164" t="s"/>
      <x:c r="T12" s="172" t="s"/>
    </x:row>
    <x:row r="13" spans="1:24" s="193" customFormat="1" ht="12.75" customHeight="1" thickBot="1" x14ac:dyDescent="0.3">
      <x:c r="A13" s="190" t="s">
        <x:v>16</x:v>
      </x:c>
      <x:c r="B13" s="190" t="s"/>
      <x:c r="C13" s="190" t="s"/>
      <x:c r="D13" s="192" t="s">
        <x:v>17</x:v>
      </x:c>
      <x:c r="E13" s="192" t="s"/>
      <x:c r="F13" s="192" t="s"/>
      <x:c r="G13" s="192" t="s"/>
      <x:c r="H13" s="192" t="s"/>
      <x:c r="I13" s="203" t="s"/>
      <x:c r="K13" s="204" t="s"/>
      <x:c r="L13" s="204" t="s"/>
      <x:c r="M13" s="205" t="s"/>
      <x:c r="N13" s="205" t="s"/>
      <x:c r="O13" s="205" t="s"/>
      <x:c r="P13" s="205" t="s"/>
      <x:c r="Q13" s="205" t="s"/>
      <x:c r="R13" s="164" t="s"/>
      <x:c r="S13" s="164" t="s"/>
      <x:c r="T13" s="172" t="s"/>
    </x:row>
    <x:row r="14" spans="1:24" s="193" customFormat="1" ht="12.75" customHeight="1" thickBot="1" x14ac:dyDescent="0.25">
      <x:c r="A14" s="190" t="s">
        <x:v>18</x:v>
      </x:c>
      <x:c r="B14" s="190" t="s"/>
      <x:c r="C14" s="190" t="s"/>
      <x:c r="D14" s="192" t="s">
        <x:v>19</x:v>
      </x:c>
      <x:c r="E14" s="192" t="s"/>
      <x:c r="F14" s="192" t="s"/>
      <x:c r="G14" s="192" t="s"/>
      <x:c r="H14" s="192" t="s"/>
      <x:c r="I14" s="203" t="s"/>
      <x:c r="K14" s="190" t="s">
        <x:v>20</x:v>
      </x:c>
      <x:c r="L14" s="206" t="s"/>
      <x:c r="M14" s="207" t="s"/>
      <x:c r="N14" s="168" t="s"/>
      <x:c r="O14" s="168" t="s"/>
      <x:c r="P14" s="208" t="s"/>
      <x:c r="Q14" s="186" t="s"/>
      <x:c r="R14" s="164" t="s"/>
      <x:c r="S14" s="164" t="s"/>
      <x:c r="T14" s="172" t="s"/>
    </x:row>
    <x:row r="15" spans="1:24" s="193" customFormat="1" ht="12.75" customHeight="1" thickBot="1" x14ac:dyDescent="0.25">
      <x:c r="A15" s="190" t="s">
        <x:v>21</x:v>
      </x:c>
      <x:c r="B15" s="190" t="s"/>
      <x:c r="C15" s="190" t="s"/>
      <x:c r="D15" s="192" t="s"/>
      <x:c r="E15" s="192" t="s"/>
      <x:c r="F15" s="192" t="s"/>
      <x:c r="G15" s="192" t="s"/>
      <x:c r="H15" s="192" t="s"/>
      <x:c r="I15" s="203" t="s"/>
      <x:c r="K15" s="190" t="s">
        <x:v>22</x:v>
      </x:c>
      <x:c r="L15" s="206" t="s"/>
      <x:c r="M15" s="209" t="n">
        <x:v>0</x:v>
      </x:c>
      <x:c r="N15" s="210" t="s"/>
      <x:c r="O15" s="211" t="s"/>
      <x:c r="P15" s="208" t="s">
        <x:v>23</x:v>
      </x:c>
      <x:c r="Q15" s="186" t="s"/>
      <x:c r="R15" s="164" t="s"/>
      <x:c r="S15" s="164" t="s"/>
      <x:c r="T15" s="172" t="s"/>
    </x:row>
    <x:row r="16" spans="1:24" s="193" customFormat="1" ht="12.75" customHeight="1" thickBot="1" x14ac:dyDescent="0.25">
      <x:c r="A16" s="190" t="s">
        <x:v>24</x:v>
      </x:c>
      <x:c r="B16" s="190" t="s"/>
      <x:c r="C16" s="190" t="s"/>
      <x:c r="D16" s="192" t="n">
        <x:v>6562622323</x:v>
      </x:c>
      <x:c r="E16" s="192" t="s"/>
      <x:c r="F16" s="192" t="s"/>
      <x:c r="G16" s="192" t="s"/>
      <x:c r="H16" s="192" t="s"/>
      <x:c r="I16" s="203" t="s"/>
      <x:c r="K16" s="190" t="s">
        <x:v>25</x:v>
      </x:c>
      <x:c r="L16" s="206" t="s"/>
      <x:c r="M16" s="209" t="n">
        <x:v>0</x:v>
      </x:c>
      <x:c r="N16" s="210" t="s"/>
      <x:c r="O16" s="211" t="s"/>
      <x:c r="P16" s="168" t="s"/>
      <x:c r="Q16" s="185" t="s"/>
      <x:c r="R16" s="164" t="s"/>
      <x:c r="S16" s="164" t="s"/>
      <x:c r="T16" s="172" t="s"/>
    </x:row>
    <x:row r="17" spans="1:24" s="193" customFormat="1" ht="12.75" customHeight="1" thickBot="1" x14ac:dyDescent="0.25">
      <x:c r="A17" s="190" t="s">
        <x:v>26</x:v>
      </x:c>
      <x:c r="B17" s="190" t="s"/>
      <x:c r="C17" s="190" t="s"/>
      <x:c r="D17" s="192" t="s">
        <x:v>27</x:v>
      </x:c>
      <x:c r="E17" s="192" t="s"/>
      <x:c r="F17" s="192" t="s"/>
      <x:c r="G17" s="192" t="s"/>
      <x:c r="H17" s="192" t="s"/>
      <x:c r="I17" s="203" t="s"/>
      <x:c r="K17" s="181" t="s"/>
      <x:c r="L17" s="181" t="s"/>
      <x:c r="M17" s="181" t="s"/>
      <x:c r="N17" s="181" t="s"/>
      <x:c r="O17" s="181" t="s"/>
      <x:c r="P17" s="181" t="s"/>
      <x:c r="Q17" s="181" t="s"/>
      <x:c r="R17" s="181" t="s"/>
      <x:c r="S17" s="181" t="s"/>
      <x:c r="T17" s="212" t="s"/>
    </x:row>
    <x:row r="18" spans="1:24" s="193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299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99990010835059</x:v>
      </x:c>
      <x:c r="C20" s="227" t="n">
        <x:v>391751</x:v>
      </x:c>
      <x:c r="D20" s="228" t="s">
        <x:v>40</x:v>
      </x:c>
      <x:c r="E20" s="229" t="s"/>
      <x:c r="F20" s="229" t="n">
        <x:v>391751</x:v>
      </x:c>
      <x:c r="G20" s="229" t="s">
        <x:v>41</x:v>
      </x:c>
      <x:c r="H20" s="230" t="n">
        <x:v>0</x:v>
      </x:c>
      <x:c r="I20" s="231" t="n">
        <x:v>40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24" customHeight="1" x14ac:dyDescent="0.2">
      <x:c r="A21" s="226" t="n">
        <x:v>2</x:v>
      </x:c>
      <x:c r="B21" s="226" t="n">
        <x:v>99990010835047</x:v>
      </x:c>
      <x:c r="C21" s="227" t="n">
        <x:v>391746</x:v>
      </x:c>
      <x:c r="D21" s="228" t="s">
        <x:v>42</x:v>
      </x:c>
      <x:c r="E21" s="229" t="s"/>
      <x:c r="F21" s="229" t="n">
        <x:v>391746</x:v>
      </x:c>
      <x:c r="G21" s="229" t="s">
        <x:v>41</x:v>
      </x:c>
      <x:c r="H21" s="230" t="n">
        <x:v>0</x:v>
      </x:c>
      <x:c r="I21" s="231" t="n">
        <x:v>4</x:v>
      </x:c>
      <x:c r="J21" s="232" t="n">
        <x:v>0</x:v>
      </x:c>
      <x:c r="K21" s="233" t="s"/>
      <x:c r="L21" s="231" t="n">
        <x:v>0</x:v>
      </x:c>
      <x:c r="M21" s="231" t="n">
        <x:v>0</x:v>
      </x:c>
      <x:c r="N21" s="234">
        <x:f>ROUND(((I21*J21)-((I21*J21)*L21/100))+(((I21*J21)-((I21*J21)*L21/100))*M21/100), 2)</x:f>
      </x:c>
      <x:c r="O21" s="230">
        <x:f>M11</x:f>
      </x:c>
      <x:c r="P21" s="235" t="s"/>
      <x:c r="Q21" s="236" t="s"/>
      <x:c r="R21" s="237" t="s"/>
      <x:c r="S21" s="238" t="s"/>
      <x:c r="T21" s="239" t="s"/>
    </x:row>
    <x:row r="22" spans="1:24" customFormat="1" ht="24" customHeight="1" x14ac:dyDescent="0.2">
      <x:c r="A22" s="226" t="n">
        <x:v>3</x:v>
      </x:c>
      <x:c r="B22" s="226" t="n">
        <x:v>99990010835046</x:v>
      </x:c>
      <x:c r="C22" s="227" t="n">
        <x:v>391745</x:v>
      </x:c>
      <x:c r="D22" s="228" t="s">
        <x:v>43</x:v>
      </x:c>
      <x:c r="E22" s="229" t="s"/>
      <x:c r="F22" s="229" t="n">
        <x:v>391745</x:v>
      </x:c>
      <x:c r="G22" s="229" t="s">
        <x:v>41</x:v>
      </x:c>
      <x:c r="H22" s="230" t="n">
        <x:v>0</x:v>
      </x:c>
      <x:c r="I22" s="231" t="n">
        <x:v>2</x:v>
      </x:c>
      <x:c r="J22" s="232" t="n">
        <x:v>0</x:v>
      </x:c>
      <x:c r="K22" s="233" t="s"/>
      <x:c r="L22" s="231" t="n">
        <x:v>0</x:v>
      </x:c>
      <x:c r="M22" s="231" t="n">
        <x:v>0</x:v>
      </x:c>
      <x:c r="N22" s="234" t="s">
        <x:f>ROUND(((I22*J22)-((I22*J22)*L22/100))+(((I22*J22)-((I22*J22)*L22/100))*M22/100), 2)</x:f>
      </x:c>
      <x:c r="O22" s="230" t="s">
        <x:f>M11</x:f>
      </x:c>
      <x:c r="P22" s="235" t="s"/>
      <x:c r="Q22" s="236" t="s"/>
      <x:c r="R22" s="237" t="s"/>
      <x:c r="S22" s="238" t="s"/>
      <x:c r="T22" s="239" t="s"/>
    </x:row>
    <x:row r="23" spans="1:24" customFormat="1" ht="24" customHeight="1" x14ac:dyDescent="0.2">
      <x:c r="A23" s="226" t="n">
        <x:v>4</x:v>
      </x:c>
      <x:c r="B23" s="226" t="n">
        <x:v>99990010835034</x:v>
      </x:c>
      <x:c r="C23" s="227" t="n">
        <x:v>391734</x:v>
      </x:c>
      <x:c r="D23" s="228" t="s">
        <x:v>44</x:v>
      </x:c>
      <x:c r="E23" s="229" t="s"/>
      <x:c r="F23" s="229" t="n">
        <x:v>391734</x:v>
      </x:c>
      <x:c r="G23" s="229" t="s">
        <x:v>41</x:v>
      </x:c>
      <x:c r="H23" s="230" t="n">
        <x:v>0</x:v>
      </x:c>
      <x:c r="I23" s="231" t="n">
        <x:v>10</x:v>
      </x:c>
      <x:c r="J23" s="232" t="n">
        <x:v>0</x:v>
      </x:c>
      <x:c r="K23" s="233" t="s"/>
      <x:c r="L23" s="231" t="n">
        <x:v>0</x:v>
      </x:c>
      <x:c r="M23" s="231" t="n">
        <x:v>0</x:v>
      </x:c>
      <x:c r="N23" s="234">
        <x:f>ROUND(((I23*J23)-((I23*J23)*L23/100))+(((I23*J23)-((I23*J23)*L23/100))*M23/100), 2)</x:f>
      </x:c>
      <x:c r="O23" s="230">
        <x:f>M11</x:f>
      </x:c>
      <x:c r="P23" s="235" t="s"/>
      <x:c r="Q23" s="236" t="s"/>
      <x:c r="R23" s="237" t="s"/>
      <x:c r="S23" s="238" t="s"/>
      <x:c r="T23" s="239" t="s"/>
    </x:row>
    <x:row r="24" spans="1:24" customFormat="1" ht="24" customHeight="1" x14ac:dyDescent="0.2">
      <x:c r="A24" s="226" t="n">
        <x:v>5</x:v>
      </x:c>
      <x:c r="B24" s="226" t="n">
        <x:v>99990010707364</x:v>
      </x:c>
      <x:c r="C24" s="227" t="n">
        <x:v>2390929</x:v>
      </x:c>
      <x:c r="D24" s="228" t="s">
        <x:v>45</x:v>
      </x:c>
      <x:c r="E24" s="229" t="s"/>
      <x:c r="F24" s="229" t="n">
        <x:v>391720</x:v>
      </x:c>
      <x:c r="G24" s="229" t="s">
        <x:v>41</x:v>
      </x:c>
      <x:c r="H24" s="230" t="n">
        <x:v>0</x:v>
      </x:c>
      <x:c r="I24" s="231" t="n">
        <x:v>1</x:v>
      </x:c>
      <x:c r="J24" s="232" t="n">
        <x:v>0</x:v>
      </x:c>
      <x:c r="K24" s="233" t="s"/>
      <x:c r="L24" s="231" t="n">
        <x:v>0</x:v>
      </x:c>
      <x:c r="M24" s="231" t="n">
        <x:v>0</x:v>
      </x:c>
      <x:c r="N24" s="234">
        <x:f>ROUND(((I24*J24)-((I24*J24)*L24/100))+(((I24*J24)-((I24*J24)*L24/100))*M24/100), 2)</x:f>
      </x:c>
      <x:c r="O24" s="230">
        <x:f>M11</x:f>
      </x:c>
      <x:c r="P24" s="235" t="s"/>
      <x:c r="Q24" s="236" t="s"/>
      <x:c r="R24" s="237" t="s"/>
      <x:c r="S24" s="238" t="s"/>
      <x:c r="T24" s="239" t="s"/>
    </x:row>
    <x:row r="25" spans="1:24" customFormat="1" ht="24" customHeight="1" x14ac:dyDescent="0.2">
      <x:c r="A25" s="226" t="n">
        <x:v>6</x:v>
      </x:c>
      <x:c r="B25" s="226" t="n">
        <x:v>99990010835024</x:v>
      </x:c>
      <x:c r="C25" s="227" t="n">
        <x:v>390644</x:v>
      </x:c>
      <x:c r="D25" s="228" t="s">
        <x:v>46</x:v>
      </x:c>
      <x:c r="E25" s="229" t="s"/>
      <x:c r="F25" s="229" t="n">
        <x:v>390644</x:v>
      </x:c>
      <x:c r="G25" s="229" t="s">
        <x:v>47</x:v>
      </x:c>
      <x:c r="H25" s="230" t="n">
        <x:v>0</x:v>
      </x:c>
      <x:c r="I25" s="231" t="n">
        <x:v>1</x:v>
      </x:c>
      <x:c r="J25" s="232" t="n">
        <x:v>0</x:v>
      </x:c>
      <x:c r="K25" s="233" t="s"/>
      <x:c r="L25" s="231" t="n">
        <x:v>0</x:v>
      </x:c>
      <x:c r="M25" s="231" t="n">
        <x:v>0</x:v>
      </x:c>
      <x:c r="N25" s="234">
        <x:f>ROUND(((I25*J25)-((I25*J25)*L25/100))+(((I25*J25)-((I25*J25)*L25/100))*M25/100), 2)</x:f>
      </x:c>
      <x:c r="O25" s="230">
        <x:f>M11</x:f>
      </x:c>
      <x:c r="P25" s="235" t="s"/>
      <x:c r="Q25" s="236" t="s"/>
      <x:c r="R25" s="237" t="s"/>
      <x:c r="S25" s="238" t="s"/>
      <x:c r="T25" s="239" t="s"/>
    </x:row>
    <x:row r="26" spans="1:24" customFormat="1" ht="24" customHeight="1" x14ac:dyDescent="0.2">
      <x:c r="A26" s="226" t="n">
        <x:v>7</x:v>
      </x:c>
      <x:c r="B26" s="226" t="n">
        <x:v>99990010835015</x:v>
      </x:c>
      <x:c r="C26" s="227" t="n">
        <x:v>390462</x:v>
      </x:c>
      <x:c r="D26" s="228" t="s">
        <x:v>48</x:v>
      </x:c>
      <x:c r="E26" s="229" t="s"/>
      <x:c r="F26" s="229" t="n">
        <x:v>390462</x:v>
      </x:c>
      <x:c r="G26" s="229" t="s">
        <x:v>41</x:v>
      </x:c>
      <x:c r="H26" s="230" t="n">
        <x:v>0</x:v>
      </x:c>
      <x:c r="I26" s="231" t="n">
        <x:v>1</x:v>
      </x:c>
      <x:c r="J26" s="232" t="n">
        <x:v>0</x:v>
      </x:c>
      <x:c r="K26" s="233" t="s"/>
      <x:c r="L26" s="231" t="n">
        <x:v>0</x:v>
      </x:c>
      <x:c r="M26" s="231" t="n">
        <x:v>0</x:v>
      </x:c>
      <x:c r="N26" s="234">
        <x:f>ROUND(((I26*J26)-((I26*J26)*L26/100))+(((I26*J26)-((I26*J26)*L26/100))*M26/100), 2)</x:f>
      </x:c>
      <x:c r="O26" s="230">
        <x:f>M11</x:f>
      </x:c>
      <x:c r="P26" s="235" t="s"/>
      <x:c r="Q26" s="236" t="s"/>
      <x:c r="R26" s="237" t="s"/>
      <x:c r="S26" s="238" t="s"/>
      <x:c r="T26" s="239" t="s"/>
    </x:row>
    <x:row r="27" spans="1:24" customFormat="1" ht="15" customHeight="1" x14ac:dyDescent="0.2">
      <x:c r="A27" s="32" t="s"/>
      <x:c r="B27" s="295" t="s"/>
      <x:c r="C27" s="296" t="s"/>
      <x:c r="D27" s="296" t="s"/>
      <x:c r="E27" s="296" t="s"/>
      <x:c r="F27" s="296" t="s"/>
      <x:c r="G27" s="296" t="s"/>
      <x:c r="H27" s="297" t="s"/>
      <x:c r="I27" s="297" t="s"/>
      <x:c r="J27" s="297" t="s"/>
      <x:c r="K27" s="297" t="s"/>
      <x:c r="L27" s="297" t="s"/>
      <x:c r="M27" s="297" t="s"/>
      <x:c r="N27" s="297" t="s"/>
      <x:c r="O27" s="297" t="s"/>
      <x:c r="P27" s="297" t="s"/>
      <x:c r="Q27" s="297" t="s"/>
      <x:c r="R27" s="297" t="s"/>
      <x:c r="S27" s="297" t="s"/>
      <x:c r="T27" s="298" t="s"/>
    </x:row>
    <x:row r="28" spans="1:24" customFormat="1" ht="12.75" customHeight="1" x14ac:dyDescent="0.2">
      <x:c r="A28" s="289" t="s">
        <x:v>28</x:v>
      </x:c>
      <x:c r="B28" s="289" t="s"/>
      <x:c r="C28" s="290" t="s">
        <x:v>49</x:v>
      </x:c>
      <x:c r="D28" s="291" t="s"/>
      <x:c r="E28" s="291" t="s"/>
      <x:c r="F28" s="291" t="s"/>
      <x:c r="G28" s="291" t="s"/>
      <x:c r="H28" s="291" t="s"/>
      <x:c r="I28" s="292" t="s"/>
      <x:c r="J28" s="292" t="s">
        <x:v>50</x:v>
      </x:c>
      <x:c r="K28" s="292" t="s"/>
      <x:c r="L28" s="292" t="s">
        <x:v>35</x:v>
      </x:c>
      <x:c r="M28" s="292" t="s">
        <x:v>36</x:v>
      </x:c>
      <x:c r="N28" s="293" t="s">
        <x:v>51</x:v>
      </x:c>
      <x:c r="O28" s="294" t="s">
        <x:v>38</x:v>
      </x:c>
      <x:c r="P28" s="294" t="s"/>
      <x:c r="Q28" s="294" t="s"/>
      <x:c r="R28" s="294" t="s"/>
      <x:c r="S28" s="294" t="s"/>
      <x:c r="T28" s="225" t="s"/>
    </x:row>
    <x:row r="29" spans="1:24" customFormat="1" ht="15" customHeight="1" x14ac:dyDescent="0.2">
      <x:c r="A29" s="269" t="n">
        <x:v>1</x:v>
      </x:c>
      <x:c r="B29" s="270" t="s"/>
      <x:c r="C29" s="271" t="s">
        <x:v>52</x:v>
      </x:c>
      <x:c r="D29" s="272" t="s">
        <x:v>52</x:v>
      </x:c>
      <x:c r="E29" s="272" t="s">
        <x:v>52</x:v>
      </x:c>
      <x:c r="F29" s="272" t="s">
        <x:v>52</x:v>
      </x:c>
      <x:c r="G29" s="272" t="s">
        <x:v>52</x:v>
      </x:c>
      <x:c r="H29" s="273" t="s">
        <x:v>52</x:v>
      </x:c>
      <x:c r="I29" s="274" t="s"/>
      <x:c r="J29" s="275" t="n">
        <x:v>0</x:v>
      </x:c>
      <x:c r="K29" s="276" t="s"/>
      <x:c r="L29" s="277" t="n">
        <x:v>0</x:v>
      </x:c>
      <x:c r="M29" s="277" t="n">
        <x:v>0</x:v>
      </x:c>
      <x:c r="N29" s="285" t="s">
        <x:f>(J29 -(J29 *L29 /100)+((J29 -(J29 *L29 /100))*M29 /100))</x:f>
      </x:c>
      <x:c r="O29" s="286" t="s"/>
      <x:c r="P29" s="287" t="s"/>
      <x:c r="Q29" s="287" t="s"/>
      <x:c r="R29" s="287" t="s"/>
      <x:c r="S29" s="288" t="s"/>
      <x:c r="T29" s="283" t="s"/>
    </x:row>
    <x:row r="30" spans="1:24" customFormat="1" ht="15" customHeight="1" x14ac:dyDescent="0.2">
      <x:c r="A30" s="269" t="n">
        <x:v>2</x:v>
      </x:c>
      <x:c r="B30" s="270" t="s"/>
      <x:c r="C30" s="271" t="s">
        <x:v>53</x:v>
      </x:c>
      <x:c r="D30" s="272" t="s">
        <x:v>53</x:v>
      </x:c>
      <x:c r="E30" s="272" t="s">
        <x:v>53</x:v>
      </x:c>
      <x:c r="F30" s="272" t="s">
        <x:v>53</x:v>
      </x:c>
      <x:c r="G30" s="272" t="s">
        <x:v>53</x:v>
      </x:c>
      <x:c r="H30" s="273" t="s">
        <x:v>53</x:v>
      </x:c>
      <x:c r="I30" s="284" t="s"/>
      <x:c r="J30" s="275" t="n">
        <x:v>0</x:v>
      </x:c>
      <x:c r="K30" s="276" t="s"/>
      <x:c r="L30" s="277" t="n">
        <x:v>0</x:v>
      </x:c>
      <x:c r="M30" s="277" t="n">
        <x:v>0</x:v>
      </x:c>
      <x:c r="N30" s="279">
        <x:f>(J30 -(J30 *L30 /100)+((J30 -(J30 *L30 /100))*M30 /100))</x:f>
      </x:c>
      <x:c r="O30" s="280" t="s"/>
      <x:c r="P30" s="281" t="s"/>
      <x:c r="Q30" s="281" t="s"/>
      <x:c r="R30" s="281" t="s"/>
      <x:c r="S30" s="282" t="s"/>
      <x:c r="T30" s="283" t="s"/>
    </x:row>
    <x:row r="31" spans="1:24" customFormat="1" ht="15" customHeight="1" x14ac:dyDescent="0.2">
      <x:c r="A31" s="269" t="n">
        <x:v>3</x:v>
      </x:c>
      <x:c r="B31" s="270" t="s"/>
      <x:c r="C31" s="271" t="s"/>
      <x:c r="D31" s="272" t="s"/>
      <x:c r="E31" s="272" t="s"/>
      <x:c r="F31" s="272" t="s"/>
      <x:c r="G31" s="272" t="s"/>
      <x:c r="H31" s="273" t="s"/>
      <x:c r="I31" s="274" t="s"/>
      <x:c r="J31" s="275" t="n">
        <x:v>0</x:v>
      </x:c>
      <x:c r="K31" s="276" t="s"/>
      <x:c r="L31" s="277" t="n">
        <x:v>0</x:v>
      </x:c>
      <x:c r="M31" s="277" t="n">
        <x:v>0</x:v>
      </x:c>
      <x:c r="N31" s="279">
        <x:f>(J31 -(J31 *L31 /100)+((J31 -(J31 *L31 /100))*M31 /100))</x:f>
      </x:c>
      <x:c r="O31" s="280" t="s"/>
      <x:c r="P31" s="281" t="s"/>
      <x:c r="Q31" s="281" t="s"/>
      <x:c r="R31" s="281" t="s"/>
      <x:c r="S31" s="282" t="s"/>
      <x:c r="T31" s="283" t="s"/>
    </x:row>
    <x:row r="32" spans="1:24" customFormat="1" ht="15.75" customHeight="1" x14ac:dyDescent="0.2">
      <x:c r="A32" s="269" t="n">
        <x:v>4</x:v>
      </x:c>
      <x:c r="B32" s="270" t="s"/>
      <x:c r="C32" s="271" t="s"/>
      <x:c r="D32" s="272" t="s"/>
      <x:c r="E32" s="272" t="s"/>
      <x:c r="F32" s="272" t="s"/>
      <x:c r="G32" s="272" t="s"/>
      <x:c r="H32" s="273" t="s"/>
      <x:c r="I32" s="274" t="s"/>
      <x:c r="J32" s="275" t="n">
        <x:v>0</x:v>
      </x:c>
      <x:c r="K32" s="276" t="s"/>
      <x:c r="L32" s="277" t="n">
        <x:v>0</x:v>
      </x:c>
      <x:c r="M32" s="278" t="n">
        <x:v>0</x:v>
      </x:c>
      <x:c r="N32" s="279">
        <x:f>(J32 -(J32 *L32 /100)+((J32 -(J32 *L32 /100))*M32 /100))</x:f>
      </x:c>
      <x:c r="O32" s="280" t="s"/>
      <x:c r="P32" s="281" t="s"/>
      <x:c r="Q32" s="281" t="s"/>
      <x:c r="R32" s="281" t="s"/>
      <x:c r="S32" s="282" t="s"/>
      <x:c r="T32" s="283" t="s"/>
    </x:row>
    <x:row r="33" spans="1:24" customFormat="1" ht="15.95" customHeight="1" x14ac:dyDescent="0.2">
      <x:c r="A33" s="247" t="s"/>
      <x:c r="B33" s="247" t="s"/>
      <x:c r="C33" s="248" t="s"/>
      <x:c r="D33" s="248" t="s"/>
      <x:c r="J33" s="58" t="s">
        <x:v>54</x:v>
      </x:c>
      <x:c r="K33" s="59" t="s"/>
      <x:c r="L33" s="58" t="s"/>
      <x:c r="M33" s="59" t="s"/>
      <x:c r="N33" s="264">
        <x:f>SUM(ItmPrice)</x:f>
      </x:c>
      <x:c r="O33" s="267" t="s"/>
      <x:c r="P33" s="268" t="s"/>
    </x:row>
    <x:row r="34" spans="1:24" customFormat="1" ht="15" customHeight="1" x14ac:dyDescent="0.2">
      <x:c r="A34" s="247" t="s"/>
      <x:c r="B34" s="247" t="s"/>
      <x:c r="C34" s="248" t="s"/>
      <x:c r="D34" s="248" t="s"/>
      <x:c r="J34" s="123" t="s">
        <x:v>55</x:v>
      </x:c>
      <x:c r="K34" s="124" t="s"/>
      <x:c r="L34" s="124" t="s"/>
      <x:c r="M34" s="125" t="s"/>
      <x:c r="N34" s="264">
        <x:f>SUM(N29:N33)</x:f>
      </x:c>
      <x:c r="O34" s="265" t="s"/>
      <x:c r="P34" s="266" t="s"/>
    </x:row>
    <x:row r="35" spans="1:24" customFormat="1" ht="2.25" hidden="1" customHeight="1" x14ac:dyDescent="0.2">
      <x:c r="A35" s="258" t="n">
        <x:v>0</x:v>
      </x:c>
      <x:c r="B35" s="258" t="n">
        <x:v>0</x:v>
      </x:c>
      <x:c r="C35" s="259" t="n">
        <x:v>0</x:v>
      </x:c>
      <x:c r="D35" s="248" t="s"/>
      <x:c r="E35" s="248" t="s"/>
      <x:c r="F35" s="260" t="n">
        <x:v>1</x:v>
      </x:c>
      <x:c r="G35" s="248" t="s"/>
      <x:c r="H35" s="248" t="s"/>
      <x:c r="I35" s="248" t="s"/>
      <x:c r="J35" s="248" t="s"/>
      <x:c r="K35" s="261" t="s"/>
      <x:c r="L35" s="262" t="n">
        <x:v>0</x:v>
      </x:c>
      <x:c r="M35" s="263" t="n">
        <x:v>0</x:v>
      </x:c>
      <x:c r="N35" s="162" t="s">
        <x:v>56</x:v>
      </x:c>
      <x:c r="O35" s="257" t="s"/>
      <x:c r="P35" s="263" t="n">
        <x:v>995</x:v>
      </x:c>
      <x:c r="Q35" s="248" t="s">
        <x:v>57</x:v>
      </x:c>
      <x:c r="R35" s="248" t="s"/>
      <x:c r="S35" s="248" t="s"/>
    </x:row>
    <x:row r="36" spans="1:24" customFormat="1" ht="18.75" customHeight="1" x14ac:dyDescent="0.2">
      <x:c r="A36" s="247" t="s"/>
      <x:c r="B36" s="247" t="s"/>
      <x:c r="C36" s="247" t="s"/>
      <x:c r="H36" s="257" t="s"/>
      <x:c r="J36" s="248" t="s"/>
      <x:c r="K36" s="248" t="s"/>
      <x:c r="L36" s="248" t="s"/>
      <x:c r="M36" s="248" t="s"/>
      <x:c r="N36" s="248" t="s"/>
      <x:c r="O36" s="248" t="s"/>
      <x:c r="P36" s="248" t="s"/>
      <x:c r="R36" s="248" t="s"/>
      <x:c r="S36" s="248" t="s"/>
    </x:row>
    <x:row r="37" spans="1:24" customFormat="1" ht="127.5" customHeight="1" x14ac:dyDescent="0.2">
      <x:c r="A37" s="249" t="s">
        <x:v>58</x:v>
      </x:c>
      <x:c r="B37" s="249" t="s"/>
      <x:c r="C37" s="249" t="s"/>
      <x:c r="D37" s="250" t="s"/>
      <x:c r="E37" s="254" t="s"/>
      <x:c r="F37" s="255" t="s"/>
      <x:c r="G37" s="255" t="s"/>
      <x:c r="H37" s="255" t="s"/>
      <x:c r="I37" s="255" t="s"/>
      <x:c r="J37" s="255" t="s"/>
      <x:c r="K37" s="255" t="s"/>
      <x:c r="L37" s="255" t="s"/>
      <x:c r="M37" s="255" t="s"/>
      <x:c r="N37" s="255" t="s"/>
      <x:c r="O37" s="255" t="s"/>
      <x:c r="P37" s="255" t="s"/>
      <x:c r="Q37" s="255" t="s"/>
      <x:c r="R37" s="255" t="s"/>
      <x:c r="S37" s="255" t="s"/>
      <x:c r="T37" s="256" t="s"/>
    </x:row>
    <x:row r="38" spans="1:24" customFormat="1" ht="129.75" customHeight="1" x14ac:dyDescent="0.2">
      <x:c r="A38" s="249" t="s">
        <x:v>38</x:v>
      </x:c>
      <x:c r="B38" s="249" t="s"/>
      <x:c r="C38" s="249" t="s"/>
      <x:c r="D38" s="250" t="s"/>
      <x:c r="E38" s="251" t="s"/>
      <x:c r="F38" s="252" t="s"/>
      <x:c r="G38" s="252" t="s"/>
      <x:c r="H38" s="252" t="s"/>
      <x:c r="I38" s="252" t="s"/>
      <x:c r="J38" s="252" t="s"/>
      <x:c r="K38" s="252" t="s"/>
      <x:c r="L38" s="252" t="s"/>
      <x:c r="M38" s="252" t="s"/>
      <x:c r="N38" s="252" t="s"/>
      <x:c r="O38" s="252" t="s"/>
      <x:c r="P38" s="252" t="s"/>
      <x:c r="Q38" s="252" t="s"/>
      <x:c r="R38" s="252" t="s"/>
      <x:c r="S38" s="252" t="s"/>
      <x:c r="T38" s="253" t="s"/>
    </x:row>
    <x:row r="39" spans="1:24" customFormat="1" ht="15.95" customHeight="1" x14ac:dyDescent="0.2">
      <x:c r="A39" s="247" t="s"/>
      <x:c r="B39" s="247" t="s"/>
      <x:c r="C39" s="247" t="s"/>
      <x:c r="H39" s="248" t="s"/>
      <x:c r="I39" s="248" t="s"/>
      <x:c r="J39" s="248" t="s"/>
      <x:c r="K39" s="248" t="s"/>
      <x:c r="L39" s="248" t="s"/>
      <x:c r="M39" s="248" t="s"/>
      <x:c r="N39" s="248" t="s"/>
      <x:c r="O39" s="248" t="s"/>
      <x:c r="P39" s="248" t="s"/>
      <x:c r="Q39" s="248" t="s"/>
      <x:c r="R39" s="248" t="s"/>
      <x:c r="S39" s="248" t="s"/>
    </x:row>
    <x:row r="40" spans="1:24" customFormat="1" ht="15.95" customHeight="1" x14ac:dyDescent="0.2">
      <x:c r="A40" s="245" t="s">
        <x:v>59</x:v>
      </x:c>
      <x:c r="B40" s="245" t="s"/>
      <x:c r="C40" s="245" t="s"/>
      <x:c r="D40" s="245" t="s"/>
      <x:c r="E40" s="245" t="s"/>
      <x:c r="F40" s="245" t="s"/>
      <x:c r="G40" s="245" t="s"/>
      <x:c r="H40" s="245" t="s"/>
      <x:c r="I40" s="245" t="s"/>
      <x:c r="J40" s="245" t="s"/>
      <x:c r="K40" s="245" t="s"/>
      <x:c r="L40" s="245" t="s"/>
      <x:c r="M40" s="245" t="s"/>
      <x:c r="N40" s="245" t="s"/>
      <x:c r="O40" s="245" t="s"/>
      <x:c r="P40" s="245" t="s"/>
      <x:c r="Q40" s="245" t="s"/>
      <x:c r="R40" s="245" t="s"/>
      <x:c r="S40" s="245" t="s"/>
      <x:c r="T40" s="246" t="s"/>
    </x:row>
    <x:row r="41" spans="1:24" customFormat="1" ht="12.75" customHeight="1" x14ac:dyDescent="0.2">
      <x:c r="A41" s="243" t="s"/>
      <x:c r="B41" s="243" t="s"/>
      <x:c r="C41" s="243" t="s"/>
      <x:c r="D41" s="243" t="s"/>
      <x:c r="E41" s="243" t="s"/>
      <x:c r="F41" s="243" t="s"/>
      <x:c r="G41" s="243" t="s"/>
      <x:c r="H41" s="243" t="s"/>
      <x:c r="I41" s="243" t="s"/>
      <x:c r="J41" s="243" t="s"/>
      <x:c r="K41" s="243" t="s"/>
      <x:c r="L41" s="243" t="s"/>
      <x:c r="M41" s="243" t="s"/>
      <x:c r="N41" s="243" t="s"/>
      <x:c r="O41" s="243" t="s"/>
      <x:c r="P41" s="243" t="s"/>
      <x:c r="Q41" s="243" t="s"/>
      <x:c r="R41" s="243" t="s"/>
      <x:c r="S41" s="243" t="s"/>
      <x:c r="T41" s="244" t="s"/>
    </x:row>
    <x:row r="42" spans="1:24" customFormat="1" ht="12.75" customHeight="1" x14ac:dyDescent="0.2">
      <x:c r="A42" s="243" t="s"/>
      <x:c r="B42" s="243" t="s"/>
      <x:c r="C42" s="243" t="s"/>
      <x:c r="D42" s="243" t="s"/>
      <x:c r="E42" s="243" t="s"/>
      <x:c r="F42" s="243" t="s"/>
      <x:c r="G42" s="243" t="s"/>
      <x:c r="H42" s="243" t="s"/>
      <x:c r="I42" s="243" t="s"/>
      <x:c r="J42" s="243" t="s"/>
      <x:c r="K42" s="243" t="s"/>
      <x:c r="L42" s="243" t="s"/>
      <x:c r="M42" s="243" t="s"/>
      <x:c r="N42" s="243" t="s"/>
      <x:c r="O42" s="243" t="s"/>
      <x:c r="P42" s="243" t="s"/>
      <x:c r="Q42" s="243" t="s"/>
      <x:c r="R42" s="243" t="s"/>
      <x:c r="S42" s="243" t="s"/>
      <x:c r="T42" s="244" t="s"/>
    </x:row>
    <x:row r="43" spans="1:24" customFormat="1" ht="7.5" customHeight="1" x14ac:dyDescent="0.2">
      <x:c r="A43" s="243" t="s"/>
      <x:c r="B43" s="243" t="s"/>
      <x:c r="C43" s="243" t="s"/>
      <x:c r="D43" s="243" t="s"/>
      <x:c r="E43" s="243" t="s"/>
      <x:c r="F43" s="243" t="s"/>
      <x:c r="G43" s="243" t="s"/>
      <x:c r="H43" s="243" t="s"/>
      <x:c r="I43" s="243" t="s"/>
      <x:c r="J43" s="243" t="s"/>
      <x:c r="K43" s="243" t="s"/>
      <x:c r="L43" s="243" t="s"/>
      <x:c r="M43" s="243" t="s"/>
      <x:c r="N43" s="243" t="s"/>
      <x:c r="O43" s="243" t="s"/>
      <x:c r="P43" s="243" t="s"/>
      <x:c r="Q43" s="243" t="s"/>
      <x:c r="R43" s="243" t="s"/>
      <x:c r="S43" s="243" t="s"/>
      <x:c r="T43" s="244" t="s"/>
    </x:row>
    <x:row r="44" spans="1:24" customFormat="1" ht="12.75" customHeight="1" x14ac:dyDescent="0.2">
      <x:c r="A44" s="243" t="s"/>
      <x:c r="B44" s="243" t="s"/>
      <x:c r="C44" s="243" t="s"/>
      <x:c r="D44" s="243" t="s"/>
      <x:c r="E44" s="243" t="s"/>
      <x:c r="F44" s="243" t="s"/>
      <x:c r="G44" s="243" t="s"/>
      <x:c r="H44" s="243" t="s"/>
      <x:c r="I44" s="243" t="s"/>
      <x:c r="J44" s="243" t="s"/>
      <x:c r="K44" s="243" t="s"/>
      <x:c r="L44" s="243" t="s"/>
      <x:c r="M44" s="243" t="s"/>
      <x:c r="N44" s="243" t="s"/>
      <x:c r="O44" s="243" t="s"/>
      <x:c r="P44" s="243" t="s"/>
      <x:c r="Q44" s="243" t="s"/>
      <x:c r="R44" s="243" t="s"/>
      <x:c r="S44" s="243" t="s"/>
      <x:c r="T44" s="244" t="s"/>
    </x:row>
    <x:row r="45" spans="1:24" customFormat="1" ht="12.75" customHeight="1" x14ac:dyDescent="0.2">
      <x:c r="A45" s="243" t="s"/>
      <x:c r="B45" s="243" t="s"/>
      <x:c r="C45" s="243" t="s"/>
      <x:c r="D45" s="243" t="s"/>
      <x:c r="E45" s="243" t="s"/>
      <x:c r="F45" s="243" t="s"/>
      <x:c r="G45" s="243" t="s"/>
      <x:c r="H45" s="243" t="s"/>
      <x:c r="I45" s="243" t="s"/>
      <x:c r="J45" s="243" t="s"/>
      <x:c r="K45" s="243" t="s"/>
      <x:c r="L45" s="243" t="s"/>
      <x:c r="M45" s="243" t="s"/>
      <x:c r="N45" s="243" t="s"/>
      <x:c r="O45" s="243" t="s"/>
      <x:c r="P45" s="243" t="s"/>
      <x:c r="Q45" s="243" t="s"/>
      <x:c r="R45" s="243" t="s"/>
      <x:c r="S45" s="243" t="s"/>
      <x:c r="T45" s="244" t="s"/>
    </x:row>
    <x:row r="46" spans="1:24" customFormat="1" ht="12.75" customHeight="1" x14ac:dyDescent="0.2">
      <x:c r="A46" s="243" t="s"/>
      <x:c r="B46" s="243" t="s"/>
      <x:c r="C46" s="243" t="s"/>
      <x:c r="D46" s="243" t="s"/>
      <x:c r="E46" s="243" t="s"/>
      <x:c r="F46" s="243" t="s"/>
      <x:c r="G46" s="243" t="s"/>
      <x:c r="H46" s="243" t="s"/>
      <x:c r="I46" s="243" t="s"/>
      <x:c r="J46" s="243" t="s"/>
      <x:c r="K46" s="243" t="s"/>
      <x:c r="L46" s="243" t="s"/>
      <x:c r="M46" s="243" t="s"/>
      <x:c r="N46" s="243" t="s"/>
      <x:c r="O46" s="243" t="s"/>
      <x:c r="P46" s="243" t="s"/>
      <x:c r="Q46" s="243" t="s"/>
      <x:c r="R46" s="243" t="s"/>
      <x:c r="S46" s="243" t="s"/>
      <x:c r="T46" s="244" t="s"/>
    </x:row>
    <x:row r="47" spans="1:24" customFormat="1" ht="7.5" customHeight="1" x14ac:dyDescent="0.2">
      <x:c r="A47" s="243" t="s"/>
      <x:c r="B47" s="243" t="s"/>
      <x:c r="C47" s="243" t="s"/>
      <x:c r="D47" s="243" t="s"/>
      <x:c r="E47" s="243" t="s"/>
      <x:c r="F47" s="243" t="s"/>
      <x:c r="G47" s="243" t="s"/>
      <x:c r="H47" s="243" t="s"/>
      <x:c r="I47" s="243" t="s"/>
      <x:c r="J47" s="243" t="s"/>
      <x:c r="K47" s="243" t="s"/>
      <x:c r="L47" s="243" t="s"/>
      <x:c r="M47" s="243" t="s"/>
      <x:c r="N47" s="243" t="s"/>
      <x:c r="O47" s="243" t="s"/>
      <x:c r="P47" s="243" t="s"/>
      <x:c r="Q47" s="243" t="s"/>
      <x:c r="R47" s="243" t="s"/>
      <x:c r="S47" s="243" t="s"/>
      <x:c r="T47" s="244" t="s"/>
    </x:row>
    <x:row r="48" spans="1:24" customFormat="1" ht="12.75" customHeight="1" x14ac:dyDescent="0.2">
      <x:c r="A48" s="243" t="s"/>
      <x:c r="B48" s="243" t="s"/>
      <x:c r="C48" s="243" t="s"/>
      <x:c r="D48" s="243" t="s"/>
      <x:c r="E48" s="243" t="s"/>
      <x:c r="F48" s="243" t="s"/>
      <x:c r="G48" s="243" t="s"/>
      <x:c r="H48" s="243" t="s"/>
      <x:c r="I48" s="243" t="s"/>
      <x:c r="J48" s="243" t="s"/>
      <x:c r="K48" s="243" t="s"/>
      <x:c r="L48" s="243" t="s"/>
      <x:c r="M48" s="243" t="s"/>
      <x:c r="N48" s="243" t="s"/>
      <x:c r="O48" s="243" t="s"/>
      <x:c r="P48" s="243" t="s"/>
      <x:c r="Q48" s="243" t="s"/>
      <x:c r="R48" s="243" t="s"/>
      <x:c r="S48" s="243" t="s"/>
      <x:c r="T48" s="244" t="s"/>
    </x:row>
    <x:row r="49" spans="1:24" customFormat="1" ht="12.75" customHeight="1" x14ac:dyDescent="0.2">
      <x:c r="A49" s="243" t="s"/>
      <x:c r="B49" s="243" t="s"/>
      <x:c r="C49" s="243" t="s"/>
      <x:c r="D49" s="243" t="s"/>
      <x:c r="E49" s="243" t="s"/>
      <x:c r="F49" s="243" t="s"/>
      <x:c r="G49" s="243" t="s"/>
      <x:c r="H49" s="243" t="s"/>
      <x:c r="I49" s="243" t="s"/>
      <x:c r="J49" s="243" t="s"/>
      <x:c r="K49" s="243" t="s"/>
      <x:c r="L49" s="243" t="s"/>
      <x:c r="M49" s="243" t="s"/>
      <x:c r="N49" s="243" t="s"/>
      <x:c r="O49" s="243" t="s"/>
      <x:c r="P49" s="243" t="s"/>
      <x:c r="Q49" s="243" t="s"/>
      <x:c r="R49" s="243" t="s"/>
      <x:c r="S49" s="243" t="s"/>
      <x:c r="T49" s="244" t="s"/>
    </x:row>
    <x:row r="50" spans="1:24" customFormat="1" ht="12.75" customHeight="1" x14ac:dyDescent="0.2">
      <x:c r="A50" s="243" t="s"/>
      <x:c r="B50" s="243" t="s"/>
      <x:c r="C50" s="243" t="s"/>
      <x:c r="D50" s="243" t="s"/>
      <x:c r="E50" s="243" t="s"/>
      <x:c r="F50" s="243" t="s"/>
      <x:c r="G50" s="243" t="s"/>
      <x:c r="H50" s="243" t="s"/>
      <x:c r="I50" s="243" t="s"/>
      <x:c r="J50" s="243" t="s"/>
      <x:c r="K50" s="243" t="s"/>
      <x:c r="L50" s="243" t="s"/>
      <x:c r="M50" s="243" t="s"/>
      <x:c r="N50" s="243" t="s"/>
      <x:c r="O50" s="243" t="s"/>
      <x:c r="P50" s="243" t="s"/>
      <x:c r="Q50" s="243" t="s"/>
      <x:c r="R50" s="243" t="s"/>
      <x:c r="S50" s="243" t="s"/>
      <x:c r="T50" s="244" t="s"/>
    </x:row>
    <x:row r="51" spans="1:24" customFormat="1" ht="12.75" customHeight="1" x14ac:dyDescent="0.2">
      <x:c r="A51" s="243" t="s"/>
      <x:c r="B51" s="243" t="s"/>
      <x:c r="C51" s="243" t="s"/>
      <x:c r="D51" s="243" t="s"/>
      <x:c r="E51" s="243" t="s"/>
      <x:c r="F51" s="243" t="s"/>
      <x:c r="G51" s="243" t="s"/>
      <x:c r="H51" s="243" t="s"/>
      <x:c r="I51" s="243" t="s"/>
      <x:c r="J51" s="243" t="s"/>
      <x:c r="K51" s="243" t="s"/>
      <x:c r="L51" s="243" t="s"/>
      <x:c r="M51" s="243" t="s"/>
      <x:c r="N51" s="243" t="s"/>
      <x:c r="O51" s="243" t="s"/>
      <x:c r="P51" s="243" t="s"/>
      <x:c r="Q51" s="243" t="s"/>
      <x:c r="R51" s="243" t="s"/>
      <x:c r="S51" s="243" t="s"/>
      <x:c r="T51" s="244" t="s"/>
    </x:row>
    <x:row r="52" spans="1:24" customFormat="1" ht="12.75" customHeight="1" x14ac:dyDescent="0.2">
      <x:c r="A52" s="243" t="s"/>
      <x:c r="B52" s="243" t="s"/>
      <x:c r="C52" s="243" t="s"/>
      <x:c r="D52" s="243" t="s"/>
      <x:c r="E52" s="243" t="s"/>
      <x:c r="F52" s="243" t="s"/>
      <x:c r="G52" s="243" t="s"/>
      <x:c r="H52" s="243" t="s"/>
      <x:c r="I52" s="243" t="s"/>
      <x:c r="J52" s="243" t="s"/>
      <x:c r="K52" s="243" t="s"/>
      <x:c r="L52" s="243" t="s"/>
      <x:c r="M52" s="243" t="s"/>
      <x:c r="N52" s="243" t="s"/>
      <x:c r="O52" s="243" t="s"/>
      <x:c r="P52" s="243" t="s"/>
      <x:c r="Q52" s="243" t="s"/>
      <x:c r="R52" s="243" t="s"/>
      <x:c r="S52" s="243" t="s"/>
      <x:c r="T52" s="244" t="s"/>
    </x:row>
    <x:row r="53" spans="1:24" customFormat="1" ht="12.75" customHeight="1" x14ac:dyDescent="0.2">
      <x:c r="A53" s="243" t="s"/>
      <x:c r="B53" s="243" t="s"/>
      <x:c r="C53" s="243" t="s"/>
      <x:c r="D53" s="243" t="s"/>
      <x:c r="E53" s="243" t="s"/>
      <x:c r="F53" s="243" t="s"/>
      <x:c r="G53" s="243" t="s"/>
      <x:c r="H53" s="243" t="s"/>
      <x:c r="I53" s="243" t="s"/>
      <x:c r="J53" s="243" t="s"/>
      <x:c r="K53" s="243" t="s"/>
      <x:c r="L53" s="243" t="s"/>
      <x:c r="M53" s="243" t="s"/>
      <x:c r="N53" s="243" t="s"/>
      <x:c r="O53" s="243" t="s"/>
      <x:c r="P53" s="243" t="s"/>
      <x:c r="Q53" s="243" t="s"/>
      <x:c r="R53" s="243" t="s"/>
      <x:c r="S53" s="243" t="s"/>
      <x:c r="T53" s="244" t="s"/>
    </x:row>
    <x:row r="54" spans="1:24" customFormat="1" ht="7.5" customHeight="1" x14ac:dyDescent="0.2">
      <x:c r="A54" s="243" t="s"/>
      <x:c r="B54" s="243" t="s"/>
      <x:c r="C54" s="243" t="s"/>
      <x:c r="D54" s="243" t="s"/>
      <x:c r="E54" s="243" t="s"/>
      <x:c r="F54" s="243" t="s"/>
      <x:c r="G54" s="243" t="s"/>
      <x:c r="H54" s="243" t="s"/>
      <x:c r="I54" s="243" t="s"/>
      <x:c r="J54" s="243" t="s"/>
      <x:c r="K54" s="243" t="s"/>
      <x:c r="L54" s="243" t="s"/>
      <x:c r="M54" s="243" t="s"/>
      <x:c r="N54" s="243" t="s"/>
      <x:c r="O54" s="243" t="s"/>
      <x:c r="P54" s="243" t="s"/>
      <x:c r="Q54" s="243" t="s"/>
      <x:c r="R54" s="243" t="s"/>
      <x:c r="S54" s="243" t="s"/>
      <x:c r="T54" s="244" t="s"/>
    </x:row>
    <x:row r="55" spans="1:24" customFormat="1" ht="12.75" customHeight="1" x14ac:dyDescent="0.2">
      <x:c r="A55" s="243" t="s"/>
      <x:c r="B55" s="243" t="s"/>
      <x:c r="C55" s="243" t="s"/>
      <x:c r="D55" s="243" t="s"/>
      <x:c r="E55" s="243" t="s"/>
      <x:c r="F55" s="243" t="s"/>
      <x:c r="G55" s="243" t="s"/>
      <x:c r="H55" s="243" t="s"/>
      <x:c r="I55" s="243" t="s"/>
      <x:c r="J55" s="243" t="s"/>
      <x:c r="K55" s="243" t="s"/>
      <x:c r="L55" s="243" t="s"/>
      <x:c r="M55" s="243" t="s"/>
      <x:c r="N55" s="243" t="s"/>
      <x:c r="O55" s="243" t="s"/>
      <x:c r="P55" s="243" t="s"/>
      <x:c r="Q55" s="243" t="s"/>
      <x:c r="R55" s="243" t="s"/>
      <x:c r="S55" s="243" t="s"/>
      <x:c r="T55" s="244" t="s"/>
    </x:row>
    <x:row r="56" spans="1:24" customFormat="1" ht="12.75" customHeight="1" x14ac:dyDescent="0.2">
      <x:c r="A56" s="243" t="s"/>
      <x:c r="B56" s="243" t="s"/>
      <x:c r="C56" s="243" t="s"/>
      <x:c r="D56" s="243" t="s"/>
      <x:c r="E56" s="243" t="s"/>
      <x:c r="F56" s="243" t="s"/>
      <x:c r="G56" s="243" t="s"/>
      <x:c r="H56" s="243" t="s"/>
      <x:c r="I56" s="243" t="s"/>
      <x:c r="J56" s="243" t="s"/>
      <x:c r="K56" s="243" t="s"/>
      <x:c r="L56" s="243" t="s"/>
      <x:c r="M56" s="243" t="s"/>
      <x:c r="N56" s="243" t="s"/>
      <x:c r="O56" s="243" t="s"/>
      <x:c r="P56" s="243" t="s"/>
      <x:c r="Q56" s="243" t="s"/>
      <x:c r="R56" s="243" t="s"/>
      <x:c r="S56" s="243" t="s"/>
      <x:c r="T56" s="244" t="s"/>
    </x:row>
    <x:row r="57" spans="1:24" customFormat="1" ht="12.75" customHeight="1" x14ac:dyDescent="0.2">
      <x:c r="A57" s="243" t="s"/>
      <x:c r="B57" s="243" t="s"/>
      <x:c r="C57" s="243" t="s"/>
      <x:c r="D57" s="243" t="s"/>
      <x:c r="E57" s="243" t="s"/>
      <x:c r="F57" s="243" t="s"/>
      <x:c r="G57" s="243" t="s"/>
      <x:c r="H57" s="243" t="s"/>
      <x:c r="I57" s="243" t="s"/>
      <x:c r="J57" s="243" t="s"/>
      <x:c r="K57" s="243" t="s"/>
      <x:c r="L57" s="243" t="s"/>
      <x:c r="M57" s="243" t="s"/>
      <x:c r="N57" s="243" t="s"/>
      <x:c r="O57" s="243" t="s"/>
      <x:c r="P57" s="243" t="s"/>
      <x:c r="Q57" s="243" t="s"/>
      <x:c r="R57" s="243" t="s"/>
      <x:c r="S57" s="243" t="s"/>
      <x:c r="T57" s="244" t="s"/>
    </x:row>
    <x:row r="58" spans="1:24" customFormat="1" ht="12.75" customHeight="1" x14ac:dyDescent="0.2">
      <x:c r="A58" s="243" t="s"/>
      <x:c r="B58" s="243" t="s"/>
      <x:c r="C58" s="243" t="s"/>
      <x:c r="D58" s="243" t="s"/>
      <x:c r="E58" s="243" t="s"/>
      <x:c r="F58" s="243" t="s"/>
      <x:c r="G58" s="243" t="s"/>
      <x:c r="H58" s="243" t="s"/>
      <x:c r="I58" s="243" t="s"/>
      <x:c r="J58" s="243" t="s"/>
      <x:c r="K58" s="243" t="s"/>
      <x:c r="L58" s="243" t="s"/>
      <x:c r="M58" s="243" t="s"/>
      <x:c r="N58" s="243" t="s"/>
      <x:c r="O58" s="243" t="s"/>
      <x:c r="P58" s="243" t="s"/>
      <x:c r="Q58" s="243" t="s"/>
      <x:c r="R58" s="243" t="s"/>
      <x:c r="S58" s="243" t="s"/>
      <x:c r="T58" s="244" t="s"/>
    </x:row>
    <x:row r="59" spans="1:24" customFormat="1" ht="12.75" customHeight="1">
      <x:c r="A59" s="243" t="s"/>
      <x:c r="B59" s="243" t="s"/>
      <x:c r="C59" s="243" t="s"/>
      <x:c r="D59" s="243" t="s"/>
      <x:c r="E59" s="243" t="s"/>
      <x:c r="F59" s="243" t="s"/>
      <x:c r="G59" s="243" t="s"/>
      <x:c r="H59" s="243" t="s"/>
      <x:c r="I59" s="243" t="s"/>
      <x:c r="J59" s="243" t="s"/>
      <x:c r="K59" s="243" t="s"/>
      <x:c r="L59" s="243" t="s"/>
      <x:c r="M59" s="243" t="s"/>
      <x:c r="N59" s="243" t="s"/>
      <x:c r="O59" s="243" t="s"/>
      <x:c r="P59" s="243" t="s"/>
      <x:c r="Q59" s="243" t="s"/>
      <x:c r="R59" s="243" t="s"/>
      <x:c r="S59" s="243" t="s"/>
      <x:c r="T59" s="244" t="s"/>
    </x:row>
    <x:row r="60" spans="1:24" customFormat="1" ht="7.5" customHeight="1">
      <x:c r="A60" s="243" t="s"/>
      <x:c r="B60" s="243" t="s"/>
      <x:c r="C60" s="243" t="s"/>
      <x:c r="D60" s="243" t="s"/>
      <x:c r="E60" s="243" t="s"/>
      <x:c r="F60" s="243" t="s"/>
      <x:c r="G60" s="243" t="s"/>
      <x:c r="H60" s="243" t="s"/>
      <x:c r="I60" s="243" t="s"/>
      <x:c r="J60" s="243" t="s"/>
      <x:c r="K60" s="243" t="s"/>
      <x:c r="L60" s="243" t="s"/>
      <x:c r="M60" s="243" t="s"/>
      <x:c r="N60" s="243" t="s"/>
      <x:c r="O60" s="243" t="s"/>
      <x:c r="P60" s="243" t="s"/>
      <x:c r="Q60" s="243" t="s"/>
      <x:c r="R60" s="243" t="s"/>
      <x:c r="S60" s="243" t="s"/>
      <x:c r="T60" s="244" t="s"/>
    </x:row>
    <x:row r="61" spans="1:24" customFormat="1" ht="12.75" customHeight="1">
      <x:c r="A61" s="243" t="s"/>
      <x:c r="B61" s="243" t="s"/>
      <x:c r="C61" s="243" t="s"/>
      <x:c r="D61" s="243" t="s"/>
      <x:c r="E61" s="243" t="s"/>
      <x:c r="F61" s="243" t="s"/>
      <x:c r="G61" s="243" t="s"/>
      <x:c r="H61" s="243" t="s"/>
      <x:c r="I61" s="243" t="s"/>
      <x:c r="J61" s="243" t="s"/>
      <x:c r="K61" s="243" t="s"/>
      <x:c r="L61" s="243" t="s"/>
      <x:c r="M61" s="243" t="s"/>
      <x:c r="N61" s="243" t="s"/>
      <x:c r="O61" s="243" t="s"/>
      <x:c r="P61" s="243" t="s"/>
      <x:c r="Q61" s="243" t="s"/>
      <x:c r="R61" s="243" t="s"/>
      <x:c r="S61" s="243" t="s"/>
      <x:c r="T61" s="244" t="s"/>
    </x:row>
    <x:row r="62" spans="1:24" customFormat="1" ht="12.75" customHeight="1">
      <x:c r="A62" s="243" t="s"/>
      <x:c r="B62" s="243" t="s"/>
      <x:c r="C62" s="243" t="s"/>
      <x:c r="D62" s="243" t="s"/>
      <x:c r="E62" s="243" t="s"/>
      <x:c r="F62" s="243" t="s"/>
      <x:c r="G62" s="243" t="s"/>
      <x:c r="H62" s="243" t="s"/>
      <x:c r="I62" s="243" t="s"/>
      <x:c r="J62" s="243" t="s"/>
      <x:c r="K62" s="243" t="s"/>
      <x:c r="L62" s="243" t="s"/>
      <x:c r="M62" s="243" t="s"/>
      <x:c r="N62" s="243" t="s"/>
      <x:c r="O62" s="243" t="s"/>
      <x:c r="P62" s="243" t="s"/>
      <x:c r="Q62" s="243" t="s"/>
      <x:c r="R62" s="243" t="s"/>
      <x:c r="S62" s="243" t="s"/>
      <x:c r="T62" s="244" t="s"/>
    </x:row>
    <x:row r="63" spans="1:24" customFormat="1" ht="12.75" customHeight="1">
      <x:c r="A63" s="241" t="s"/>
      <x:c r="B63" s="241" t="s"/>
      <x:c r="C63" s="241" t="s"/>
      <x:c r="D63" s="241" t="s"/>
      <x:c r="E63" s="241" t="s"/>
      <x:c r="F63" s="241" t="s"/>
      <x:c r="G63" s="241" t="s"/>
      <x:c r="H63" s="241" t="s"/>
      <x:c r="I63" s="241" t="s"/>
      <x:c r="J63" s="241" t="s"/>
      <x:c r="K63" s="241" t="s"/>
      <x:c r="L63" s="241" t="s"/>
      <x:c r="M63" s="241" t="s"/>
      <x:c r="N63" s="241" t="s"/>
      <x:c r="O63" s="241" t="s"/>
      <x:c r="P63" s="241" t="s"/>
      <x:c r="Q63" s="241" t="s"/>
      <x:c r="R63" s="241" t="s"/>
      <x:c r="S63" s="241" t="s"/>
      <x:c r="T63" s="242" t="s"/>
    </x:row>
    <x:row r="64" spans="1:24">
      <x:c r="A64" s="240" t="s">
        <x:v>60</x:v>
      </x:c>
      <x:c r="B64" s="240" t="s"/>
      <x:c r="C64" s="240" t="s"/>
      <x:c r="D64" s="240" t="s"/>
      <x:c r="E64" s="240" t="s"/>
      <x:c r="F64" s="240" t="s"/>
      <x:c r="G64" s="240" t="s"/>
    </x:row>
  </x:sheetData>
  <x:sheetProtection algorithmName="SHA-512" hashValue="Ob7JE5gXi2nElX2lzfKIV3vpVGSUVqkm5RHb4oTJtgmsP9FXtaPw8qdFk4X7XwQbBqW6cxNu4YaLn6anieYj4g==" saltValue="stTL/gfLvfeoCZMz2qTLBw==" spinCount="100000" sheet="1" objects="1" scenarios="1"/>
  <x:dataConsolidate/>
  <x:mergeCells count="79">
    <x:mergeCell ref="E37:S37"/>
    <x:mergeCell ref="E38:S38"/>
    <x:mergeCell ref="E40:S40"/>
    <x:mergeCell ref="A41:S62"/>
    <x:mergeCell ref="A63:S63"/>
    <x:mergeCell ref="A37:D37"/>
    <x:mergeCell ref="A38:D38"/>
    <x:mergeCell ref="K1:R1"/>
    <x:mergeCell ref="R19:S19"/>
    <x:mergeCell ref="R20:S20"/>
    <x:mergeCell ref="O29:S29"/>
    <x:mergeCell ref="O30:S30"/>
    <x:mergeCell ref="O28:S28"/>
    <x:mergeCell ref="J28:K28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33:P33"/>
    <x:mergeCell ref="O34:P34"/>
    <x:mergeCell ref="J34:M34"/>
    <x:mergeCell ref="O31:S31"/>
    <x:mergeCell ref="O32:S32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8:H28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J21:K21"/>
    <x:mergeCell ref="D22:E22"/>
    <x:mergeCell ref="J22:K22"/>
    <x:mergeCell ref="D23:E23"/>
    <x:mergeCell ref="J23:K23"/>
    <x:mergeCell ref="D24:E24"/>
    <x:mergeCell ref="J24:K24"/>
    <x:mergeCell ref="D25:E25"/>
    <x:mergeCell ref="J25:K25"/>
    <x:mergeCell ref="D26:E26"/>
    <x:mergeCell ref="J26:K26"/>
    <x:mergeCell ref="C29:H29"/>
    <x:mergeCell ref="J29:K29"/>
    <x:mergeCell ref="C30:H30"/>
    <x:mergeCell ref="J30:K30"/>
    <x:mergeCell ref="C31:H31"/>
    <x:mergeCell ref="J31:K31"/>
    <x:mergeCell ref="C32:H32"/>
    <x:mergeCell ref="J32:K32"/>
  </x:mergeCells>
  <x:phoneticPr fontId="3" type="noConversion"/>
  <x:dataValidations count="38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1:I21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1:J21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1:L21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1:M21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2:I22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2:J22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2:L22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2:M22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3:I23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3:J23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3:L23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3:M23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4:I24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4:J24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4:L24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4:M24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5:I25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5:J25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5:L25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5:M25">
      <x:formula1>0</x:formula1>
      <x:formula2>100</x:formula2>
    </x:dataValidation>
    <x:dataValidation type="decimal" errorStyle="stop" operator="greaterThanOrEqual" allowBlank="1" showDropDown="0" showInputMessage="1" showErrorMessage="1" errorTitle="" error="" promptTitle="" prompt="" sqref="I26:I26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6:J26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6:L2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6:M26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9:H29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0:H30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1:H31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32:H32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52</x:v>
      </x:c>
      <x:c r="M1" s="300" t="s">
        <x:v>61</x:v>
      </x:c>
      <x:c r="N1" s="301" t="s">
        <x:v>0</x:v>
      </x:c>
      <x:c r="O1" s="162" t="s">
        <x:v>62</x:v>
      </x:c>
    </x:row>
    <x:row r="2" spans="1:15" x14ac:dyDescent="0.2">
      <x:c r="G2" s="162" t="n">
        <x:v>1001310</x:v>
      </x:c>
      <x:c r="H2" s="162" t="s">
        <x:v>53</x:v>
      </x:c>
      <x:c r="M2" s="300" t="s">
        <x:v>63</x:v>
      </x:c>
      <x:c r="N2" s="301" t="n">
        <x:v>1020662620</x:v>
      </x:c>
      <x:c r="O2" s="162" t="s">
        <x:v>64</x:v>
      </x:c>
    </x:row>
    <x:row r="3" spans="1:15" x14ac:dyDescent="0.2">
      <x:c r="G3" s="162" t="n">
        <x:v>1001352</x:v>
      </x:c>
      <x:c r="H3" s="162" t="s">
        <x:v>49</x:v>
      </x:c>
      <x:c r="M3" s="300" t="s">
        <x:v>65</x:v>
      </x:c>
      <x:c r="N3" s="301" t="n">
        <x:v>99990000402509</x:v>
      </x:c>
      <x:c r="O3" s="162" t="s">
        <x:v>66</x:v>
      </x:c>
    </x:row>
    <x:row r="4" spans="1:15" x14ac:dyDescent="0.2">
      <x:c r="G4" s="162" t="n">
        <x:v>1012729</x:v>
      </x:c>
      <x:c r="H4" s="162" t="s">
        <x:v>67</x:v>
      </x:c>
      <x:c r="M4" s="300" t="s">
        <x:v>68</x:v>
      </x:c>
      <x:c r="N4" s="301" t="n">
        <x:v>1021682078</x:v>
      </x:c>
      <x:c r="O4" s="162" t="s">
        <x:v>69</x:v>
      </x:c>
    </x:row>
    <x:row r="5" spans="1:15" x14ac:dyDescent="0.2">
      <x:c r="G5" s="162" t="n">
        <x:v>1012730</x:v>
      </x:c>
      <x:c r="H5" s="162" t="s">
        <x:v>70</x:v>
      </x:c>
      <x:c r="M5" s="300" t="s">
        <x:v>71</x:v>
      </x:c>
      <x:c r="N5" s="301" t="s"/>
      <x:c r="O5" s="162" t="s">
        <x:v>72</x:v>
      </x:c>
    </x:row>
    <x:row r="6" spans="1:15" x14ac:dyDescent="0.2">
      <x:c r="G6" s="162" t="n">
        <x:v>1012731</x:v>
      </x:c>
      <x:c r="H6" s="162" t="s">
        <x:v>73</x:v>
      </x:c>
      <x:c r="M6" s="300" t="s">
        <x:v>74</x:v>
      </x:c>
      <x:c r="N6" s="301" t="s">
        <x:v>75</x:v>
      </x:c>
      <x:c r="O6" s="162" t="s">
        <x:v>76</x:v>
      </x:c>
    </x:row>
    <x:row r="7" spans="1:15" x14ac:dyDescent="0.2">
      <x:c r="G7" s="162" t="n">
        <x:v>1012732</x:v>
      </x:c>
      <x:c r="H7" s="162" t="s">
        <x:v>77</x:v>
      </x:c>
      <x:c r="M7" s="300" t="s">
        <x:v>78</x:v>
      </x:c>
      <x:c r="N7" s="301" t="n">
        <x:v>0</x:v>
      </x:c>
      <x:c r="O7" s="162" t="s">
        <x:v>79</x:v>
      </x:c>
    </x:row>
    <x:row r="8" spans="1:15" x14ac:dyDescent="0.2">
      <x:c r="G8" s="162" t="n">
        <x:v>1012733</x:v>
      </x:c>
      <x:c r="H8" s="162" t="s">
        <x:v>80</x:v>
      </x:c>
      <x:c r="O8" s="162" t="s">
        <x:v>81</x:v>
      </x:c>
    </x:row>
    <x:row r="9" spans="1:15" x14ac:dyDescent="0.2">
      <x:c r="G9" s="162" t="n">
        <x:v>1012735</x:v>
      </x:c>
      <x:c r="H9" s="162" t="s">
        <x:v>82</x:v>
      </x:c>
      <x:c r="O9" s="162" t="s">
        <x:v>83</x:v>
      </x:c>
    </x:row>
    <x:row r="10" spans="1:15" x14ac:dyDescent="0.2">
      <x:c r="G10" s="162" t="n">
        <x:v>1012736</x:v>
      </x:c>
      <x:c r="H10" s="162" t="s">
        <x:v>84</x:v>
      </x:c>
      <x:c r="O10" s="162" t="s">
        <x:v>85</x:v>
      </x:c>
    </x:row>
    <x:row r="11" spans="1:15" x14ac:dyDescent="0.2">
      <x:c r="G11" s="162" t="n">
        <x:v>1012737</x:v>
      </x:c>
      <x:c r="H11" s="162" t="s">
        <x:v>86</x:v>
      </x:c>
      <x:c r="O11" s="162" t="s">
        <x:v>87</x:v>
      </x:c>
    </x:row>
    <x:row r="12" spans="1:15" x14ac:dyDescent="0.2">
      <x:c r="G12" s="162" t="n">
        <x:v>1012738</x:v>
      </x:c>
      <x:c r="H12" s="162" t="s">
        <x:v>88</x:v>
      </x:c>
      <x:c r="O12" s="162" t="s">
        <x:v>89</x:v>
      </x:c>
    </x:row>
    <x:row r="13" spans="1:15" x14ac:dyDescent="0.2">
      <x:c r="G13" s="162" t="n">
        <x:v>1012739</x:v>
      </x:c>
      <x:c r="H13" s="162" t="s">
        <x:v>90</x:v>
      </x:c>
      <x:c r="O13" s="162" t="s">
        <x:v>91</x:v>
      </x:c>
    </x:row>
    <x:row r="14" spans="1:15" x14ac:dyDescent="0.2">
      <x:c r="G14" s="162" t="n">
        <x:v>1012740</x:v>
      </x:c>
      <x:c r="H14" s="162" t="s">
        <x:v>92</x:v>
      </x:c>
      <x:c r="O14" s="162" t="s">
        <x:v>93</x:v>
      </x:c>
    </x:row>
    <x:row r="15" spans="1:15" x14ac:dyDescent="0.2">
      <x:c r="G15" s="162" t="n">
        <x:v>1012741</x:v>
      </x:c>
      <x:c r="H15" s="162" t="s">
        <x:v>94</x:v>
      </x:c>
      <x:c r="O15" s="162" t="s">
        <x:v>95</x:v>
      </x:c>
    </x:row>
    <x:row r="16" spans="1:15" x14ac:dyDescent="0.2">
      <x:c r="G16" s="162" t="n">
        <x:v>1012742</x:v>
      </x:c>
      <x:c r="H16" s="162" t="s">
        <x:v>96</x:v>
      </x:c>
      <x:c r="O16" s="162" t="s">
        <x:v>97</x:v>
      </x:c>
    </x:row>
    <x:row r="17" spans="1:15" x14ac:dyDescent="0.2">
      <x:c r="G17" s="162" t="n">
        <x:v>1012743</x:v>
      </x:c>
      <x:c r="H17" s="162" t="s">
        <x:v>98</x:v>
      </x:c>
      <x:c r="O17" s="162" t="s">
        <x:v>99</x:v>
      </x:c>
    </x:row>
    <x:row r="18" spans="1:15" x14ac:dyDescent="0.2">
      <x:c r="G18" s="162" t="n">
        <x:v>1012744</x:v>
      </x:c>
      <x:c r="H18" s="162" t="s">
        <x:v>100</x:v>
      </x:c>
      <x:c r="O18" s="162" t="s">
        <x:v>101</x:v>
      </x:c>
    </x:row>
    <x:row r="19" spans="1:15" x14ac:dyDescent="0.2">
      <x:c r="G19" s="162" t="n">
        <x:v>1020032</x:v>
      </x:c>
      <x:c r="H19" s="162" t="s">
        <x:v>102</x:v>
      </x:c>
      <x:c r="O19" s="162" t="s">
        <x:v>103</x:v>
      </x:c>
    </x:row>
    <x:row r="20" spans="1:15" x14ac:dyDescent="0.2">
      <x:c r="G20" s="162" t="n">
        <x:v>1020033</x:v>
      </x:c>
      <x:c r="H20" s="162" t="s">
        <x:v>104</x:v>
      </x:c>
      <x:c r="O20" s="162" t="s">
        <x:v>105</x:v>
      </x:c>
    </x:row>
    <x:row r="21" spans="1:15" x14ac:dyDescent="0.2">
      <x:c r="O21" s="162" t="s">
        <x:v>106</x:v>
      </x:c>
    </x:row>
    <x:row r="22" spans="1:15" x14ac:dyDescent="0.2">
      <x:c r="O22" s="162" t="s">
        <x:v>107</x:v>
      </x:c>
    </x:row>
    <x:row r="23" spans="1:15" x14ac:dyDescent="0.2">
      <x:c r="O23" s="162" t="s">
        <x:v>108</x:v>
      </x:c>
    </x:row>
    <x:row r="24" spans="1:15" x14ac:dyDescent="0.2">
      <x:c r="O24" s="162" t="s">
        <x:v>109</x:v>
      </x:c>
    </x:row>
    <x:row r="25" spans="1:15" x14ac:dyDescent="0.2">
      <x:c r="O25" s="162" t="s">
        <x:v>110</x:v>
      </x:c>
    </x:row>
    <x:row r="26" spans="1:15" x14ac:dyDescent="0.2">
      <x:c r="O26" s="162" t="s">
        <x:v>111</x:v>
      </x:c>
    </x:row>
    <x:row r="27" spans="1:15" x14ac:dyDescent="0.2">
      <x:c r="O27" s="162" t="s">
        <x:v>112</x:v>
      </x:c>
    </x:row>
    <x:row r="28" spans="1:15" x14ac:dyDescent="0.2">
      <x:c r="O28" s="162" t="s">
        <x:v>113</x:v>
      </x:c>
    </x:row>
    <x:row r="29" spans="1:15" x14ac:dyDescent="0.2">
      <x:c r="O29" s="162" t="s">
        <x:v>114</x:v>
      </x:c>
    </x:row>
    <x:row r="30" spans="1:15" x14ac:dyDescent="0.2">
      <x:c r="O30" s="162" t="s">
        <x:v>115</x:v>
      </x:c>
    </x:row>
    <x:row r="31" spans="1:15" x14ac:dyDescent="0.2">
      <x:c r="O31" s="162" t="s">
        <x:v>116</x:v>
      </x:c>
    </x:row>
    <x:row r="32" spans="1:15" x14ac:dyDescent="0.2">
      <x:c r="O32" s="162" t="s">
        <x:v>117</x:v>
      </x:c>
    </x:row>
    <x:row r="33" spans="1:15" x14ac:dyDescent="0.2">
      <x:c r="O33" s="162" t="s">
        <x:v>118</x:v>
      </x:c>
    </x:row>
    <x:row r="34" spans="1:15" x14ac:dyDescent="0.2">
      <x:c r="O34" s="162" t="s">
        <x:v>119</x:v>
      </x:c>
    </x:row>
    <x:row r="35" spans="1:15" x14ac:dyDescent="0.2">
      <x:c r="O35" s="162" t="s">
        <x:v>120</x:v>
      </x:c>
    </x:row>
    <x:row r="36" spans="1:15" x14ac:dyDescent="0.2">
      <x:c r="O36" s="162" t="s">
        <x:v>121</x:v>
      </x:c>
    </x:row>
    <x:row r="37" spans="1:15" x14ac:dyDescent="0.2">
      <x:c r="O37" s="162" t="s">
        <x:v>122</x:v>
      </x:c>
    </x:row>
    <x:row r="38" spans="1:15" x14ac:dyDescent="0.2">
      <x:c r="O38" s="162" t="s">
        <x:v>123</x:v>
      </x:c>
    </x:row>
    <x:row r="39" spans="1:15" x14ac:dyDescent="0.2">
      <x:c r="O39" s="162" t="s">
        <x:v>124</x:v>
      </x:c>
    </x:row>
    <x:row r="40" spans="1:15" x14ac:dyDescent="0.2">
      <x:c r="O40" s="162" t="s">
        <x:v>125</x:v>
      </x:c>
    </x:row>
    <x:row r="41" spans="1:15" x14ac:dyDescent="0.2">
      <x:c r="O41" s="162" t="s">
        <x:v>126</x:v>
      </x:c>
    </x:row>
    <x:row r="42" spans="1:15" x14ac:dyDescent="0.2">
      <x:c r="O42" s="162" t="s">
        <x:v>127</x:v>
      </x:c>
    </x:row>
    <x:row r="43" spans="1:15" x14ac:dyDescent="0.2">
      <x:c r="O43" s="162" t="s">
        <x:v>128</x:v>
      </x:c>
    </x:row>
    <x:row r="44" spans="1:15" x14ac:dyDescent="0.2">
      <x:c r="O44" s="162" t="s">
        <x:v>129</x:v>
      </x:c>
    </x:row>
    <x:row r="45" spans="1:15" x14ac:dyDescent="0.2">
      <x:c r="O45" s="162" t="s">
        <x:v>130</x:v>
      </x:c>
    </x:row>
    <x:row r="46" spans="1:15" x14ac:dyDescent="0.2">
      <x:c r="O46" s="162" t="s">
        <x:v>131</x:v>
      </x:c>
    </x:row>
    <x:row r="47" spans="1:15" x14ac:dyDescent="0.2">
      <x:c r="O47" s="162" t="s">
        <x:v>132</x:v>
      </x:c>
    </x:row>
    <x:row r="48" spans="1:15" x14ac:dyDescent="0.2">
      <x:c r="O48" s="162" t="s">
        <x:v>133</x:v>
      </x:c>
    </x:row>
    <x:row r="49" spans="1:15" x14ac:dyDescent="0.2">
      <x:c r="O49" s="162" t="s">
        <x:v>134</x:v>
      </x:c>
    </x:row>
    <x:row r="50" spans="1:15" x14ac:dyDescent="0.2">
      <x:c r="O50" s="162" t="s">
        <x:v>135</x:v>
      </x:c>
    </x:row>
    <x:row r="51" spans="1:15" x14ac:dyDescent="0.2">
      <x:c r="O51" s="162" t="s">
        <x:v>136</x:v>
      </x:c>
    </x:row>
    <x:row r="52" spans="1:15" x14ac:dyDescent="0.2">
      <x:c r="O52" s="162" t="s">
        <x:v>137</x:v>
      </x:c>
    </x:row>
    <x:row r="53" spans="1:15" x14ac:dyDescent="0.2">
      <x:c r="O53" s="162" t="s">
        <x:v>138</x:v>
      </x:c>
    </x:row>
    <x:row r="54" spans="1:15" x14ac:dyDescent="0.2">
      <x:c r="O54" s="162" t="s">
        <x:v>139</x:v>
      </x:c>
    </x:row>
    <x:row r="55" spans="1:15" x14ac:dyDescent="0.2">
      <x:c r="O55" s="162" t="s">
        <x:v>140</x:v>
      </x:c>
    </x:row>
    <x:row r="56" spans="1:15" x14ac:dyDescent="0.2">
      <x:c r="O56" s="162" t="s">
        <x:v>141</x:v>
      </x:c>
    </x:row>
    <x:row r="57" spans="1:15" x14ac:dyDescent="0.2">
      <x:c r="O57" s="162" t="s">
        <x:v>142</x:v>
      </x:c>
    </x:row>
    <x:row r="58" spans="1:15" x14ac:dyDescent="0.2">
      <x:c r="O58" s="162" t="s">
        <x:v>143</x:v>
      </x:c>
    </x:row>
    <x:row r="59" spans="1:15" x14ac:dyDescent="0.2">
      <x:c r="O59" s="162" t="s">
        <x:v>144</x:v>
      </x:c>
    </x:row>
    <x:row r="60" spans="1:15" x14ac:dyDescent="0.2">
      <x:c r="O60" s="162" t="s">
        <x:v>145</x:v>
      </x:c>
    </x:row>
    <x:row r="61" spans="1:15" x14ac:dyDescent="0.2">
      <x:c r="O61" s="162" t="s">
        <x:v>146</x:v>
      </x:c>
    </x:row>
    <x:row r="62" spans="1:15" x14ac:dyDescent="0.2">
      <x:c r="O62" s="162" t="s">
        <x:v>147</x:v>
      </x:c>
    </x:row>
    <x:row r="63" spans="1:15" x14ac:dyDescent="0.2">
      <x:c r="O63" s="162" t="s">
        <x:v>148</x:v>
      </x:c>
    </x:row>
    <x:row r="64" spans="1:15" x14ac:dyDescent="0.2">
      <x:c r="O64" s="162" t="s">
        <x:v>149</x:v>
      </x:c>
    </x:row>
    <x:row r="65" spans="1:15" x14ac:dyDescent="0.2">
      <x:c r="O65" s="162" t="s">
        <x:v>150</x:v>
      </x:c>
    </x:row>
    <x:row r="66" spans="1:15" x14ac:dyDescent="0.2">
      <x:c r="O66" s="162" t="s">
        <x:v>151</x:v>
      </x:c>
    </x:row>
    <x:row r="67" spans="1:15" x14ac:dyDescent="0.2">
      <x:c r="O67" s="162" t="s">
        <x:v>152</x:v>
      </x:c>
    </x:row>
    <x:row r="68" spans="1:15" x14ac:dyDescent="0.2">
      <x:c r="O68" s="162" t="s">
        <x:v>153</x:v>
      </x:c>
    </x:row>
    <x:row r="69" spans="1:15" x14ac:dyDescent="0.2">
      <x:c r="O69" s="162" t="s">
        <x:v>154</x:v>
      </x:c>
    </x:row>
    <x:row r="70" spans="1:15" x14ac:dyDescent="0.2">
      <x:c r="O70" s="162" t="s">
        <x:v>155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Tocy Tom (MariApps)</lastModifiedBy>
  <lastPrinted>2012-10-28T13:38:36.0000000Z</lastPrinted>
  <dcterms:created xsi:type="dcterms:W3CDTF">2006-01-23T19:37:33.0000000Z</dcterms:created>
  <dcterms:modified xsi:type="dcterms:W3CDTF">2019-08-09T06:54:18.7191043Z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