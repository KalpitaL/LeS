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10" 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5" rupBuild="21328" codeName="{74837BA0-65D6-932C-5D65-3B800EBDC722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riApps.PALVE\MariApps.PALVE\MariApps.PALVE.ApiService\ExcelTemplate\"/>
    </mc:Choice>
  </mc:AlternateContent>
  <xr:revisionPtr revIDLastSave="0" documentId="13_ncr:1_{AB0D2A85-C089-4176-9C30-DC7A933B02A9}" xr6:coauthVersionLast="41" xr6:coauthVersionMax="41" xr10:uidLastSave="{00000000-0000-0000-0000-000000000000}"/>
  <x:bookViews>
    <x:workbookView xWindow="-120" yWindow="-120" windowWidth="21840" windowHeight="13140" firstSheet="0" activeTab="0" xr2:uid="{00000000-000D-0000-FFFF-FFFF00000000}"/>
  </x:bookViews>
  <x:sheets>
    <x:sheet name="Quote" sheetId="1" r:id="rId1"/>
    <x:sheet name="MasterData" sheetId="2" state="hidden" r:id="rId2"/>
    <x:sheet name="Hide Unhide" sheetId="8" r:id="rId8"/>
  </x:sheets>
  <x:functionGroups builtInGroupCount="19"/>
  <x:definedNames>
    <x:definedName name="_xlnm.Print_Area" localSheetId="0">'Quote'!$A$1:$R$63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'Quote'!$A$44</x:definedName>
    <x:definedName name="Enquiry_To_Vendor_ID" comment="Enquiry to Vendor ID">'Quote'!$C$44</x:definedName>
    <x:definedName name="GenPro">Quote!$Q$4</x:definedName>
    <x:definedName name="GrandTotal">'Quote'!$N$43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'Quote'!$A$36</x:definedName>
    <x:definedName name="ItemListStartupRow" comment="Item List Start Up Row">Quote!$A$19</x:definedName>
    <x:definedName name="ItemSubTotal">'Quote'!$N$42</x:definedName>
    <x:definedName name="ItemSubTotalTitle">'Quote'!$J$42</x:definedName>
    <x:definedName name="LeadDay">Quote!$M$11</x:definedName>
    <x:definedName name="Lock">'Quote'!$M$44</x:definedName>
    <x:definedName name="LoggedInEmailID">'Quote'!$N$44</x:definedName>
    <x:definedName name="LoggedInPwd">'Quote'!$O$44</x:definedName>
    <x:definedName name="OtherCharges">'Quote'!$C$38</x:definedName>
    <x:definedName name="OtherChargesLastRow">'Quote'!$A$42</x:definedName>
    <x:definedName name="OtherChargesStartRow">'Quote'!$A$37</x:definedName>
    <x:definedName name="Port">'Quote'!$P$44</x:definedName>
    <x:definedName name="PortOfDelivery" comment="Port of Delivery">Quote!$M$9</x:definedName>
    <x:definedName name="PurchaserName">'Quote'!$J$44</x:definedName>
    <x:definedName name="QuoteBefore">Quote!$M$8</x:definedName>
    <x:definedName name="QuoteID">MasterData!$N$7</x:definedName>
    <x:definedName name="QuoteSubject">'Quote'!$E$44</x:definedName>
    <x:definedName name="Remarks">'Quote'!$E$46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'Quote'!$K$44</x:definedName>
    <x:definedName name="SentIndex">'Quote'!$L$44</x:definedName>
    <x:definedName name="Server">'Quote'!$Q$44</x:definedName>
    <x:definedName name="Terms">'Quote'!$A$50:$T$71</x:definedName>
    <x:definedName name="ToEmailID">'Quote'!$I$44</x:definedName>
    <x:definedName name="ToEmailPwd">'Quote'!$H$44</x:definedName>
    <x:definedName name="VAL">'Quote'!$F$44</x:definedName>
    <x:definedName name="VAT_All">Quote!$M$16</x:definedName>
    <x:definedName name="Vendor_ID" comment="Vendor ID">'Quote'!$B$44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'Quote'!$D$44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'Quote'!$E$47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,'Quote'!$N$27:$N$27,'Quote'!$N$28:$N$28,'Quote'!$N$29:$N$29,'Quote'!$N$30:$N$30,'Quote'!$N$31:$N$31,'Quote'!$N$32:$N$32,'Quote'!$N$33:$N$33,'Quote'!$N$34:$N$34,'Quote'!$N$35:$N$35</x:definedName>
  </x:definedNames>
  <x:calcPr calcId="191029"/>
  <x:extLst>
    <x: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7" i="1"/>
  <x:c r="N28" i="1"/>
  <x:c r="N29" i="1"/>
  <x:c r="N30" i="1"/>
  <x:c r="N31" i="1"/>
  <x:c r="N32" i="1"/>
  <x:c r="N33" i="1"/>
  <x:c r="N34" i="1"/>
  <x:c r="N35" i="1"/>
  <x:c r="N38" i="1"/>
  <x:c r="N39" i="1"/>
  <x:c r="N40" i="1"/>
  <x:c r="N41" i="1"/>
  <x:c r="N42" i="1"/>
  <x:c r="N43" i="1"/>
</x:calcChain>
</file>

<file path=xl/sharedStrings.xml><?xml version="1.0" encoding="utf-8"?>
<x:sst xmlns:x="http://schemas.openxmlformats.org/spreadsheetml/2006/main" count="165" uniqueCount="165">
  <x:si>
    <x:t>RFQ</x:t>
  </x:si>
  <x:si>
    <x:t>Request for Quote</x:t>
  </x:si>
  <x:si>
    <x:t>Invoice To</x:t>
  </x:si>
  <x:si>
    <x:t xml:space="preserve">FLEX LNG FLEET MANAGEMENT AS
</x:t>
  </x:si>
  <x:si>
    <x:t>Vessel</x:t>
  </x:si>
  <x:si>
    <x:t>Flex Endeavour</x:t>
  </x:si>
  <x:si>
    <x:t>RFQ No.</x:t>
  </x:si>
  <x:si>
    <x:t>END/O0046/RF20</x:t>
  </x:si>
  <x:si>
    <x:t>RFQ Date</x:t>
  </x:si>
  <x:si>
    <x:t>Submit Quote Before:</x:t>
  </x:si>
  <x:si>
    <x:t>Port of Delivery</x:t>
  </x:si>
  <x:si>
    <x:t>Kaohsiung</x:t>
  </x:si>
  <x:si>
    <x:t>Vessel ETA</x:t>
  </x:si>
  <x:si>
    <x:t>Lead Days</x:t>
  </x:si>
  <x:si>
    <x:t>Vendor Details</x:t>
  </x:si>
  <x:si>
    <x:t>Vendor Reference</x:t>
  </x:si>
  <x:si>
    <x:t>Name</x:t>
  </x:si>
  <x:si>
    <x:t>ACE-RMS MARINE SERVICE CO., LTD</x:t>
  </x:si>
  <x:si>
    <x:t>Address</x:t>
  </x:si>
  <x:si>
    <x:t xml:space="preserve">#19, Haeyang-ro 176 beon-gil, Yeongdo-gu, Busan, 49012, KOREA
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</x:si>
  <x:si>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</x:si>
  <x:si>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</x:si>
  <x:si>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</x:si>
  <x:si>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</x:si>
  <x:si>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</x:si>
  <x:si>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0082-512561852</x:t>
  </x:si>
  <x:si>
    <x:t>VAT(%) for all items</x:t>
  </x:si>
  <x:si>
    <x:t>Email</x:t>
  </x:si>
  <x:si>
    <x:t>ace@rmsmarineservice.kr,ace@rmsmarineservice.kr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</x:si>
  <x:si>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</x:si>
  <x:si>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</x:si>
  <x:si>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</x:si>
  <x:si>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</x:si>
  <x:si>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</x:si>
  <x:si>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</x:si>
  <x:si>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</x:si>
  <x:si>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</x:si>
  <x:si>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</x:si>
  <x:si>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</x:si>
  <x:si>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</x:si>
  <x:si>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</x:si>
  <x:si>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REGULATOR DEMAND FLOW , FOR SPAN GAS 34/58/110LTR</x:t>
  </x:si>
  <x:si>
    <x:t>PCS</x:t>
  </x:si>
  <x:si>
    <x:t>REGULATOR FIXED FLOW F/SPANGAS, FLOW RATE 1.0LTR/MIN</x:t>
  </x:si>
  <x:si>
    <x:t>REGULATOR FIXED FLOW F/SPANGAS, FLOW RATE 0.3LTR/MIN</x:t>
  </x:si>
  <x:si>
    <x:t>DREW 725000</x:t>
  </x:si>
  <x:si>
    <x:t>NITROGEN 99.9% GAS 50LTR CYLINDER REFILL, NOMINAL FILLING PRESSURE 200BAR</x:t>
  </x:si>
  <x:si>
    <x:t>REGULATOR 510 N2 PRESSURE 0 -1 BAR</x:t>
  </x:si>
  <x:si>
    <x:t>UNITOR 510003</x:t>
  </x:si>
  <x:si>
    <x:t>PC</x:t>
  </x:si>
  <x:si>
    <x:t>UNITOR 653899</x:t>
  </x:si>
  <x:si>
    <x:t>Return clamp 400 amps. Jaw opening 70 mm.</x:t>
  </x:si>
  <x:si>
    <x:t>ELECTRODE HOLDER TWISTY 400 AMP FOR ELECTRODE DIA 1.6 TO 5 MM</x:t>
  </x:si>
  <x:si>
    <x:t>18/8-321N 1,6X300MM 213 ELECTRODES 1.7 KG-COATED STICK ELECTODES</x:t>
  </x:si>
  <x:si>
    <x:t>18/8-321N 2.5X300MM 89 ELECTRODES 1.7 KG-COATED STICK ELECTODES</x:t>
  </x:si>
  <x:si>
    <x:t>18/8-321N 3.2X300MM 54 ELECTRODES 1.7 KG-COATED STICK ELECTODES</x:t>
  </x:si>
  <x:si>
    <x:t>LHR-320N 2.5X350MM 88 ELECTRODES 1.7KG-COATED STICK ELECTODES</x:t>
  </x:si>
  <x:si>
    <x:t>LHR-320N 3.2X350MM 48 ELECTRODES 1.8KG-COATED STICK ELECTODES</x:t>
  </x:si>
  <x:si>
    <x:t>LH-314N BOX 3.2X450MM 96 ELECTRODES 5KG-COATED STICK ELECTODES</x:t>
  </x:si>
  <x:si>
    <x:t>LH-314N BOX 2.5X350MM 161 ELECTRODES 4.0KG-COATED STICK ELECTODES</x:t>
  </x:si>
  <x:si>
    <x:t>GPO-302N BOX 2.5X350MM 295 ELECTRODES 5.2KG-COATED STICK ELECTODES</x:t>
  </x:si>
  <x:si>
    <x:t>GPO-302N BOX 3.2X350MM 190 ELECTRODES 5.4KG-COATED STICK ELECTODES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</x:si>
  <x:si>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</x:si>
  <x:si>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</x:si>
  <x:si>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</x:si>
  <x:si>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</x:si>
  <x:si>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</x:si>
  <x:si>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</x:si>
  <x:si>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</x:si>
  <x:si>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</x:si>
  <x:si>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</x:si>
  <x:si>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</x:si>
  <x:si>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</x:si>
  <x:si>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</x:si>
  <x:si>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</x:si>
  <x:si>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</x:si>
  <x:si>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</x:si>
  <x:si>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</x:si>
  <x:si>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ADDITIONAL JOBS</x:t>
  </x:si>
  <x:si>
    <x:t>RequestForQuoteID</x:t>
  </x:si>
  <x:si>
    <x:t>AFA</x:t>
  </x:si>
  <x:si>
    <x:t>AGENCY FEE</x:t>
  </x:si>
  <x:si>
    <x:t>HeaderID</x:t>
  </x:si>
  <x:si>
    <x:t>AUD</x:t>
  </x:si>
  <x:si>
    <x:t>HANDLING CHARGE</x:t>
  </x:si>
  <x:si>
    <x:t>VendorID</x:t>
  </x:si>
  <x:si>
    <x:t>BAD</x:t>
  </x:si>
  <x:si>
    <x:t>PACKING CHARGE</x:t>
  </x:si>
  <x:si>
    <x:t>RFQCategory</x:t>
  </x:si>
  <x:si>
    <x:t>CP - SS : GASES, WELDING-CUTTING STORES</x:t>
  </x:si>
  <x:si>
    <x:t>BAM</x:t>
  </x:si>
  <x:si>
    <x:t>SPARE USED</x:t>
  </x:si>
  <x:si>
    <x:t>QuoteID</x:t>
  </x:si>
  <x:si>
    <x:t>BBD</x:t>
  </x:si>
  <x:si>
    <x:t>WAREHOUSING</x:t>
  </x:si>
  <x:si>
    <x:t>BHD</x:t>
  </x:si>
  <x:si>
    <x:t>CRANAGE</x:t>
  </x:si>
  <x:si>
    <x:t>BMD</x:t>
  </x:si>
  <x:si>
    <x:t>CUSTOMS</x:t>
  </x:si>
  <x:si>
    <x:t>BOL</x:t>
  </x:si>
  <x:si>
    <x:t>LAUNCH HIRE CHARGE</x:t>
  </x:si>
  <x:si>
    <x:t>BRL</x:t>
  </x:si>
  <x:si>
    <x:t>ROUNDING ADJUSTMENT</x:t>
  </x:si>
  <x:si>
    <x:t>BSD</x:t>
  </x:si>
  <x:si>
    <x:t>BOAT CHARGES</x:t>
  </x:si>
  <x:si>
    <x:t>CAD</x:t>
  </x:si>
  <x:si>
    <x:t>MINIMUM QUANTITY CHARGE</x:t>
  </x:si>
  <x:si>
    <x:t>CDZ</x:t>
  </x:si>
  <x:si>
    <x:t>PORT SURCHARGE</x:t>
  </x:si>
  <x:si>
    <x:t>CHF</x:t>
  </x:si>
  <x:si>
    <x:t>CLP</x:t>
  </x:si>
  <x:si>
    <x:t>CNY</x:t>
  </x:si>
  <x:si>
    <x:t>CYP</x:t>
  </x:si>
  <x:si>
    <x:t>CZK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</x:si>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</x:sst>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2">
    <x:numFmt numFmtId="42" formatCode="_(&quot;$&quot;* #,##0_);_(&quot;$&quot;* \(#,##0\);_(&quot;$&quot;* &quot;-&quot;_);_(@_)"/>
    <x:numFmt numFmtId="41" formatCode="_(* #,##0_);_(* \(#,##0\);_(* &quot;-&quot;_);_(@_)"/>
    <x:numFmt numFmtId="44" formatCode="_(&quot;$&quot;* #,##0.00_);_(&quot;$&quot;* \(#,##0.00\);_(&quot;$&quot;* &quot;-&quot;??_);_(@_)"/>
    <x:numFmt numFmtId="43" formatCode="_(* #,##0.00_);_(* \(#,##0.00\);_(* &quot;-&quot;??_);_(@_)"/>
    <x:numFmt numFmtId="164" formatCode="[$-409]mmmm\ d\,\ yyyy;@"/>
    <x:numFmt numFmtId="165" formatCode="m/d/yy;@"/>
    <x:numFmt numFmtId="166" formatCode="[$-409]d/mmm/yyyy;@"/>
    <x:numFmt numFmtId="167" formatCode=";;;"/>
    <x:numFmt numFmtId="168" formatCode="#,##0.000"/>
    <x:numFmt numFmtId="169" formatCode="0.000"/>
    <x:numFmt numFmtId="170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43" fontId="29" fillId="0" borderId="0" applyFont="0" applyFill="0" applyBorder="0" applyAlignment="0" applyProtection="0"/>
    <x:xf numFmtId="41" fontId="29" fillId="0" borderId="0" applyFont="0" applyFill="0" applyBorder="0" applyAlignment="0" applyProtection="0"/>
    <x:xf numFmtId="44" fontId="29" fillId="0" borderId="0" applyFont="0" applyFill="0" applyBorder="0" applyAlignment="0" applyProtection="0"/>
    <x:xf numFmtId="42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67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4" fontId="11" fillId="2" borderId="0" applyNumberFormat="1" applyFill="0" applyBorder="0" applyAlignment="1" applyProtection="1">
      <x:protection locked="1" hidden="0"/>
    </x:xf>
    <x:xf numFmtId="167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0" fontId="15" fillId="2" borderId="7" applyNumberFormat="1" applyFill="0" applyBorder="1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66" fontId="15" fillId="2" borderId="7" applyNumberFormat="1" applyFill="0" applyBorder="1" applyAlignment="1" applyProtection="1">
      <x:protection locked="1" hidden="0"/>
    </x:xf>
    <x:xf numFmtId="166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49" fontId="15" fillId="2" borderId="0" applyNumberFormat="1" applyFill="0" applyBorder="0" applyAlignment="1" applyProtection="1">
      <x:protection locked="1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0" fontId="15" fillId="2" borderId="22" applyNumberFormat="1" applyFill="0" applyBorder="1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167" fontId="15" fillId="0" borderId="0" applyNumberFormat="1" applyFill="1" applyBorder="0" applyAlignment="1" applyProtection="1">
      <x:protection locked="1" hidden="0"/>
    </x:xf>
    <x:xf numFmtId="169" fontId="26" fillId="6" borderId="0" applyNumberFormat="1" applyFill="0" applyBorder="0" applyAlignment="1" applyProtection="1">
      <x:protection locked="0" hidden="0"/>
    </x:xf>
    <x:xf numFmtId="166" fontId="15" fillId="2" borderId="4" applyNumberFormat="1" applyFill="0" applyBorder="1" applyAlignment="1" applyProtection="1">
      <x:protection locked="1" hidden="0"/>
    </x:xf>
    <x:xf numFmtId="167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5" fontId="19" fillId="4" borderId="11" applyNumberFormat="1" applyFill="0" applyBorder="1" applyAlignment="1" applyProtection="1">
      <x:protection locked="1" hidden="0"/>
    </x:xf>
    <x:xf numFmtId="165" fontId="19" fillId="4" borderId="13" applyNumberFormat="1" applyFill="0" applyBorder="1" applyAlignment="1" applyProtection="1">
      <x:protection locked="1" hidden="0"/>
    </x:xf>
    <x:xf numFmtId="165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67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68" fontId="18" fillId="6" borderId="14" applyNumberFormat="1" applyFill="0" applyBorder="1" applyAlignment="1" applyProtection="1">
      <x:protection locked="0" hidden="0"/>
    </x:xf>
    <x:xf numFmtId="168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67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67" fontId="16" fillId="9" borderId="0" applyNumberFormat="1" applyFill="0" applyBorder="0" applyAlignment="1" applyProtection="1">
      <x:protection locked="1" hidden="0"/>
    </x:xf>
    <x:xf numFmtId="165" fontId="17" fillId="4" borderId="0" applyNumberFormat="1" applyFill="0" applyBorder="0" applyAlignment="1" applyProtection="1">
      <x:protection locked="1" hidden="0"/>
    </x:xf>
    <x:xf numFmtId="167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1" hidden="0"/>
    </x:xf>
    <x:xf numFmtId="165" fontId="16" fillId="4" borderId="0" applyNumberFormat="1" applyFill="0" applyBorder="0" applyAlignment="1" applyProtection="1">
      <x:protection locked="1" hidden="0"/>
    </x:xf>
    <x:xf numFmtId="165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67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68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69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68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67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69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5" fontId="19" fillId="4" borderId="2" applyNumberFormat="1" applyFill="0" applyBorder="1" applyAlignment="1" applyProtection="1">
      <x:protection locked="1" hidden="0"/>
    </x:xf>
    <x:xf numFmtId="165" fontId="19" fillId="4" borderId="24" applyNumberFormat="1" applyFill="0" applyBorder="1" applyAlignment="1" applyProtection="1">
      <x:protection locked="1" hidden="0"/>
    </x:xf>
    <x:xf numFmtId="165" fontId="19" fillId="4" borderId="21" applyNumberFormat="1" applyFill="0" applyBorder="1" applyAlignment="1" applyProtection="1">
      <x:protection locked="1" hidden="0"/>
    </x:xf>
    <x:xf numFmtId="165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67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4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66" fontId="12" fillId="2" borderId="0" xfId="0" applyNumberFormat="1" applyFont="1" applyFill="1" applyAlignment="1" applyProtection="1"/>
    <x:xf numFmtId="166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44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66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66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5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5" fontId="19" fillId="4" borderId="2" xfId="0" applyNumberFormat="1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66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44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44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67" fontId="15" fillId="0" borderId="0" xfId="0" applyNumberFormat="1" applyFont="1" applyProtection="1"/>
    <x:xf numFmtId="168" fontId="18" fillId="7" borderId="11" xfId="0" applyNumberFormat="1" applyFont="1" applyFill="1" applyBorder="1" applyAlignment="1" applyProtection="1">
      <x:alignment vertical="center"/>
      <x:protection locked="0"/>
    </x:xf>
    <x:xf numFmtId="168" fontId="18" fillId="3" borderId="11" xfId="0" applyNumberFormat="1" applyFont="1" applyFill="1" applyBorder="1" applyAlignment="1" applyProtection="1">
      <x:alignment vertical="center"/>
    </x:xf>
    <x:xf numFmtId="168" fontId="16" fillId="3" borderId="11" xfId="0" applyNumberFormat="1" applyFont="1" applyFill="1" applyBorder="1" applyAlignment="1" applyProtection="1">
      <x:alignment vertical="center"/>
    </x:xf>
    <x:xf numFmtId="169" fontId="26" fillId="7" borderId="0" xfId="0" applyNumberFormat="1" applyFont="1" applyFill="1" applyAlignment="1" applyProtection="1">
      <x:alignment horizontal="right"/>
      <x:protection locked="0"/>
    </x:xf>
    <x:xf numFmtId="167" fontId="15" fillId="2" borderId="0" xfId="0" applyNumberFormat="1" applyFont="1" applyFill="1" applyAlignment="1" applyProtection="1">
      <x:alignment horizontal="left"/>
    </x:xf>
    <x:xf numFmtId="165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69" fontId="26" fillId="7" borderId="11" xfId="0" applyNumberFormat="1" applyFont="1" applyFill="1" applyBorder="1" applyAlignment="1" applyProtection="1">
      <x:alignment horizontal="right"/>
    </x:xf>
    <x:xf numFmtId="168" fontId="26" fillId="7" borderId="11" xfId="0" applyNumberFormat="1" applyFont="1" applyFill="1" applyBorder="1" applyAlignment="1" applyProtection="1">
      <x:alignment horizontal="right"/>
    </x:xf>
    <x:xf numFmtId="169" fontId="9" fillId="8" borderId="25" xfId="0" applyNumberFormat="1" applyFont="1" applyFill="1" applyBorder="1" applyProtection="1">
      <x:protection locked="0"/>
    </x:xf>
    <x:xf numFmtId="169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67" fontId="21" fillId="2" borderId="0" xfId="0" applyNumberFormat="1" applyFont="1" applyFill="1" applyBorder="1" applyAlignment="1" applyProtection="1">
      <x:alignment horizontal="right"/>
    </x:xf>
    <x:xf numFmtId="167" fontId="9" fillId="0" borderId="0" xfId="0" applyNumberFormat="1" applyFont="1" applyBorder="1" applyProtection="1"/>
    <x:xf numFmtId="167" fontId="15" fillId="2" borderId="0" xfId="0" applyNumberFormat="1" applyFont="1" applyFill="1" applyBorder="1" applyAlignment="1" applyProtection="1">
      <x:alignment horizontal="left"/>
    </x:xf>
    <x:xf numFmtId="167" fontId="15" fillId="2" borderId="0" xfId="0" applyNumberFormat="1" applyFont="1" applyFill="1" applyBorder="1" applyAlignment="1" applyProtection="1">
      <x:alignment vertical="top"/>
    </x:xf>
    <x:xf numFmtId="167" fontId="11" fillId="0" borderId="0" xfId="0" applyNumberFormat="1" applyFont="1" applyBorder="1" applyProtection="1"/>
    <x:xf numFmtId="167" fontId="19" fillId="9" borderId="0" xfId="0" applyNumberFormat="1" applyFont="1" applyFill="1" applyBorder="1" applyAlignment="1" applyProtection="1">
      <x:alignment horizontal="left" wrapText="1"/>
    </x:xf>
    <x:xf numFmtId="167" fontId="24" fillId="9" borderId="0" xfId="0" applyNumberFormat="1" applyFont="1" applyFill="1" applyBorder="1" applyAlignment="1" applyProtection="1">
      <x:alignment horizontal="left"/>
    </x:xf>
    <x:xf numFmtId="167" fontId="9" fillId="9" borderId="0" xfId="0" applyNumberFormat="1" applyFont="1" applyFill="1" applyBorder="1" applyProtection="1"/>
    <x:xf numFmtId="167" fontId="14" fillId="9" borderId="0" xfId="0" applyNumberFormat="1" applyFont="1" applyFill="1" applyBorder="1" applyAlignment="1" applyProtection="1">
      <x:alignment horizontal="left"/>
      <x:protection locked="0"/>
    </x:xf>
    <x:xf numFmtId="167" fontId="9" fillId="0" borderId="0" xfId="0" applyNumberFormat="1" applyFont="1" applyProtection="1"/>
    <x:xf numFmtId="167" fontId="18" fillId="9" borderId="0" xfId="0" applyNumberFormat="1" applyFont="1" applyFill="1" applyBorder="1" applyAlignment="1" applyProtection="1">
      <x:alignment horizontal="left" vertical="center" wrapText="1"/>
    </x:xf>
    <x:xf numFmtId="167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67" fontId="17" fillId="9" borderId="0" xfId="0" applyNumberFormat="1" applyFont="1" applyFill="1" applyBorder="1" applyAlignment="1" applyProtection="1">
      <x:alignment horizontal="left" wrapText="1"/>
    </x:xf>
    <x:xf numFmtId="167" fontId="16" fillId="9" borderId="0" xfId="0" applyNumberFormat="1" applyFont="1" applyFill="1" applyBorder="1" applyAlignment="1" applyProtection="1">
      <x:alignment horizontal="left" vertical="top" wrapText="1"/>
    </x:xf>
    <x:xf numFmtId="167" fontId="18" fillId="9" borderId="0" xfId="0" applyNumberFormat="1" applyFont="1" applyFill="1" applyBorder="1" applyAlignment="1" applyProtection="1">
      <x:alignment horizontal="center" vertical="top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168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5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5" fontId="16" fillId="4" borderId="0" xfId="0" applyNumberFormat="1" applyFont="1" applyFill="1" applyBorder="1" applyAlignment="1" applyProtection="1">
      <x:alignment horizontal="left" vertical="center" wrapText="1"/>
    </x:xf>
    <x:xf numFmtId="165" fontId="16" fillId="4" borderId="8" xfId="0" applyNumberFormat="1" applyFont="1" applyFill="1" applyBorder="1" applyAlignment="1" applyProtection="1">
      <x:alignment horizontal="left" vertical="center" wrapText="1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68" fontId="18" fillId="7" borderId="13" xfId="0" applyNumberFormat="1" applyFont="1" applyFill="1" applyBorder="1" applyAlignment="1" applyProtection="1">
      <x:alignment horizontal="right" vertical="center"/>
      <x:protection locked="0"/>
    </x:xf>
    <x:xf numFmtId="168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7" xfId="0" applyFont="1" applyFill="1" applyBorder="1" applyAlignment="1" applyProtection="1">
      <x:alignment horizontal="left"/>
    </x:xf>
    <x:xf numFmtId="0" fontId="15" fillId="2" borderId="23" xfId="0" applyFont="1" applyFill="1" applyBorder="1" applyAlignment="1" applyProtection="1">
      <x:alignment horizontal="left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69" fontId="9" fillId="8" borderId="26" xfId="0" applyNumberFormat="1" applyFont="1" applyFill="1" applyBorder="1" applyProtection="1">
      <x:protection locked="0"/>
    </x:xf>
    <x:xf numFmtId="169" fontId="9" fillId="8" borderId="27" xfId="0" applyNumberFormat="1" applyFont="1" applyFill="1" applyBorder="1" applyProtection="1">
      <x:protection locked="0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65" fontId="19" fillId="4" borderId="13" xfId="0" applyNumberFormat="1" applyFont="1" applyFill="1" applyBorder="1" applyAlignment="1" applyProtection="1">
      <x:alignment horizontal="left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165" fontId="19" fillId="4" borderId="24" xfId="0" applyNumberFormat="1" applyFont="1" applyFill="1" applyBorder="1" applyAlignment="1" applyProtection="1">
      <x:alignment horizontal="left" wrapText="1"/>
    </x:xf>
    <x:xf numFmtId="165" fontId="19" fillId="4" borderId="21" xfId="0" applyNumberFormat="1" applyFont="1" applyFill="1" applyBorder="1" applyAlignment="1" applyProtection="1">
      <x:alignment horizontal="left" wrapText="1"/>
    </x:xf>
    <x:xf numFmtId="170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66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4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66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66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5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7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5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5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67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8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8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5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7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microsoft.com/office/2006/relationships/vbaProject" Target="vbaProject.bin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6" /><Relationship Type="http://schemas.openxmlformats.org/officeDocument/2006/relationships/sharedStrings" Target="sharedStrings.xml" Id="rId5" /><Relationship Type="http://schemas.openxmlformats.org/officeDocument/2006/relationships/styles" Target="styles.xml" Id="rId4" /><Relationship Type="http://schemas.openxmlformats.org/officeDocument/2006/relationships/worksheet" Target="/xl/worksheets/sheet3.xml" Id="rId8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X58"/>
  <x:sheetViews>
    <x:sheetView showGridLines="0" tabSelected="1" topLeftCell="G1" workbookViewId="0">
      <x:selection activeCell="M4" sqref="M4 M4:P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75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69" t="s"/>
      <x:c r="B1" s="169" t="s">
        <x:v>0</x:v>
      </x:c>
      <x:c r="C1" s="169" t="s"/>
      <x:c r="E1" s="170" t="s"/>
      <x:c r="F1" s="170" t="s"/>
      <x:c r="G1" s="170" t="s"/>
      <x:c r="J1" s="170" t="s"/>
      <x:c r="K1" s="171" t="s">
        <x:v>1</x:v>
      </x:c>
      <x:c r="L1" s="171" t="s"/>
      <x:c r="M1" s="171" t="s"/>
      <x:c r="N1" s="171" t="s"/>
      <x:c r="O1" s="171" t="s"/>
      <x:c r="P1" s="171" t="s"/>
      <x:c r="Q1" s="171" t="s"/>
      <x:c r="R1" s="171" t="s"/>
      <x:c r="S1" s="171" t="s"/>
      <x:c r="T1" s="172" t="s"/>
    </x:row>
    <x:row r="2" spans="1:24" customFormat="1" ht="5.25" customHeight="1" x14ac:dyDescent="0.25">
      <x:c r="A2" s="173" t="s"/>
      <x:c r="B2" s="173" t="s"/>
      <x:c r="C2" s="173" t="s"/>
      <x:c r="D2" s="173" t="s"/>
      <x:c r="E2" s="173" t="s"/>
      <x:c r="F2" s="173" t="s"/>
      <x:c r="G2" s="173" t="s"/>
      <x:c r="H2" s="174" t="s"/>
      <x:c r="I2" s="174" t="s"/>
      <x:c r="J2" s="174" t="s"/>
      <x:c r="K2" s="174" t="s"/>
      <x:c r="L2" s="174" t="s"/>
      <x:c r="M2" s="174" t="s"/>
      <x:c r="N2" s="174" t="s"/>
      <x:c r="O2" s="174" t="s"/>
      <x:c r="P2" s="174" t="s"/>
      <x:c r="Q2" s="174" t="s"/>
      <x:c r="R2" s="174" t="s"/>
      <x:c r="S2" s="174" t="s"/>
      <x:c r="T2" s="175" t="s"/>
    </x:row>
    <x:row r="3" spans="1:24" customFormat="1" ht="15" customHeight="1" thickBot="1" x14ac:dyDescent="0.35">
      <x:c r="A3" s="176" t="s">
        <x:v>2</x:v>
      </x:c>
      <x:c r="B3" s="176" t="s"/>
      <x:c r="C3" s="176" t="s"/>
      <x:c r="D3" s="176" t="s"/>
      <x:c r="E3" s="176" t="s"/>
      <x:c r="F3" s="176" t="s"/>
      <x:c r="G3" s="176" t="s"/>
      <x:c r="Q3" s="177" t="s"/>
      <x:c r="R3" s="177" t="s"/>
      <x:c r="S3" s="177" t="s"/>
      <x:c r="T3" s="175" t="s"/>
    </x:row>
    <x:row r="4" spans="1:24" customFormat="1" ht="22.5" customHeight="1" thickTop="1" thickBot="1" x14ac:dyDescent="0.35">
      <x:c r="A4" s="165" t="s">
        <x:v>3</x:v>
      </x:c>
      <x:c r="B4" s="165" t="s"/>
      <x:c r="C4" s="165" t="s"/>
      <x:c r="D4" s="165" t="s"/>
      <x:c r="E4" s="165" t="s"/>
      <x:c r="F4" s="165" t="s"/>
      <x:c r="G4" s="165" t="s"/>
      <x:c r="H4" s="165" t="s"/>
      <x:c r="I4" s="165" t="s"/>
      <x:c r="K4" s="166" t="s">
        <x:v>4</x:v>
      </x:c>
      <x:c r="L4" s="166" t="s"/>
      <x:c r="M4" s="164" t="s">
        <x:v>5</x:v>
      </x:c>
      <x:c r="N4" s="164" t="s"/>
      <x:c r="O4" s="164" t="s"/>
      <x:c r="P4" s="164" t="s"/>
      <x:c r="Q4" s="167" t="s"/>
      <x:c r="R4" s="167" t="s"/>
      <x:c r="S4" s="167" t="s"/>
      <x:c r="T4" s="168" t="s"/>
    </x:row>
    <x:row r="5" spans="1:24" customFormat="1" ht="21" customHeight="1" thickBot="1" x14ac:dyDescent="0.35">
      <x:c r="A5" s="178" t="s"/>
      <x:c r="B5" s="178" t="s"/>
      <x:c r="C5" s="178" t="s"/>
      <x:c r="D5" s="178" t="s"/>
      <x:c r="E5" s="178" t="s"/>
      <x:c r="F5" s="178" t="s"/>
      <x:c r="G5" s="178" t="s"/>
      <x:c r="H5" s="178" t="s"/>
      <x:c r="I5" s="178" t="s"/>
      <x:c r="K5" s="179" t="s">
        <x:v>6</x:v>
      </x:c>
      <x:c r="L5" s="179" t="s"/>
      <x:c r="M5" s="180" t="s">
        <x:v>7</x:v>
      </x:c>
      <x:c r="N5" s="180" t="s"/>
      <x:c r="O5" s="180" t="s"/>
      <x:c r="P5" s="180" t="s"/>
      <x:c r="Q5" s="167" t="s"/>
      <x:c r="R5" s="167" t="s"/>
      <x:c r="S5" s="167" t="s"/>
      <x:c r="T5" s="168" t="s"/>
    </x:row>
    <x:row r="6" spans="1:24" s="184" customFormat="1" ht="14.1" customHeight="1" thickBot="1" x14ac:dyDescent="0.25">
      <x:c r="A6" s="178" t="s"/>
      <x:c r="B6" s="178" t="s"/>
      <x:c r="C6" s="178" t="s"/>
      <x:c r="D6" s="178" t="s"/>
      <x:c r="E6" s="178" t="s"/>
      <x:c r="F6" s="178" t="s"/>
      <x:c r="G6" s="178" t="s"/>
      <x:c r="H6" s="178" t="s"/>
      <x:c r="I6" s="178" t="s"/>
      <x:c r="K6" s="181" t="s">
        <x:v>8</x:v>
      </x:c>
      <x:c r="L6" s="181" t="s"/>
      <x:c r="M6" s="182">
        <x:v>43881</x:v>
      </x:c>
      <x:c r="N6" s="182" t="s"/>
      <x:c r="O6" s="182" t="s"/>
      <x:c r="P6" s="182" t="s"/>
      <x:c r="Q6" s="167" t="s"/>
      <x:c r="R6" s="167" t="s"/>
      <x:c r="S6" s="167" t="s"/>
      <x:c r="T6" s="168" t="s"/>
    </x:row>
    <x:row r="7" spans="1:24" s="184" customFormat="1" ht="14.1" customHeight="1" thickBot="1" x14ac:dyDescent="0.25">
      <x:c r="A7" s="178" t="s"/>
      <x:c r="B7" s="178" t="s"/>
      <x:c r="C7" s="178" t="s"/>
      <x:c r="D7" s="178" t="s"/>
      <x:c r="E7" s="178" t="s"/>
      <x:c r="F7" s="178" t="s"/>
      <x:c r="G7" s="178" t="s"/>
      <x:c r="H7" s="178" t="s"/>
      <x:c r="I7" s="178" t="s"/>
      <x:c r="K7" s="181" t="s"/>
      <x:c r="L7" s="181" t="s"/>
      <x:c r="M7" s="183" t="s"/>
      <x:c r="N7" s="183" t="s"/>
      <x:c r="O7" s="183" t="s"/>
      <x:c r="P7" s="183" t="s"/>
      <x:c r="Q7" s="183" t="s"/>
      <x:c r="R7" s="167" t="s"/>
      <x:c r="S7" s="167" t="s"/>
      <x:c r="T7" s="168" t="s"/>
      <x:c r="U7" s="184" t="s"/>
      <x:c r="V7" s="184" t="s"/>
      <x:c r="W7" s="184" t="s"/>
      <x:c r="X7" s="184" t="s"/>
    </x:row>
    <x:row r="8" spans="1:24" s="184" customFormat="1" ht="13.5" customHeight="1" thickBot="1" x14ac:dyDescent="0.25">
      <x:c r="A8" s="178" t="s"/>
      <x:c r="B8" s="178" t="s"/>
      <x:c r="C8" s="178" t="s"/>
      <x:c r="D8" s="178" t="s"/>
      <x:c r="E8" s="178" t="s"/>
      <x:c r="F8" s="178" t="s"/>
      <x:c r="G8" s="178" t="s"/>
      <x:c r="H8" s="178" t="s"/>
      <x:c r="I8" s="178" t="s"/>
      <x:c r="J8" s="185" t="s"/>
      <x:c r="K8" s="181" t="s">
        <x:v>9</x:v>
      </x:c>
      <x:c r="L8" s="181" t="s"/>
      <x:c r="M8" s="186">
        <x:v>43881</x:v>
      </x:c>
      <x:c r="N8" s="186" t="s"/>
      <x:c r="O8" s="187" t="s"/>
      <x:c r="P8" s="167" t="s"/>
      <x:c r="Q8" s="188" t="s"/>
      <x:c r="R8" s="188" t="s"/>
      <x:c r="S8" s="188" t="s"/>
      <x:c r="T8" s="189" t="s"/>
    </x:row>
    <x:row r="9" spans="1:24" s="184" customFormat="1" ht="15" customHeight="1" thickBot="1" x14ac:dyDescent="0.25">
      <x:c r="A9" s="178" t="s"/>
      <x:c r="B9" s="178" t="s"/>
      <x:c r="C9" s="178" t="s"/>
      <x:c r="D9" s="178" t="s"/>
      <x:c r="E9" s="178" t="s"/>
      <x:c r="F9" s="178" t="s"/>
      <x:c r="G9" s="178" t="s"/>
      <x:c r="H9" s="178" t="s"/>
      <x:c r="I9" s="178" t="s"/>
      <x:c r="J9" s="185" t="s"/>
      <x:c r="K9" s="190" t="s">
        <x:v>10</x:v>
      </x:c>
      <x:c r="L9" s="191" t="s"/>
      <x:c r="M9" s="183" t="s">
        <x:v>11</x:v>
      </x:c>
      <x:c r="N9" s="183" t="s"/>
      <x:c r="O9" s="183" t="s"/>
      <x:c r="P9" s="183" t="s"/>
      <x:c r="Q9" s="183" t="s"/>
      <x:c r="R9" s="188" t="s"/>
      <x:c r="S9" s="188" t="s"/>
      <x:c r="T9" s="189" t="s"/>
    </x:row>
    <x:row r="10" spans="1:24" s="184" customFormat="1" ht="15" customHeight="1" thickBot="1" x14ac:dyDescent="0.25">
      <x:c r="A10" s="178" t="s"/>
      <x:c r="B10" s="178" t="s"/>
      <x:c r="C10" s="178" t="s"/>
      <x:c r="D10" s="178" t="s"/>
      <x:c r="E10" s="178" t="s"/>
      <x:c r="F10" s="178" t="s"/>
      <x:c r="G10" s="178" t="s"/>
      <x:c r="H10" s="178" t="s"/>
      <x:c r="I10" s="178" t="s"/>
      <x:c r="J10" s="185" t="s"/>
      <x:c r="K10" s="190" t="s">
        <x:v>12</x:v>
      </x:c>
      <x:c r="L10" s="191" t="s"/>
      <x:c r="M10" s="182" t="s"/>
      <x:c r="N10" s="182" t="s"/>
      <x:c r="O10" s="187" t="s"/>
      <x:c r="P10" s="191" t="s"/>
      <x:c r="Q10" s="188" t="s"/>
      <x:c r="R10" s="188" t="s"/>
      <x:c r="S10" s="188" t="s"/>
      <x:c r="T10" s="189" t="s"/>
    </x:row>
    <x:row r="11" spans="1:24" s="184" customFormat="1" ht="15" customHeight="1" thickBot="1" x14ac:dyDescent="0.25">
      <x:c r="A11" s="192" t="s"/>
      <x:c r="B11" s="192" t="s"/>
      <x:c r="C11" s="192" t="s"/>
      <x:c r="D11" s="192" t="s"/>
      <x:c r="E11" s="192" t="s"/>
      <x:c r="F11" s="192" t="s"/>
      <x:c r="G11" s="192" t="s"/>
      <x:c r="H11" s="192" t="s"/>
      <x:c r="I11" s="192" t="s"/>
      <x:c r="J11" s="185" t="s"/>
      <x:c r="K11" s="190" t="s">
        <x:v>13</x:v>
      </x:c>
      <x:c r="L11" s="191" t="s"/>
      <x:c r="M11" s="193" t="n">
        <x:v>0</x:v>
      </x:c>
      <x:c r="N11" s="194" t="s"/>
      <x:c r="O11" s="195" t="s"/>
      <x:c r="P11" s="188" t="s"/>
      <x:c r="Q11" s="188" t="s"/>
      <x:c r="R11" s="188" t="s"/>
      <x:c r="S11" s="188" t="s"/>
      <x:c r="T11" s="189" t="s"/>
    </x:row>
    <x:row r="12" spans="1:24" s="184" customFormat="1" ht="15.75" customHeight="1" thickBot="1" x14ac:dyDescent="0.3">
      <x:c r="A12" s="196" t="s">
        <x:v>14</x:v>
      </x:c>
      <x:c r="B12" s="196" t="s"/>
      <x:c r="C12" s="196" t="s"/>
      <x:c r="D12" s="197" t="s"/>
      <x:c r="E12" s="198" t="s"/>
      <x:c r="F12" s="198" t="s"/>
      <x:c r="G12" s="198" t="s"/>
      <x:c r="H12" s="197" t="s"/>
      <x:c r="I12" s="197" t="s"/>
      <x:c r="K12" s="181" t="s">
        <x:v>15</x:v>
      </x:c>
      <x:c r="L12" s="199" t="s"/>
      <x:c r="M12" s="200" t="s"/>
      <x:c r="N12" s="201" t="s"/>
      <x:c r="O12" s="202" t="s"/>
      <x:c r="P12" s="188" t="s"/>
      <x:c r="Q12" s="188" t="s"/>
      <x:c r="R12" s="188" t="s"/>
      <x:c r="S12" s="188" t="s"/>
      <x:c r="T12" s="189" t="s"/>
    </x:row>
    <x:row r="13" spans="1:24" s="184" customFormat="1" ht="12.75" customHeight="1" thickBot="1" x14ac:dyDescent="0.3">
      <x:c r="A13" s="181" t="s">
        <x:v>16</x:v>
      </x:c>
      <x:c r="B13" s="181" t="s"/>
      <x:c r="C13" s="181" t="s"/>
      <x:c r="D13" s="183" t="s">
        <x:v>17</x:v>
      </x:c>
      <x:c r="E13" s="183" t="s"/>
      <x:c r="F13" s="183" t="s"/>
      <x:c r="G13" s="183" t="s"/>
      <x:c r="H13" s="183" t="s"/>
      <x:c r="I13" s="203" t="s"/>
      <x:c r="K13" s="204" t="s"/>
      <x:c r="L13" s="204" t="s"/>
      <x:c r="M13" s="205" t="s"/>
      <x:c r="N13" s="205" t="s"/>
      <x:c r="O13" s="205" t="s"/>
      <x:c r="P13" s="205" t="s"/>
      <x:c r="Q13" s="205" t="s"/>
      <x:c r="R13" s="188" t="s"/>
      <x:c r="S13" s="188" t="s"/>
      <x:c r="T13" s="189" t="s"/>
    </x:row>
    <x:row r="14" spans="1:24" s="184" customFormat="1" ht="12.75" customHeight="1" thickBot="1" x14ac:dyDescent="0.25">
      <x:c r="A14" s="181" t="s">
        <x:v>18</x:v>
      </x:c>
      <x:c r="B14" s="181" t="s"/>
      <x:c r="C14" s="181" t="s"/>
      <x:c r="D14" s="183" t="s">
        <x:v>19</x:v>
      </x:c>
      <x:c r="E14" s="183" t="s"/>
      <x:c r="F14" s="183" t="s"/>
      <x:c r="G14" s="183" t="s"/>
      <x:c r="H14" s="183" t="s"/>
      <x:c r="I14" s="203" t="s"/>
      <x:c r="K14" s="181" t="s">
        <x:v>20</x:v>
      </x:c>
      <x:c r="L14" s="206" t="s"/>
      <x:c r="M14" s="207" t="s"/>
      <x:c r="N14" s="191" t="s"/>
      <x:c r="O14" s="191" t="s"/>
      <x:c r="P14" s="208" t="s"/>
      <x:c r="Q14" s="168" t="s"/>
      <x:c r="R14" s="188" t="s"/>
      <x:c r="S14" s="188" t="s"/>
      <x:c r="T14" s="189" t="s"/>
    </x:row>
    <x:row r="15" spans="1:24" s="184" customFormat="1" ht="12.75" customHeight="1" thickBot="1" x14ac:dyDescent="0.25">
      <x:c r="A15" s="181" t="s">
        <x:v>21</x:v>
      </x:c>
      <x:c r="B15" s="181" t="s"/>
      <x:c r="C15" s="181" t="s"/>
      <x:c r="D15" s="183" t="s"/>
      <x:c r="E15" s="183" t="s"/>
      <x:c r="F15" s="183" t="s"/>
      <x:c r="G15" s="183" t="s"/>
      <x:c r="H15" s="183" t="s"/>
      <x:c r="I15" s="203" t="s"/>
      <x:c r="K15" s="181" t="s">
        <x:v>22</x:v>
      </x:c>
      <x:c r="L15" s="206" t="s"/>
      <x:c r="M15" s="209" t="n">
        <x:v>0</x:v>
      </x:c>
      <x:c r="N15" s="210" t="s"/>
      <x:c r="O15" s="211" t="s"/>
      <x:c r="P15" s="208" t="s">
        <x:v>23</x:v>
      </x:c>
      <x:c r="Q15" s="168" t="s"/>
      <x:c r="R15" s="188" t="s"/>
      <x:c r="S15" s="188" t="s"/>
      <x:c r="T15" s="189" t="s"/>
    </x:row>
    <x:row r="16" spans="1:24" s="184" customFormat="1" ht="12.75" customHeight="1" thickBot="1" x14ac:dyDescent="0.25">
      <x:c r="A16" s="181" t="s">
        <x:v>24</x:v>
      </x:c>
      <x:c r="B16" s="181" t="s"/>
      <x:c r="C16" s="181" t="s"/>
      <x:c r="D16" s="183" t="s">
        <x:v>25</x:v>
      </x:c>
      <x:c r="E16" s="183" t="s"/>
      <x:c r="F16" s="183" t="s"/>
      <x:c r="G16" s="183" t="s"/>
      <x:c r="H16" s="183" t="s"/>
      <x:c r="I16" s="203" t="s"/>
      <x:c r="K16" s="181" t="s">
        <x:v>26</x:v>
      </x:c>
      <x:c r="L16" s="206" t="s"/>
      <x:c r="M16" s="209" t="n">
        <x:v>0</x:v>
      </x:c>
      <x:c r="N16" s="210" t="s"/>
      <x:c r="O16" s="211" t="s"/>
      <x:c r="P16" s="191" t="s"/>
      <x:c r="Q16" s="167" t="s"/>
      <x:c r="R16" s="188" t="s"/>
      <x:c r="S16" s="188" t="s"/>
      <x:c r="T16" s="189" t="s"/>
    </x:row>
    <x:row r="17" spans="1:24" s="184" customFormat="1" ht="12.75" customHeight="1" thickBot="1" x14ac:dyDescent="0.25">
      <x:c r="A17" s="181" t="s">
        <x:v>27</x:v>
      </x:c>
      <x:c r="B17" s="181" t="s"/>
      <x:c r="C17" s="181" t="s"/>
      <x:c r="D17" s="183" t="s">
        <x:v>28</x:v>
      </x:c>
      <x:c r="E17" s="183" t="s"/>
      <x:c r="F17" s="183" t="s"/>
      <x:c r="G17" s="183" t="s"/>
      <x:c r="H17" s="183" t="s"/>
      <x:c r="I17" s="203" t="s"/>
      <x:c r="K17" s="177" t="s"/>
      <x:c r="L17" s="177" t="s"/>
      <x:c r="M17" s="177" t="s"/>
      <x:c r="N17" s="177" t="s"/>
      <x:c r="O17" s="177" t="s"/>
      <x:c r="P17" s="177" t="s"/>
      <x:c r="Q17" s="177" t="s"/>
      <x:c r="R17" s="177" t="s"/>
      <x:c r="S17" s="177" t="s"/>
      <x:c r="T17" s="212" t="s"/>
    </x:row>
    <x:row r="18" spans="1:24" s="184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13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99990009860820</x:v>
      </x:c>
      <x:c r="C20" s="227" t="n">
        <x:v>851596</x:v>
      </x:c>
      <x:c r="D20" s="228" t="s">
        <x:v>41</x:v>
      </x:c>
      <x:c r="E20" s="229" t="s"/>
      <x:c r="F20" s="229" t="n">
        <x:v>851596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99990009860821</x:v>
      </x:c>
      <x:c r="C21" s="227" t="n">
        <x:v>851595</x:v>
      </x:c>
      <x:c r="D21" s="228" t="s">
        <x:v>43</x:v>
      </x:c>
      <x:c r="E21" s="229" t="s"/>
      <x:c r="F21" s="229" t="n">
        <x:v>851595</x:v>
      </x:c>
      <x:c r="G21" s="229" t="s">
        <x:v>42</x:v>
      </x:c>
      <x:c r="H21" s="230" t="n">
        <x:v>0</x:v>
      </x:c>
      <x:c r="I21" s="231" t="n">
        <x:v>1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99990009860823</x:v>
      </x:c>
      <x:c r="C22" s="227" t="n">
        <x:v>851593</x:v>
      </x:c>
      <x:c r="D22" s="228" t="s">
        <x:v>44</x:v>
      </x:c>
      <x:c r="E22" s="229" t="s"/>
      <x:c r="F22" s="229" t="n">
        <x:v>851593</x:v>
      </x:c>
      <x:c r="G22" s="229" t="s">
        <x:v>42</x:v>
      </x:c>
      <x:c r="H22" s="230" t="n">
        <x:v>0</x:v>
      </x:c>
      <x:c r="I22" s="231" t="n">
        <x:v>1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99990013173357</x:v>
      </x:c>
      <x:c r="C23" s="227" t="s">
        <x:v>45</x:v>
      </x:c>
      <x:c r="D23" s="228" t="s">
        <x:v>46</x:v>
      </x:c>
      <x:c r="E23" s="229" t="s"/>
      <x:c r="F23" s="229" t="s">
        <x:v>45</x:v>
      </x:c>
      <x:c r="G23" s="229" t="s">
        <x:v>42</x:v>
      </x:c>
      <x:c r="H23" s="230" t="n">
        <x:v>0</x:v>
      </x:c>
      <x:c r="I23" s="231" t="n">
        <x:v>2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99990015215246</x:v>
      </x:c>
      <x:c r="C24" s="227" t="n">
        <x:v>2998065</x:v>
      </x:c>
      <x:c r="D24" s="228" t="s">
        <x:v>47</x:v>
      </x:c>
      <x:c r="E24" s="229" t="s"/>
      <x:c r="F24" s="229" t="s">
        <x:v>48</x:v>
      </x:c>
      <x:c r="G24" s="229" t="s">
        <x:v>49</x:v>
      </x:c>
      <x:c r="H24" s="230" t="n">
        <x:v>0</x:v>
      </x:c>
      <x:c r="I24" s="231" t="n">
        <x:v>1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99990011934426</x:v>
      </x:c>
      <x:c r="C25" s="227" t="s">
        <x:v>50</x:v>
      </x:c>
      <x:c r="D25" s="228" t="s">
        <x:v>51</x:v>
      </x:c>
      <x:c r="E25" s="229" t="s"/>
      <x:c r="F25" s="229" t="s">
        <x:v>50</x:v>
      </x:c>
      <x:c r="G25" s="229" t="s">
        <x:v>42</x:v>
      </x:c>
      <x:c r="H25" s="230" t="n">
        <x:v>0</x:v>
      </x:c>
      <x:c r="I25" s="231" t="n">
        <x:v>2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99990009861393</x:v>
      </x:c>
      <x:c r="C26" s="227" t="n">
        <x:v>476</x:v>
      </x:c>
      <x:c r="D26" s="228" t="s">
        <x:v>52</x:v>
      </x:c>
      <x:c r="E26" s="229" t="s"/>
      <x:c r="F26" s="229" t="n">
        <x:v>513051</x:v>
      </x:c>
      <x:c r="G26" s="229" t="s">
        <x:v>42</x:v>
      </x:c>
      <x:c r="H26" s="230" t="n">
        <x:v>0</x:v>
      </x:c>
      <x:c r="I26" s="231" t="n">
        <x:v>2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24" customHeight="1" x14ac:dyDescent="0.2">
      <x:c r="A27" s="226" t="n">
        <x:v>8</x:v>
      </x:c>
      <x:c r="B27" s="226" t="n">
        <x:v>99990009861580</x:v>
      </x:c>
      <x:c r="C27" s="227" t="n">
        <x:v>699397</x:v>
      </x:c>
      <x:c r="D27" s="228" t="s">
        <x:v>53</x:v>
      </x:c>
      <x:c r="E27" s="229" t="s"/>
      <x:c r="F27" s="229" t="n">
        <x:v>699397</x:v>
      </x:c>
      <x:c r="G27" s="229" t="s">
        <x:v>42</x:v>
      </x:c>
      <x:c r="H27" s="230" t="n">
        <x:v>0</x:v>
      </x:c>
      <x:c r="I27" s="231" t="n">
        <x:v>2</x:v>
      </x:c>
      <x:c r="J27" s="232" t="n">
        <x:v>0</x:v>
      </x:c>
      <x:c r="K27" s="233" t="s"/>
      <x:c r="L27" s="231" t="n">
        <x:v>0</x:v>
      </x:c>
      <x:c r="M27" s="231" t="n">
        <x:v>0</x:v>
      </x:c>
      <x:c r="N27" s="234">
        <x:f>ROUND(((I27*J27)-((I27*J27)*L27/100))+(((I27*J27)-((I27*J27)*L27/100))*M27/100), 2)</x:f>
      </x:c>
      <x:c r="O27" s="230">
        <x:f>M11</x:f>
      </x:c>
      <x:c r="P27" s="235" t="s"/>
      <x:c r="Q27" s="236" t="s"/>
      <x:c r="R27" s="237" t="s"/>
      <x:c r="S27" s="238" t="s"/>
      <x:c r="T27" s="239" t="s"/>
    </x:row>
    <x:row r="28" spans="1:24" customFormat="1" ht="24" customHeight="1" x14ac:dyDescent="0.2">
      <x:c r="A28" s="226" t="n">
        <x:v>9</x:v>
      </x:c>
      <x:c r="B28" s="226" t="n">
        <x:v>99990009861579</x:v>
      </x:c>
      <x:c r="C28" s="227" t="n">
        <x:v>699405</x:v>
      </x:c>
      <x:c r="D28" s="228" t="s">
        <x:v>54</x:v>
      </x:c>
      <x:c r="E28" s="229" t="s"/>
      <x:c r="F28" s="229" t="n">
        <x:v>699405</x:v>
      </x:c>
      <x:c r="G28" s="229" t="s">
        <x:v>42</x:v>
      </x:c>
      <x:c r="H28" s="230" t="n">
        <x:v>0</x:v>
      </x:c>
      <x:c r="I28" s="231" t="n">
        <x:v>2</x:v>
      </x:c>
      <x:c r="J28" s="232" t="n">
        <x:v>0</x:v>
      </x:c>
      <x:c r="K28" s="233" t="s"/>
      <x:c r="L28" s="231" t="n">
        <x:v>0</x:v>
      </x:c>
      <x:c r="M28" s="231" t="n">
        <x:v>0</x:v>
      </x:c>
      <x:c r="N28" s="234">
        <x:f>ROUND(((I28*J28)-((I28*J28)*L28/100))+(((I28*J28)-((I28*J28)*L28/100))*M28/100), 2)</x:f>
      </x:c>
      <x:c r="O28" s="230">
        <x:f>M11</x:f>
      </x:c>
      <x:c r="P28" s="235" t="s"/>
      <x:c r="Q28" s="236" t="s"/>
      <x:c r="R28" s="237" t="s"/>
      <x:c r="S28" s="238" t="s"/>
      <x:c r="T28" s="239" t="s"/>
    </x:row>
    <x:row r="29" spans="1:24" customFormat="1" ht="24" customHeight="1" x14ac:dyDescent="0.2">
      <x:c r="A29" s="226" t="n">
        <x:v>10</x:v>
      </x:c>
      <x:c r="B29" s="226" t="n">
        <x:v>99990009861559</x:v>
      </x:c>
      <x:c r="C29" s="227" t="n">
        <x:v>699413</x:v>
      </x:c>
      <x:c r="D29" s="228" t="s">
        <x:v>55</x:v>
      </x:c>
      <x:c r="E29" s="229" t="s"/>
      <x:c r="F29" s="229" t="n">
        <x:v>699413</x:v>
      </x:c>
      <x:c r="G29" s="229" t="s">
        <x:v>42</x:v>
      </x:c>
      <x:c r="H29" s="230" t="n">
        <x:v>0</x:v>
      </x:c>
      <x:c r="I29" s="231" t="n">
        <x:v>2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24" customHeight="1" x14ac:dyDescent="0.2">
      <x:c r="A30" s="226" t="n">
        <x:v>11</x:v>
      </x:c>
      <x:c r="B30" s="226" t="n">
        <x:v>99990009861551</x:v>
      </x:c>
      <x:c r="C30" s="227" t="n">
        <x:v>683656</x:v>
      </x:c>
      <x:c r="D30" s="228" t="s">
        <x:v>56</x:v>
      </x:c>
      <x:c r="E30" s="229" t="s"/>
      <x:c r="F30" s="229" t="n">
        <x:v>683656</x:v>
      </x:c>
      <x:c r="G30" s="229" t="s">
        <x:v>42</x:v>
      </x:c>
      <x:c r="H30" s="230" t="n">
        <x:v>0</x:v>
      </x:c>
      <x:c r="I30" s="231" t="n">
        <x:v>4</x:v>
      </x:c>
      <x:c r="J30" s="232" t="n">
        <x:v>0</x:v>
      </x:c>
      <x:c r="K30" s="233" t="s"/>
      <x:c r="L30" s="231" t="n">
        <x:v>0</x:v>
      </x:c>
      <x:c r="M30" s="231" t="n">
        <x:v>0</x:v>
      </x:c>
      <x:c r="N30" s="234">
        <x:f>ROUND(((I30*J30)-((I30*J30)*L30/100))+(((I30*J30)-((I30*J30)*L30/100))*M30/100), 2)</x:f>
      </x:c>
      <x:c r="O30" s="230">
        <x:f>M11</x:f>
      </x:c>
      <x:c r="P30" s="235" t="s"/>
      <x:c r="Q30" s="236" t="s"/>
      <x:c r="R30" s="237" t="s"/>
      <x:c r="S30" s="238" t="s"/>
      <x:c r="T30" s="239" t="s"/>
    </x:row>
    <x:row r="31" spans="1:24" customFormat="1" ht="24" customHeight="1" x14ac:dyDescent="0.2">
      <x:c r="A31" s="226" t="n">
        <x:v>12</x:v>
      </x:c>
      <x:c r="B31" s="226" t="n">
        <x:v>99990009861550</x:v>
      </x:c>
      <x:c r="C31" s="227" t="n">
        <x:v>699389</x:v>
      </x:c>
      <x:c r="D31" s="228" t="s">
        <x:v>57</x:v>
      </x:c>
      <x:c r="E31" s="229" t="s"/>
      <x:c r="F31" s="229" t="n">
        <x:v>699389</x:v>
      </x:c>
      <x:c r="G31" s="229" t="s">
        <x:v>42</x:v>
      </x:c>
      <x:c r="H31" s="230" t="n">
        <x:v>0</x:v>
      </x:c>
      <x:c r="I31" s="231" t="n">
        <x:v>4</x:v>
      </x:c>
      <x:c r="J31" s="232" t="n">
        <x:v>0</x:v>
      </x:c>
      <x:c r="K31" s="233" t="s"/>
      <x:c r="L31" s="231" t="n">
        <x:v>0</x:v>
      </x:c>
      <x:c r="M31" s="231" t="n">
        <x:v>0</x:v>
      </x:c>
      <x:c r="N31" s="234">
        <x:f>ROUND(((I31*J31)-((I31*J31)*L31/100))+(((I31*J31)-((I31*J31)*L31/100))*M31/100), 2)</x:f>
      </x:c>
      <x:c r="O31" s="230">
        <x:f>M11</x:f>
      </x:c>
      <x:c r="P31" s="235" t="s"/>
      <x:c r="Q31" s="236" t="s"/>
      <x:c r="R31" s="237" t="s"/>
      <x:c r="S31" s="238" t="s"/>
      <x:c r="T31" s="239" t="s"/>
    </x:row>
    <x:row r="32" spans="1:24" customFormat="1" ht="24" customHeight="1" x14ac:dyDescent="0.2">
      <x:c r="A32" s="226" t="n">
        <x:v>13</x:v>
      </x:c>
      <x:c r="B32" s="226" t="n">
        <x:v>99990009861557</x:v>
      </x:c>
      <x:c r="C32" s="227" t="n">
        <x:v>699272</x:v>
      </x:c>
      <x:c r="D32" s="228" t="s">
        <x:v>58</x:v>
      </x:c>
      <x:c r="E32" s="229" t="s"/>
      <x:c r="F32" s="229" t="n">
        <x:v>699272</x:v>
      </x:c>
      <x:c r="G32" s="229" t="s">
        <x:v>42</x:v>
      </x:c>
      <x:c r="H32" s="230" t="n">
        <x:v>0</x:v>
      </x:c>
      <x:c r="I32" s="231" t="n">
        <x:v>4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/>
      <x:c r="S32" s="238" t="s"/>
      <x:c r="T32" s="239" t="s"/>
    </x:row>
    <x:row r="33" spans="1:24" customFormat="1" ht="24" customHeight="1" x14ac:dyDescent="0.2">
      <x:c r="A33" s="226" t="n">
        <x:v>14</x:v>
      </x:c>
      <x:c r="B33" s="226" t="n">
        <x:v>99990009861558</x:v>
      </x:c>
      <x:c r="C33" s="227" t="n">
        <x:v>699264</x:v>
      </x:c>
      <x:c r="D33" s="228" t="s">
        <x:v>59</x:v>
      </x:c>
      <x:c r="E33" s="229" t="s"/>
      <x:c r="F33" s="229" t="n">
        <x:v>699264</x:v>
      </x:c>
      <x:c r="G33" s="229" t="s">
        <x:v>42</x:v>
      </x:c>
      <x:c r="H33" s="230" t="n">
        <x:v>0</x:v>
      </x:c>
      <x:c r="I33" s="231" t="n">
        <x:v>4</x:v>
      </x:c>
      <x:c r="J33" s="232" t="n">
        <x:v>0</x:v>
      </x:c>
      <x:c r="K33" s="233" t="s"/>
      <x:c r="L33" s="231" t="n">
        <x:v>0</x:v>
      </x:c>
      <x:c r="M33" s="231" t="n">
        <x:v>0</x:v>
      </x:c>
      <x:c r="N33" s="234">
        <x:f>ROUND(((I33*J33)-((I33*J33)*L33/100))+(((I33*J33)-((I33*J33)*L33/100))*M33/100), 2)</x:f>
      </x:c>
      <x:c r="O33" s="230">
        <x:f>M11</x:f>
      </x:c>
      <x:c r="P33" s="235" t="s"/>
      <x:c r="Q33" s="236" t="s"/>
      <x:c r="R33" s="237" t="s"/>
      <x:c r="S33" s="238" t="s"/>
      <x:c r="T33" s="239" t="s"/>
    </x:row>
    <x:row r="34" spans="1:24" customFormat="1" ht="24" customHeight="1" x14ac:dyDescent="0.2">
      <x:c r="A34" s="226" t="n">
        <x:v>15</x:v>
      </x:c>
      <x:c r="B34" s="226" t="n">
        <x:v>99990009861568</x:v>
      </x:c>
      <x:c r="C34" s="227" t="n">
        <x:v>699165</x:v>
      </x:c>
      <x:c r="D34" s="228" t="s">
        <x:v>60</x:v>
      </x:c>
      <x:c r="E34" s="229" t="s"/>
      <x:c r="F34" s="229" t="n">
        <x:v>699165</x:v>
      </x:c>
      <x:c r="G34" s="229" t="s">
        <x:v>42</x:v>
      </x:c>
      <x:c r="H34" s="230" t="n">
        <x:v>0</x:v>
      </x:c>
      <x:c r="I34" s="231" t="n">
        <x:v>4</x:v>
      </x:c>
      <x:c r="J34" s="232" t="n">
        <x:v>0</x:v>
      </x:c>
      <x:c r="K34" s="233" t="s"/>
      <x:c r="L34" s="231" t="n">
        <x:v>0</x:v>
      </x:c>
      <x:c r="M34" s="231" t="n">
        <x:v>0</x:v>
      </x:c>
      <x:c r="N34" s="234">
        <x:f>ROUND(((I34*J34)-((I34*J34)*L34/100))+(((I34*J34)-((I34*J34)*L34/100))*M34/100), 2)</x:f>
      </x:c>
      <x:c r="O34" s="230">
        <x:f>M11</x:f>
      </x:c>
      <x:c r="P34" s="235" t="s"/>
      <x:c r="Q34" s="236" t="s"/>
      <x:c r="R34" s="237" t="s"/>
      <x:c r="S34" s="238" t="s"/>
      <x:c r="T34" s="239" t="s"/>
    </x:row>
    <x:row r="35" spans="1:24" customFormat="1" ht="24" customHeight="1" x14ac:dyDescent="0.2">
      <x:c r="A35" s="226" t="n">
        <x:v>16</x:v>
      </x:c>
      <x:c r="B35" s="226" t="n">
        <x:v>99990009861567</x:v>
      </x:c>
      <x:c r="C35" s="227" t="n">
        <x:v>699173</x:v>
      </x:c>
      <x:c r="D35" s="228" t="s">
        <x:v>61</x:v>
      </x:c>
      <x:c r="E35" s="229" t="s"/>
      <x:c r="F35" s="229" t="n">
        <x:v>699173</x:v>
      </x:c>
      <x:c r="G35" s="229" t="s">
        <x:v>42</x:v>
      </x:c>
      <x:c r="H35" s="230" t="n">
        <x:v>0</x:v>
      </x:c>
      <x:c r="I35" s="231" t="n">
        <x:v>4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/>
      <x:c r="S35" s="238" t="s"/>
      <x:c r="T35" s="239" t="s"/>
    </x:row>
    <x:row r="36" spans="1:24" customFormat="1" ht="15" customHeight="1" x14ac:dyDescent="0.2">
      <x:c r="A36" s="32" t="s"/>
      <x:c r="B36" s="295" t="s"/>
      <x:c r="C36" s="296" t="s"/>
      <x:c r="D36" s="296" t="s"/>
      <x:c r="E36" s="296" t="s"/>
      <x:c r="F36" s="296" t="s"/>
      <x:c r="G36" s="296" t="s"/>
      <x:c r="H36" s="297" t="s"/>
      <x:c r="I36" s="297" t="s"/>
      <x:c r="J36" s="297" t="s"/>
      <x:c r="K36" s="297" t="s"/>
      <x:c r="L36" s="297" t="s"/>
      <x:c r="M36" s="297" t="s"/>
      <x:c r="N36" s="297" t="s"/>
      <x:c r="O36" s="297" t="s"/>
      <x:c r="P36" s="297" t="s"/>
      <x:c r="Q36" s="297" t="s"/>
      <x:c r="R36" s="297" t="s"/>
      <x:c r="S36" s="297" t="s"/>
      <x:c r="T36" s="298" t="s"/>
    </x:row>
    <x:row r="37" spans="1:24" customFormat="1" ht="12.75" customHeight="1" x14ac:dyDescent="0.2">
      <x:c r="A37" s="289" t="s">
        <x:v>29</x:v>
      </x:c>
      <x:c r="B37" s="289" t="s"/>
      <x:c r="C37" s="290" t="s">
        <x:v>62</x:v>
      </x:c>
      <x:c r="D37" s="291" t="s"/>
      <x:c r="E37" s="291" t="s"/>
      <x:c r="F37" s="291" t="s"/>
      <x:c r="G37" s="291" t="s"/>
      <x:c r="H37" s="291" t="s"/>
      <x:c r="I37" s="292" t="s"/>
      <x:c r="J37" s="292" t="s">
        <x:v>63</x:v>
      </x:c>
      <x:c r="K37" s="292" t="s"/>
      <x:c r="L37" s="292" t="s">
        <x:v>36</x:v>
      </x:c>
      <x:c r="M37" s="292" t="s">
        <x:v>37</x:v>
      </x:c>
      <x:c r="N37" s="293" t="s">
        <x:v>64</x:v>
      </x:c>
      <x:c r="O37" s="294" t="s">
        <x:v>39</x:v>
      </x:c>
      <x:c r="P37" s="294" t="s"/>
      <x:c r="Q37" s="294" t="s"/>
      <x:c r="R37" s="294" t="s"/>
      <x:c r="S37" s="294" t="s"/>
      <x:c r="T37" s="225" t="s"/>
    </x:row>
    <x:row r="38" spans="1:24" customFormat="1" ht="15" customHeight="1" x14ac:dyDescent="0.2">
      <x:c r="A38" s="269" t="n">
        <x:v>1</x:v>
      </x:c>
      <x:c r="B38" s="270" t="s"/>
      <x:c r="C38" s="271" t="s">
        <x:v>65</x:v>
      </x:c>
      <x:c r="D38" s="272" t="s">
        <x:v>65</x:v>
      </x:c>
      <x:c r="E38" s="272" t="s">
        <x:v>65</x:v>
      </x:c>
      <x:c r="F38" s="272" t="s">
        <x:v>65</x:v>
      </x:c>
      <x:c r="G38" s="272" t="s">
        <x:v>65</x:v>
      </x:c>
      <x:c r="H38" s="273" t="s">
        <x:v>65</x:v>
      </x:c>
      <x:c r="I38" s="274" t="s"/>
      <x:c r="J38" s="275" t="n">
        <x:v>0</x:v>
      </x:c>
      <x:c r="K38" s="276" t="s"/>
      <x:c r="L38" s="277" t="n">
        <x:v>0</x:v>
      </x:c>
      <x:c r="M38" s="277" t="n">
        <x:v>0</x:v>
      </x:c>
      <x:c r="N38" s="285">
        <x:f>(J38 -(J38 *L38 /100)+((J38 -(J38 *L38 /100))*M38 /100))</x:f>
      </x:c>
      <x:c r="O38" s="286" t="s"/>
      <x:c r="P38" s="287" t="s"/>
      <x:c r="Q38" s="287" t="s"/>
      <x:c r="R38" s="287" t="s"/>
      <x:c r="S38" s="288" t="s"/>
      <x:c r="T38" s="283" t="s"/>
    </x:row>
    <x:row r="39" spans="1:24" customFormat="1" ht="15" customHeight="1" x14ac:dyDescent="0.2">
      <x:c r="A39" s="269" t="n">
        <x:v>2</x:v>
      </x:c>
      <x:c r="B39" s="270" t="s"/>
      <x:c r="C39" s="271" t="s">
        <x:v>66</x:v>
      </x:c>
      <x:c r="D39" s="272" t="s">
        <x:v>66</x:v>
      </x:c>
      <x:c r="E39" s="272" t="s">
        <x:v>66</x:v>
      </x:c>
      <x:c r="F39" s="272" t="s">
        <x:v>66</x:v>
      </x:c>
      <x:c r="G39" s="272" t="s">
        <x:v>66</x:v>
      </x:c>
      <x:c r="H39" s="273" t="s">
        <x:v>66</x:v>
      </x:c>
      <x:c r="I39" s="284" t="s"/>
      <x:c r="J39" s="275" t="n">
        <x:v>0</x:v>
      </x:c>
      <x:c r="K39" s="276" t="s"/>
      <x:c r="L39" s="277" t="n">
        <x:v>0</x:v>
      </x:c>
      <x:c r="M39" s="277" t="n">
        <x:v>0</x:v>
      </x:c>
      <x:c r="N39" s="279">
        <x:f>(J39 -(J39 *L39 /100)+((J39 -(J39 *L39 /100))*M39 /100))</x:f>
      </x:c>
      <x:c r="O39" s="280" t="s"/>
      <x:c r="P39" s="281" t="s"/>
      <x:c r="Q39" s="281" t="s"/>
      <x:c r="R39" s="281" t="s"/>
      <x:c r="S39" s="282" t="s"/>
      <x:c r="T39" s="283" t="s"/>
    </x:row>
    <x:row r="40" spans="1:24" customFormat="1" ht="15" customHeight="1" x14ac:dyDescent="0.2">
      <x:c r="A40" s="269" t="n">
        <x:v>3</x:v>
      </x:c>
      <x:c r="B40" s="270" t="s"/>
      <x:c r="C40" s="271" t="s"/>
      <x:c r="D40" s="272" t="s"/>
      <x:c r="E40" s="272" t="s"/>
      <x:c r="F40" s="272" t="s"/>
      <x:c r="G40" s="272" t="s"/>
      <x:c r="H40" s="273" t="s"/>
      <x:c r="I40" s="274" t="s"/>
      <x:c r="J40" s="275" t="n">
        <x:v>0</x:v>
      </x:c>
      <x:c r="K40" s="276" t="s"/>
      <x:c r="L40" s="277" t="n">
        <x:v>0</x:v>
      </x:c>
      <x:c r="M40" s="277" t="n">
        <x:v>0</x:v>
      </x:c>
      <x:c r="N40" s="279">
        <x:f>(J40 -(J40 *L40 /100)+((J40 -(J40 *L40 /100))*M40 /100))</x:f>
      </x:c>
      <x:c r="O40" s="280" t="s"/>
      <x:c r="P40" s="281" t="s"/>
      <x:c r="Q40" s="281" t="s"/>
      <x:c r="R40" s="281" t="s"/>
      <x:c r="S40" s="282" t="s"/>
      <x:c r="T40" s="283" t="s"/>
    </x:row>
    <x:row r="41" spans="1:24" customFormat="1" ht="15.75" customHeight="1" x14ac:dyDescent="0.2">
      <x:c r="A41" s="269" t="n">
        <x:v>4</x:v>
      </x:c>
      <x:c r="B41" s="270" t="s"/>
      <x:c r="C41" s="271" t="s"/>
      <x:c r="D41" s="272" t="s"/>
      <x:c r="E41" s="272" t="s"/>
      <x:c r="F41" s="272" t="s"/>
      <x:c r="G41" s="272" t="s"/>
      <x:c r="H41" s="273" t="s"/>
      <x:c r="I41" s="274" t="s"/>
      <x:c r="J41" s="275" t="n">
        <x:v>0</x:v>
      </x:c>
      <x:c r="K41" s="276" t="s"/>
      <x:c r="L41" s="277" t="n">
        <x:v>0</x:v>
      </x:c>
      <x:c r="M41" s="278" t="n">
        <x:v>0</x:v>
      </x:c>
      <x:c r="N41" s="279">
        <x:f>(J41 -(J41 *L41 /100)+((J41 -(J41 *L41 /100))*M41 /100))</x:f>
      </x:c>
      <x:c r="O41" s="280" t="s"/>
      <x:c r="P41" s="281" t="s"/>
      <x:c r="Q41" s="281" t="s"/>
      <x:c r="R41" s="281" t="s"/>
      <x:c r="S41" s="282" t="s"/>
      <x:c r="T41" s="283" t="s"/>
    </x:row>
    <x:row r="42" spans="1:24" customFormat="1" ht="15.95" customHeight="1" x14ac:dyDescent="0.2">
      <x:c r="A42" s="247" t="s"/>
      <x:c r="B42" s="247" t="s"/>
      <x:c r="C42" s="248" t="s"/>
      <x:c r="D42" s="248" t="s"/>
      <x:c r="J42" s="58" t="s">
        <x:v>67</x:v>
      </x:c>
      <x:c r="K42" s="59" t="s"/>
      <x:c r="L42" s="58" t="s"/>
      <x:c r="M42" s="59" t="s"/>
      <x:c r="N42" s="264">
        <x:f>SUM(ItmPrice)</x:f>
      </x:c>
      <x:c r="O42" s="267" t="s"/>
      <x:c r="P42" s="268" t="s"/>
    </x:row>
    <x:row r="43" spans="1:24" customFormat="1" ht="15" customHeight="1" x14ac:dyDescent="0.2">
      <x:c r="A43" s="247" t="s"/>
      <x:c r="B43" s="247" t="s"/>
      <x:c r="C43" s="248" t="s"/>
      <x:c r="D43" s="248" t="s"/>
      <x:c r="J43" s="135" t="s">
        <x:v>68</x:v>
      </x:c>
      <x:c r="K43" s="136" t="s"/>
      <x:c r="L43" s="136" t="s"/>
      <x:c r="M43" s="137" t="s"/>
      <x:c r="N43" s="264">
        <x:f>SUM(N38:N42)</x:f>
      </x:c>
      <x:c r="O43" s="265" t="s"/>
      <x:c r="P43" s="266" t="s"/>
    </x:row>
    <x:row r="44" spans="1:24" customFormat="1" ht="2.25" hidden="1" customHeight="1" x14ac:dyDescent="0.2">
      <x:c r="A44" s="258" t="n">
        <x:v>0</x:v>
      </x:c>
      <x:c r="B44" s="258" t="n">
        <x:v>0</x:v>
      </x:c>
      <x:c r="C44" s="259" t="n">
        <x:v>0</x:v>
      </x:c>
      <x:c r="D44" s="248" t="s"/>
      <x:c r="E44" s="248" t="s"/>
      <x:c r="F44" s="260" t="n">
        <x:v>1</x:v>
      </x:c>
      <x:c r="G44" s="248" t="s"/>
      <x:c r="H44" s="248" t="s"/>
      <x:c r="I44" s="248" t="s"/>
      <x:c r="J44" s="248" t="s"/>
      <x:c r="K44" s="261" t="s"/>
      <x:c r="L44" s="262" t="n">
        <x:v>0</x:v>
      </x:c>
      <x:c r="M44" s="263" t="n">
        <x:v>0</x:v>
      </x:c>
      <x:c r="N44" s="162" t="s">
        <x:v>69</x:v>
      </x:c>
      <x:c r="O44" s="257" t="s"/>
      <x:c r="P44" s="263" t="n">
        <x:v>995</x:v>
      </x:c>
      <x:c r="Q44" s="248" t="s">
        <x:v>70</x:v>
      </x:c>
      <x:c r="R44" s="248" t="s"/>
      <x:c r="S44" s="248" t="s"/>
    </x:row>
    <x:row r="45" spans="1:24" customFormat="1" ht="18.75" customHeight="1" x14ac:dyDescent="0.2">
      <x:c r="A45" s="247" t="s"/>
      <x:c r="B45" s="247" t="s"/>
      <x:c r="C45" s="247" t="s"/>
      <x:c r="H45" s="257" t="s"/>
      <x:c r="J45" s="248" t="s"/>
      <x:c r="K45" s="248" t="s"/>
      <x:c r="L45" s="248" t="s"/>
      <x:c r="M45" s="248" t="s"/>
      <x:c r="N45" s="248" t="s"/>
      <x:c r="O45" s="248" t="s"/>
      <x:c r="P45" s="248" t="s"/>
      <x:c r="R45" s="248" t="s"/>
      <x:c r="S45" s="248" t="s"/>
    </x:row>
    <x:row r="46" spans="1:24" customFormat="1" ht="127.5" customHeight="1" x14ac:dyDescent="0.2">
      <x:c r="A46" s="249" t="s">
        <x:v>71</x:v>
      </x:c>
      <x:c r="B46" s="249" t="s"/>
      <x:c r="C46" s="249" t="s"/>
      <x:c r="D46" s="250" t="s"/>
      <x:c r="E46" s="254" t="s"/>
      <x:c r="F46" s="255" t="s"/>
      <x:c r="G46" s="255" t="s"/>
      <x:c r="H46" s="255" t="s"/>
      <x:c r="I46" s="255" t="s"/>
      <x:c r="J46" s="255" t="s"/>
      <x:c r="K46" s="255" t="s"/>
      <x:c r="L46" s="255" t="s"/>
      <x:c r="M46" s="255" t="s"/>
      <x:c r="N46" s="255" t="s"/>
      <x:c r="O46" s="255" t="s"/>
      <x:c r="P46" s="255" t="s"/>
      <x:c r="Q46" s="255" t="s"/>
      <x:c r="R46" s="255" t="s"/>
      <x:c r="S46" s="255" t="s"/>
      <x:c r="T46" s="256" t="s"/>
    </x:row>
    <x:row r="47" spans="1:24" customFormat="1" ht="129.75" customHeight="1" x14ac:dyDescent="0.2">
      <x:c r="A47" s="249" t="s">
        <x:v>39</x:v>
      </x:c>
      <x:c r="B47" s="249" t="s"/>
      <x:c r="C47" s="249" t="s"/>
      <x:c r="D47" s="250" t="s"/>
      <x:c r="E47" s="251" t="s"/>
      <x:c r="F47" s="252" t="s"/>
      <x:c r="G47" s="252" t="s"/>
      <x:c r="H47" s="252" t="s"/>
      <x:c r="I47" s="252" t="s"/>
      <x:c r="J47" s="252" t="s"/>
      <x:c r="K47" s="252" t="s"/>
      <x:c r="L47" s="252" t="s"/>
      <x:c r="M47" s="252" t="s"/>
      <x:c r="N47" s="252" t="s"/>
      <x:c r="O47" s="252" t="s"/>
      <x:c r="P47" s="252" t="s"/>
      <x:c r="Q47" s="252" t="s"/>
      <x:c r="R47" s="252" t="s"/>
      <x:c r="S47" s="252" t="s"/>
      <x:c r="T47" s="253" t="s"/>
    </x:row>
    <x:row r="48" spans="1:24" customFormat="1" ht="15.95" customHeight="1" x14ac:dyDescent="0.2">
      <x:c r="A48" s="247" t="s"/>
      <x:c r="B48" s="247" t="s"/>
      <x:c r="C48" s="247" t="s"/>
      <x:c r="H48" s="248" t="s"/>
      <x:c r="I48" s="248" t="s"/>
      <x:c r="J48" s="248" t="s"/>
      <x:c r="K48" s="248" t="s"/>
      <x:c r="L48" s="248" t="s"/>
      <x:c r="M48" s="248" t="s"/>
      <x:c r="N48" s="248" t="s"/>
      <x:c r="O48" s="248" t="s"/>
      <x:c r="P48" s="248" t="s"/>
      <x:c r="Q48" s="248" t="s"/>
      <x:c r="R48" s="248" t="s"/>
      <x:c r="S48" s="248" t="s"/>
    </x:row>
    <x:row r="49" spans="1:24" customFormat="1" ht="15.95" customHeight="1" x14ac:dyDescent="0.2">
      <x:c r="A49" s="245" t="s">
        <x:v>72</x:v>
      </x:c>
      <x:c r="B49" s="245" t="s"/>
      <x:c r="C49" s="245" t="s"/>
      <x:c r="D49" s="245" t="s"/>
      <x:c r="E49" s="245" t="s"/>
      <x:c r="F49" s="245" t="s"/>
      <x:c r="G49" s="245" t="s"/>
      <x:c r="H49" s="245" t="s"/>
      <x:c r="I49" s="245" t="s"/>
      <x:c r="J49" s="245" t="s"/>
      <x:c r="K49" s="245" t="s"/>
      <x:c r="L49" s="245" t="s"/>
      <x:c r="M49" s="245" t="s"/>
      <x:c r="N49" s="245" t="s"/>
      <x:c r="O49" s="245" t="s"/>
      <x:c r="P49" s="245" t="s"/>
      <x:c r="Q49" s="245" t="s"/>
      <x:c r="R49" s="245" t="s"/>
      <x:c r="S49" s="245" t="s"/>
      <x:c r="T49" s="246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7.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7.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7.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12.75" customHeight="1">
      <x:c r="A65" s="243" t="s"/>
      <x:c r="B65" s="243" t="s"/>
      <x:c r="C65" s="243" t="s"/>
      <x:c r="D65" s="243" t="s"/>
      <x:c r="E65" s="243" t="s"/>
      <x:c r="F65" s="243" t="s"/>
      <x:c r="G65" s="243" t="s"/>
      <x:c r="H65" s="243" t="s"/>
      <x:c r="I65" s="243" t="s"/>
      <x:c r="J65" s="243" t="s"/>
      <x:c r="K65" s="243" t="s"/>
      <x:c r="L65" s="243" t="s"/>
      <x:c r="M65" s="243" t="s"/>
      <x:c r="N65" s="243" t="s"/>
      <x:c r="O65" s="243" t="s"/>
      <x:c r="P65" s="243" t="s"/>
      <x:c r="Q65" s="243" t="s"/>
      <x:c r="R65" s="243" t="s"/>
      <x:c r="S65" s="243" t="s"/>
      <x:c r="T65" s="244" t="s"/>
    </x:row>
    <x:row r="66" spans="1:24" customFormat="1" ht="12.75" customHeight="1">
      <x:c r="A66" s="243" t="s"/>
      <x:c r="B66" s="243" t="s"/>
      <x:c r="C66" s="243" t="s"/>
      <x:c r="D66" s="243" t="s"/>
      <x:c r="E66" s="243" t="s"/>
      <x:c r="F66" s="243" t="s"/>
      <x:c r="G66" s="243" t="s"/>
      <x:c r="H66" s="243" t="s"/>
      <x:c r="I66" s="243" t="s"/>
      <x:c r="J66" s="243" t="s"/>
      <x:c r="K66" s="243" t="s"/>
      <x:c r="L66" s="243" t="s"/>
      <x:c r="M66" s="243" t="s"/>
      <x:c r="N66" s="243" t="s"/>
      <x:c r="O66" s="243" t="s"/>
      <x:c r="P66" s="243" t="s"/>
      <x:c r="Q66" s="243" t="s"/>
      <x:c r="R66" s="243" t="s"/>
      <x:c r="S66" s="243" t="s"/>
      <x:c r="T66" s="244" t="s"/>
    </x:row>
    <x:row r="67" spans="1:24" customFormat="1" ht="12.75" customHeight="1">
      <x:c r="A67" s="243" t="s"/>
      <x:c r="B67" s="243" t="s"/>
      <x:c r="C67" s="243" t="s"/>
      <x:c r="D67" s="243" t="s"/>
      <x:c r="E67" s="243" t="s"/>
      <x:c r="F67" s="243" t="s"/>
      <x:c r="G67" s="243" t="s"/>
      <x:c r="H67" s="243" t="s"/>
      <x:c r="I67" s="243" t="s"/>
      <x:c r="J67" s="243" t="s"/>
      <x:c r="K67" s="243" t="s"/>
      <x:c r="L67" s="243" t="s"/>
      <x:c r="M67" s="243" t="s"/>
      <x:c r="N67" s="243" t="s"/>
      <x:c r="O67" s="243" t="s"/>
      <x:c r="P67" s="243" t="s"/>
      <x:c r="Q67" s="243" t="s"/>
      <x:c r="R67" s="243" t="s"/>
      <x:c r="S67" s="243" t="s"/>
      <x:c r="T67" s="244" t="s"/>
    </x:row>
    <x:row r="68" spans="1:24" customFormat="1" ht="12.75" customHeight="1">
      <x:c r="A68" s="243" t="s"/>
      <x:c r="B68" s="243" t="s"/>
      <x:c r="C68" s="243" t="s"/>
      <x:c r="D68" s="243" t="s"/>
      <x:c r="E68" s="243" t="s"/>
      <x:c r="F68" s="243" t="s"/>
      <x:c r="G68" s="243" t="s"/>
      <x:c r="H68" s="243" t="s"/>
      <x:c r="I68" s="243" t="s"/>
      <x:c r="J68" s="243" t="s"/>
      <x:c r="K68" s="243" t="s"/>
      <x:c r="L68" s="243" t="s"/>
      <x:c r="M68" s="243" t="s"/>
      <x:c r="N68" s="243" t="s"/>
      <x:c r="O68" s="243" t="s"/>
      <x:c r="P68" s="243" t="s"/>
      <x:c r="Q68" s="243" t="s"/>
      <x:c r="R68" s="243" t="s"/>
      <x:c r="S68" s="243" t="s"/>
      <x:c r="T68" s="244" t="s"/>
    </x:row>
    <x:row r="69" spans="1:24" customFormat="1" ht="7.5" customHeight="1">
      <x:c r="A69" s="243" t="s"/>
      <x:c r="B69" s="243" t="s"/>
      <x:c r="C69" s="243" t="s"/>
      <x:c r="D69" s="243" t="s"/>
      <x:c r="E69" s="243" t="s"/>
      <x:c r="F69" s="243" t="s"/>
      <x:c r="G69" s="243" t="s"/>
      <x:c r="H69" s="243" t="s"/>
      <x:c r="I69" s="243" t="s"/>
      <x:c r="J69" s="243" t="s"/>
      <x:c r="K69" s="243" t="s"/>
      <x:c r="L69" s="243" t="s"/>
      <x:c r="M69" s="243" t="s"/>
      <x:c r="N69" s="243" t="s"/>
      <x:c r="O69" s="243" t="s"/>
      <x:c r="P69" s="243" t="s"/>
      <x:c r="Q69" s="243" t="s"/>
      <x:c r="R69" s="243" t="s"/>
      <x:c r="S69" s="243" t="s"/>
      <x:c r="T69" s="244" t="s"/>
    </x:row>
    <x:row r="70" spans="1:24" customFormat="1" ht="12.75" customHeight="1">
      <x:c r="A70" s="243" t="s"/>
      <x:c r="B70" s="243" t="s"/>
      <x:c r="C70" s="243" t="s"/>
      <x:c r="D70" s="243" t="s"/>
      <x:c r="E70" s="243" t="s"/>
      <x:c r="F70" s="243" t="s"/>
      <x:c r="G70" s="243" t="s"/>
      <x:c r="H70" s="243" t="s"/>
      <x:c r="I70" s="243" t="s"/>
      <x:c r="J70" s="243" t="s"/>
      <x:c r="K70" s="243" t="s"/>
      <x:c r="L70" s="243" t="s"/>
      <x:c r="M70" s="243" t="s"/>
      <x:c r="N70" s="243" t="s"/>
      <x:c r="O70" s="243" t="s"/>
      <x:c r="P70" s="243" t="s"/>
      <x:c r="Q70" s="243" t="s"/>
      <x:c r="R70" s="243" t="s"/>
      <x:c r="S70" s="243" t="s"/>
      <x:c r="T70" s="244" t="s"/>
    </x:row>
    <x:row r="71" spans="1:24" customFormat="1" ht="12.75" customHeight="1">
      <x:c r="A71" s="243" t="s"/>
      <x:c r="B71" s="243" t="s"/>
      <x:c r="C71" s="243" t="s"/>
      <x:c r="D71" s="243" t="s"/>
      <x:c r="E71" s="243" t="s"/>
      <x:c r="F71" s="243" t="s"/>
      <x:c r="G71" s="243" t="s"/>
      <x:c r="H71" s="243" t="s"/>
      <x:c r="I71" s="243" t="s"/>
      <x:c r="J71" s="243" t="s"/>
      <x:c r="K71" s="243" t="s"/>
      <x:c r="L71" s="243" t="s"/>
      <x:c r="M71" s="243" t="s"/>
      <x:c r="N71" s="243" t="s"/>
      <x:c r="O71" s="243" t="s"/>
      <x:c r="P71" s="243" t="s"/>
      <x:c r="Q71" s="243" t="s"/>
      <x:c r="R71" s="243" t="s"/>
      <x:c r="S71" s="243" t="s"/>
      <x:c r="T71" s="244" t="s"/>
    </x:row>
    <x:row r="72" spans="1:24" customFormat="1" ht="12.75" customHeight="1">
      <x:c r="A72" s="241" t="s"/>
      <x:c r="B72" s="241" t="s"/>
      <x:c r="C72" s="241" t="s"/>
      <x:c r="D72" s="241" t="s"/>
      <x:c r="E72" s="241" t="s"/>
      <x:c r="F72" s="241" t="s"/>
      <x:c r="G72" s="241" t="s"/>
      <x:c r="H72" s="241" t="s"/>
      <x:c r="I72" s="241" t="s"/>
      <x:c r="J72" s="241" t="s"/>
      <x:c r="K72" s="241" t="s"/>
      <x:c r="L72" s="241" t="s"/>
      <x:c r="M72" s="241" t="s"/>
      <x:c r="N72" s="241" t="s"/>
      <x:c r="O72" s="241" t="s"/>
      <x:c r="P72" s="241" t="s"/>
      <x:c r="Q72" s="241" t="s"/>
      <x:c r="R72" s="241" t="s"/>
      <x:c r="S72" s="241" t="s"/>
      <x:c r="T72" s="242" t="s"/>
    </x:row>
    <x:row r="73" spans="1:24">
      <x:c r="A73" s="240" t="s">
        <x:v>73</x:v>
      </x:c>
      <x:c r="B73" s="240" t="s"/>
      <x:c r="C73" s="240" t="s"/>
      <x:c r="D73" s="240" t="s"/>
      <x:c r="E73" s="240" t="s"/>
      <x:c r="F73" s="240" t="s"/>
      <x:c r="G73" s="240" t="s"/>
    </x:row>
  </x:sheetData>
  <x:dataConsolidate/>
  <x:mergeCells count="97">
    <x:mergeCell ref="K14:L14"/>
    <x:mergeCell ref="K15:L15"/>
    <x:mergeCell ref="P19:Q19"/>
    <x:mergeCell ref="M13:Q13"/>
    <x:mergeCell ref="K16:L16"/>
    <x:mergeCell ref="J19:K19"/>
    <x:mergeCell ref="K13:L13"/>
    <x:mergeCell ref="A3:E3"/>
    <x:mergeCell ref="C37:H37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O42:P42"/>
    <x:mergeCell ref="O43:P43"/>
    <x:mergeCell ref="J43:M43"/>
    <x:mergeCell ref="O40:S40"/>
    <x:mergeCell ref="O41:S41"/>
    <x:mergeCell ref="K1:R1"/>
    <x:mergeCell ref="R19:S19"/>
    <x:mergeCell ref="R20:S20"/>
    <x:mergeCell ref="O38:S38"/>
    <x:mergeCell ref="O39:S39"/>
    <x:mergeCell ref="O37:S37"/>
    <x:mergeCell ref="J37:K37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E46:S46"/>
    <x:mergeCell ref="E47:S47"/>
    <x:mergeCell ref="E49:S49"/>
    <x:mergeCell ref="A50:S71"/>
    <x:mergeCell ref="A72:S72"/>
    <x:mergeCell ref="A46:D46"/>
    <x:mergeCell ref="A47:D47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D27:E27"/>
    <x:mergeCell ref="J27:K27"/>
    <x:mergeCell ref="D28:E28"/>
    <x:mergeCell ref="J28:K28"/>
    <x:mergeCell ref="D29:E29"/>
    <x:mergeCell ref="J29:K29"/>
    <x:mergeCell ref="D30:E30"/>
    <x:mergeCell ref="J30:K30"/>
    <x:mergeCell ref="D31:E31"/>
    <x:mergeCell ref="J31:K31"/>
    <x:mergeCell ref="D32:E32"/>
    <x:mergeCell ref="J32:K32"/>
    <x:mergeCell ref="D33:E33"/>
    <x:mergeCell ref="J33:K33"/>
    <x:mergeCell ref="D34:E34"/>
    <x:mergeCell ref="J34:K34"/>
    <x:mergeCell ref="D35:E35"/>
    <x:mergeCell ref="J35:K35"/>
    <x:mergeCell ref="C38:H38"/>
    <x:mergeCell ref="J38:K38"/>
    <x:mergeCell ref="C39:H39"/>
    <x:mergeCell ref="J39:K39"/>
    <x:mergeCell ref="C40:H40"/>
    <x:mergeCell ref="J40:K40"/>
    <x:mergeCell ref="C41:H41"/>
    <x:mergeCell ref="J41:K41"/>
  </x:mergeCells>
  <x:phoneticPr fontId="3" type="noConversion"/>
  <x:dataValidations count="73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7:I2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7:J2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7:L2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7:M2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8:I2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8:J2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8:L2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8:M2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0:I3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0:J3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0:L3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0:M3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1:I3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1:J3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1:L3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1:M3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3:I3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3:J3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3:L3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3:M3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4:I3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4:J3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4:L3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4:M3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38:H38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39:H39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40:H40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41:H41">
      <x:formula1>'MasterData'!$H$1:$H$15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100-000000000000}" mc:Ignorable="x14ac xr xr2 xr3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65</x:v>
      </x:c>
      <x:c r="M1" s="300" t="s">
        <x:v>74</x:v>
      </x:c>
      <x:c r="N1" s="301" t="s">
        <x:v>0</x:v>
      </x:c>
      <x:c r="O1" s="162" t="s">
        <x:v>75</x:v>
      </x:c>
    </x:row>
    <x:row r="2" spans="1:15" x14ac:dyDescent="0.2">
      <x:c r="G2" s="162" t="n">
        <x:v>1001310</x:v>
      </x:c>
      <x:c r="H2" s="162" t="s">
        <x:v>66</x:v>
      </x:c>
      <x:c r="M2" s="300" t="s">
        <x:v>76</x:v>
      </x:c>
      <x:c r="N2" s="301" t="n">
        <x:v>1020828019</x:v>
      </x:c>
      <x:c r="O2" s="162" t="s">
        <x:v>77</x:v>
      </x:c>
    </x:row>
    <x:row r="3" spans="1:15" x14ac:dyDescent="0.2">
      <x:c r="G3" s="162" t="n">
        <x:v>1012729</x:v>
      </x:c>
      <x:c r="H3" s="162" t="s">
        <x:v>78</x:v>
      </x:c>
      <x:c r="M3" s="300" t="s">
        <x:v>79</x:v>
      </x:c>
      <x:c r="N3" s="301" t="n">
        <x:v>99990000459849</x:v>
      </x:c>
      <x:c r="O3" s="162" t="s">
        <x:v>80</x:v>
      </x:c>
    </x:row>
    <x:row r="4" spans="1:15" x14ac:dyDescent="0.2">
      <x:c r="G4" s="162" t="n">
        <x:v>1012730</x:v>
      </x:c>
      <x:c r="H4" s="162" t="s">
        <x:v>81</x:v>
      </x:c>
      <x:c r="M4" s="300" t="s">
        <x:v>82</x:v>
      </x:c>
      <x:c r="N4" s="301" t="n">
        <x:v>1022255393</x:v>
      </x:c>
      <x:c r="O4" s="162" t="s">
        <x:v>83</x:v>
      </x:c>
    </x:row>
    <x:row r="5" spans="1:15" x14ac:dyDescent="0.2">
      <x:c r="G5" s="162" t="n">
        <x:v>1012731</x:v>
      </x:c>
      <x:c r="H5" s="162" t="s">
        <x:v>84</x:v>
      </x:c>
      <x:c r="M5" s="300" t="s">
        <x:v>85</x:v>
      </x:c>
      <x:c r="N5" s="301" t="s"/>
      <x:c r="O5" s="162" t="s">
        <x:v>86</x:v>
      </x:c>
    </x:row>
    <x:row r="6" spans="1:15" x14ac:dyDescent="0.2">
      <x:c r="G6" s="162" t="n">
        <x:v>1012732</x:v>
      </x:c>
      <x:c r="H6" s="162" t="s">
        <x:v>87</x:v>
      </x:c>
      <x:c r="M6" s="300" t="s">
        <x:v>88</x:v>
      </x:c>
      <x:c r="N6" s="301" t="s">
        <x:v>89</x:v>
      </x:c>
      <x:c r="O6" s="162" t="s">
        <x:v>90</x:v>
      </x:c>
    </x:row>
    <x:row r="7" spans="1:15" x14ac:dyDescent="0.2">
      <x:c r="G7" s="162" t="n">
        <x:v>1012733</x:v>
      </x:c>
      <x:c r="H7" s="162" t="s">
        <x:v>91</x:v>
      </x:c>
      <x:c r="M7" s="300" t="s">
        <x:v>92</x:v>
      </x:c>
      <x:c r="N7" s="301" t="n">
        <x:v>0</x:v>
      </x:c>
      <x:c r="O7" s="162" t="s">
        <x:v>93</x:v>
      </x:c>
    </x:row>
    <x:row r="8" spans="1:15" x14ac:dyDescent="0.2">
      <x:c r="G8" s="162" t="n">
        <x:v>1012735</x:v>
      </x:c>
      <x:c r="H8" s="162" t="s">
        <x:v>94</x:v>
      </x:c>
      <x:c r="O8" s="162" t="s">
        <x:v>95</x:v>
      </x:c>
    </x:row>
    <x:row r="9" spans="1:15" x14ac:dyDescent="0.2">
      <x:c r="G9" s="162" t="n">
        <x:v>1012736</x:v>
      </x:c>
      <x:c r="H9" s="162" t="s">
        <x:v>96</x:v>
      </x:c>
      <x:c r="O9" s="162" t="s">
        <x:v>97</x:v>
      </x:c>
    </x:row>
    <x:row r="10" spans="1:15" x14ac:dyDescent="0.2">
      <x:c r="G10" s="162" t="n">
        <x:v>1012737</x:v>
      </x:c>
      <x:c r="H10" s="162" t="s">
        <x:v>98</x:v>
      </x:c>
      <x:c r="O10" s="162" t="s">
        <x:v>99</x:v>
      </x:c>
    </x:row>
    <x:row r="11" spans="1:15" x14ac:dyDescent="0.2">
      <x:c r="G11" s="162" t="n">
        <x:v>1012741</x:v>
      </x:c>
      <x:c r="H11" s="162" t="s">
        <x:v>100</x:v>
      </x:c>
      <x:c r="O11" s="162" t="s">
        <x:v>101</x:v>
      </x:c>
    </x:row>
    <x:row r="12" spans="1:15" x14ac:dyDescent="0.2">
      <x:c r="G12" s="162" t="n">
        <x:v>1012742</x:v>
      </x:c>
      <x:c r="H12" s="162" t="s">
        <x:v>102</x:v>
      </x:c>
      <x:c r="O12" s="162" t="s">
        <x:v>103</x:v>
      </x:c>
    </x:row>
    <x:row r="13" spans="1:15" x14ac:dyDescent="0.2">
      <x:c r="G13" s="162" t="n">
        <x:v>1012743</x:v>
      </x:c>
      <x:c r="H13" s="162" t="s">
        <x:v>104</x:v>
      </x:c>
      <x:c r="O13" s="162" t="s">
        <x:v>105</x:v>
      </x:c>
    </x:row>
    <x:row r="14" spans="1:15" x14ac:dyDescent="0.2">
      <x:c r="G14" s="162" t="n">
        <x:v>1012744</x:v>
      </x:c>
      <x:c r="H14" s="162" t="s">
        <x:v>106</x:v>
      </x:c>
      <x:c r="O14" s="162" t="s">
        <x:v>107</x:v>
      </x:c>
    </x:row>
    <x:row r="15" spans="1:15" x14ac:dyDescent="0.2">
      <x:c r="G15" s="162" t="n">
        <x:v>1020032</x:v>
      </x:c>
      <x:c r="H15" s="162" t="s">
        <x:v>108</x:v>
      </x:c>
      <x:c r="O15" s="162" t="s">
        <x:v>109</x:v>
      </x:c>
    </x:row>
    <x:row r="16" spans="1:15" x14ac:dyDescent="0.2">
      <x:c r="O16" s="162" t="s">
        <x:v>110</x:v>
      </x:c>
    </x:row>
    <x:row r="17" spans="1:15" x14ac:dyDescent="0.2">
      <x:c r="O17" s="162" t="s">
        <x:v>111</x:v>
      </x:c>
    </x:row>
    <x:row r="18" spans="1:15" x14ac:dyDescent="0.2">
      <x:c r="O18" s="162" t="s">
        <x:v>112</x:v>
      </x:c>
    </x:row>
    <x:row r="19" spans="1:15" x14ac:dyDescent="0.2">
      <x:c r="O19" s="162" t="s">
        <x:v>113</x:v>
      </x:c>
    </x:row>
    <x:row r="20" spans="1:15" x14ac:dyDescent="0.2">
      <x:c r="O20" s="162" t="s">
        <x:v>114</x:v>
      </x:c>
    </x:row>
    <x:row r="21" spans="1:15" x14ac:dyDescent="0.2">
      <x:c r="O21" s="162" t="s">
        <x:v>115</x:v>
      </x:c>
    </x:row>
    <x:row r="22" spans="1:15" x14ac:dyDescent="0.2">
      <x:c r="O22" s="162" t="s">
        <x:v>116</x:v>
      </x:c>
    </x:row>
    <x:row r="23" spans="1:15" x14ac:dyDescent="0.2">
      <x:c r="O23" s="162" t="s">
        <x:v>117</x:v>
      </x:c>
    </x:row>
    <x:row r="24" spans="1:15" x14ac:dyDescent="0.2">
      <x:c r="O24" s="162" t="s">
        <x:v>118</x:v>
      </x:c>
    </x:row>
    <x:row r="25" spans="1:15" x14ac:dyDescent="0.2">
      <x:c r="O25" s="162" t="s">
        <x:v>119</x:v>
      </x:c>
    </x:row>
    <x:row r="26" spans="1:15" x14ac:dyDescent="0.2">
      <x:c r="O26" s="162" t="s">
        <x:v>120</x:v>
      </x:c>
    </x:row>
    <x:row r="27" spans="1:15" x14ac:dyDescent="0.2">
      <x:c r="O27" s="162" t="s">
        <x:v>121</x:v>
      </x:c>
    </x:row>
    <x:row r="28" spans="1:15" x14ac:dyDescent="0.2">
      <x:c r="O28" s="162" t="s">
        <x:v>122</x:v>
      </x:c>
    </x:row>
    <x:row r="29" spans="1:15" x14ac:dyDescent="0.2">
      <x:c r="O29" s="162" t="s">
        <x:v>123</x:v>
      </x:c>
    </x:row>
    <x:row r="30" spans="1:15" x14ac:dyDescent="0.2">
      <x:c r="O30" s="162" t="s">
        <x:v>124</x:v>
      </x:c>
    </x:row>
    <x:row r="31" spans="1:15" x14ac:dyDescent="0.2">
      <x:c r="O31" s="162" t="s">
        <x:v>125</x:v>
      </x:c>
    </x:row>
    <x:row r="32" spans="1:15" x14ac:dyDescent="0.2">
      <x:c r="O32" s="162" t="s">
        <x:v>126</x:v>
      </x:c>
    </x:row>
    <x:row r="33" spans="1:15" x14ac:dyDescent="0.2">
      <x:c r="O33" s="162" t="s">
        <x:v>127</x:v>
      </x:c>
    </x:row>
    <x:row r="34" spans="1:15" x14ac:dyDescent="0.2">
      <x:c r="O34" s="162" t="s">
        <x:v>128</x:v>
      </x:c>
    </x:row>
    <x:row r="35" spans="1:15" x14ac:dyDescent="0.2">
      <x:c r="O35" s="162" t="s">
        <x:v>129</x:v>
      </x:c>
    </x:row>
    <x:row r="36" spans="1:15" x14ac:dyDescent="0.2">
      <x:c r="O36" s="162" t="s">
        <x:v>130</x:v>
      </x:c>
    </x:row>
    <x:row r="37" spans="1:15" x14ac:dyDescent="0.2">
      <x:c r="O37" s="162" t="s">
        <x:v>131</x:v>
      </x:c>
    </x:row>
    <x:row r="38" spans="1:15" x14ac:dyDescent="0.2">
      <x:c r="O38" s="162" t="s">
        <x:v>132</x:v>
      </x:c>
    </x:row>
    <x:row r="39" spans="1:15" x14ac:dyDescent="0.2">
      <x:c r="O39" s="162" t="s">
        <x:v>133</x:v>
      </x:c>
    </x:row>
    <x:row r="40" spans="1:15" x14ac:dyDescent="0.2">
      <x:c r="O40" s="162" t="s">
        <x:v>134</x:v>
      </x:c>
    </x:row>
    <x:row r="41" spans="1:15" x14ac:dyDescent="0.2">
      <x:c r="O41" s="162" t="s">
        <x:v>135</x:v>
      </x:c>
    </x:row>
    <x:row r="42" spans="1:15" x14ac:dyDescent="0.2">
      <x:c r="O42" s="162" t="s">
        <x:v>136</x:v>
      </x:c>
    </x:row>
    <x:row r="43" spans="1:15" x14ac:dyDescent="0.2">
      <x:c r="O43" s="162" t="s">
        <x:v>137</x:v>
      </x:c>
    </x:row>
    <x:row r="44" spans="1:15" x14ac:dyDescent="0.2">
      <x:c r="O44" s="162" t="s">
        <x:v>138</x:v>
      </x:c>
    </x:row>
    <x:row r="45" spans="1:15" x14ac:dyDescent="0.2">
      <x:c r="O45" s="162" t="s">
        <x:v>139</x:v>
      </x:c>
    </x:row>
    <x:row r="46" spans="1:15" x14ac:dyDescent="0.2">
      <x:c r="O46" s="162" t="s">
        <x:v>140</x:v>
      </x:c>
    </x:row>
    <x:row r="47" spans="1:15" x14ac:dyDescent="0.2">
      <x:c r="O47" s="162" t="s">
        <x:v>141</x:v>
      </x:c>
    </x:row>
    <x:row r="48" spans="1:15" x14ac:dyDescent="0.2">
      <x:c r="O48" s="162" t="s">
        <x:v>142</x:v>
      </x:c>
    </x:row>
    <x:row r="49" spans="1:15" x14ac:dyDescent="0.2">
      <x:c r="O49" s="162" t="s">
        <x:v>143</x:v>
      </x:c>
    </x:row>
    <x:row r="50" spans="1:15" x14ac:dyDescent="0.2">
      <x:c r="O50" s="162" t="s">
        <x:v>144</x:v>
      </x:c>
    </x:row>
    <x:row r="51" spans="1:15" x14ac:dyDescent="0.2">
      <x:c r="O51" s="162" t="s">
        <x:v>145</x:v>
      </x:c>
    </x:row>
    <x:row r="52" spans="1:15" x14ac:dyDescent="0.2">
      <x:c r="O52" s="162" t="s">
        <x:v>146</x:v>
      </x:c>
    </x:row>
    <x:row r="53" spans="1:15" x14ac:dyDescent="0.2">
      <x:c r="O53" s="162" t="s">
        <x:v>147</x:v>
      </x:c>
    </x:row>
    <x:row r="54" spans="1:15" x14ac:dyDescent="0.2">
      <x:c r="O54" s="162" t="s">
        <x:v>148</x:v>
      </x:c>
    </x:row>
    <x:row r="55" spans="1:15" x14ac:dyDescent="0.2">
      <x:c r="O55" s="162" t="s">
        <x:v>149</x:v>
      </x:c>
    </x:row>
    <x:row r="56" spans="1:15" x14ac:dyDescent="0.2">
      <x:c r="O56" s="162" t="s">
        <x:v>150</x:v>
      </x:c>
    </x:row>
    <x:row r="57" spans="1:15" x14ac:dyDescent="0.2">
      <x:c r="O57" s="162" t="s">
        <x:v>151</x:v>
      </x:c>
    </x:row>
    <x:row r="58" spans="1:15" x14ac:dyDescent="0.2">
      <x:c r="O58" s="162" t="s">
        <x:v>152</x:v>
      </x:c>
    </x:row>
    <x:row r="59" spans="1:15" x14ac:dyDescent="0.2">
      <x:c r="O59" s="162" t="s">
        <x:v>153</x:v>
      </x:c>
    </x:row>
    <x:row r="60" spans="1:15" x14ac:dyDescent="0.2">
      <x:c r="O60" s="162" t="s">
        <x:v>154</x:v>
      </x:c>
    </x:row>
    <x:row r="61" spans="1:15" x14ac:dyDescent="0.2">
      <x:c r="O61" s="162" t="s">
        <x:v>155</x:v>
      </x:c>
    </x:row>
    <x:row r="62" spans="1:15" x14ac:dyDescent="0.2">
      <x:c r="O62" s="162" t="s">
        <x:v>156</x:v>
      </x:c>
    </x:row>
    <x:row r="63" spans="1:15" x14ac:dyDescent="0.2">
      <x:c r="O63" s="162" t="s">
        <x:v>157</x:v>
      </x:c>
    </x:row>
    <x:row r="64" spans="1:15" x14ac:dyDescent="0.2">
      <x:c r="O64" s="162" t="s">
        <x:v>158</x:v>
      </x:c>
    </x:row>
    <x:row r="65" spans="1:15" x14ac:dyDescent="0.2">
      <x:c r="O65" s="162" t="s">
        <x:v>159</x:v>
      </x:c>
    </x:row>
    <x:row r="66" spans="1:15" x14ac:dyDescent="0.2">
      <x:c r="O66" s="162" t="s">
        <x:v>160</x:v>
      </x:c>
    </x:row>
    <x:row r="67" spans="1:15" x14ac:dyDescent="0.2">
      <x:c r="O67" s="162" t="s">
        <x:v>161</x:v>
      </x:c>
    </x:row>
    <x:row r="68" spans="1:15" x14ac:dyDescent="0.2">
      <x:c r="O68" s="162" t="s">
        <x:v>162</x:v>
      </x:c>
    </x:row>
    <x:row r="69" spans="1:15" x14ac:dyDescent="0.2">
      <x:c r="O69" s="162" t="s">
        <x:v>163</x:v>
      </x:c>
    </x:row>
    <x:row r="70" spans="1:15" x14ac:dyDescent="0.2">
      <x:c r="O70" s="162" t="s">
        <x:v>164</x:v>
      </x:c>
    </x:row>
  </x:sheetData>
  <x:sortState xmlns:xlrd2="http://schemas.microsoft.com/office/spreadsheetml/2017/richdata2"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xl/worksheets/sheet3.xml><?xml version="1.0" encoding="utf-8"?>
<x:worksheet xmlns:r="http://schemas.openxmlformats.org/officeDocument/2006/relationships" xmlns:x="http://schemas.openxmlformats.org/spreadsheetml/2006/main">
  <x:sheetPr>
    <x:outlinePr summaryBelow="1" summaryRight="1"/>
  </x:sheetPr>
  <x:dimension ref="A1"/>
  <x:sheetViews>
    <x:sheetView workbookViewId="0"/>
  </x:sheetViews>
  <x:sheetFormatPr defaultRowHeight="15"/>
  <x:sheetData/>
  <x:printOptions horizontalCentered="0" verticalCentered="0" headings="0" gridLines="0"/>
  <x:pageMargins left="0.75" right="0.75" top="0.75" bottom="0.5" header="0.5" footer="0.75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64</vt:i4>
      </vt:variant>
    </vt:vector>
  </ap:HeadingPairs>
  <ap:TitlesOfParts>
    <vt:vector baseType="lpstr" size="67">
      <vt:lpstr>Quote</vt:lpstr>
      <vt:lpstr>MasterData</vt:lpstr>
      <vt:lpstr>Hide Unhide</vt:lpstr>
      <vt:lpstr>Quote!Print_Area</vt:lpstr>
      <vt:lpstr>Quote!Print_Titles</vt:lpstr>
      <vt:lpstr>MasterData!Print_Area</vt:lpstr>
      <vt:lpstr>MasterData!Print_Titles</vt:lpstr>
      <vt:lpstr>Hide Unhide!Print_Area</vt:lpstr>
      <vt:lpstr>Hide Unhide!Print_Titles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GenPro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Nithin Jaison (MA-IN)</lastModifiedBy>
  <lastPrinted>2012-10-28T13:38:36.0000000Z</lastPrinted>
  <dcterms:created xsi:type="dcterms:W3CDTF">2006-01-23T19:37:33.0000000Z</dcterms:created>
  <dcterms:modified xsi:type="dcterms:W3CDTF">2020-03-09T08:02:11.5017407Z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