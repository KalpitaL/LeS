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0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5" rupBuild="21328" codeName="{74837BA0-65D6-932C-5D65-3B800EBDC722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\MariApps.PALVE.ApiService\ExcelTemplate\"/>
    </mc:Choice>
  </mc:AlternateContent>
  <xr:revisionPtr revIDLastSave="0" documentId="13_ncr:1_{AB0D2A85-C089-4176-9C30-DC7A933B02A9}" xr6:coauthVersionLast="41" xr6:coauthVersionMax="41" xr10:uidLastSave="{00000000-0000-0000-0000-000000000000}"/>
  <x:bookViews>
    <x:workbookView xWindow="-120" yWindow="-120" windowWidth="21840" windowHeight="13140" firstSheet="0" activeTab="0" xr2:uid="{00000000-000D-0000-FFFF-FFFF00000000}"/>
  </x:bookViews>
  <x:sheets>
    <x:sheet name="Quote" sheetId="1" r:id="rId1"/>
    <x:sheet name="MasterData" sheetId="2" state="hidden" r:id="rId2"/>
    <x:sheet name="Hide Unhide" sheetId="8" r:id="rId8"/>
  </x:sheets>
  <x:functionGroups builtInGroupCount="19"/>
  <x:definedNames>
    <x:definedName name="_xlnm.Print_Area" localSheetId="0">'Quote'!$A$1:$R$54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'Quote'!$A$35</x:definedName>
    <x:definedName name="Enquiry_To_Vendor_ID" comment="Enquiry to Vendor ID">'Quote'!$C$35</x:definedName>
    <x:definedName name="GenPro">Quote!$Q$4</x:definedName>
    <x:definedName name="GrandTotal">'Quote'!$N$34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'Quote'!$A$27</x:definedName>
    <x:definedName name="ItemListStartupRow" comment="Item List Start Up Row">Quote!$A$19</x:definedName>
    <x:definedName name="ItemSubTotal">'Quote'!$N$33</x:definedName>
    <x:definedName name="ItemSubTotalTitle">'Quote'!$J$33</x:definedName>
    <x:definedName name="LeadDay">Quote!$M$11</x:definedName>
    <x:definedName name="Lock">'Quote'!$M$35</x:definedName>
    <x:definedName name="LoggedInEmailID">'Quote'!$N$35</x:definedName>
    <x:definedName name="LoggedInPwd">'Quote'!$O$35</x:definedName>
    <x:definedName name="OtherCharges">'Quote'!$C$29</x:definedName>
    <x:definedName name="OtherChargesLastRow">'Quote'!$A$33</x:definedName>
    <x:definedName name="OtherChargesStartRow">'Quote'!$A$28</x:definedName>
    <x:definedName name="Port">'Quote'!$P$35</x:definedName>
    <x:definedName name="PortOfDelivery" comment="Port of Delivery">Quote!$M$9</x:definedName>
    <x:definedName name="PurchaserName">'Quote'!$J$35</x:definedName>
    <x:definedName name="QuoteBefore">Quote!$M$8</x:definedName>
    <x:definedName name="QuoteID">MasterData!$N$7</x:definedName>
    <x:definedName name="QuoteSubject">'Quote'!$E$35</x:definedName>
    <x:definedName name="Remarks">'Quote'!$E$37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'Quote'!$K$35</x:definedName>
    <x:definedName name="SentIndex">'Quote'!$L$35</x:definedName>
    <x:definedName name="Server">'Quote'!$Q$35</x:definedName>
    <x:definedName name="Terms">'Quote'!$A$41:$T$62</x:definedName>
    <x:definedName name="ToEmailID">'Quote'!$I$35</x:definedName>
    <x:definedName name="ToEmailPwd">'Quote'!$H$35</x:definedName>
    <x:definedName name="VAL">'Quote'!$F$35</x:definedName>
    <x:definedName name="VAT_All">Quote!$M$16</x:definedName>
    <x:definedName name="Vendor_ID" comment="Vendor ID">'Quote'!$B$35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'Quote'!$D$35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'Quote'!$E$38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9" i="1"/>
  <x:c r="N30" i="1"/>
  <x:c r="N31" i="1"/>
  <x:c r="N32" i="1"/>
  <x:c r="N33" i="1"/>
  <x:c r="N34" i="1"/>
</x:calcChain>
</file>

<file path=xl/sharedStrings.xml><?xml version="1.0" encoding="utf-8"?>
<x:sst xmlns:x="http://schemas.openxmlformats.org/spreadsheetml/2006/main" count="153" uniqueCount="153">
  <x:si>
    <x:t>RFQ</x:t>
  </x:si>
  <x:si>
    <x:t>Request for Quote</x:t>
  </x:si>
  <x:si>
    <x:t>Invoice To</x:t>
  </x:si>
  <x:si>
    <x:t>Bernhard Schulte Shipmanagement (Singapore) Pte. Ltd.
Master &amp; Owner of Green Ace
            Regd. Owner: SFL Ace 2 Co Ltd.,
            C/O Frontline Management As,
            As Agents: 
            Bernhard Schulte Shipmanagement (Singapore) Pte Ltd
            Bernhard Schulte House
            108 Middle Road, #08-00 Singapore 188967
            Direct Line: +65 6309 7348 | Mobile: + 65 9723 3678
            Web: www.bs-shipmanagement.com
ATTN:- Accounts Department
Please send the soft copy of invoice to sg-smc-acct@bs-shipmanagement.com</x:t>
  </x:si>
  <x:si>
    <x:t>Vessel</x:t>
  </x:si>
  <x:si>
    <x:t>Green Ace</x:t>
  </x:si>
  <x:si>
    <x:t>RFQ No.</x:t>
  </x:si>
  <x:si>
    <x:t>BETA/O0087/RF20</x:t>
  </x:si>
  <x:si>
    <x:t>RFQ Date</x:t>
  </x:si>
  <x:si>
    <x:t>Submit Quote Before:</x:t>
  </x:si>
  <x:si>
    <x:t>Port of Delivery</x:t>
  </x:si>
  <x:si>
    <x:t xml:space="preserve">Incheon </x:t>
  </x:si>
  <x:si>
    <x:t>Vessel ETA</x:t>
  </x:si>
  <x:si>
    <x:t>Lead Days</x:t>
  </x:si>
  <x:si>
    <x:t>Vendor Details</x:t>
  </x:si>
  <x:si>
    <x:t>Vendor Reference</x:t>
  </x:si>
  <x:si>
    <x:t>Name</x:t>
  </x:si>
  <x:si>
    <x:t>ACE-RMS MARINE SERVICE CO., LTD</x:t>
  </x:si>
  <x:si>
    <x:t>Address</x:t>
  </x:si>
  <x:si>
    <x:t xml:space="preserve">#19, Haeyang-ro 176 beon-gil, Yeongdo-gu, Busan, 49012, KOREA
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</x:si>
  <x:si>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</x:si>
  <x:si>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</x:si>
  <x:si>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</x:si>
  <x:si>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</x:si>
  <x:si>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</x:si>
  <x:si>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0082-512561852</x:t>
  </x:si>
  <x:si>
    <x:t>VAT(%) for all items</x:t>
  </x:si>
  <x:si>
    <x:t>Email</x:t>
  </x:si>
  <x:si>
    <x:t>ace@rmsmarineservice.kr,ace@rmsmarineservice.kr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</x:si>
  <x:si>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</x:si>
  <x:si>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</x:si>
  <x:si>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</x:si>
  <x:si>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</x:si>
  <x:si>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</x:si>
  <x:si>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</x:si>
  <x:si>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</x:si>
  <x:si>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</x:si>
  <x:si>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</x:si>
  <x:si>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</x:si>
  <x:si>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</x:si>
  <x:si>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</x:si>
  <x:si>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ELBOW STEEL BUTT-WELDING SGP, 45DEG LONG RADIUS 40A</x:t>
  </x:si>
  <x:si>
    <x:t>PCS</x:t>
  </x:si>
  <x:si>
    <x:t>ELBOW STEEL BUTT-WELDING SGP, 90DEG LONG RADIUS 40A</x:t>
  </x:si>
  <x:si>
    <x:t>GLOBE VALVE SCREW DOWN CHECK, BRONZE FLANGED F7351 5KG-40MM</x:t>
  </x:si>
  <x:si>
    <x:t>GLOBE VALVE SCREW DOWN CHECK, BRONZE FLANGED F7351 5KG-32MM</x:t>
  </x:si>
  <x:si>
    <x:t>FLANGE CARBON STEEL SLIP-ON , DIN2576 PN16 40MM</x:t>
  </x:si>
  <x:si>
    <x:t>PIPE STEEL LOW-TEMPERATURE, STPL SCH-80 2"(50A)X5.5MTR</x:t>
  </x:si>
  <x:si>
    <x:t>LGH</x:t>
  </x:si>
  <x:si>
    <x:t>PIPE STEEL LOW-TEMPERATURE, STPL SCH-80 1-1/2"(40A)X5.5MTR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</x:si>
  <x:si>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</x:si>
  <x:si>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</x:si>
  <x:si>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</x:si>
  <x:si>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</x:si>
  <x:si>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</x:si>
  <x:si>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</x:si>
  <x:si>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</x:si>
  <x:si>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</x:si>
  <x:si>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</x:si>
  <x:si>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</x:si>
  <x:si>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</x:si>
  <x:si>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</x:si>
  <x:si>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</x:si>
  <x:si>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</x:si>
  <x:si>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</x:si>
  <x:si>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</x:si>
  <x:si>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ADDITIONAL JOBS</x:t>
  </x:si>
  <x:si>
    <x:t>RequestForQuoteID</x:t>
  </x:si>
  <x:si>
    <x:t>AFA</x:t>
  </x:si>
  <x:si>
    <x:t>AGENCY FEE</x:t>
  </x:si>
  <x:si>
    <x:t>HeaderID</x:t>
  </x:si>
  <x:si>
    <x:t>AUD</x:t>
  </x:si>
  <x:si>
    <x:t>HANDLING CHARGE</x:t>
  </x:si>
  <x:si>
    <x:t>VendorID</x:t>
  </x:si>
  <x:si>
    <x:t>BAD</x:t>
  </x:si>
  <x:si>
    <x:t>PACKING CHARGE</x:t>
  </x:si>
  <x:si>
    <x:t>RFQCategory</x:t>
  </x:si>
  <x:si>
    <x:t>SMC - STORES</x:t>
  </x:si>
  <x:si>
    <x:t>BAM</x:t>
  </x:si>
  <x:si>
    <x:t>SPARE USED</x:t>
  </x:si>
  <x:si>
    <x:t>QuoteID</x:t>
  </x:si>
  <x:si>
    <x:t>BBD</x:t>
  </x:si>
  <x:si>
    <x:t>WAREHOUSING</x:t>
  </x:si>
  <x:si>
    <x:t>BHD</x:t>
  </x:si>
  <x:si>
    <x:t>CRANAGE</x:t>
  </x:si>
  <x:si>
    <x:t>BMD</x:t>
  </x:si>
  <x:si>
    <x:t>CUSTOMS</x:t>
  </x:si>
  <x:si>
    <x:t>BOL</x:t>
  </x:si>
  <x:si>
    <x:t>LAUNCH HIRE CHARGE</x:t>
  </x:si>
  <x:si>
    <x:t>BRL</x:t>
  </x:si>
  <x:si>
    <x:t>ROUNDING ADJUSTMENT</x:t>
  </x:si>
  <x:si>
    <x:t>BSD</x:t>
  </x:si>
  <x:si>
    <x:t>BOAT CHARGES</x:t>
  </x:si>
  <x:si>
    <x:t>CAD</x:t>
  </x:si>
  <x:si>
    <x:t>MINIMUM QUANTITY CHARGE</x:t>
  </x:si>
  <x:si>
    <x:t>CDZ</x:t>
  </x:si>
  <x:si>
    <x:t>PORT SURCHARGE</x:t>
  </x:si>
  <x:si>
    <x:t>CHF</x:t>
  </x:si>
  <x:si>
    <x:t>CLP</x:t>
  </x:si>
  <x:si>
    <x:t>CNY</x:t>
  </x:si>
  <x:si>
    <x:t>CYP</x:t>
  </x:si>
  <x:si>
    <x:t>CZK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</x:si>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</x:sst>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7" xfId="0" applyFont="1" applyFill="1" applyBorder="1" applyAlignment="1" applyProtection="1">
      <x:alignment horizontal="left"/>
    </x:xf>
    <x:xf numFmtId="0" fontId="15" fillId="2" borderId="23" xfId="0" applyFont="1" applyFill="1" applyBorder="1" applyAlignment="1" applyProtection="1">
      <x:alignment horizontal="left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170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microsoft.com/office/2006/relationships/vbaProject" Target="vbaProject.bin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3.xml" Id="rId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X58"/>
  <x:sheetViews>
    <x:sheetView showGridLines="0" tabSelected="1" topLeftCell="G1" workbookViewId="0">
      <x:selection activeCell="M4" sqref="M4 M4:P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5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69" t="s"/>
      <x:c r="B1" s="169" t="s">
        <x:v>0</x:v>
      </x:c>
      <x:c r="C1" s="169" t="s"/>
      <x:c r="E1" s="170" t="s"/>
      <x:c r="F1" s="170" t="s"/>
      <x:c r="G1" s="170" t="s"/>
      <x:c r="J1" s="170" t="s"/>
      <x:c r="K1" s="171" t="s">
        <x:v>1</x:v>
      </x:c>
      <x:c r="L1" s="171" t="s"/>
      <x:c r="M1" s="171" t="s"/>
      <x:c r="N1" s="171" t="s"/>
      <x:c r="O1" s="171" t="s"/>
      <x:c r="P1" s="171" t="s"/>
      <x:c r="Q1" s="171" t="s"/>
      <x:c r="R1" s="171" t="s"/>
      <x:c r="S1" s="171" t="s"/>
      <x:c r="T1" s="172" t="s"/>
    </x:row>
    <x:row r="2" spans="1:24" customFormat="1" ht="5.25" customHeight="1" x14ac:dyDescent="0.25">
      <x:c r="A2" s="173" t="s"/>
      <x:c r="B2" s="173" t="s"/>
      <x:c r="C2" s="173" t="s"/>
      <x:c r="D2" s="173" t="s"/>
      <x:c r="E2" s="173" t="s"/>
      <x:c r="F2" s="173" t="s"/>
      <x:c r="G2" s="173" t="s"/>
      <x:c r="H2" s="174" t="s"/>
      <x:c r="I2" s="174" t="s"/>
      <x:c r="J2" s="174" t="s"/>
      <x:c r="K2" s="174" t="s"/>
      <x:c r="L2" s="174" t="s"/>
      <x:c r="M2" s="174" t="s"/>
      <x:c r="N2" s="174" t="s"/>
      <x:c r="O2" s="174" t="s"/>
      <x:c r="P2" s="174" t="s"/>
      <x:c r="Q2" s="174" t="s"/>
      <x:c r="R2" s="174" t="s"/>
      <x:c r="S2" s="174" t="s"/>
      <x:c r="T2" s="175" t="s"/>
    </x:row>
    <x:row r="3" spans="1:24" customFormat="1" ht="15" customHeight="1" thickBot="1" x14ac:dyDescent="0.35">
      <x:c r="A3" s="176" t="s">
        <x:v>2</x:v>
      </x:c>
      <x:c r="B3" s="176" t="s"/>
      <x:c r="C3" s="176" t="s"/>
      <x:c r="D3" s="176" t="s"/>
      <x:c r="E3" s="176" t="s"/>
      <x:c r="F3" s="176" t="s"/>
      <x:c r="G3" s="176" t="s"/>
      <x:c r="Q3" s="177" t="s"/>
      <x:c r="R3" s="177" t="s"/>
      <x:c r="S3" s="177" t="s"/>
      <x:c r="T3" s="175" t="s"/>
    </x:row>
    <x:row r="4" spans="1:24" customFormat="1" ht="22.5" customHeight="1" thickTop="1" thickBot="1" x14ac:dyDescent="0.35">
      <x:c r="A4" s="165" t="s">
        <x:v>3</x:v>
      </x:c>
      <x:c r="B4" s="165" t="s"/>
      <x:c r="C4" s="165" t="s"/>
      <x:c r="D4" s="165" t="s"/>
      <x:c r="E4" s="165" t="s"/>
      <x:c r="F4" s="165" t="s"/>
      <x:c r="G4" s="165" t="s"/>
      <x:c r="H4" s="165" t="s"/>
      <x:c r="I4" s="165" t="s"/>
      <x:c r="K4" s="166" t="s">
        <x:v>4</x:v>
      </x:c>
      <x:c r="L4" s="166" t="s"/>
      <x:c r="M4" s="164" t="s">
        <x:v>5</x:v>
      </x:c>
      <x:c r="N4" s="164" t="s"/>
      <x:c r="O4" s="164" t="s"/>
      <x:c r="P4" s="164" t="s"/>
      <x:c r="Q4" s="167" t="s"/>
      <x:c r="R4" s="167" t="s"/>
      <x:c r="S4" s="167" t="s"/>
      <x:c r="T4" s="168" t="s"/>
    </x:row>
    <x:row r="5" spans="1:24" customFormat="1" ht="21" customHeight="1" thickBot="1" x14ac:dyDescent="0.35">
      <x:c r="A5" s="178" t="s"/>
      <x:c r="B5" s="178" t="s"/>
      <x:c r="C5" s="178" t="s"/>
      <x:c r="D5" s="178" t="s"/>
      <x:c r="E5" s="178" t="s"/>
      <x:c r="F5" s="178" t="s"/>
      <x:c r="G5" s="178" t="s"/>
      <x:c r="H5" s="178" t="s"/>
      <x:c r="I5" s="178" t="s"/>
      <x:c r="K5" s="179" t="s">
        <x:v>6</x:v>
      </x:c>
      <x:c r="L5" s="179" t="s"/>
      <x:c r="M5" s="180" t="s">
        <x:v>7</x:v>
      </x:c>
      <x:c r="N5" s="180" t="s"/>
      <x:c r="O5" s="180" t="s"/>
      <x:c r="P5" s="180" t="s"/>
      <x:c r="Q5" s="167" t="s"/>
      <x:c r="R5" s="167" t="s"/>
      <x:c r="S5" s="167" t="s"/>
      <x:c r="T5" s="168" t="s"/>
    </x:row>
    <x:row r="6" spans="1:24" s="184" customFormat="1" ht="14.1" customHeight="1" thickBot="1" x14ac:dyDescent="0.25">
      <x:c r="A6" s="178" t="s"/>
      <x:c r="B6" s="178" t="s"/>
      <x:c r="C6" s="178" t="s"/>
      <x:c r="D6" s="178" t="s"/>
      <x:c r="E6" s="178" t="s"/>
      <x:c r="F6" s="178" t="s"/>
      <x:c r="G6" s="178" t="s"/>
      <x:c r="H6" s="178" t="s"/>
      <x:c r="I6" s="178" t="s"/>
      <x:c r="K6" s="181" t="s">
        <x:v>8</x:v>
      </x:c>
      <x:c r="L6" s="181" t="s"/>
      <x:c r="M6" s="182">
        <x:v>43894</x:v>
      </x:c>
      <x:c r="N6" s="182" t="s"/>
      <x:c r="O6" s="182" t="s"/>
      <x:c r="P6" s="182" t="s"/>
      <x:c r="Q6" s="167" t="s"/>
      <x:c r="R6" s="167" t="s"/>
      <x:c r="S6" s="167" t="s"/>
      <x:c r="T6" s="168" t="s"/>
    </x:row>
    <x:row r="7" spans="1:24" s="184" customFormat="1" ht="14.1" customHeight="1" thickBot="1" x14ac:dyDescent="0.25">
      <x:c r="A7" s="178" t="s"/>
      <x:c r="B7" s="178" t="s"/>
      <x:c r="C7" s="178" t="s"/>
      <x:c r="D7" s="178" t="s"/>
      <x:c r="E7" s="178" t="s"/>
      <x:c r="F7" s="178" t="s"/>
      <x:c r="G7" s="178" t="s"/>
      <x:c r="H7" s="178" t="s"/>
      <x:c r="I7" s="178" t="s"/>
      <x:c r="K7" s="181" t="s"/>
      <x:c r="L7" s="181" t="s"/>
      <x:c r="M7" s="183" t="s"/>
      <x:c r="N7" s="183" t="s"/>
      <x:c r="O7" s="183" t="s"/>
      <x:c r="P7" s="183" t="s"/>
      <x:c r="Q7" s="183" t="s"/>
      <x:c r="R7" s="167" t="s"/>
      <x:c r="S7" s="167" t="s"/>
      <x:c r="T7" s="168" t="s"/>
      <x:c r="U7" s="184" t="s"/>
      <x:c r="V7" s="184" t="s"/>
      <x:c r="W7" s="184" t="s"/>
      <x:c r="X7" s="184" t="s"/>
    </x:row>
    <x:row r="8" spans="1:24" s="184" customFormat="1" ht="13.5" customHeight="1" thickBot="1" x14ac:dyDescent="0.25">
      <x:c r="A8" s="178" t="s"/>
      <x:c r="B8" s="178" t="s"/>
      <x:c r="C8" s="178" t="s"/>
      <x:c r="D8" s="178" t="s"/>
      <x:c r="E8" s="178" t="s"/>
      <x:c r="F8" s="178" t="s"/>
      <x:c r="G8" s="178" t="s"/>
      <x:c r="H8" s="178" t="s"/>
      <x:c r="I8" s="178" t="s"/>
      <x:c r="J8" s="185" t="s"/>
      <x:c r="K8" s="181" t="s">
        <x:v>9</x:v>
      </x:c>
      <x:c r="L8" s="181" t="s"/>
      <x:c r="M8" s="186">
        <x:v>43894</x:v>
      </x:c>
      <x:c r="N8" s="186" t="s"/>
      <x:c r="O8" s="187" t="s"/>
      <x:c r="P8" s="167" t="s"/>
      <x:c r="Q8" s="188" t="s"/>
      <x:c r="R8" s="188" t="s"/>
      <x:c r="S8" s="188" t="s"/>
      <x:c r="T8" s="189" t="s"/>
    </x:row>
    <x:row r="9" spans="1:24" s="184" customFormat="1" ht="15" customHeight="1" thickBot="1" x14ac:dyDescent="0.25">
      <x:c r="A9" s="178" t="s"/>
      <x:c r="B9" s="178" t="s"/>
      <x:c r="C9" s="178" t="s"/>
      <x:c r="D9" s="178" t="s"/>
      <x:c r="E9" s="178" t="s"/>
      <x:c r="F9" s="178" t="s"/>
      <x:c r="G9" s="178" t="s"/>
      <x:c r="H9" s="178" t="s"/>
      <x:c r="I9" s="178" t="s"/>
      <x:c r="J9" s="185" t="s"/>
      <x:c r="K9" s="190" t="s">
        <x:v>10</x:v>
      </x:c>
      <x:c r="L9" s="191" t="s"/>
      <x:c r="M9" s="183" t="s">
        <x:v>11</x:v>
      </x:c>
      <x:c r="N9" s="183" t="s"/>
      <x:c r="O9" s="183" t="s"/>
      <x:c r="P9" s="183" t="s"/>
      <x:c r="Q9" s="183" t="s"/>
      <x:c r="R9" s="188" t="s"/>
      <x:c r="S9" s="188" t="s"/>
      <x:c r="T9" s="189" t="s"/>
    </x:row>
    <x:row r="10" spans="1:24" s="184" customFormat="1" ht="15" customHeight="1" thickBot="1" x14ac:dyDescent="0.25">
      <x:c r="A10" s="178" t="s"/>
      <x:c r="B10" s="178" t="s"/>
      <x:c r="C10" s="178" t="s"/>
      <x:c r="D10" s="178" t="s"/>
      <x:c r="E10" s="178" t="s"/>
      <x:c r="F10" s="178" t="s"/>
      <x:c r="G10" s="178" t="s"/>
      <x:c r="H10" s="178" t="s"/>
      <x:c r="I10" s="178" t="s"/>
      <x:c r="J10" s="185" t="s"/>
      <x:c r="K10" s="190" t="s">
        <x:v>12</x:v>
      </x:c>
      <x:c r="L10" s="191" t="s"/>
      <x:c r="M10" s="182" t="s"/>
      <x:c r="N10" s="182" t="s"/>
      <x:c r="O10" s="187" t="s"/>
      <x:c r="P10" s="191" t="s"/>
      <x:c r="Q10" s="188" t="s"/>
      <x:c r="R10" s="188" t="s"/>
      <x:c r="S10" s="188" t="s"/>
      <x:c r="T10" s="189" t="s"/>
    </x:row>
    <x:row r="11" spans="1:24" s="184" customFormat="1" ht="15" customHeight="1" thickBot="1" x14ac:dyDescent="0.25">
      <x:c r="A11" s="192" t="s"/>
      <x:c r="B11" s="192" t="s"/>
      <x:c r="C11" s="192" t="s"/>
      <x:c r="D11" s="192" t="s"/>
      <x:c r="E11" s="192" t="s"/>
      <x:c r="F11" s="192" t="s"/>
      <x:c r="G11" s="192" t="s"/>
      <x:c r="H11" s="192" t="s"/>
      <x:c r="I11" s="192" t="s"/>
      <x:c r="J11" s="185" t="s"/>
      <x:c r="K11" s="190" t="s">
        <x:v>13</x:v>
      </x:c>
      <x:c r="L11" s="191" t="s"/>
      <x:c r="M11" s="193" t="n">
        <x:v>0</x:v>
      </x:c>
      <x:c r="N11" s="194" t="s"/>
      <x:c r="O11" s="195" t="s"/>
      <x:c r="P11" s="188" t="s"/>
      <x:c r="Q11" s="188" t="s"/>
      <x:c r="R11" s="188" t="s"/>
      <x:c r="S11" s="188" t="s"/>
      <x:c r="T11" s="189" t="s"/>
    </x:row>
    <x:row r="12" spans="1:24" s="184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81" t="s">
        <x:v>15</x:v>
      </x:c>
      <x:c r="L12" s="199" t="s"/>
      <x:c r="M12" s="200" t="s"/>
      <x:c r="N12" s="201" t="s"/>
      <x:c r="O12" s="202" t="s"/>
      <x:c r="P12" s="188" t="s"/>
      <x:c r="Q12" s="188" t="s"/>
      <x:c r="R12" s="188" t="s"/>
      <x:c r="S12" s="188" t="s"/>
      <x:c r="T12" s="189" t="s"/>
    </x:row>
    <x:row r="13" spans="1:24" s="184" customFormat="1" ht="12.75" customHeight="1" thickBot="1" x14ac:dyDescent="0.3">
      <x:c r="A13" s="181" t="s">
        <x:v>16</x:v>
      </x:c>
      <x:c r="B13" s="181" t="s"/>
      <x:c r="C13" s="181" t="s"/>
      <x:c r="D13" s="183" t="s">
        <x:v>17</x:v>
      </x:c>
      <x:c r="E13" s="183" t="s"/>
      <x:c r="F13" s="183" t="s"/>
      <x:c r="G13" s="183" t="s"/>
      <x:c r="H13" s="183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88" t="s"/>
      <x:c r="S13" s="188" t="s"/>
      <x:c r="T13" s="189" t="s"/>
    </x:row>
    <x:row r="14" spans="1:24" s="184" customFormat="1" ht="12.75" customHeight="1" thickBot="1" x14ac:dyDescent="0.25">
      <x:c r="A14" s="181" t="s">
        <x:v>18</x:v>
      </x:c>
      <x:c r="B14" s="181" t="s"/>
      <x:c r="C14" s="181" t="s"/>
      <x:c r="D14" s="183" t="s">
        <x:v>19</x:v>
      </x:c>
      <x:c r="E14" s="183" t="s"/>
      <x:c r="F14" s="183" t="s"/>
      <x:c r="G14" s="183" t="s"/>
      <x:c r="H14" s="183" t="s"/>
      <x:c r="I14" s="203" t="s"/>
      <x:c r="K14" s="181" t="s">
        <x:v>20</x:v>
      </x:c>
      <x:c r="L14" s="206" t="s"/>
      <x:c r="M14" s="207" t="s"/>
      <x:c r="N14" s="191" t="s"/>
      <x:c r="O14" s="191" t="s"/>
      <x:c r="P14" s="208" t="s"/>
      <x:c r="Q14" s="168" t="s"/>
      <x:c r="R14" s="188" t="s"/>
      <x:c r="S14" s="188" t="s"/>
      <x:c r="T14" s="189" t="s"/>
    </x:row>
    <x:row r="15" spans="1:24" s="184" customFormat="1" ht="12.75" customHeight="1" thickBot="1" x14ac:dyDescent="0.25">
      <x:c r="A15" s="181" t="s">
        <x:v>21</x:v>
      </x:c>
      <x:c r="B15" s="181" t="s"/>
      <x:c r="C15" s="181" t="s"/>
      <x:c r="D15" s="183" t="s"/>
      <x:c r="E15" s="183" t="s"/>
      <x:c r="F15" s="183" t="s"/>
      <x:c r="G15" s="183" t="s"/>
      <x:c r="H15" s="183" t="s"/>
      <x:c r="I15" s="203" t="s"/>
      <x:c r="K15" s="181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68" t="s"/>
      <x:c r="R15" s="188" t="s"/>
      <x:c r="S15" s="188" t="s"/>
      <x:c r="T15" s="189" t="s"/>
    </x:row>
    <x:row r="16" spans="1:24" s="184" customFormat="1" ht="12.75" customHeight="1" thickBot="1" x14ac:dyDescent="0.25">
      <x:c r="A16" s="181" t="s">
        <x:v>24</x:v>
      </x:c>
      <x:c r="B16" s="181" t="s"/>
      <x:c r="C16" s="181" t="s"/>
      <x:c r="D16" s="183" t="s">
        <x:v>25</x:v>
      </x:c>
      <x:c r="E16" s="183" t="s"/>
      <x:c r="F16" s="183" t="s"/>
      <x:c r="G16" s="183" t="s"/>
      <x:c r="H16" s="183" t="s"/>
      <x:c r="I16" s="203" t="s"/>
      <x:c r="K16" s="181" t="s">
        <x:v>26</x:v>
      </x:c>
      <x:c r="L16" s="206" t="s"/>
      <x:c r="M16" s="209" t="n">
        <x:v>0</x:v>
      </x:c>
      <x:c r="N16" s="210" t="s"/>
      <x:c r="O16" s="211" t="s"/>
      <x:c r="P16" s="191" t="s"/>
      <x:c r="Q16" s="167" t="s"/>
      <x:c r="R16" s="188" t="s"/>
      <x:c r="S16" s="188" t="s"/>
      <x:c r="T16" s="189" t="s"/>
    </x:row>
    <x:row r="17" spans="1:24" s="184" customFormat="1" ht="12.75" customHeight="1" thickBot="1" x14ac:dyDescent="0.25">
      <x:c r="A17" s="181" t="s">
        <x:v>27</x:v>
      </x:c>
      <x:c r="B17" s="181" t="s"/>
      <x:c r="C17" s="181" t="s"/>
      <x:c r="D17" s="183" t="s">
        <x:v>28</x:v>
      </x:c>
      <x:c r="E17" s="183" t="s"/>
      <x:c r="F17" s="183" t="s"/>
      <x:c r="G17" s="183" t="s"/>
      <x:c r="H17" s="183" t="s"/>
      <x:c r="I17" s="203" t="s"/>
      <x:c r="K17" s="177" t="s"/>
      <x:c r="L17" s="177" t="s"/>
      <x:c r="M17" s="177" t="s"/>
      <x:c r="N17" s="177" t="s"/>
      <x:c r="O17" s="177" t="s"/>
      <x:c r="P17" s="177" t="s"/>
      <x:c r="Q17" s="177" t="s"/>
      <x:c r="R17" s="177" t="s"/>
      <x:c r="S17" s="177" t="s"/>
      <x:c r="T17" s="212" t="s"/>
    </x:row>
    <x:row r="18" spans="1:24" s="184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99990009560084</x:v>
      </x:c>
      <x:c r="C20" s="227" t="n">
        <x:v>2126342</x:v>
      </x:c>
      <x:c r="D20" s="228" t="s">
        <x:v>41</x:v>
      </x:c>
      <x:c r="E20" s="229" t="s"/>
      <x:c r="F20" s="229" t="n">
        <x:v>731105</x:v>
      </x:c>
      <x:c r="G20" s="229" t="s">
        <x:v>42</x:v>
      </x:c>
      <x:c r="H20" s="230" t="n">
        <x:v>1.31</x:v>
      </x:c>
      <x:c r="I20" s="231" t="n">
        <x:v>6</x:v>
      </x:c>
      <x:c r="J20" s="232" t="n">
        <x:v>1.31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99990010009985</x:v>
      </x:c>
      <x:c r="C21" s="227" t="n">
        <x:v>731125</x:v>
      </x:c>
      <x:c r="D21" s="228" t="s">
        <x:v>43</x:v>
      </x:c>
      <x:c r="E21" s="229" t="s"/>
      <x:c r="F21" s="229" t="n">
        <x:v>731125</x:v>
      </x:c>
      <x:c r="G21" s="229" t="s">
        <x:v>42</x:v>
      </x:c>
      <x:c r="H21" s="230" t="n">
        <x:v>0</x:v>
      </x:c>
      <x:c r="I21" s="231" t="n">
        <x:v>6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99990009631027</x:v>
      </x:c>
      <x:c r="C22" s="227" t="n">
        <x:v>751055</x:v>
      </x:c>
      <x:c r="D22" s="228" t="s">
        <x:v>44</x:v>
      </x:c>
      <x:c r="E22" s="229" t="s"/>
      <x:c r="F22" s="229" t="n">
        <x:v>751055</x:v>
      </x:c>
      <x:c r="G22" s="229" t="s">
        <x:v>42</x:v>
      </x:c>
      <x:c r="H22" s="230" t="n">
        <x:v>81.7</x:v>
      </x:c>
      <x:c r="I22" s="231" t="n">
        <x:v>1</x:v>
      </x:c>
      <x:c r="J22" s="232" t="n">
        <x:v>81.7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99990010010198</x:v>
      </x:c>
      <x:c r="C23" s="227" t="n">
        <x:v>751054</x:v>
      </x:c>
      <x:c r="D23" s="228" t="s">
        <x:v>45</x:v>
      </x:c>
      <x:c r="E23" s="229" t="s"/>
      <x:c r="F23" s="229" t="n">
        <x:v>751054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99990010262351</x:v>
      </x:c>
      <x:c r="C24" s="227" t="n">
        <x:v>735556</x:v>
      </x:c>
      <x:c r="D24" s="228" t="s">
        <x:v>46</x:v>
      </x:c>
      <x:c r="E24" s="229" t="s"/>
      <x:c r="F24" s="229" t="n">
        <x:v>735556</x:v>
      </x:c>
      <x:c r="G24" s="229" t="s">
        <x:v>42</x:v>
      </x:c>
      <x:c r="H24" s="230" t="n">
        <x:v>0</x:v>
      </x:c>
      <x:c r="I24" s="231" t="n">
        <x:v>10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99990010270498</x:v>
      </x:c>
      <x:c r="C25" s="227" t="n">
        <x:v>710634</x:v>
      </x:c>
      <x:c r="D25" s="228" t="s">
        <x:v>47</x:v>
      </x:c>
      <x:c r="E25" s="229" t="s"/>
      <x:c r="F25" s="229" t="n">
        <x:v>710634</x:v>
      </x:c>
      <x:c r="G25" s="229" t="s">
        <x:v>48</x:v>
      </x:c>
      <x:c r="H25" s="230" t="n">
        <x:v>0</x:v>
      </x:c>
      <x:c r="I25" s="231" t="n">
        <x:v>1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99990011282582</x:v>
      </x:c>
      <x:c r="C26" s="227" t="n">
        <x:v>710633</x:v>
      </x:c>
      <x:c r="D26" s="228" t="s">
        <x:v>49</x:v>
      </x:c>
      <x:c r="E26" s="229" t="s"/>
      <x:c r="F26" s="229" t="n">
        <x:v>710633</x:v>
      </x:c>
      <x:c r="G26" s="229" t="s">
        <x:v>42</x:v>
      </x:c>
      <x:c r="H26" s="230" t="n">
        <x:v>0</x:v>
      </x:c>
      <x:c r="I26" s="231" t="n">
        <x:v>2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5" customHeight="1" x14ac:dyDescent="0.2">
      <x:c r="A27" s="32" t="s"/>
      <x:c r="B27" s="295" t="s"/>
      <x:c r="C27" s="296" t="s"/>
      <x:c r="D27" s="296" t="s"/>
      <x:c r="E27" s="296" t="s"/>
      <x:c r="F27" s="296" t="s"/>
      <x:c r="G27" s="296" t="s"/>
      <x:c r="H27" s="297" t="s"/>
      <x:c r="I27" s="297" t="s"/>
      <x:c r="J27" s="297" t="s"/>
      <x:c r="K27" s="297" t="s"/>
      <x:c r="L27" s="297" t="s"/>
      <x:c r="M27" s="297" t="s"/>
      <x:c r="N27" s="297" t="s"/>
      <x:c r="O27" s="297" t="s"/>
      <x:c r="P27" s="297" t="s"/>
      <x:c r="Q27" s="297" t="s"/>
      <x:c r="R27" s="297" t="s"/>
      <x:c r="S27" s="297" t="s"/>
      <x:c r="T27" s="298" t="s"/>
    </x:row>
    <x:row r="28" spans="1:24" customFormat="1" ht="12.75" customHeight="1" x14ac:dyDescent="0.2">
      <x:c r="A28" s="289" t="s">
        <x:v>29</x:v>
      </x:c>
      <x:c r="B28" s="289" t="s"/>
      <x:c r="C28" s="290" t="s">
        <x:v>50</x:v>
      </x:c>
      <x:c r="D28" s="291" t="s"/>
      <x:c r="E28" s="291" t="s"/>
      <x:c r="F28" s="291" t="s"/>
      <x:c r="G28" s="291" t="s"/>
      <x:c r="H28" s="291" t="s"/>
      <x:c r="I28" s="292" t="s"/>
      <x:c r="J28" s="292" t="s">
        <x:v>51</x:v>
      </x:c>
      <x:c r="K28" s="292" t="s"/>
      <x:c r="L28" s="292" t="s">
        <x:v>36</x:v>
      </x:c>
      <x:c r="M28" s="292" t="s">
        <x:v>37</x:v>
      </x:c>
      <x:c r="N28" s="293" t="s">
        <x:v>52</x:v>
      </x:c>
      <x:c r="O28" s="294" t="s">
        <x:v>39</x:v>
      </x:c>
      <x:c r="P28" s="294" t="s"/>
      <x:c r="Q28" s="294" t="s"/>
      <x:c r="R28" s="294" t="s"/>
      <x:c r="S28" s="294" t="s"/>
      <x:c r="T28" s="225" t="s"/>
    </x:row>
    <x:row r="29" spans="1:24" customFormat="1" ht="15" customHeight="1" x14ac:dyDescent="0.2">
      <x:c r="A29" s="269" t="n">
        <x:v>1</x:v>
      </x:c>
      <x:c r="B29" s="270" t="s"/>
      <x:c r="C29" s="271" t="s">
        <x:v>53</x:v>
      </x:c>
      <x:c r="D29" s="272" t="s">
        <x:v>53</x:v>
      </x:c>
      <x:c r="E29" s="272" t="s">
        <x:v>53</x:v>
      </x:c>
      <x:c r="F29" s="272" t="s">
        <x:v>53</x:v>
      </x:c>
      <x:c r="G29" s="272" t="s">
        <x:v>53</x:v>
      </x:c>
      <x:c r="H29" s="273" t="s">
        <x:v>53</x:v>
      </x:c>
      <x:c r="I29" s="274" t="s"/>
      <x:c r="J29" s="275" t="n">
        <x:v>0</x:v>
      </x:c>
      <x:c r="K29" s="276" t="s"/>
      <x:c r="L29" s="277" t="n">
        <x:v>0</x:v>
      </x:c>
      <x:c r="M29" s="277" t="n">
        <x:v>0</x:v>
      </x:c>
      <x:c r="N29" s="285" t="s">
        <x:f>(J29 -(J29 *L29 /100)+((J29 -(J29 *L29 /100))*M29 /100))</x:f>
      </x:c>
      <x:c r="O29" s="286" t="s"/>
      <x:c r="P29" s="287" t="s"/>
      <x:c r="Q29" s="287" t="s"/>
      <x:c r="R29" s="287" t="s"/>
      <x:c r="S29" s="288" t="s"/>
      <x:c r="T29" s="283" t="s"/>
    </x:row>
    <x:row r="30" spans="1:24" customFormat="1" ht="15" customHeight="1" x14ac:dyDescent="0.2">
      <x:c r="A30" s="269" t="n">
        <x:v>2</x:v>
      </x:c>
      <x:c r="B30" s="270" t="s"/>
      <x:c r="C30" s="271" t="s">
        <x:v>54</x:v>
      </x:c>
      <x:c r="D30" s="272" t="s">
        <x:v>54</x:v>
      </x:c>
      <x:c r="E30" s="272" t="s">
        <x:v>54</x:v>
      </x:c>
      <x:c r="F30" s="272" t="s">
        <x:v>54</x:v>
      </x:c>
      <x:c r="G30" s="272" t="s">
        <x:v>54</x:v>
      </x:c>
      <x:c r="H30" s="273" t="s">
        <x:v>54</x:v>
      </x:c>
      <x:c r="I30" s="28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" customHeight="1" x14ac:dyDescent="0.2">
      <x:c r="A31" s="269" t="n">
        <x:v>3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75" customHeight="1" x14ac:dyDescent="0.2">
      <x:c r="A32" s="269" t="n">
        <x:v>4</x:v>
      </x:c>
      <x:c r="B32" s="270" t="s"/>
      <x:c r="C32" s="271" t="s"/>
      <x:c r="D32" s="272" t="s"/>
      <x:c r="E32" s="272" t="s"/>
      <x:c r="F32" s="272" t="s"/>
      <x:c r="G32" s="272" t="s"/>
      <x:c r="H32" s="273" t="s"/>
      <x:c r="I32" s="274" t="s"/>
      <x:c r="J32" s="275" t="n">
        <x:v>0</x:v>
      </x:c>
      <x:c r="K32" s="276" t="s"/>
      <x:c r="L32" s="277" t="n">
        <x:v>0</x:v>
      </x:c>
      <x:c r="M32" s="278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.95" customHeight="1" x14ac:dyDescent="0.2">
      <x:c r="A33" s="247" t="s"/>
      <x:c r="B33" s="247" t="s"/>
      <x:c r="C33" s="248" t="s"/>
      <x:c r="D33" s="248" t="s"/>
      <x:c r="J33" s="58" t="s">
        <x:v>55</x:v>
      </x:c>
      <x:c r="K33" s="59" t="s"/>
      <x:c r="L33" s="58" t="s"/>
      <x:c r="M33" s="59" t="s"/>
      <x:c r="N33" s="264">
        <x:f>SUM(ItmPrice)</x:f>
      </x:c>
      <x:c r="O33" s="267" t="s"/>
      <x:c r="P33" s="268" t="s"/>
    </x:row>
    <x:row r="34" spans="1:24" customFormat="1" ht="15" customHeight="1" x14ac:dyDescent="0.2">
      <x:c r="A34" s="247" t="s"/>
      <x:c r="B34" s="247" t="s"/>
      <x:c r="C34" s="248" t="s"/>
      <x:c r="D34" s="248" t="s"/>
      <x:c r="J34" s="135" t="s">
        <x:v>56</x:v>
      </x:c>
      <x:c r="K34" s="136" t="s"/>
      <x:c r="L34" s="136" t="s"/>
      <x:c r="M34" s="137" t="s"/>
      <x:c r="N34" s="264">
        <x:f>SUM(N29:N33)</x:f>
      </x:c>
      <x:c r="O34" s="265" t="s"/>
      <x:c r="P34" s="266" t="s"/>
    </x:row>
    <x:row r="35" spans="1:24" customFormat="1" ht="2.25" hidden="1" customHeight="1" x14ac:dyDescent="0.2">
      <x:c r="A35" s="258" t="n">
        <x:v>0</x:v>
      </x:c>
      <x:c r="B35" s="258" t="n">
        <x:v>0</x:v>
      </x:c>
      <x:c r="C35" s="259" t="n">
        <x:v>0</x:v>
      </x:c>
      <x:c r="D35" s="248" t="s"/>
      <x:c r="E35" s="248" t="s"/>
      <x:c r="F35" s="260" t="n">
        <x:v>1</x:v>
      </x:c>
      <x:c r="G35" s="248" t="s"/>
      <x:c r="H35" s="248" t="s"/>
      <x:c r="I35" s="248" t="s"/>
      <x:c r="J35" s="248" t="s"/>
      <x:c r="K35" s="261" t="s"/>
      <x:c r="L35" s="262" t="n">
        <x:v>0</x:v>
      </x:c>
      <x:c r="M35" s="263" t="n">
        <x:v>0</x:v>
      </x:c>
      <x:c r="N35" s="162" t="s">
        <x:v>57</x:v>
      </x:c>
      <x:c r="O35" s="257" t="s"/>
      <x:c r="P35" s="263" t="n">
        <x:v>995</x:v>
      </x:c>
      <x:c r="Q35" s="248" t="s">
        <x:v>58</x:v>
      </x:c>
      <x:c r="R35" s="248" t="s"/>
      <x:c r="S35" s="248" t="s"/>
    </x:row>
    <x:row r="36" spans="1:24" customFormat="1" ht="18.75" customHeight="1" x14ac:dyDescent="0.2">
      <x:c r="A36" s="247" t="s"/>
      <x:c r="B36" s="247" t="s"/>
      <x:c r="C36" s="247" t="s"/>
      <x:c r="H36" s="257" t="s"/>
      <x:c r="J36" s="248" t="s"/>
      <x:c r="K36" s="248" t="s"/>
      <x:c r="L36" s="248" t="s"/>
      <x:c r="M36" s="248" t="s"/>
      <x:c r="N36" s="248" t="s"/>
      <x:c r="O36" s="248" t="s"/>
      <x:c r="P36" s="248" t="s"/>
      <x:c r="R36" s="248" t="s"/>
      <x:c r="S36" s="248" t="s"/>
    </x:row>
    <x:row r="37" spans="1:24" customFormat="1" ht="127.5" customHeight="1" x14ac:dyDescent="0.2">
      <x:c r="A37" s="249" t="s">
        <x:v>59</x:v>
      </x:c>
      <x:c r="B37" s="249" t="s"/>
      <x:c r="C37" s="249" t="s"/>
      <x:c r="D37" s="250" t="s"/>
      <x:c r="E37" s="254" t="s"/>
      <x:c r="F37" s="255" t="s"/>
      <x:c r="G37" s="255" t="s"/>
      <x:c r="H37" s="255" t="s"/>
      <x:c r="I37" s="255" t="s"/>
      <x:c r="J37" s="255" t="s"/>
      <x:c r="K37" s="255" t="s"/>
      <x:c r="L37" s="255" t="s"/>
      <x:c r="M37" s="255" t="s"/>
      <x:c r="N37" s="255" t="s"/>
      <x:c r="O37" s="255" t="s"/>
      <x:c r="P37" s="255" t="s"/>
      <x:c r="Q37" s="255" t="s"/>
      <x:c r="R37" s="255" t="s"/>
      <x:c r="S37" s="255" t="s"/>
      <x:c r="T37" s="256" t="s"/>
    </x:row>
    <x:row r="38" spans="1:24" customFormat="1" ht="129.75" customHeight="1" x14ac:dyDescent="0.2">
      <x:c r="A38" s="249" t="s">
        <x:v>39</x:v>
      </x:c>
      <x:c r="B38" s="249" t="s"/>
      <x:c r="C38" s="249" t="s"/>
      <x:c r="D38" s="250" t="s"/>
      <x:c r="E38" s="251" t="s"/>
      <x:c r="F38" s="252" t="s"/>
      <x:c r="G38" s="252" t="s"/>
      <x:c r="H38" s="252" t="s"/>
      <x:c r="I38" s="252" t="s"/>
      <x:c r="J38" s="252" t="s"/>
      <x:c r="K38" s="252" t="s"/>
      <x:c r="L38" s="252" t="s"/>
      <x:c r="M38" s="252" t="s"/>
      <x:c r="N38" s="252" t="s"/>
      <x:c r="O38" s="252" t="s"/>
      <x:c r="P38" s="252" t="s"/>
      <x:c r="Q38" s="252" t="s"/>
      <x:c r="R38" s="252" t="s"/>
      <x:c r="S38" s="252" t="s"/>
      <x:c r="T38" s="253" t="s"/>
    </x:row>
    <x:row r="39" spans="1:24" customFormat="1" ht="15.95" customHeight="1" x14ac:dyDescent="0.2">
      <x:c r="A39" s="247" t="s"/>
      <x:c r="B39" s="247" t="s"/>
      <x:c r="C39" s="247" t="s"/>
      <x:c r="H39" s="248" t="s"/>
      <x:c r="I39" s="248" t="s"/>
      <x:c r="J39" s="248" t="s"/>
      <x:c r="K39" s="248" t="s"/>
      <x:c r="L39" s="248" t="s"/>
      <x:c r="M39" s="248" t="s"/>
      <x:c r="N39" s="248" t="s"/>
      <x:c r="O39" s="248" t="s"/>
      <x:c r="P39" s="248" t="s"/>
      <x:c r="Q39" s="248" t="s"/>
      <x:c r="R39" s="248" t="s"/>
      <x:c r="S39" s="248" t="s"/>
    </x:row>
    <x:row r="40" spans="1:24" customFormat="1" ht="15.95" customHeight="1" x14ac:dyDescent="0.2">
      <x:c r="A40" s="245" t="s">
        <x:v>60</x:v>
      </x:c>
      <x:c r="B40" s="245" t="s"/>
      <x:c r="C40" s="245" t="s"/>
      <x:c r="D40" s="245" t="s"/>
      <x:c r="E40" s="245" t="s"/>
      <x:c r="F40" s="245" t="s"/>
      <x:c r="G40" s="245" t="s"/>
      <x:c r="H40" s="245" t="s"/>
      <x:c r="I40" s="245" t="s"/>
      <x:c r="J40" s="245" t="s"/>
      <x:c r="K40" s="245" t="s"/>
      <x:c r="L40" s="245" t="s"/>
      <x:c r="M40" s="245" t="s"/>
      <x:c r="N40" s="245" t="s"/>
      <x:c r="O40" s="245" t="s"/>
      <x:c r="P40" s="245" t="s"/>
      <x:c r="Q40" s="245" t="s"/>
      <x:c r="R40" s="245" t="s"/>
      <x:c r="S40" s="245" t="s"/>
      <x:c r="T40" s="246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7.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7.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7.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1" t="s"/>
      <x:c r="B63" s="241" t="s"/>
      <x:c r="C63" s="241" t="s"/>
      <x:c r="D63" s="241" t="s"/>
      <x:c r="E63" s="241" t="s"/>
      <x:c r="F63" s="241" t="s"/>
      <x:c r="G63" s="241" t="s"/>
      <x:c r="H63" s="241" t="s"/>
      <x:c r="I63" s="241" t="s"/>
      <x:c r="J63" s="241" t="s"/>
      <x:c r="K63" s="241" t="s"/>
      <x:c r="L63" s="241" t="s"/>
      <x:c r="M63" s="241" t="s"/>
      <x:c r="N63" s="241" t="s"/>
      <x:c r="O63" s="241" t="s"/>
      <x:c r="P63" s="241" t="s"/>
      <x:c r="Q63" s="241" t="s"/>
      <x:c r="R63" s="241" t="s"/>
      <x:c r="S63" s="241" t="s"/>
      <x:c r="T63" s="242" t="s"/>
    </x:row>
    <x:row r="64" spans="1:24">
      <x:c r="A64" s="240" t="s">
        <x:v>61</x:v>
      </x:c>
      <x:c r="B64" s="240" t="s"/>
      <x:c r="C64" s="240" t="s"/>
      <x:c r="D64" s="240" t="s"/>
      <x:c r="E64" s="240" t="s"/>
      <x:c r="F64" s="240" t="s"/>
      <x:c r="G64" s="240" t="s"/>
    </x:row>
  </x:sheetData>
  <x:dataConsolidate/>
  <x:mergeCells count="79">
    <x:mergeCell ref="K14:L14"/>
    <x:mergeCell ref="K15:L15"/>
    <x:mergeCell ref="P19:Q19"/>
    <x:mergeCell ref="M13:Q13"/>
    <x:mergeCell ref="K16:L16"/>
    <x:mergeCell ref="J19:K19"/>
    <x:mergeCell ref="K13:L13"/>
    <x:mergeCell ref="A3:E3"/>
    <x:mergeCell ref="C28:H28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O33:P33"/>
    <x:mergeCell ref="O34:P34"/>
    <x:mergeCell ref="J34:M34"/>
    <x:mergeCell ref="O31:S31"/>
    <x:mergeCell ref="O32:S32"/>
    <x:mergeCell ref="K1:R1"/>
    <x:mergeCell ref="R19:S19"/>
    <x:mergeCell ref="R20:S20"/>
    <x:mergeCell ref="O29:S29"/>
    <x:mergeCell ref="O30:S30"/>
    <x:mergeCell ref="O28:S28"/>
    <x:mergeCell ref="J28:K28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E37:S37"/>
    <x:mergeCell ref="E38:S38"/>
    <x:mergeCell ref="E40:S40"/>
    <x:mergeCell ref="A41:S62"/>
    <x:mergeCell ref="A63:S63"/>
    <x:mergeCell ref="A37:D37"/>
    <x:mergeCell ref="A38:D38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C29:H29"/>
    <x:mergeCell ref="J29:K29"/>
    <x:mergeCell ref="C30:H30"/>
    <x:mergeCell ref="J30:K30"/>
    <x:mergeCell ref="C31:H31"/>
    <x:mergeCell ref="J31:K31"/>
    <x:mergeCell ref="C32:H32"/>
    <x:mergeCell ref="J32:K32"/>
  </x:mergeCells>
  <x:phoneticPr fontId="3" type="noConversion"/>
  <x:dataValidations count="3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9:H29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'MasterData'!$H$1:$H$15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0" t="s">
        <x:v>62</x:v>
      </x:c>
      <x:c r="N1" s="301" t="s">
        <x:v>0</x:v>
      </x:c>
      <x:c r="O1" s="162" t="s">
        <x:v>63</x:v>
      </x:c>
    </x:row>
    <x:row r="2" spans="1:15" x14ac:dyDescent="0.2">
      <x:c r="G2" s="162" t="n">
        <x:v>1001310</x:v>
      </x:c>
      <x:c r="H2" s="162" t="s">
        <x:v>54</x:v>
      </x:c>
      <x:c r="M2" s="300" t="s">
        <x:v>64</x:v>
      </x:c>
      <x:c r="N2" s="301" t="n">
        <x:v>1020824706</x:v>
      </x:c>
      <x:c r="O2" s="162" t="s">
        <x:v>65</x:v>
      </x:c>
    </x:row>
    <x:row r="3" spans="1:15" x14ac:dyDescent="0.2">
      <x:c r="G3" s="162" t="n">
        <x:v>1012729</x:v>
      </x:c>
      <x:c r="H3" s="162" t="s">
        <x:v>66</x:v>
      </x:c>
      <x:c r="M3" s="300" t="s">
        <x:v>67</x:v>
      </x:c>
      <x:c r="N3" s="301" t="n">
        <x:v>99990000462537</x:v>
      </x:c>
      <x:c r="O3" s="162" t="s">
        <x:v>68</x:v>
      </x:c>
    </x:row>
    <x:row r="4" spans="1:15" x14ac:dyDescent="0.2">
      <x:c r="G4" s="162" t="n">
        <x:v>1012730</x:v>
      </x:c>
      <x:c r="H4" s="162" t="s">
        <x:v>69</x:v>
      </x:c>
      <x:c r="M4" s="300" t="s">
        <x:v>70</x:v>
      </x:c>
      <x:c r="N4" s="301" t="n">
        <x:v>1022186351</x:v>
      </x:c>
      <x:c r="O4" s="162" t="s">
        <x:v>71</x:v>
      </x:c>
    </x:row>
    <x:row r="5" spans="1:15" x14ac:dyDescent="0.2">
      <x:c r="G5" s="162" t="n">
        <x:v>1012731</x:v>
      </x:c>
      <x:c r="H5" s="162" t="s">
        <x:v>72</x:v>
      </x:c>
      <x:c r="M5" s="300" t="s">
        <x:v>73</x:v>
      </x:c>
      <x:c r="N5" s="301" t="s"/>
      <x:c r="O5" s="162" t="s">
        <x:v>74</x:v>
      </x:c>
    </x:row>
    <x:row r="6" spans="1:15" x14ac:dyDescent="0.2">
      <x:c r="G6" s="162" t="n">
        <x:v>1012732</x:v>
      </x:c>
      <x:c r="H6" s="162" t="s">
        <x:v>75</x:v>
      </x:c>
      <x:c r="M6" s="300" t="s">
        <x:v>76</x:v>
      </x:c>
      <x:c r="N6" s="301" t="s">
        <x:v>77</x:v>
      </x:c>
      <x:c r="O6" s="162" t="s">
        <x:v>78</x:v>
      </x:c>
    </x:row>
    <x:row r="7" spans="1:15" x14ac:dyDescent="0.2">
      <x:c r="G7" s="162" t="n">
        <x:v>1012733</x:v>
      </x:c>
      <x:c r="H7" s="162" t="s">
        <x:v>79</x:v>
      </x:c>
      <x:c r="M7" s="300" t="s">
        <x:v>80</x:v>
      </x:c>
      <x:c r="N7" s="301" t="n">
        <x:v>0</x:v>
      </x:c>
      <x:c r="O7" s="162" t="s">
        <x:v>81</x:v>
      </x:c>
    </x:row>
    <x:row r="8" spans="1:15" x14ac:dyDescent="0.2">
      <x:c r="G8" s="162" t="n">
        <x:v>1012735</x:v>
      </x:c>
      <x:c r="H8" s="162" t="s">
        <x:v>82</x:v>
      </x:c>
      <x:c r="O8" s="162" t="s">
        <x:v>83</x:v>
      </x:c>
    </x:row>
    <x:row r="9" spans="1:15" x14ac:dyDescent="0.2">
      <x:c r="G9" s="162" t="n">
        <x:v>1012736</x:v>
      </x:c>
      <x:c r="H9" s="162" t="s">
        <x:v>84</x:v>
      </x:c>
      <x:c r="O9" s="162" t="s">
        <x:v>85</x:v>
      </x:c>
    </x:row>
    <x:row r="10" spans="1:15" x14ac:dyDescent="0.2">
      <x:c r="G10" s="162" t="n">
        <x:v>1012737</x:v>
      </x:c>
      <x:c r="H10" s="162" t="s">
        <x:v>86</x:v>
      </x:c>
      <x:c r="O10" s="162" t="s">
        <x:v>87</x:v>
      </x:c>
    </x:row>
    <x:row r="11" spans="1:15" x14ac:dyDescent="0.2">
      <x:c r="G11" s="162" t="n">
        <x:v>1012741</x:v>
      </x:c>
      <x:c r="H11" s="162" t="s">
        <x:v>88</x:v>
      </x:c>
      <x:c r="O11" s="162" t="s">
        <x:v>89</x:v>
      </x:c>
    </x:row>
    <x:row r="12" spans="1:15" x14ac:dyDescent="0.2">
      <x:c r="G12" s="162" t="n">
        <x:v>1012742</x:v>
      </x:c>
      <x:c r="H12" s="162" t="s">
        <x:v>90</x:v>
      </x:c>
      <x:c r="O12" s="162" t="s">
        <x:v>91</x:v>
      </x:c>
    </x:row>
    <x:row r="13" spans="1:15" x14ac:dyDescent="0.2">
      <x:c r="G13" s="162" t="n">
        <x:v>1012743</x:v>
      </x:c>
      <x:c r="H13" s="162" t="s">
        <x:v>92</x:v>
      </x:c>
      <x:c r="O13" s="162" t="s">
        <x:v>93</x:v>
      </x:c>
    </x:row>
    <x:row r="14" spans="1:15" x14ac:dyDescent="0.2">
      <x:c r="G14" s="162" t="n">
        <x:v>1012744</x:v>
      </x:c>
      <x:c r="H14" s="162" t="s">
        <x:v>94</x:v>
      </x:c>
      <x:c r="O14" s="162" t="s">
        <x:v>95</x:v>
      </x:c>
    </x:row>
    <x:row r="15" spans="1:15" x14ac:dyDescent="0.2">
      <x:c r="G15" s="162" t="n">
        <x:v>1020032</x:v>
      </x:c>
      <x:c r="H15" s="162" t="s">
        <x:v>96</x:v>
      </x:c>
      <x:c r="O15" s="162" t="s">
        <x:v>97</x:v>
      </x:c>
    </x:row>
    <x:row r="16" spans="1:15" x14ac:dyDescent="0.2">
      <x:c r="O16" s="162" t="s">
        <x:v>98</x:v>
      </x:c>
    </x:row>
    <x:row r="17" spans="1:15" x14ac:dyDescent="0.2">
      <x:c r="O17" s="162" t="s">
        <x:v>99</x:v>
      </x:c>
    </x:row>
    <x:row r="18" spans="1:15" x14ac:dyDescent="0.2">
      <x:c r="O18" s="162" t="s">
        <x:v>100</x:v>
      </x:c>
    </x:row>
    <x:row r="19" spans="1:15" x14ac:dyDescent="0.2">
      <x:c r="O19" s="162" t="s">
        <x:v>101</x:v>
      </x:c>
    </x:row>
    <x:row r="20" spans="1:15" x14ac:dyDescent="0.2">
      <x:c r="O20" s="162" t="s">
        <x:v>102</x:v>
      </x:c>
    </x:row>
    <x:row r="21" spans="1:15" x14ac:dyDescent="0.2">
      <x:c r="O21" s="162" t="s">
        <x:v>103</x:v>
      </x:c>
    </x:row>
    <x:row r="22" spans="1:15" x14ac:dyDescent="0.2">
      <x:c r="O22" s="162" t="s">
        <x:v>104</x:v>
      </x:c>
    </x:row>
    <x:row r="23" spans="1:15" x14ac:dyDescent="0.2">
      <x:c r="O23" s="162" t="s">
        <x:v>105</x:v>
      </x:c>
    </x:row>
    <x:row r="24" spans="1:15" x14ac:dyDescent="0.2">
      <x:c r="O24" s="162" t="s">
        <x:v>106</x:v>
      </x:c>
    </x:row>
    <x:row r="25" spans="1:15" x14ac:dyDescent="0.2">
      <x:c r="O25" s="162" t="s">
        <x:v>107</x:v>
      </x:c>
    </x:row>
    <x:row r="26" spans="1:15" x14ac:dyDescent="0.2">
      <x:c r="O26" s="162" t="s">
        <x:v>108</x:v>
      </x:c>
    </x:row>
    <x:row r="27" spans="1:15" x14ac:dyDescent="0.2">
      <x:c r="O27" s="162" t="s">
        <x:v>109</x:v>
      </x:c>
    </x:row>
    <x:row r="28" spans="1:15" x14ac:dyDescent="0.2">
      <x:c r="O28" s="162" t="s">
        <x:v>110</x:v>
      </x:c>
    </x:row>
    <x:row r="29" spans="1:15" x14ac:dyDescent="0.2">
      <x:c r="O29" s="162" t="s">
        <x:v>111</x:v>
      </x:c>
    </x:row>
    <x:row r="30" spans="1:15" x14ac:dyDescent="0.2">
      <x:c r="O30" s="162" t="s">
        <x:v>112</x:v>
      </x:c>
    </x:row>
    <x:row r="31" spans="1:15" x14ac:dyDescent="0.2">
      <x:c r="O31" s="162" t="s">
        <x:v>113</x:v>
      </x:c>
    </x:row>
    <x:row r="32" spans="1:15" x14ac:dyDescent="0.2">
      <x:c r="O32" s="162" t="s">
        <x:v>114</x:v>
      </x:c>
    </x:row>
    <x:row r="33" spans="1:15" x14ac:dyDescent="0.2">
      <x:c r="O33" s="162" t="s">
        <x:v>115</x:v>
      </x:c>
    </x:row>
    <x:row r="34" spans="1:15" x14ac:dyDescent="0.2">
      <x:c r="O34" s="162" t="s">
        <x:v>116</x:v>
      </x:c>
    </x:row>
    <x:row r="35" spans="1:15" x14ac:dyDescent="0.2">
      <x:c r="O35" s="162" t="s">
        <x:v>117</x:v>
      </x:c>
    </x:row>
    <x:row r="36" spans="1:15" x14ac:dyDescent="0.2">
      <x:c r="O36" s="162" t="s">
        <x:v>118</x:v>
      </x:c>
    </x:row>
    <x:row r="37" spans="1:15" x14ac:dyDescent="0.2">
      <x:c r="O37" s="162" t="s">
        <x:v>119</x:v>
      </x:c>
    </x:row>
    <x:row r="38" spans="1:15" x14ac:dyDescent="0.2">
      <x:c r="O38" s="162" t="s">
        <x:v>120</x:v>
      </x:c>
    </x:row>
    <x:row r="39" spans="1:15" x14ac:dyDescent="0.2">
      <x:c r="O39" s="162" t="s">
        <x:v>121</x:v>
      </x:c>
    </x:row>
    <x:row r="40" spans="1:15" x14ac:dyDescent="0.2">
      <x:c r="O40" s="162" t="s">
        <x:v>122</x:v>
      </x:c>
    </x:row>
    <x:row r="41" spans="1:15" x14ac:dyDescent="0.2">
      <x:c r="O41" s="162" t="s">
        <x:v>123</x:v>
      </x:c>
    </x:row>
    <x:row r="42" spans="1:15" x14ac:dyDescent="0.2">
      <x:c r="O42" s="162" t="s">
        <x:v>124</x:v>
      </x:c>
    </x:row>
    <x:row r="43" spans="1:15" x14ac:dyDescent="0.2">
      <x:c r="O43" s="162" t="s">
        <x:v>125</x:v>
      </x:c>
    </x:row>
    <x:row r="44" spans="1:15" x14ac:dyDescent="0.2">
      <x:c r="O44" s="162" t="s">
        <x:v>126</x:v>
      </x:c>
    </x:row>
    <x:row r="45" spans="1:15" x14ac:dyDescent="0.2">
      <x:c r="O45" s="162" t="s">
        <x:v>127</x:v>
      </x:c>
    </x:row>
    <x:row r="46" spans="1:15" x14ac:dyDescent="0.2">
      <x:c r="O46" s="162" t="s">
        <x:v>128</x:v>
      </x:c>
    </x:row>
    <x:row r="47" spans="1:15" x14ac:dyDescent="0.2">
      <x:c r="O47" s="162" t="s">
        <x:v>129</x:v>
      </x:c>
    </x:row>
    <x:row r="48" spans="1:15" x14ac:dyDescent="0.2">
      <x:c r="O48" s="162" t="s">
        <x:v>130</x:v>
      </x:c>
    </x:row>
    <x:row r="49" spans="1:15" x14ac:dyDescent="0.2">
      <x:c r="O49" s="162" t="s">
        <x:v>131</x:v>
      </x:c>
    </x:row>
    <x:row r="50" spans="1:15" x14ac:dyDescent="0.2">
      <x:c r="O50" s="162" t="s">
        <x:v>132</x:v>
      </x:c>
    </x:row>
    <x:row r="51" spans="1:15" x14ac:dyDescent="0.2">
      <x:c r="O51" s="162" t="s">
        <x:v>133</x:v>
      </x:c>
    </x:row>
    <x:row r="52" spans="1:15" x14ac:dyDescent="0.2">
      <x:c r="O52" s="162" t="s">
        <x:v>134</x:v>
      </x:c>
    </x:row>
    <x:row r="53" spans="1:15" x14ac:dyDescent="0.2">
      <x:c r="O53" s="162" t="s">
        <x:v>135</x:v>
      </x:c>
    </x:row>
    <x:row r="54" spans="1:15" x14ac:dyDescent="0.2">
      <x:c r="O54" s="162" t="s">
        <x:v>136</x:v>
      </x:c>
    </x:row>
    <x:row r="55" spans="1:15" x14ac:dyDescent="0.2">
      <x:c r="O55" s="162" t="s">
        <x:v>137</x:v>
      </x:c>
    </x:row>
    <x:row r="56" spans="1:15" x14ac:dyDescent="0.2">
      <x:c r="O56" s="162" t="s">
        <x:v>138</x:v>
      </x:c>
    </x:row>
    <x:row r="57" spans="1:15" x14ac:dyDescent="0.2">
      <x:c r="O57" s="162" t="s">
        <x:v>139</x:v>
      </x:c>
    </x:row>
    <x:row r="58" spans="1:15" x14ac:dyDescent="0.2">
      <x:c r="O58" s="162" t="s">
        <x:v>140</x:v>
      </x:c>
    </x:row>
    <x:row r="59" spans="1:15" x14ac:dyDescent="0.2">
      <x:c r="O59" s="162" t="s">
        <x:v>141</x:v>
      </x:c>
    </x:row>
    <x:row r="60" spans="1:15" x14ac:dyDescent="0.2">
      <x:c r="O60" s="162" t="s">
        <x:v>142</x:v>
      </x:c>
    </x:row>
    <x:row r="61" spans="1:15" x14ac:dyDescent="0.2">
      <x:c r="O61" s="162" t="s">
        <x:v>143</x:v>
      </x:c>
    </x:row>
    <x:row r="62" spans="1:15" x14ac:dyDescent="0.2">
      <x:c r="O62" s="162" t="s">
        <x:v>144</x:v>
      </x:c>
    </x:row>
    <x:row r="63" spans="1:15" x14ac:dyDescent="0.2">
      <x:c r="O63" s="162" t="s">
        <x:v>145</x:v>
      </x:c>
    </x:row>
    <x:row r="64" spans="1:15" x14ac:dyDescent="0.2">
      <x:c r="O64" s="162" t="s">
        <x:v>146</x:v>
      </x:c>
    </x:row>
    <x:row r="65" spans="1:15" x14ac:dyDescent="0.2">
      <x:c r="O65" s="162" t="s">
        <x:v>147</x:v>
      </x:c>
    </x:row>
    <x:row r="66" spans="1:15" x14ac:dyDescent="0.2">
      <x:c r="O66" s="162" t="s">
        <x:v>148</x:v>
      </x:c>
    </x:row>
    <x:row r="67" spans="1:15" x14ac:dyDescent="0.2">
      <x:c r="O67" s="162" t="s">
        <x:v>149</x:v>
      </x:c>
    </x:row>
    <x:row r="68" spans="1:15" x14ac:dyDescent="0.2">
      <x:c r="O68" s="162" t="s">
        <x:v>150</x:v>
      </x:c>
    </x:row>
    <x:row r="69" spans="1:15" x14ac:dyDescent="0.2">
      <x:c r="O69" s="162" t="s">
        <x:v>151</x:v>
      </x:c>
    </x:row>
    <x:row r="70" spans="1:15" x14ac:dyDescent="0.2">
      <x:c r="O70" s="162" t="s">
        <x:v>152</x:v>
      </x:c>
    </x:row>
  </x:sheetData>
  <x:sortState xmlns:xlrd2="http://schemas.microsoft.com/office/spreadsheetml/2017/richdata2"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>
    <x:outlinePr summaryBelow="1" summaryRight="1"/>
  </x:sheetPr>
  <x:dimension ref="A1"/>
  <x:sheetViews>
    <x:sheetView workbookViewId="0"/>
  </x:sheetViews>
  <x:sheetFormatPr defaultRowHeight="15"/>
  <x:sheetData/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ap:HeadingPairs>
  <ap:TitlesOfParts>
    <vt:vector baseType="lpstr" size="67">
      <vt:lpstr>Quote</vt:lpstr>
      <vt:lpstr>MasterData</vt:lpstr>
      <vt:lpstr>Hide Unhide</vt:lpstr>
      <vt:lpstr>Quote!Print_Area</vt:lpstr>
      <vt:lpstr>Quote!Print_Titles</vt:lpstr>
      <vt:lpstr>MasterData!Print_Area</vt:lpstr>
      <vt:lpstr>MasterData!Print_Titles</vt:lpstr>
      <vt:lpstr>Hide Unhide!Print_Area</vt:lpstr>
      <vt:lpstr>Hide Unhide!Print_Titles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GenPro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Nithin Jaison (MA-IN)</lastModifiedBy>
  <lastPrinted>2012-10-28T13:38:36.0000000Z</lastPrinted>
  <dcterms:created xsi:type="dcterms:W3CDTF">2006-01-23T19:37:33.0000000Z</dcterms:created>
  <dcterms:modified xsi:type="dcterms:W3CDTF">2020-03-05T06:25:57.8098909Z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