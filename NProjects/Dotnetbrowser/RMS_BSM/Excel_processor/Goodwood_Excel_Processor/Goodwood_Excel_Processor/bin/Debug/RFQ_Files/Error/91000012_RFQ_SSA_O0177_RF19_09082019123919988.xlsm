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x:workbook xmlns:x15ac="http://schemas.microsoft.com/office/spreadsheetml/2010/11/ac" xmlns:r="http://schemas.openxmlformats.org/officeDocument/2006/relationships" xmlns:mc="http://schemas.openxmlformats.org/markup-compatibility/2006" xmlns:x15="http://schemas.microsoft.com/office/spreadsheetml/2010/11/main" xmlns:x="http://schemas.openxmlformats.org/spreadsheetml/2006/main" mc:Ignorable="x15">
  <x:fileVersion appName="xl" lastEdited="7" lowestEdited="5" rupBuild="18431" codeName="{B1203076-2D4D-A25B-A398-973B695A806A}"/>
  <x:workbookPr showInkAnnotation="0" codeName="ThisWorkbook" defaultThemeVersion="124226"/>
  <mc:AlternateContent xmlns:mc="http://schemas.openxmlformats.org/markup-compatibility/2006">
    <mc:Choice Requires="x15">
      <x15ac:absPath xmlns:x15ac="http://schemas.microsoft.com/office/spreadsheetml/2010/11/ac" url="E:\MariApps.PALVE\MariApps.PALVE.ApiService\ExcelTemplate\"/>
    </mc:Choice>
  </mc:AlternateContent>
  <x:bookViews>
    <x:workbookView xWindow="480" yWindow="180" windowWidth="16530" windowHeight="9435" firstSheet="0" activeTab="0"/>
  </x:bookViews>
  <x:sheets>
    <x:sheet name="Quote" sheetId="1" r:id="rId1"/>
    <x:sheet name="MasterData" sheetId="2" state="hidden" r:id="rId2"/>
  </x:sheets>
  <x:functionGroups builtInGroupCount="18"/>
  <x:definedNames>
    <x:definedName name="_xlnm.Print_Area" localSheetId="0">'Quote'!$A$1:$S$195</x:definedName>
    <x:definedName name="BCCEmailId">'Quote'!$N$175</x:definedName>
    <x:definedName name="BuyerRemarks">'Quote'!$F$177</x:definedName>
    <x:definedName name="CompanyAddress">Quote!$A$5</x:definedName>
    <x:definedName name="CompanyName">Quote!$A$4</x:definedName>
    <x:definedName name="Currency">Quote!$O$14</x:definedName>
    <x:definedName name="Days">Quote!$Q$11</x:definedName>
    <x:definedName name="Discount_All">Quote!$O$15</x:definedName>
    <x:definedName name="Enquiry_ID">'Quote'!$A$175</x:definedName>
    <x:definedName name="Enquiry_To_Vendor_ID">'Quote'!$C$175</x:definedName>
    <x:definedName name="ErrorMessage">'Quote'!$Q$175</x:definedName>
    <x:definedName name="GrandTotal">'Quote'!$P$174</x:definedName>
    <x:definedName name="HeaderID">MasterData!$N$4</x:definedName>
    <x:definedName name="ItemID">Quote!$B$19</x:definedName>
    <x:definedName name="ItemListEndRow">'Quote'!$A$167</x:definedName>
    <x:definedName name="ItemListStartupRow">Quote!$A$19</x:definedName>
    <x:definedName name="ItemSubTotal">'Quote'!$P$173</x:definedName>
    <x:definedName name="ItemSubTotalTitle">'Quote'!$L$173</x:definedName>
    <x:definedName name="LoggedInEmailID">'Quote'!$J$175</x:definedName>
    <x:definedName name="LoggedInPwd">'Quote'!$K$175</x:definedName>
    <x:definedName name="OtherChargesLastRow">'Quote'!$A$173</x:definedName>
    <x:definedName name="OtherChargesStartRow">'Quote'!$A$168</x:definedName>
    <x:definedName name="PackingInstruction">'Quote'!$F$178</x:definedName>
    <x:definedName name="Payment_Terms">Quote!$O$11</x:definedName>
    <x:definedName name="PortOfDelivery">Quote!$O$9</x:definedName>
    <x:definedName name="QuoteBefore">Quote!$O$8</x:definedName>
    <x:definedName name="QuoteID">MasterData!$N$7</x:definedName>
    <x:definedName name="QuoteSubject">'Quote'!$E$175</x:definedName>
    <x:definedName name="ReqNumber">Quote!$O$7</x:definedName>
    <x:definedName name="RequestForQuoteID">MasterData!$N$3</x:definedName>
    <x:definedName name="RFQ_ID">MasterData!$N$2</x:definedName>
    <x:definedName name="RFQCategory">MasterData!$N$6</x:definedName>
    <x:definedName name="RFQDate">Quote!$O$6</x:definedName>
    <x:definedName name="RFQFileType">MasterData!$N$1</x:definedName>
    <x:definedName name="RFQNumber">Quote!$O$5</x:definedName>
    <x:definedName name="SentDate">'Quote'!$M$175</x:definedName>
    <x:definedName name="SentIndex">'Quote'!$F$175</x:definedName>
    <x:definedName name="ToEmailID">'Quote'!$G$175</x:definedName>
    <x:definedName name="ToEmailPwd">'Quote'!$H$175</x:definedName>
    <x:definedName name="VAT_All">Quote!$O$16</x:definedName>
    <x:definedName name="Vendor_ID">'Quote'!$B$175</x:definedName>
    <x:definedName name="VendorAddress">Quote!$D$14</x:definedName>
    <x:definedName name="VendorAddressCity">Quote!$D$15</x:definedName>
    <x:definedName name="VendorAddressEmail">Quote!$D$17</x:definedName>
    <x:definedName name="VendorAddressPhone">Quote!$D$16</x:definedName>
    <x:definedName name="VendorEmailID">'Quote'!$D$175</x:definedName>
    <x:definedName name="VendorID">MasterData!$N$5</x:definedName>
    <x:definedName name="VendorName">Quote!$D$13</x:definedName>
    <x:definedName name="VendorReference">Quote!$O$12</x:definedName>
    <x:definedName name="VendorRemarks">'Quote'!$F$179</x:definedName>
    <x:definedName name="VesselETA">Quote!$O$10</x:definedName>
    <x:definedName name="VesselName">Quote!$O$4</x:definedName>
    <x:definedName name="SubItemTotal">'Quote'!$P$165:$P$165</x:definedName>
  </x:definedNames>
  <x:calcPr calcId="171027"/>
</x:workbook>
</file>

<file path=xl/calcChain.xml><?xml version="1.0" encoding="utf-8"?>
<x:calcChain xmlns:x="http://schemas.openxmlformats.org/spreadsheetml/2006/main">
  <x:c r="L19" i="1"/>
  <x:c r="P21" i="1"/>
  <x:c r="P22" i="1"/>
  <x:c r="P23" i="1"/>
  <x:c r="P24" i="1"/>
  <x:c r="P25" i="1"/>
  <x:c r="P26" i="1"/>
  <x:c r="P27" i="1"/>
  <x:c r="P28" i="1"/>
  <x:c r="P29" i="1"/>
  <x:c r="P30" i="1"/>
  <x:c r="P31" i="1"/>
  <x:c r="P32" i="1"/>
  <x:c r="P33" i="1"/>
  <x:c r="P34" i="1"/>
  <x:c r="P35" i="1"/>
  <x:c r="P36" i="1"/>
  <x:c r="P37" i="1"/>
  <x:c r="P38" i="1"/>
  <x:c r="P39" i="1"/>
  <x:c r="P40" i="1"/>
  <x:c r="P41" i="1"/>
  <x:c r="P42" i="1"/>
  <x:c r="P43" i="1"/>
  <x:c r="P44" i="1"/>
  <x:c r="P45" i="1"/>
  <x:c r="P46" i="1"/>
  <x:c r="P47" i="1"/>
  <x:c r="P48" i="1"/>
  <x:c r="P49" i="1"/>
  <x:c r="P50" i="1"/>
  <x:c r="P51" i="1"/>
  <x:c r="P52" i="1"/>
  <x:c r="P53" i="1"/>
  <x:c r="P54" i="1"/>
  <x:c r="P55" i="1"/>
  <x:c r="P56" i="1"/>
  <x:c r="P57" i="1"/>
  <x:c r="P58" i="1"/>
  <x:c r="P59" i="1"/>
  <x:c r="P60" i="1"/>
  <x:c r="P61" i="1"/>
  <x:c r="P62" i="1"/>
  <x:c r="P63" i="1"/>
  <x:c r="P64" i="1"/>
  <x:c r="P65" i="1"/>
  <x:c r="P66" i="1"/>
  <x:c r="P67" i="1"/>
  <x:c r="P68" i="1"/>
  <x:c r="P69" i="1"/>
  <x:c r="P70" i="1"/>
  <x:c r="P71" i="1"/>
  <x:c r="P72" i="1"/>
  <x:c r="P73" i="1"/>
  <x:c r="P74" i="1"/>
  <x:c r="P75" i="1"/>
  <x:c r="P76" i="1"/>
  <x:c r="P77" i="1"/>
  <x:c r="P78" i="1"/>
  <x:c r="P79" i="1"/>
  <x:c r="P80" i="1"/>
  <x:c r="P81" i="1"/>
  <x:c r="P82" i="1"/>
  <x:c r="P83" i="1"/>
  <x:c r="P84" i="1"/>
  <x:c r="P85" i="1"/>
  <x:c r="P86" i="1"/>
  <x:c r="P87" i="1"/>
  <x:c r="P88" i="1"/>
  <x:c r="P89" i="1"/>
  <x:c r="P90" i="1"/>
  <x:c r="P91" i="1"/>
  <x:c r="P92" i="1"/>
  <x:c r="P93" i="1"/>
  <x:c r="P94" i="1"/>
  <x:c r="P95" i="1"/>
  <x:c r="P96" i="1"/>
  <x:c r="P97" i="1"/>
  <x:c r="P98" i="1"/>
  <x:c r="P99" i="1"/>
  <x:c r="P100" i="1"/>
  <x:c r="P101" i="1"/>
  <x:c r="P102" i="1"/>
  <x:c r="P103" i="1"/>
  <x:c r="P104" i="1"/>
  <x:c r="P105" i="1"/>
  <x:c r="P106" i="1"/>
  <x:c r="P107" i="1"/>
  <x:c r="P108" i="1"/>
  <x:c r="P109" i="1"/>
  <x:c r="P110" i="1"/>
  <x:c r="P111" i="1"/>
  <x:c r="P112" i="1"/>
  <x:c r="P113" i="1"/>
  <x:c r="P114" i="1"/>
  <x:c r="P115" i="1"/>
  <x:c r="P116" i="1"/>
  <x:c r="P117" i="1"/>
  <x:c r="P118" i="1"/>
  <x:c r="P119" i="1"/>
  <x:c r="P120" i="1"/>
  <x:c r="P121" i="1"/>
  <x:c r="P122" i="1"/>
  <x:c r="P123" i="1"/>
  <x:c r="P124" i="1"/>
  <x:c r="P125" i="1"/>
  <x:c r="P126" i="1"/>
  <x:c r="P127" i="1"/>
  <x:c r="P128" i="1"/>
  <x:c r="P129" i="1"/>
  <x:c r="P130" i="1"/>
  <x:c r="P131" i="1"/>
  <x:c r="P132" i="1"/>
  <x:c r="P133" i="1"/>
  <x:c r="P134" i="1"/>
  <x:c r="P135" i="1"/>
  <x:c r="P136" i="1"/>
  <x:c r="P137" i="1"/>
  <x:c r="P138" i="1"/>
  <x:c r="P139" i="1"/>
  <x:c r="P140" i="1"/>
  <x:c r="P141" i="1"/>
  <x:c r="P142" i="1"/>
  <x:c r="P143" i="1"/>
  <x:c r="P144" i="1"/>
  <x:c r="P145" i="1"/>
  <x:c r="P146" i="1"/>
  <x:c r="P147" i="1"/>
  <x:c r="P148" i="1"/>
  <x:c r="P149" i="1"/>
  <x:c r="P150" i="1"/>
  <x:c r="P151" i="1"/>
  <x:c r="P152" i="1"/>
  <x:c r="P153" i="1"/>
  <x:c r="P154" i="1"/>
  <x:c r="P155" i="1"/>
  <x:c r="P156" i="1"/>
  <x:c r="P157" i="1"/>
  <x:c r="P158" i="1"/>
  <x:c r="P159" i="1"/>
  <x:c r="P160" i="1"/>
  <x:c r="P161" i="1"/>
  <x:c r="P162" i="1"/>
  <x:c r="P163" i="1"/>
  <x:c r="P164" i="1"/>
  <x:c r="P165" i="1"/>
  <x:c r="P169" i="1"/>
  <x:c r="P170" i="1"/>
  <x:c r="P171" i="1"/>
  <x:c r="P172" i="1"/>
  <x:c r="P173" i="1"/>
  <x:c r="P174" i="1"/>
</x:calcChain>
</file>

<file path=xl/sharedStrings.xml><?xml version="1.0" encoding="utf-8"?>
<x:sst xmlns:x="http://schemas.openxmlformats.org/spreadsheetml/2006/main" count="472" uniqueCount="472">
  <x:si>
    <x:t>Request for Quote</x:t>
  </x:si>
  <x:si>
    <x:t>Vessel \ Company Details</x:t>
  </x:si>
  <x:si>
    <x:t>BERNHARD SCHULTE SHIPMANAGEMENT (HELLAS) SPLLC</x:t>
  </x:si>
  <x:si>
    <x:t>Vessel</x:t>
  </x:si>
  <x:si>
    <x:t>Coral Shasta</x:t>
  </x:si>
  <x:si>
    <x:t>SEACHEF - HOSPITALITY SERVICES,</x:t>
  </x:si>
  <x:si>
    <x:t>RFQ No.</x:t>
  </x:si>
  <x:si>
    <x:t>SSA/O0177/RF19</x:t>
  </x:si>
  <x:si>
    <x:t>BERNHARD SCHULTE SHIPMANAGEMENT (L) LTD.,</x:t>
  </x:si>
  <x:si>
    <x:t>RFQ Date</x:t>
  </x:si>
  <x:si>
    <x:t>C\O Bernhard Schulte Shipmanagement (India) Pvt. Limited</x:t>
  </x:si>
  <x:si>
    <x:t>401 Olympia, Hiranandani Gardens, Powai, Mumbai 400 076, India</x:t>
  </x:si>
  <x:si>
    <x:t>Submit Quote Before:</x:t>
  </x:si>
  <x:si>
    <x:t>Tel: +91-22-40017300        Fax: +91-22-40017555</x:t>
  </x:si>
  <x:si>
    <x:t>Port of Delivery</x:t>
  </x:si>
  <x:si>
    <x:t>Singapore</x:t>
  </x:si>
  <x:si>
    <x:t>Email:</x:t>
  </x:si>
  <x:si>
    <x:t>seachef@seachef.com</x:t>
  </x:si>
  <x:si>
    <x:t>Vessel ETA</x:t>
  </x:si>
  <x:si>
    <x:t>Web:</x:t>
  </x:si>
  <x:si>
    <x:t>www.seachef.com /  www.bs-shipmanagement.com</x:t>
  </x:si>
  <x:si>
    <x:t>Payment Terms</x:t>
  </x:si>
  <x:si>
    <x:t>Credit</x:t>
  </x:si>
  <x:si>
    <x:t>Days</x:t>
  </x:si>
  <x:si>
    <x:t>Vendor Details</x:t>
  </x:si>
  <x:si>
    <x:t xml:space="preserve">Vendor Reference </x:t>
  </x:si>
  <x:si>
    <x:t>Name</x:t>
  </x:si>
  <x:si>
    <x:t>AMOS INTERNATIONAL (S) PTE LTD</x:t>
  </x:si>
  <x:si>
    <x:t>Address</x:t>
  </x:si>
  <x:si>
    <x:t>156 Gul Circle, Singapore 629613</x:t>
  </x:si>
  <x:si>
    <x:r>
      <x:rPr>
        <x:b/>
        <x:vertAlign val="baseline"/>
        <x:sz val="10"/>
        <x:color theme="0" tint="-0.249977111117893"/>
        <x:rFont val="Calibri"/>
        <x:family val="2"/>
      </x:rPr>
      <x:t xml:space="preserve">Select Currency </x:t>
    </x:r>
    <x:r>
      <x:rPr>
        <x:b/>
        <x:vertAlign val="baseline"/>
        <x:sz val="12"/>
        <x:color rgb="FFFF0000"/>
        <x:rFont val="Calibri"/>
        <x:family val="2"/>
      </x:rPr>
      <x:t>*</x:t>
    </x:r>
  </x:si>
  <x:si>
    <x:t>SGD</x:t>
  </x:si>
  <x:si>
    <x:t>City</x:t>
  </x:si>
  <x:si>
    <x:t>Discount (%) for all items</x:t>
  </x:si>
  <x:si>
    <x:t>0</x:t>
  </x:si>
  <x:si>
    <x:t>Phone</x:t>
  </x:si>
  <x:si>
    <x:t>VAT(%) for all items</x:t>
  </x:si>
  <x:si>
    <x:t>Email</x:t>
  </x:si>
  <x:si>
    <x:t>sales.ms.sg@amosgroup.com</x:t>
  </x:si>
  <x:si>
    <x:t>No</x:t>
  </x:si>
  <x:si>
    <x:t>Product Code</x:t>
  </x:si>
  <x:si>
    <x:t>Description</x:t>
  </x:si>
  <x:si>
    <x:t>Brand</x:t>
  </x:si>
  <x:si>
    <x:t>Weight</x:t>
  </x:si>
  <x:si>
    <x:t>Unit</x:t>
  </x:si>
  <x:si>
    <x:t>Package</x:t>
  </x:si>
  <x:si>
    <x:t>Contract Price</x:t>
  </x:si>
  <x:si>
    <x:t>Quantity</x:t>
  </x:si>
  <x:si>
    <x:t>Discount %</x:t>
  </x:si>
  <x:si>
    <x:t>VAT %</x:t>
  </x:si>
  <x:si>
    <x:t>Total Price</x:t>
  </x:si>
  <x:si>
    <x:t>Vendor Remarks</x:t>
  </x:si>
  <x:si>
    <x:t>Office Remarks</x:t>
  </x:si>
  <x:si>
    <x:t>GENERAL STORES - CP</x:t>
  </x:si>
  <x:si>
    <x:t>RS 180-9720</x:t>
  </x:si>
  <x:si>
    <x:t xml:space="preserve">RS PRO Chair (Siesta) </x:t>
  </x:si>
  <x:si>
    <x:t>PCS</x:t>
  </x:si>
  <x:si>
    <x:t xml:space="preserve">DRILL H.S.S. MORSE TAPER SHANK, LONG TWIST 23.0X450MM </x:t>
  </x:si>
  <x:si>
    <x:t xml:space="preserve">ANTI-SPLASHING TAPE 35MM X 10MTR </x:t>
  </x:si>
  <x:si>
    <x:t>RLS</x:t>
  </x:si>
  <x:si>
    <x:t>**APPROVED BV/ABS/DNV "T-ISS" GERMANY MAKE</x:t>
  </x:si>
  <x:si>
    <x:t xml:space="preserve">ANTI-SPLASHING TAPE 50MM X 10MTR </x:t>
  </x:si>
  <x:si>
    <x:t xml:space="preserve">ANTI-SPLASHING TAPE 75MM X 10MTR </x:t>
  </x:si>
  <x:si>
    <x:t>**APPROVAL BV/ABS/DNV "T-ISS" GERMANY MAKE</x:t>
  </x:si>
  <x:si>
    <x:t>KERGER 182318</x:t>
  </x:si>
  <x:si>
    <x:t xml:space="preserve">ALC.BATT.   9V TRANS VARTA </x:t>
  </x:si>
  <x:si>
    <x:t>KERGER 182240</x:t>
  </x:si>
  <x:si>
    <x:t xml:space="preserve">ALC.BATT. 1,5V VARTA SIZE AA </x:t>
  </x:si>
  <x:si>
    <x:t xml:space="preserve">BAKELITE SHEET, 3X1000X1000MM </x:t>
  </x:si>
  <x:si>
    <x:t>SHT</x:t>
  </x:si>
  <x:si>
    <x:t>KERGER 182220</x:t>
  </x:si>
  <x:si>
    <x:t xml:space="preserve">BATT.ALC. 1,5V LR03 GP </x:t>
  </x:si>
  <x:si>
    <x:t>KERGER 182268</x:t>
  </x:si>
  <x:si>
    <x:t xml:space="preserve">BATT.ALC. 1,5V LR20 GP </x:t>
  </x:si>
  <x:si>
    <x:t>KERGER 182210</x:t>
  </x:si>
  <x:si>
    <x:t xml:space="preserve">BATT.ALC. 1,5V MN9100 LADY LR1
DU </x:t>
  </x:si>
  <x:si>
    <x:t>KERGER 682210</x:t>
  </x:si>
  <x:si>
    <x:t xml:space="preserve">BERTH LIGHT STAINL ST E27 </x:t>
  </x:si>
  <x:si>
    <x:t>KERGER 323760</x:t>
  </x:si>
  <x:si>
    <x:t xml:space="preserve">BOX W. ROLLS MARKINGTAPE 0/9 </x:t>
  </x:si>
  <x:si>
    <x:t>KERGER 342783</x:t>
  </x:si>
  <x:si>
    <x:t xml:space="preserve">BOX/100 CABLE END INSUL.
1,5MM2 BLACK </x:t>
  </x:si>
  <x:si>
    <x:t>KERGER 342784</x:t>
  </x:si>
  <x:si>
    <x:t xml:space="preserve">BOX/100 CABLE END INSUL.
2,5MM2 GREY </x:t>
  </x:si>
  <x:si>
    <x:t>KERGER 342781</x:t>
  </x:si>
  <x:si>
    <x:t xml:space="preserve">BOX/100 CABLE END
INSUL.0,75MM2 BLUE </x:t>
  </x:si>
  <x:si>
    <x:t>KERGER 342412</x:t>
  </x:si>
  <x:si>
    <x:t xml:space="preserve">BOX/100 FORKTERM 0,25-1,6  M4 </x:t>
  </x:si>
  <x:si>
    <x:t>KERGER 342424</x:t>
  </x:si>
  <x:si>
    <x:t xml:space="preserve">BOX/100 FORKTERM 1,0-2,6  M4 </x:t>
  </x:si>
  <x:si>
    <x:t>KERGER 342324</x:t>
  </x:si>
  <x:si>
    <x:t xml:space="preserve">BOX/100 RINGTERM 1,0-2,6  M10 </x:t>
  </x:si>
  <x:si>
    <x:t>KERGER 342320</x:t>
  </x:si>
  <x:si>
    <x:t xml:space="preserve">BOX/100 RINGTERM 1,0-2,6  M6 </x:t>
  </x:si>
  <x:si>
    <x:t>KERGER 384123</x:t>
  </x:si>
  <x:si>
    <x:t xml:space="preserve">BUTTON GREEN ZB4-BA3 </x:t>
  </x:si>
  <x:si>
    <x:t>KERGER 384125</x:t>
  </x:si>
  <x:si>
    <x:t xml:space="preserve">BUTTON RED ZB4-BA4 </x:t>
  </x:si>
  <x:si>
    <x:t>KERGER 282342</x:t>
  </x:si>
  <x:si>
    <x:t xml:space="preserve">CABLE GLAND NYLON PG11 IP68 5 - 10 MM
 </x:t>
  </x:si>
  <x:si>
    <x:t>KERGER 282344</x:t>
  </x:si>
  <x:si>
    <x:t xml:space="preserve">CABLE GLAND NYLON PG16 IP68 10 - 14 MM
 </x:t>
  </x:si>
  <x:si>
    <x:t>KERGER 282346</x:t>
  </x:si>
  <x:si>
    <x:t xml:space="preserve">CABLE GLAND NYLON PG29 IP68 18 - 25 MM
 </x:t>
  </x:si>
  <x:si>
    <x:t>KERGER 282348</x:t>
  </x:si>
  <x:si>
    <x:t xml:space="preserve">CABLE GLAND NYLON PG42 IP68 30 - 38 MM
 </x:t>
  </x:si>
  <x:si>
    <x:t>KERGER 282340</x:t>
  </x:si>
  <x:si>
    <x:t xml:space="preserve">CABLE GLAND NYLON PG7 IP68 3-6,5 MM
 </x:t>
  </x:si>
  <x:si>
    <x:t>KERGER 623100</x:t>
  </x:si>
  <x:si>
    <x:t xml:space="preserve">CARBON SMALL BRUSH ASSORTMENT BOX, 144 BRUSHES, 6 TYPES, 24 PCS EACH, JAPANESE (HITACHI, MAKITA, RYOBI) </x:t>
  </x:si>
  <x:si>
    <x:t>BOX</x:t>
  </x:si>
  <x:si>
    <x:t>KERGER 162378</x:t>
  </x:si>
  <x:si>
    <x:t xml:space="preserve">CELLTESTER FOR LEAD ACID BATT </x:t>
  </x:si>
  <x:si>
    <x:t>KERGER 902651</x:t>
  </x:si>
  <x:si>
    <x:t xml:space="preserve">COMPL SET @ 35 MTR SELF LIMIT
HEATINGCABLE 110V 11W 220V 17W
/M </x:t>
  </x:si>
  <x:si>
    <x:t>KERGER 902603</x:t>
  </x:si>
  <x:si>
    <x:t xml:space="preserve">CONNECTION SET FOR HEATING
CABLE </x:t>
  </x:si>
  <x:si>
    <x:t>KERGER 384112</x:t>
  </x:si>
  <x:si>
    <x:t xml:space="preserve">CONTACTBLOCK 1 NO ZBE-101 </x:t>
  </x:si>
  <x:si>
    <x:t>KERGER 384113</x:t>
  </x:si>
  <x:si>
    <x:t xml:space="preserve">CONTACTBLOCK 1NC ZBE-102 </x:t>
  </x:si>
  <x:si>
    <x:t>KERGER 160882</x:t>
  </x:si>
  <x:si>
    <x:t xml:space="preserve">DEMINERALIZED WATER (INCLUDING
CAN OF 20 LTR.) </x:t>
  </x:si>
  <x:si>
    <x:t>KERGER 662242</x:t>
  </x:si>
  <x:si>
    <x:t xml:space="preserve">DIGIT.MULTIMETER FLUKE 87-5 </x:t>
  </x:si>
  <x:si>
    <x:t>KERGER 513030</x:t>
  </x:si>
  <x:si>
    <x:t xml:space="preserve">DUCT SEAL 450 GR. </x:t>
  </x:si>
  <x:si>
    <x:t>KERGER 762486</x:t>
  </x:si>
  <x:si>
    <x:t xml:space="preserve">EX BRASS JUNCTIONBOX =0= ATEX APPROVED </x:t>
  </x:si>
  <x:si>
    <x:t>KERGER 765120</x:t>
  </x:si>
  <x:si>
    <x:t xml:space="preserve">EX.FL FIXTURE 2X18 110-254V AC/DC 
ZONE 1    IP66  ATEX APPROVED
 </x:t>
  </x:si>
  <x:si>
    <x:t>KERGER 642104</x:t>
  </x:si>
  <x:si>
    <x:t xml:space="preserve">FAN IMPELLER  123MM  CS   71
WITHOUT SHAFT BUSH </x:t>
  </x:si>
  <x:si>
    <x:t>KERGER 126394</x:t>
  </x:si>
  <x:si>
    <x:t xml:space="preserve">FL FIXTURE 2X18W 230V 50/60 HZ 
ST. STEEL MIRS67 218HF
 </x:t>
  </x:si>
  <x:si>
    <x:t>KERGER 125992</x:t>
  </x:si>
  <x:si>
    <x:t xml:space="preserve">FLUOR LAMP  36W UV GERMICIDAL
LAMP G36 T6 SINGLE PIN </x:t>
  </x:si>
  <x:si>
    <x:t>KERGER 125280</x:t>
  </x:si>
  <x:si>
    <x:t xml:space="preserve">FLUOR LAMP 15W WHITE L.437 2PN
D.26 </x:t>
  </x:si>
  <x:si>
    <x:t>KERGER 383578</x:t>
  </x:si>
  <x:si>
    <x:t xml:space="preserve">FLUSH MOUNTING TUMBLER SWITCH
DP 10AMP ON-OFF </x:t>
  </x:si>
  <x:si>
    <x:t>KERGER 383620</x:t>
  </x:si>
  <x:si>
    <x:t xml:space="preserve">FLUSH MOUNTING TUMBLER SWITCH
EP FOR BERTH LIGHT </x:t>
  </x:si>
  <x:si>
    <x:t>KERGER 824202</x:t>
  </x:si>
  <x:si>
    <x:t xml:space="preserve">FR.FUSE    1A  G1  38 X 10MM </x:t>
  </x:si>
  <x:si>
    <x:t>KERGER 824204</x:t>
  </x:si>
  <x:si>
    <x:t xml:space="preserve">FR.FUSE    2A  G1  38 X 10MM </x:t>
  </x:si>
  <x:si>
    <x:t>KERGER 824208</x:t>
  </x:si>
  <x:si>
    <x:t xml:space="preserve">FR.FUSE    4A  G1  38 X 10MM </x:t>
  </x:si>
  <x:si>
    <x:t>KERGER 824210</x:t>
  </x:si>
  <x:si>
    <x:t xml:space="preserve">FR.FUSE    6A  G1  38 X 10MM </x:t>
  </x:si>
  <x:si>
    <x:t>KERGER 824220</x:t>
  </x:si>
  <x:si>
    <x:t xml:space="preserve">FR.FUSE   20A  G1  38 X 10MM </x:t>
  </x:si>
  <x:si>
    <x:t>KERGER 824224</x:t>
  </x:si>
  <x:si>
    <x:t xml:space="preserve">FR.FUSE   32A  G1  38 X 10MM </x:t>
  </x:si>
  <x:si>
    <x:t>KERGER 822308</x:t>
  </x:si>
  <x:si>
    <x:t xml:space="preserve">GL.FUSE DELAYED    16A 20X 5MM
BOX/10 </x:t>
  </x:si>
  <x:si>
    <x:t>KERGER 822312</x:t>
  </x:si>
  <x:si>
    <x:t xml:space="preserve">GL.FUSE DELAYED    20A 20X 5MM
BOX/10 </x:t>
  </x:si>
  <x:si>
    <x:t>KERGER 822248</x:t>
  </x:si>
  <x:si>
    <x:t xml:space="preserve">GL.FUSE DELAYED   0,5A 20X 5MM
BOX/10 </x:t>
  </x:si>
  <x:si>
    <x:t>KERGER 822272</x:t>
  </x:si>
  <x:si>
    <x:t xml:space="preserve">GL.FUSE DELAYED   1,6A 20X 5MM
BOX/10 </x:t>
  </x:si>
  <x:si>
    <x:t>KERGER 822240</x:t>
  </x:si>
  <x:si>
    <x:t xml:space="preserve">GL.FUSE DELAYED  0,25A 20X 5MM
BOX/10 </x:t>
  </x:si>
  <x:si>
    <x:t>KERGER 822756</x:t>
  </x:si>
  <x:si>
    <x:t xml:space="preserve">GLASS FUSE        5A  32X6,3MM
BOX/10 </x:t>
  </x:si>
  <x:si>
    <x:t>KERGER 822776</x:t>
  </x:si>
  <x:si>
    <x:t xml:space="preserve">GLASS FUSE       10A  32X6,3MM
BOX/10 </x:t>
  </x:si>
  <x:si>
    <x:t>KERGER 822784</x:t>
  </x:si>
  <x:si>
    <x:t xml:space="preserve">GLASS FUSE       20A  32X6,3MM
BOX/10 </x:t>
  </x:si>
  <x:si>
    <x:t>KERGER 822748</x:t>
  </x:si>
  <x:si>
    <x:t xml:space="preserve">GLASS FUSE     3,15A  32X6,3MM
BOX/10 </x:t>
  </x:si>
  <x:si>
    <x:t>KERGER 822180</x:t>
  </x:si>
  <x:si>
    <x:t xml:space="preserve">GLASS FUSE  20 X 5MM  6,3A
BOX/10 </x:t>
  </x:si>
  <x:si>
    <x:t>KERGER 512450</x:t>
  </x:si>
  <x:si>
    <x:t xml:space="preserve">GLASS SLEEVING      3MM </x:t>
  </x:si>
  <x:si>
    <x:t>MTR</x:t>
  </x:si>
  <x:si>
    <x:t>KERGER 512456</x:t>
  </x:si>
  <x:si>
    <x:t xml:space="preserve">GLASS SLEEVING      6MM </x:t>
  </x:si>
  <x:si>
    <x:t>KERGER 512460</x:t>
  </x:si>
  <x:si>
    <x:t xml:space="preserve">GLASS SLEEVING      8MM </x:t>
  </x:si>
  <x:si>
    <x:t>KERGER 108722</x:t>
  </x:si>
  <x:si>
    <x:t xml:space="preserve">HALOGENLAMP   24V  100W G6,35 </x:t>
  </x:si>
  <x:si>
    <x:t>KERGER 108526</x:t>
  </x:si>
  <x:si>
    <x:t xml:space="preserve">HALOGENLAMP  220V  500W E40
215 X  38 DOUBLE ENVELOPE </x:t>
  </x:si>
  <x:si>
    <x:t>KERGER 136010</x:t>
  </x:si>
  <x:si>
    <x:t xml:space="preserve">HANDLAMP 38 LED'S 230V 2,2W IP44
250LM 5000K WITH 5 MTR CABLE </x:t>
  </x:si>
  <x:si>
    <x:t>KERGER 383794</x:t>
  </x:si>
  <x:si>
    <x:t xml:space="preserve">HEAD KEY SWITCH ZB4BG3 BLACK
3 POSITIONS STAY PUT </x:t>
  </x:si>
  <x:si>
    <x:t>KERGER 383789</x:t>
  </x:si>
  <x:si>
    <x:t xml:space="preserve">HEAD SELECTOR SWITCH ZB4BD4
2 POSITIONS SPRING RETURN
 </x:t>
  </x:si>
  <x:si>
    <x:t>KERGER 202230</x:t>
  </x:si>
  <x:si>
    <x:t xml:space="preserve">HEADLIGHT ATEX LED, HIGH AND
LOW WHITE  BEAM WITH BATTERIES
(3XAA) ZONE 0 </x:t>
  </x:si>
  <x:si>
    <x:t>KERGER 123284</x:t>
  </x:si>
  <x:si>
    <x:t xml:space="preserve">LAMPHOLDER FOR MIR </x:t>
  </x:si>
  <x:si>
    <x:t>KERGER 123285</x:t>
  </x:si>
  <x:si>
    <x:t xml:space="preserve">LAMPHOLDER W SPRING FOR MIR </x:t>
  </x:si>
  <x:si>
    <x:t>KERGER 368145</x:t>
  </x:si>
  <x:si>
    <x:t xml:space="preserve">LEAD FOR TOOLS 2X1,5MM 5MTR
NEOPRENE </x:t>
  </x:si>
  <x:si>
    <x:t>KERGER 695186</x:t>
  </x:si>
  <x:si>
    <x:t xml:space="preserve">LED FLOODLIGHT 100W 100-240V
DAYLIGHT IP65 6500K 9000LM
 </x:t>
  </x:si>
  <x:si>
    <x:t>KERGER 695190</x:t>
  </x:si>
  <x:si>
    <x:t xml:space="preserve">LED FLOODLIGHT 150W 100-240V
DAYLIGHT IP65 6500K 14200LM
 </x:t>
  </x:si>
  <x:si>
    <x:t>KERGER 682124</x:t>
  </x:si>
  <x:si>
    <x:t xml:space="preserve">LINESTRA FIXTURE 35W WITH
SWITCH </x:t>
  </x:si>
  <x:si>
    <x:t>KERGER 182978</x:t>
  </x:si>
  <x:si>
    <x:t xml:space="preserve">LITHIUM BATT.     3V  CR 2032
UN3090 ADR9 </x:t>
  </x:si>
  <x:si>
    <x:t>KERGER 182988</x:t>
  </x:si>
  <x:si>
    <x:t xml:space="preserve">LITHIUM BATT.     3V  CR 2430
UN3090 ADR9 </x:t>
  </x:si>
  <x:si>
    <x:t>KERGER 182983</x:t>
  </x:si>
  <x:si>
    <x:t xml:space="preserve">LITHIUM BATT. 3V CR 2325
UN3090 ADR9 </x:t>
  </x:si>
  <x:si>
    <x:t>KERGER 182993</x:t>
  </x:si>
  <x:si>
    <x:t xml:space="preserve">LITHIUM BATT. 3V CR 2450
UN3090 ADR9 </x:t>
  </x:si>
  <x:si>
    <x:t>KERGER 662480</x:t>
  </x:si>
  <x:si>
    <x:t xml:space="preserve">MAGNET TESTER FOR SOLENOID
VALVES ETC. </x:t>
  </x:si>
  <x:si>
    <x:t xml:space="preserve">RS 705-9835 </x:t>
  </x:si>
  <x:si>
    <x:t xml:space="preserve">Mean Well 240W Embedded Switch Mode Power Supply SMPS, 10A, 24V dc </x:t>
  </x:si>
  <x:si>
    <x:t>KERGER 582152</x:t>
  </x:si>
  <x:si>
    <x:t xml:space="preserve">MOTOR TERM.BLOCK  70 X 45 X 13
SLIDE HOLES 20-32MM M6
 </x:t>
  </x:si>
  <x:si>
    <x:t>KERGER 582182</x:t>
  </x:si>
  <x:si>
    <x:t xml:space="preserve">MOTOR TERM.BLOCK  96 X 60 X 14  M8 </x:t>
  </x:si>
  <x:si>
    <x:t>KERGER 384105</x:t>
  </x:si>
  <x:si>
    <x:t xml:space="preserve">MOUNTINGBASE ZB4BZ105
WITH 1NC/1NO CONTACT
 </x:t>
  </x:si>
  <x:si>
    <x:t>KERGER 184049</x:t>
  </x:si>
  <x:si>
    <x:t xml:space="preserve">NIMH BATTERY HR9V 9V 250 MA </x:t>
  </x:si>
  <x:si>
    <x:t>RS 112-6721</x:t>
  </x:si>
  <x:si>
    <x:t xml:space="preserve">NOVA THROUGH HOLE ALUMINIUM CAPACITOR KIT 270 PIECES </x:t>
  </x:si>
  <x:si>
    <x:t>KIT</x:t>
  </x:si>
  <x:si>
    <x:t xml:space="preserve">Panasonic 1000µF 6.3V dc Aluminium Electrolytic Capacitor, Through Hole 10 (Dia.) x 12.5mm +105°C 10mm 5mm (Pack of 5) </x:t>
  </x:si>
  <x:si>
    <x:t>PKT</x:t>
  </x:si>
  <x:si>
    <x:t xml:space="preserve">Panasonic 1500µF 10V dc Aluminium Electrolytic Capacitor, Through Hole 10 (Dia.) x 25mm +105°C 10mm 5mm (Pack of 5) </x:t>
  </x:si>
  <x:si>
    <x:t xml:space="preserve">Panasonic 220µF 35V dc Aluminium Electrolytic Capacitor, Through Hole 10 (Dia.) x 12.5mm +105°C 10mm 5mm (Pack of 5) </x:t>
  </x:si>
  <x:si>
    <x:t xml:space="preserve">Panasonic 680µF 10V dc Aluminium Electrolytic Capacitor, Through Hole 8 (Dia.) x 15mm +105°C 8mm 3.5mm (Pack of 5) </x:t>
  </x:si>
  <x:si>
    <x:t>RS 702-3287</x:t>
  </x:si>
  <x:si>
    <x:t xml:space="preserve">PG11 LEGRAND GREY CABLE GLAND KIT, 5 ? 10MM CABLE DIA., INCLUDES GLAND, LOCK NUTS, 5'S </x:t>
  </x:si>
  <x:si>
    <x:t>RS 702-3296</x:t>
  </x:si>
  <x:si>
    <x:t xml:space="preserve">PG13.5 LEGRAND GREY CABLE GLAND KIT, 7 ? 12MM CABLE DIA., INCLUDES GLAND, LOCK NUTS, 5'S </x:t>
  </x:si>
  <x:si>
    <x:t>RS 702-3293</x:t>
  </x:si>
  <x:si>
    <x:t xml:space="preserve">PG16 LEGRAND GREY CABLE GLAND KIT, 10 ? 14MM CABLE DIA., INCLUDES GLAND, LOCK NUTS, 5'S </x:t>
  </x:si>
  <x:si>
    <x:t>RS 702-3299</x:t>
  </x:si>
  <x:si>
    <x:t xml:space="preserve">PG21 LEGRAND GREY CABLE GLAND KIT, 13 ? 18MM CABLE DIA., INCLUDES GLAND, LOCK NUTS, 5'S </x:t>
  </x:si>
  <x:si>
    <x:t>RS 702-3280</x:t>
  </x:si>
  <x:si>
    <x:t xml:space="preserve">PG7 LEGRAND GREY CABLE GLAND KIT, 3.5 ? 6MM CABLE DIA., INCLUDES GLAND, LOCK NUTS, 5'S </x:t>
  </x:si>
  <x:si>
    <x:t>KERGER 131506</x:t>
  </x:si>
  <x:si>
    <x:t xml:space="preserve">PHILINEA LED 230V 8W S14s 30X500
2700K 675LM </x:t>
  </x:si>
  <x:si>
    <x:t>KERGER 385252</x:t>
  </x:si>
  <x:si>
    <x:t xml:space="preserve">PLUG-IN SWITCH 16A
' SCHUKO'  SINGLE </x:t>
  </x:si>
  <x:si>
    <x:t>KERGER 744733</x:t>
  </x:si>
  <x:si>
    <x:t xml:space="preserve">RECEPT/SWITCH 2P+E -0- TYPE
HNA SYNTH RESIN </x:t>
  </x:si>
  <x:si>
    <x:t>KERGER 386224</x:t>
  </x:si>
  <x:si>
    <x:t xml:space="preserve">RECEPTACLE FLUSH MOUNT. 2P + E </x:t>
  </x:si>
  <x:si>
    <x:t>KERGER 122900</x:t>
  </x:si>
  <x:si>
    <x:t xml:space="preserve">RECHARG. HANDLAMP 60 LEDS 230/12V </x:t>
  </x:si>
  <x:si>
    <x:t>KERGER 342808</x:t>
  </x:si>
  <x:si>
    <x:t xml:space="preserve">RINGTERMINAL         16MM2 M10 </x:t>
  </x:si>
  <x:si>
    <x:t>KERGER 383781</x:t>
  </x:si>
  <x:si>
    <x:t xml:space="preserve">ROTARY SWITCH BLACK XB4BD25
2 POSITIONS 1NO/1NC CONTACT
 </x:t>
  </x:si>
  <x:si>
    <x:t>KERGER 383785</x:t>
  </x:si>
  <x:si>
    <x:t xml:space="preserve">ROTARY SWITCH BLACK XB4BD53
3 POSTIONS 2 NO SRING RETURN </x:t>
  </x:si>
  <x:si>
    <x:t xml:space="preserve">RS PRO Axial Fan, 172 x 51mm, 235cfm, 35W, 230 V ac </x:t>
  </x:si>
  <x:si>
    <x:t>PC</x:t>
  </x:si>
  <x:si>
    <x:t>RS 397-679</x:t>
  </x:si>
  <x:si>
    <x:t xml:space="preserve">RS PRO BLACK, BLUE, BROWN, GREEN/YELLOW, RED, WHITE, YELLOW HEAT SHRINK CABLE SLEEVE KIT 2:1, 3:1 </x:t>
  </x:si>
  <x:si>
    <x:t>KERGER 108998</x:t>
  </x:si>
  <x:si>
    <x:t xml:space="preserve">SET LAMPEXTRACTORS T1 TO T5 </x:t>
  </x:si>
  <x:si>
    <x:t>KERGER 642324</x:t>
  </x:si>
  <x:si>
    <x:t xml:space="preserve">SHAFT BUSH  17,5-30MM.
IMP.  90/100 </x:t>
  </x:si>
  <x:si>
    <x:t>KERGER 512660</x:t>
  </x:si>
  <x:si>
    <x:t xml:space="preserve">SHRINK.SLEEVING 12-3MM 1MTR
WITH GLUE </x:t>
  </x:si>
  <x:si>
    <x:t>KERGER 512662</x:t>
  </x:si>
  <x:si>
    <x:t xml:space="preserve">SHRINK.SLEEVING 19-6MM 1MTR
WITH GLUE </x:t>
  </x:si>
  <x:si>
    <x:t>KERGER 512664</x:t>
  </x:si>
  <x:si>
    <x:t xml:space="preserve">SHRINK.SLEEVING 27-8MM 1MTR
WITH GLUE </x:t>
  </x:si>
  <x:si>
    <x:t>KERGER 512666</x:t>
  </x:si>
  <x:si>
    <x:t xml:space="preserve">SHRINK.SLEEVING 32-7.5MM 1MTR
WITH GLUE </x:t>
  </x:si>
  <x:si>
    <x:t>KERGER 512668</x:t>
  </x:si>
  <x:si>
    <x:t xml:space="preserve">SHRINK.SLEEVING 38-12MM 1MTR
WITH GLUE </x:t>
  </x:si>
  <x:si>
    <x:t>KERGER 260454</x:t>
  </x:si>
  <x:si>
    <x:t xml:space="preserve">SILIC.FLEX.CABLE 1 X   4MM2.
DIAM.   4MM. </x:t>
  </x:si>
  <x:si>
    <x:t>KERGER 260450</x:t>
  </x:si>
  <x:si>
    <x:t xml:space="preserve">SILIC.FLEX.CABLE 1 X 1,5MM2.
DIAM. 2,5MM. </x:t>
  </x:si>
  <x:si>
    <x:t>KERGER 260452</x:t>
  </x:si>
  <x:si>
    <x:t xml:space="preserve">SILIC.FLEX.CABLE 1 X 2,5MM2.
DIAM. 3,5MM. </x:t>
  </x:si>
  <x:si>
    <x:t>KERGER 260470</x:t>
  </x:si>
  <x:si>
    <x:t xml:space="preserve">SILIC.FLEX.CABLE 3 X 1,5MM2.
DIAM. 7,5MM. </x:t>
  </x:si>
  <x:si>
    <x:t>KERGER 342224</x:t>
  </x:si>
  <x:si>
    <x:t xml:space="preserve">SOLDER RINGTERM      10QMM
6,5MM </x:t>
  </x:si>
  <x:si>
    <x:t>KERGER 342226</x:t>
  </x:si>
  <x:si>
    <x:t xml:space="preserve">SOLDER RINGTERM      16QMM
7,5MM </x:t>
  </x:si>
  <x:si>
    <x:t>KERGER 342228</x:t>
  </x:si>
  <x:si>
    <x:t xml:space="preserve">SOLDER RINGTERM      25QMM
 11MM </x:t>
  </x:si>
  <x:si>
    <x:t>KERGER 342222</x:t>
  </x:si>
  <x:si>
    <x:t xml:space="preserve">SOLDER RINGTERM   4 - 6QMM
5,5MM </x:t>
  </x:si>
  <x:si>
    <x:t>KERGER 202124</x:t>
  </x:si>
  <x:si>
    <x:t xml:space="preserve">SUPER SABRELITE 2010Y LED 3C </x:t>
  </x:si>
  <x:si>
    <x:t xml:space="preserve">TAPE RUBBER INSULATION, 20MMX10MTR </x:t>
  </x:si>
  <x:si>
    <x:t>**CHINA / KOREA</x:t>
  </x:si>
  <x:si>
    <x:t>SCF-S-ELE903</x:t>
  </x:si>
  <x:si>
    <x:t xml:space="preserve">TE CONNECTIVITY RNF 100 KIT BLACK HEAT SHRINK TUBING, SLEEVE DIAMETER 2.4 MM, 3.2 MM, 4.8 MM, 6.4 MM, 9.5 MM ( RS NO 113-2596 ) </x:t>
  </x:si>
  <x:si>
    <x:t xml:space="preserve">VOLTAGE DETECTOR STICK 90-1000 V </x:t>
  </x:si>
  <x:si>
    <x:t>KERGER 322620</x:t>
  </x:si>
  <x:si>
    <x:t xml:space="preserve">WIRE PLUG-IN CONNECTOR 3X2,5
' WAGO' BOX 10 PCS </x:t>
  </x:si>
  <x:si>
    <x:t>KERGER 322624</x:t>
  </x:si>
  <x:si>
    <x:t xml:space="preserve">WIRE PLUG-IN CONNECTOR 5X2,5
' WAGO' BOX 10 PCS </x:t>
  </x:si>
  <x:si>
    <x:t>KERGER 135010</x:t>
  </x:si>
  <x:si>
    <x:t xml:space="preserve">WORK LIGHT LED WITH MAGNET 3W
150LM 6000K IP54 3XAAA </x:t>
  </x:si>
  <x:si>
    <x:t>KERGER 742114</x:t>
  </x:si>
  <x:si>
    <x:t xml:space="preserve">WT.BRASS ROTARY SWITCH 2P 0= </x:t>
  </x:si>
  <x:si>
    <x:t>CORDBOND GLASS TAPE 38MMX30MTR (Alternative Equivalent)</x:t>
  </x:si>
  <x:si>
    <x:t>**OFFER FIBERGLASS TAPE</x:t>
  </x:si>
  <x:si>
    <x:t xml:space="preserve">REFRACTORY PLASTIC FIRECLAY, PLIBRICO SUPER AB 25KG </x:t>
  </x:si>
  <x:si>
    <x:t>CTN</x:t>
  </x:si>
  <x:si>
    <x:t>**OFFER "ALCONA" BRAND</x:t>
  </x:si>
  <x:si>
    <x:t xml:space="preserve">COOKING PAPER 300MMX20MTR </x:t>
  </x:si>
  <x:si>
    <x:t>**OFFER 10MTR/RLS**</x:t>
  </x:si>
  <x:si>
    <x:t xml:space="preserve">COUPLER QUICK-CONNECT, STAINLESS STEEL 20PM R-1/4 </x:t>
  </x:si>
  <x:si>
    <x:t>**OFFER : S/STEEL TYPE**</x:t>
  </x:si>
  <x:si>
    <x:t xml:space="preserve">COUPLER QUICK-CONNECT, STAINLESS STEEL 20SM R-1/4 </x:t>
  </x:si>
  <x:si>
    <x:t xml:space="preserve">COUPLER QUICK-CONNECT, STAINLESS STEEL 40SM R-1/2 </x:t>
  </x:si>
  <x:si>
    <x:t xml:space="preserve">HI COUPLER PURGE SYSTEM, PV-400SM MALE R1/2" </x:t>
  </x:si>
  <x:si>
    <x:t xml:space="preserve">THERMOMETER SIKA 271B 200X36MM, PT1/2 0-160DEG.C 160MM-STEM </x:t>
  </x:si>
  <x:si>
    <x:t xml:space="preserve">THERMOMETER SIKA 271B 200X36MM, PT1/2 0-400DEG.C 160MM-STEM </x:t>
  </x:si>
  <x:si>
    <x:t xml:space="preserve">GASOLINE 18LTR  </x:t>
  </x:si>
  <x:si>
    <x:t>CAN</x:t>
  </x:si>
  <x:si>
    <x:t>Unleaded gasoline 92 RON; Total: 54-60 ltrs.</x:t>
  </x:si>
  <x:si>
    <x:t>Ribbon cartridge for EPSON ERC-27 (Black) Fullmark N908BK</x:t>
  </x:si>
  <x:si>
    <x:t xml:space="preserve">DRILL H.S.S. MORSE TAPER SHANK, LONG TWIST 19.0X350MM </x:t>
  </x:si>
  <x:si>
    <x:t xml:space="preserve">DRILL H.S.S. MORSE TAPER SHANK, LONG TWIST 20.0X400MM </x:t>
  </x:si>
  <x:si>
    <x:t xml:space="preserve">DRILL H.S.S. MORSE TAPER SHANK, LONG TWIST 22.0X400MM </x:t>
  </x:si>
  <x:si>
    <x:t xml:space="preserve">GREASE NIPPLE STRAIGHT 6MM, PLATED STEEL </x:t>
  </x:si>
  <x:si>
    <x:t>**LOCAL BRAND**</x:t>
  </x:si>
  <x:si>
    <x:t xml:space="preserve">BUTTERFLY VALVE DIN CAST IRON, WAFER TYPE #5720 125MM </x:t>
  </x:si>
  <x:si>
    <x:t>Item Sub Total :</x:t>
  </x:si>
  <x:si>
    <x:t>Other Charges</x:t>
  </x:si>
  <x:si>
    <x:t>Amount</x:t>
  </x:si>
  <x:si>
    <x:t>Price</x:t>
  </x:si>
  <x:si>
    <x:t>Packing cost</x:t>
  </x:si>
  <x:si>
    <x:t>Freight charge</x:t>
  </x:si>
  <x:si>
    <x:t>aaa</x:t>
  </x:si>
  <x:si>
    <x:t>Grand Total :</x:t>
  </x:si>
  <x:si>
    <x:t>Buyer Remarks</x:t>
  </x:si>
  <x:si>
    <x:t>Packing Instructions</x:t>
  </x:si>
  <x:si>
    <x:t>Your Quotation is subjected to :</x:t>
  </x:si>
  <x:si>
    <x:t>All meats and milk derivatives to be supplied must be free from FMD. All meat, milk and milk products, if imported, are purchased from countries not affected by FMD. All Poultry products must be free from</x:t>
  </x:si>
  <x:si>
    <x:t>Birds Flu / Avian Influenza (H5N1) &amp; if demanded you must be able to produce a certification to this effect. All provisions and bond products must have proper expiry dates mentioned in English.</x:t>
  </x:si>
  <x:si>
    <x:r>
      <x:rPr>
        <x:vertAlign val="baseline"/>
        <x:sz val="8"/>
        <x:color theme="3" tint="-0.499984740745262"/>
        <x:rFont val="Calibri"/>
        <x:family val="2"/>
      </x:rPr>
      <x:t>You must quote for the</x:t>
    </x:r>
    <x:r>
      <x:rPr>
        <x:b/>
        <x:vertAlign val="baseline"/>
        <x:sz val="8"/>
        <x:color theme="3" tint="-0.499984740745262"/>
        <x:rFont val="Calibri"/>
        <x:family val="2"/>
      </x:rPr>
      <x:t xml:space="preserve"> Packaging and Brands </x:t>
    </x:r>
    <x:r>
      <x:rPr>
        <x:vertAlign val="baseline"/>
        <x:sz val="8"/>
        <x:color theme="3" tint="-0.499984740745262"/>
        <x:rFont val="Calibri"/>
        <x:family val="2"/>
      </x:rPr>
      <x:t>as has been asked by us. If the same is not available then please quote for the nearest matching Packaging and Brands available in local market. You must clearly specify the</x:t>
    </x:r>
  </x:si>
  <x:si>
    <x:t>weight &amp; packaging of each &amp; every packed, bottled or canned products in case different from the one that has been requested for. If certain items can only be supplied in a given case or Packaging then, mention the</x:t>
  </x:si>
  <x:si>
    <x:t>weight of the case or packaging, with the minimum quantity of order required by you, as we do not accept / pay for any oversupply at later stage.</x:t>
  </x:si>
  <x:si>
    <x:t>Pls. ensure that all items quoted must have long expiry dates as per the parameters below : -</x:t>
  </x:si>
  <x:si>
    <x:t>All Dry Provisions, Frozen Meat &amp; Fish / Processed Meat etc.: Minimum 06 Months.</x:t>
  </x:si>
  <x:si>
    <x:t>All Ready Mixes / Cereals / Juices / Jam &amp; Marmalade / Pickles / All Other Canned or Bottled Products like Sauces, Tinned Fruits, Tinned Meat etc.: Minimum 12 Months.</x:t>
  </x:si>
  <x:si>
    <x:t>Dairy Products (L.L Milk, Evaporated Milk &amp; Condensed Milk, Milk Powder): Minimum 06 months.</x:t>
  </x:si>
  <x:si>
    <x:t>Yoghurt / Slice Cheese / Block cheese: Minimum 03 Months.</x:t>
  </x:si>
  <x:si>
    <x:t>Bond Items to have minimum 6 months expiry.</x:t>
  </x:si>
  <x:si>
    <x:t xml:space="preserve">Stores Items to have minimum 12 months expiry. The Supplier shall ensure that ordered stores do not contain asbestos materials as regulated by SOLAS II - 1/3 – 5. Applicable supplies have to be delivered with free asbestos guarantee declaration/letter             
</x:t>
  </x:si>
  <x:si>
    <x:t xml:space="preserve">Your Quote must indicate the following: --  </x:t>
  </x:si>
  <x:si>
    <x:t>Currency Quoted: Preferably should be in Local Currency</x:t>
  </x:si>
  <x:si>
    <x:t>Delivery: Free on Board / If any charges are applicable they have to be clearly advised beforehand.</x:t>
  </x:si>
  <x:si>
    <x:t>Discount offered by you: For Cash / For Credit with 30/21/15 Banking days net of bank charges</x:t>
  </x:si>
  <x:si>
    <x:t>Launch Hire Charges: If applicable</x:t>
  </x:si>
  <x:si>
    <x:t xml:space="preserve">You must quote only for high quality &amp; branded products, please do not quote for sub–standard products, just to get the order as we shall not pay if the items are found of sub-standard or poor quality, upon delivery &amp; </x:t>
  </x:si>
  <x:si>
    <x:t>shall also try to avoid your company for future.</x:t>
  </x:si>
  <x:si>
    <x:t>GMS</x:t>
  </x:si>
  <x:si>
    <x:t>KG</x:t>
  </x:si>
  <x:si>
    <x:t>RFQFileType</x:t>
  </x:si>
  <x:si>
    <x:t>RFQ</x:t>
  </x:si>
  <x:si>
    <x:t>ADP</x:t>
  </x:si>
  <x:si>
    <x:t>Ml</x:t>
  </x:si>
  <x:si>
    <x:t>RFQ_ID</x:t>
  </x:si>
  <x:si>
    <x:t>AED</x:t>
  </x:si>
  <x:si>
    <x:t>Ltr</x:t>
  </x:si>
  <x:si>
    <x:t>RequestForQuoteID</x:t>
  </x:si>
  <x:si>
    <x:t>AFA</x:t>
  </x:si>
  <x:si>
    <x:t>ADDITIONAL JOBS</x:t>
  </x:si>
  <x:si>
    <x:t>HeaderID</x:t>
  </x:si>
  <x:si>
    <x:t>AUD</x:t>
  </x:si>
  <x:si>
    <x:t>NOS</x:t>
  </x:si>
  <x:si>
    <x:t>AGENCY FEE</x:t>
  </x:si>
  <x:si>
    <x:t>VendorID</x:t>
  </x:si>
  <x:si>
    <x:t>BAD</x:t>
  </x:si>
  <x:si>
    <x:t>UNIT</x:t>
  </x:si>
  <x:si>
    <x:t>HANDLING CHARGE</x:t>
  </x:si>
  <x:si>
    <x:t>RFQCategory</x:t>
  </x:si>
  <x:si>
    <x:t>CP - GENERAL STORES</x:t>
  </x:si>
  <x:si>
    <x:t>BAM</x:t>
  </x:si>
  <x:si>
    <x:t>CAL</x:t>
  </x:si>
  <x:si>
    <x:t>PACKING CHARGE</x:t>
  </x:si>
  <x:si>
    <x:t>QuoteID</x:t>
  </x:si>
  <x:si>
    <x:t>BBD</x:t>
  </x:si>
  <x:si>
    <x:t>Perc</x:t>
  </x:si>
  <x:si>
    <x:t>SPARE USED</x:t>
  </x:si>
  <x:si>
    <x:t>BHD</x:t>
  </x:si>
  <x:si>
    <x:t>Mg</x:t>
  </x:si>
  <x:si>
    <x:t>WAREHOUSING</x:t>
  </x:si>
  <x:si>
    <x:t>BMD</x:t>
  </x:si>
  <x:si>
    <x:t>Can</x:t>
  </x:si>
  <x:si>
    <x:t>CRANAGE</x:t>
  </x:si>
  <x:si>
    <x:t>BOL</x:t>
  </x:si>
  <x:si>
    <x:t>Tin</x:t>
  </x:si>
  <x:si>
    <x:t>CUSTOMS</x:t>
  </x:si>
  <x:si>
    <x:t>BRL</x:t>
  </x:si>
  <x:si>
    <x:t>Btl</x:t>
  </x:si>
  <x:si>
    <x:t>OTHERS 1</x:t>
  </x:si>
  <x:si>
    <x:t>BSD</x:t>
  </x:si>
  <x:si>
    <x:t>Ctn</x:t>
  </x:si>
  <x:si>
    <x:t>OTHERS 2</x:t>
  </x:si>
  <x:si>
    <x:t>CAD</x:t>
  </x:si>
  <x:si>
    <x:t>OZ</x:t>
  </x:si>
  <x:si>
    <x:t>OTHERS 3</x:t>
  </x:si>
  <x:si>
    <x:t>CDZ</x:t>
  </x:si>
  <x:si>
    <x:t>LAUNCH HIRE CHARGE</x:t>
  </x:si>
  <x:si>
    <x:t>CHF</x:t>
  </x:si>
  <x:si>
    <x:t>ROUNDING ADJUSTMENT</x:t>
  </x:si>
  <x:si>
    <x:t>CLP</x:t>
  </x:si>
  <x:si>
    <x:t>BOAT CHARGES</x:t>
  </x:si>
  <x:si>
    <x:t>CNY</x:t>
  </x:si>
  <x:si>
    <x:t>MINIMUM QUANTITY CHARGE</x:t>
  </x:si>
  <x:si>
    <x:t>CYP</x:t>
  </x:si>
  <x:si>
    <x:t>PORT SURCHARGE</x:t>
  </x:si>
  <x:si>
    <x:t>CZK</x:t>
  </x:si>
  <x:si>
    <x:t>TRANSPORTATION</x:t>
  </x:si>
  <x:si>
    <x:t>DEM</x:t>
  </x:si>
  <x:si>
    <x:t>DKK</x:t>
  </x:si>
  <x:si>
    <x:t>EGP</x:t>
  </x:si>
  <x:si>
    <x:t>ESP</x:t>
  </x:si>
  <x:si>
    <x:t>ETB</x:t>
  </x:si>
  <x:si>
    <x:t>EUR</x:t>
  </x:si>
  <x:si>
    <x:t>FKP</x:t>
  </x:si>
  <x:si>
    <x:t>GBP</x:t>
  </x:si>
  <x:si>
    <x:t>GEK</x:t>
  </x:si>
  <x:si>
    <x:t>GEL</x:t>
  </x:si>
  <x:si>
    <x:t>GRD</x:t>
  </x:si>
  <x:si>
    <x:t>HKD</x:t>
  </x:si>
  <x:si>
    <x:t>HRK</x:t>
  </x:si>
  <x:si>
    <x:t>IDR</x:t>
  </x:si>
  <x:si>
    <x:t>INR</x:t>
  </x:si>
  <x:si>
    <x:t>JPY</x:t>
  </x:si>
  <x:si>
    <x:t>KRW</x:t>
  </x:si>
  <x:si>
    <x:t>KWD</x:t>
  </x:si>
  <x:si>
    <x:t>MAD</x:t>
  </x:si>
  <x:si>
    <x:t>MDL</x:t>
  </x:si>
  <x:si>
    <x:t>MXN</x:t>
  </x:si>
  <x:si>
    <x:t>MYR</x:t>
  </x:si>
  <x:si>
    <x:t>NAD</x:t>
  </x:si>
  <x:si>
    <x:t>NOK</x:t>
  </x:si>
  <x:si>
    <x:t>NZD</x:t>
  </x:si>
  <x:si>
    <x:t>OMR</x:t>
  </x:si>
  <x:si>
    <x:t>PGK</x:t>
  </x:si>
  <x:si>
    <x:t>PHP</x:t>
  </x:si>
  <x:si>
    <x:t>PLN</x:t>
  </x:si>
  <x:si>
    <x:t>QAR</x:t>
  </x:si>
  <x:si>
    <x:t>RON</x:t>
  </x:si>
  <x:si>
    <x:t>RUB</x:t>
  </x:si>
  <x:si>
    <x:t>SAR</x:t>
  </x:si>
  <x:si>
    <x:t>SDG</x:t>
  </x:si>
  <x:si>
    <x:t>SEK</x:t>
  </x:si>
  <x:si>
    <x:t>SLL</x:t>
  </x:si>
  <x:si>
    <x:t>STD</x:t>
  </x:si>
  <x:si>
    <x:t>THB</x:t>
  </x:si>
  <x:si>
    <x:t>TRY</x:t>
  </x:si>
  <x:si>
    <x:t>TWD</x:t>
  </x:si>
  <x:si>
    <x:t>UAH</x:t>
  </x:si>
  <x:si>
    <x:t>UAK</x:t>
  </x:si>
  <x:si>
    <x:t>UGS</x:t>
  </x:si>
  <x:si>
    <x:t>USD</x:t>
  </x:si>
  <x:si>
    <x:t>UYU</x:t>
  </x:si>
  <x:si>
    <x:t>VEF</x:t>
  </x:si>
  <x:si>
    <x:t>VND</x:t>
  </x:si>
  <x:si>
    <x:t>ZAR</x:t>
  </x:si>
  <x:si>
    <x:t>ZRZ</x:t>
  </x:si>
  <x:si>
    <x:t>ZWD</x:t>
  </x:si>
</x:sst>
</file>

<file path=xl/styles.xml><?xml version="1.0" encoding="utf-8"?>
<x:styleSheet xmlns:x14="http://schemas.microsoft.com/office/spreadsheetml/2009/9/main" xmlns:x15="http://schemas.microsoft.com/office/spreadsheetml/2010/11/main" xmlns:mc="http://schemas.openxmlformats.org/markup-compatibility/2006" xmlns:x14ac="http://schemas.microsoft.com/office/spreadsheetml/2009/9/ac" xmlns:x16r2="http://schemas.microsoft.com/office/spreadsheetml/2015/02/main" xmlns:x="http://schemas.openxmlformats.org/spreadsheetml/2006/main" mc:Ignorable="x14ac x16r2">
  <x:numFmts count="9">
    <x:numFmt numFmtId="44" formatCode="_(&quot;$&quot;* #,##0.00_);_(&quot;$&quot;* \(#,##0.00\);_(&quot;$&quot;* &quot;-&quot;??_);_(@_)"/>
    <x:numFmt numFmtId="164" formatCode="[$-409]d/mmm/yyyy;@"/>
    <x:numFmt numFmtId="165" formatCode="m/d/yy;@"/>
    <x:numFmt numFmtId="166" formatCode=";;;"/>
    <x:numFmt numFmtId="167" formatCode="#,##0.000"/>
    <x:numFmt numFmtId="168" formatCode="0.000"/>
    <x:numFmt numFmtId="169" formatCode="[$-409]d\-mmm\-yyyy;@"/>
    <x:numFmt numFmtId="170" formatCode="[$-409]d\-mmm\-yy;@"/>
    <x:numFmt numFmtId="172" formatCode="#,##0.00"/>
  </x:numFmts>
  <x:fonts count="37" x14ac:knownFonts="1">
    <x:font>
      <x:sz val="11"/>
      <x:color theme="1"/>
      <x:name val="Calibri"/>
      <x:family val="2"/>
      <x:scheme val="minor"/>
    </x:font>
    <x:font>
      <x:sz val="11"/>
      <x:color theme="1"/>
      <x:name val="Calibri"/>
      <x:family val="2"/>
      <x:scheme val="minor"/>
    </x:font>
    <x:font>
      <x:b/>
      <x:sz val="15"/>
      <x:color theme="3"/>
      <x:name val="Calibri"/>
      <x:family val="2"/>
      <x:scheme val="minor"/>
    </x:font>
    <x:font>
      <x:b/>
      <x:sz val="11"/>
      <x:color theme="3"/>
      <x:name val="Calibri"/>
      <x:family val="2"/>
      <x:scheme val="minor"/>
    </x:font>
    <x:font>
      <x:b/>
      <x:sz val="11"/>
      <x:color rgb="FFFA7D00"/>
      <x:name val="Calibri"/>
      <x:family val="2"/>
      <x:scheme val="minor"/>
    </x:font>
    <x:font>
      <x:sz val="12"/>
      <x:name val="Calibri"/>
      <x:family val="2"/>
      <x:scheme val="minor"/>
    </x:font>
    <x:font>
      <x:sz val="10"/>
      <x:name val="Calibri"/>
      <x:family val="2"/>
      <x:scheme val="minor"/>
    </x:font>
    <x:font>
      <x:i/>
      <x:sz val="38"/>
      <x:color indexed="41"/>
      <x:name val="Calibri"/>
      <x:family val="2"/>
      <x:scheme val="minor"/>
    </x:font>
    <x:font>
      <x:b/>
      <x:i/>
      <x:sz val="36"/>
      <x:color indexed="41"/>
      <x:name val="Calibri"/>
      <x:family val="2"/>
      <x:scheme val="minor"/>
    </x:font>
    <x:font>
      <x:b/>
      <x:i/>
      <x:sz val="36"/>
      <x:color theme="0" tint="-0.14999847407452621"/>
      <x:name val="Calibri"/>
      <x:family val="2"/>
      <x:scheme val="minor"/>
    </x:font>
    <x:font>
      <x:b/>
      <x:sz val="10"/>
      <x:color theme="3"/>
      <x:name val="Calibri"/>
      <x:family val="2"/>
      <x:scheme val="minor"/>
    </x:font>
    <x:font>
      <x:sz val="8"/>
      <x:name val="Calibri"/>
      <x:family val="2"/>
      <x:scheme val="minor"/>
    </x:font>
    <x:font>
      <x:sz val="8"/>
      <x:color indexed="61"/>
      <x:name val="Calibri"/>
      <x:family val="2"/>
      <x:scheme val="minor"/>
    </x:font>
    <x:font>
      <x:b/>
      <x:sz val="8"/>
      <x:color indexed="61"/>
      <x:name val="Calibri"/>
      <x:family val="2"/>
      <x:scheme val="minor"/>
    </x:font>
    <x:font>
      <x:b/>
      <x:sz val="9"/>
      <x:color theme="3" tint="-0.499984740745262"/>
      <x:name val="Calibri"/>
      <x:family val="2"/>
      <x:scheme val="minor"/>
    </x:font>
    <x:font>
      <x:sz val="8"/>
      <x:color theme="3" tint="-0.499984740745262"/>
      <x:name val="Calibri"/>
      <x:family val="2"/>
      <x:scheme val="minor"/>
    </x:font>
    <x:font>
      <x:sz val="11"/>
      <x:color theme="3" tint="-0.499984740745262"/>
      <x:name val="Calibri"/>
      <x:family val="2"/>
      <x:scheme val="minor"/>
    </x:font>
    <x:font>
      <x:b/>
      <x:sz val="11"/>
      <x:color theme="9"/>
      <x:name val="Calibri"/>
      <x:family val="2"/>
      <x:scheme val="minor"/>
    </x:font>
    <x:font>
      <x:i/>
      <x:sz val="8"/>
      <x:name val="Calibri"/>
      <x:family val="2"/>
      <x:scheme val="minor"/>
    </x:font>
    <x:font>
      <x:b/>
      <x:sz val="9"/>
      <x:name val="Calibri"/>
      <x:family val="2"/>
      <x:scheme val="minor"/>
    </x:font>
    <x:font>
      <x:b/>
      <x:sz val="8"/>
      <x:color theme="3" tint="-0.499984740745262"/>
      <x:name val="Calibri"/>
      <x:family val="2"/>
      <x:scheme val="minor"/>
    </x:font>
    <x:font>
      <x:sz val="9"/>
      <x:name val="Calibri"/>
      <x:family val="2"/>
      <x:scheme val="minor"/>
    </x:font>
    <x:font>
      <x:b/>
      <x:sz val="10"/>
      <x:color theme="0" tint="-0.249977111117893"/>
      <x:name val="Calibri"/>
      <x:family val="2"/>
      <x:scheme val="minor"/>
    </x:font>
    <x:font>
      <x:b/>
      <x:sz val="11"/>
      <x:color theme="0" tint="-0.249977111117893"/>
      <x:name val="Calibri"/>
      <x:family val="2"/>
      <x:scheme val="minor"/>
    </x:font>
    <x:font>
      <x:sz val="8"/>
      <x:color theme="1"/>
      <x:name val="Calibri"/>
      <x:family val="2"/>
      <x:scheme val="minor"/>
    </x:font>
    <x:font>
      <x:b/>
      <x:sz val="11"/>
      <x:color theme="1" tint="0.34998626667073579"/>
      <x:name val="Calibri"/>
      <x:family val="2"/>
      <x:scheme val="minor"/>
    </x:font>
    <x:font>
      <x:sz val="11"/>
      <x:color theme="1" tint="0.34998626667073579"/>
      <x:name val="Calibri"/>
      <x:family val="2"/>
      <x:scheme val="minor"/>
    </x:font>
    <x:font>
      <x:b/>
      <x:sz val="12"/>
      <x:color rgb="FFFF0000"/>
      <x:name val="Calibri"/>
      <x:family val="2"/>
      <x:scheme val="minor"/>
    </x:font>
    <x:font>
      <x:sz val="10"/>
      <x:color rgb="FF4B7279"/>
      <x:name val="Calibri"/>
      <x:family val="2"/>
      <x:scheme val="minor"/>
    </x:font>
    <x:font>
      <x:sz val="10"/>
      <x:color indexed="61"/>
      <x:name val="Calibri"/>
      <x:family val="2"/>
      <x:scheme val="minor"/>
    </x:font>
    <x:font>
      <x:u/>
      <x:sz val="11"/>
      <x:color theme="10"/>
      <x:name val="Calibri"/>
      <x:family val="2"/>
      <x:scheme val="minor"/>
    </x:font>
    <x:font>
      <x:vertAlign val="baseline"/>
      <x:sz val="11"/>
      <x:color rgb="FF000000"/>
      <x:name val="Calibri"/>
      <x:family val="2"/>
    </x:font>
    <x:font>
      <x:vertAlign val="baseline"/>
      <x:sz val="12"/>
      <x:color theme="1"/>
      <x:name val="Calibri"/>
      <x:family val="2"/>
    </x:font>
    <x:font>
      <x:vertAlign val="baseline"/>
      <x:sz val="10"/>
      <x:color theme="1"/>
      <x:name val="Calibri"/>
      <x:family val="2"/>
    </x:font>
    <x:font>
      <x:i/>
      <x:vertAlign val="baseline"/>
      <x:sz val="8"/>
      <x:color theme="1"/>
      <x:name val="Calibri"/>
      <x:family val="2"/>
    </x:font>
    <x:font>
      <x:b/>
      <x:vertAlign val="baseline"/>
      <x:sz val="9"/>
      <x:color theme="1"/>
      <x:name val="Calibri"/>
      <x:family val="2"/>
    </x:font>
    <x:font>
      <x:vertAlign val="baseline"/>
      <x:sz val="9"/>
      <x:color theme="1"/>
      <x:name val="Calibri"/>
      <x:family val="2"/>
    </x:font>
  </x:fonts>
  <x:fills count="13">
    <x:fill>
      <x:patternFill patternType="none"/>
    </x:fill>
    <x:fill>
      <x:patternFill patternType="gray125"/>
    </x:fill>
    <x:fill>
      <x:patternFill patternType="solid">
        <x:fgColor rgb="FFF2F2F2"/>
      </x:patternFill>
    </x:fill>
    <x:fill>
      <x:patternFill patternType="solid">
        <x:fgColor theme="4" tint="0.59999389629810485"/>
        <x:bgColor indexed="65"/>
      </x:patternFill>
    </x:fill>
    <x:fill>
      <x:patternFill patternType="solid">
        <x:fgColor indexed="9"/>
        <x:bgColor indexed="64"/>
      </x:patternFill>
    </x:fill>
    <x:fill>
      <x:patternFill patternType="solid">
        <x:fgColor theme="0" tint="-0.14999847407452621"/>
        <x:bgColor indexed="64"/>
      </x:patternFill>
    </x:fill>
    <x:fill>
      <x:patternFill patternType="solid">
        <x:fgColor rgb="FF9DBEC3"/>
        <x:bgColor indexed="64"/>
      </x:patternFill>
    </x:fill>
    <x:fill>
      <x:patternFill patternType="solid">
        <x:fgColor theme="4" tint="0.59999389629810485"/>
        <x:bgColor indexed="64"/>
      </x:patternFill>
    </x:fill>
    <x:fill>
      <x:patternFill patternType="solid">
        <x:fgColor theme="4" tint="0.79998168889431442"/>
        <x:bgColor indexed="64"/>
      </x:patternFill>
    </x:fill>
    <x:fill>
      <x:patternFill patternType="solid">
        <x:fgColor rgb="FFEDF3F3"/>
        <x:bgColor indexed="64"/>
      </x:patternFill>
    </x:fill>
    <x:fill>
      <x:patternFill patternType="solid">
        <x:fgColor theme="4" tint="0.59996337778862885"/>
        <x:bgColor indexed="64"/>
      </x:patternFill>
    </x:fill>
    <x:fill>
      <x:patternFill patternType="solid">
        <x:fgColor theme="0"/>
        <x:bgColor indexed="64"/>
      </x:patternFill>
    </x:fill>
    <x:fill>
      <x:patternFill patternType="solid">
        <x:fgColor rgb="FFFFFF00"/>
        <x:bgColor rgb="FFFFFF00"/>
      </x:patternFill>
    </x:fill>
  </x:fills>
  <x:borders count="30">
    <x:border>
      <x:left/>
      <x:right/>
      <x:top/>
      <x:bottom/>
      <x:diagonal/>
    </x:border>
    <x:border>
      <x:left/>
      <x:right/>
      <x:top/>
      <x:bottom style="thick">
        <x:color theme="4"/>
      </x:bottom>
      <x:diagonal/>
    </x:border>
    <x:border>
      <x:left/>
      <x:right/>
      <x:top/>
      <x:bottom style="medium">
        <x:color theme="4" tint="0.39997558519241921"/>
      </x:bottom>
      <x:diagonal/>
    </x:border>
    <x:border>
      <x:left style="thin">
        <x:color rgb="FF7F7F7F"/>
      </x:left>
      <x:right style="thin">
        <x:color rgb="FF7F7F7F"/>
      </x:right>
      <x:top style="thin">
        <x:color rgb="FF7F7F7F"/>
      </x:top>
      <x:bottom style="thin">
        <x:color rgb="FF7F7F7F"/>
      </x:bottom>
      <x:diagonal/>
    </x:border>
    <x:border>
      <x:left/>
      <x:right/>
      <x:top style="medium">
        <x:color theme="4" tint="0.39997558519241921"/>
      </x:top>
      <x:bottom/>
      <x:diagonal/>
    </x:border>
    <x:border>
      <x:left/>
      <x:right/>
      <x:top style="medium">
        <x:color theme="4" tint="0.39997558519241921"/>
      </x:top>
      <x:bottom style="medium">
        <x:color theme="4" tint="0.39997558519241921"/>
      </x:bottom>
      <x:diagonal/>
    </x:border>
    <x:border>
      <x:left style="thin">
        <x:color rgb="FF7F7F7F"/>
      </x:left>
      <x:right style="thin">
        <x:color rgb="FF7F7F7F"/>
      </x:right>
      <x:top style="medium">
        <x:color theme="4" tint="0.39997558519241921"/>
      </x:top>
      <x:bottom style="medium">
        <x:color theme="4" tint="0.39997558519241921"/>
      </x:bottom>
      <x:diagonal/>
    </x:border>
    <x:border>
      <x:left/>
      <x:right/>
      <x:top style="medium">
        <x:color theme="4" tint="0.39994506668294322"/>
      </x:top>
      <x:bottom style="medium">
        <x:color theme="4" tint="0.39997558519241921"/>
      </x:bottom>
      <x:diagonal/>
    </x:border>
    <x:border>
      <x:left style="thin">
        <x:color rgb="FF7F7F7F"/>
      </x:left>
      <x:right/>
      <x:top/>
      <x:bottom style="thin">
        <x:color rgb="FF7F7F7F"/>
      </x:bottom>
      <x:diagonal/>
    </x:border>
    <x:border>
      <x:left/>
      <x:right/>
      <x:top/>
      <x:bottom style="thin">
        <x:color rgb="FF7F7F7F"/>
      </x:bottom>
      <x:diagonal/>
    </x:border>
    <x:border>
      <x:left/>
      <x:right style="thin">
        <x:color rgb="FF7F7F7F"/>
      </x:right>
      <x:top/>
      <x:bottom style="thin">
        <x:color rgb="FF7F7F7F"/>
      </x:bottom>
      <x:diagonal/>
    </x:border>
    <x:border>
      <x:left style="thin">
        <x:color indexed="44"/>
      </x:left>
      <x:right/>
      <x:top/>
      <x:bottom/>
      <x:diagonal/>
    </x:border>
    <x:border>
      <x:left style="thin">
        <x:color rgb="FFD6DCE0"/>
      </x:left>
      <x:right style="thin">
        <x:color rgb="FFD6DCE0"/>
      </x:right>
      <x:top style="thin">
        <x:color rgb="FFD6DCE0"/>
      </x:top>
      <x:bottom style="thin">
        <x:color rgb="FFD6DCE0"/>
      </x:bottom>
      <x:diagonal/>
    </x:border>
    <x:border>
      <x:left style="thin">
        <x:color rgb="FFD6DCE0"/>
      </x:left>
      <x:right style="thin">
        <x:color rgb="FFD6DCE0"/>
      </x:right>
      <x:top style="thin">
        <x:color rgb="FFD6DCE0"/>
      </x:top>
      <x:bottom/>
      <x:diagonal/>
    </x:border>
    <x:border>
      <x:left style="thin">
        <x:color theme="0" tint="-0.14996795556505021"/>
      </x:left>
      <x:right style="thin">
        <x:color theme="0" tint="-0.14996795556505021"/>
      </x:right>
      <x:top style="thin">
        <x:color theme="0" tint="-0.34998626667073579"/>
      </x:top>
      <x:bottom style="thin">
        <x:color theme="0" tint="-0.34998626667073579"/>
      </x:bottom>
      <x:diagonal/>
    </x:border>
    <x:border>
      <x:left style="thin">
        <x:color theme="0" tint="-0.14996795556505021"/>
      </x:left>
      <x:right style="thin">
        <x:color theme="0" tint="-0.34998626667073579"/>
      </x:right>
      <x:top style="thin">
        <x:color theme="0" tint="-0.34998626667073579"/>
      </x:top>
      <x:bottom style="thin">
        <x:color theme="0" tint="-0.34998626667073579"/>
      </x:bottom>
      <x:diagonal/>
    </x:border>
    <x:border>
      <x:left/>
      <x:right/>
      <x:top style="thin">
        <x:color rgb="FFD6DCE0"/>
      </x:top>
      <x:bottom/>
      <x:diagonal/>
    </x:border>
    <x:border>
      <x:left style="thin">
        <x:color rgb="FFD6DCE0"/>
      </x:left>
      <x:right/>
      <x:top style="thin">
        <x:color rgb="FFD6DCE0"/>
      </x:top>
      <x:bottom style="thin">
        <x:color rgb="FFD6DCE0"/>
      </x:bottom>
      <x:diagonal/>
    </x:border>
    <x:border>
      <x:left/>
      <x:right style="thin">
        <x:color rgb="FFD6DCE0"/>
      </x:right>
      <x:top style="thin">
        <x:color rgb="FFD6DCE0"/>
      </x:top>
      <x:bottom style="thin">
        <x:color rgb="FFD6DCE0"/>
      </x:bottom>
      <x:diagonal/>
    </x:border>
    <x:border>
      <x:left style="thin">
        <x:color theme="0" tint="-0.34998626667073579"/>
      </x:left>
      <x:right style="thin">
        <x:color theme="0" tint="-0.34998626667073579"/>
      </x:right>
      <x:top style="thin">
        <x:color theme="0" tint="-0.34998626667073579"/>
      </x:top>
      <x:bottom style="thin">
        <x:color theme="0" tint="-0.34998626667073579"/>
      </x:bottom>
      <x:diagonal/>
    </x:border>
    <x:border>
      <x:left style="thin">
        <x:color rgb="FFD6DCE0"/>
      </x:left>
      <x:right style="thin">
        <x:color rgb="FFD6DCE0"/>
      </x:right>
      <x:top/>
      <x:bottom style="thin">
        <x:color rgb="FFD6DCE0"/>
      </x:bottom>
      <x:diagonal/>
    </x:border>
    <x:border>
      <x:left style="thin">
        <x:color theme="0" tint="-0.34998626667073579"/>
      </x:left>
      <x:right/>
      <x:top style="thin">
        <x:color theme="0" tint="-0.34998626667073579"/>
      </x:top>
      <x:bottom style="thin">
        <x:color theme="0" tint="-0.34998626667073579"/>
      </x:bottom>
      <x:diagonal/>
    </x:border>
    <x:border>
      <x:left/>
      <x:right/>
      <x:top style="thin">
        <x:color theme="0" tint="-0.34998626667073579"/>
      </x:top>
      <x:bottom style="thin">
        <x:color theme="0" tint="-0.34998626667073579"/>
      </x:bottom>
      <x:diagonal/>
    </x:border>
    <x:border>
      <x:left/>
      <x:right style="thin">
        <x:color rgb="FFD6DCE0"/>
      </x:right>
      <x:top/>
      <x:bottom/>
      <x:diagonal/>
    </x:border>
    <x:border>
      <x:left/>
      <x:right style="thin">
        <x:color theme="0" tint="-0.34998626667073579"/>
      </x:right>
      <x:top style="thin">
        <x:color theme="0" tint="-0.34998626667073579"/>
      </x:top>
      <x:bottom/>
      <x:diagonal/>
    </x:border>
    <x:border>
      <x:left style="thin">
        <x:color theme="0" tint="-0.34998626667073579"/>
      </x:left>
      <x:right style="thin">
        <x:color rgb="FFD6DCE0"/>
      </x:right>
      <x:top/>
      <x:bottom style="thin">
        <x:color rgb="FFD6DCE0"/>
      </x:bottom>
      <x:diagonal/>
    </x:border>
    <x:border>
      <x:left/>
      <x:right style="thin">
        <x:color theme="0" tint="-0.14996795556505021"/>
      </x:right>
      <x:top style="thin">
        <x:color theme="0" tint="-0.34998626667073579"/>
      </x:top>
      <x:bottom style="thin">
        <x:color theme="0" tint="-0.34998626667073579"/>
      </x:bottom>
      <x:diagonal/>
    </x:border>
    <x:border>
      <x:left style="thin">
        <x:color indexed="64"/>
      </x:left>
      <x:right/>
      <x:top/>
      <x:bottom/>
      <x:diagonal/>
    </x:border>
    <x:border>
      <x:left/>
      <x:right style="thin">
        <x:color indexed="64"/>
      </x:right>
      <x:top/>
      <x:bottom/>
      <x:diagonal/>
    </x:border>
    <x:border>
      <x:left/>
      <x:right/>
      <x:top/>
      <x:bottom style="medium">
        <x:color theme="4" tint="0.39994506668294322"/>
      </x:bottom>
      <x:diagonal/>
    </x:border>
  </x:borders>
  <x:cellStyleXfs count="149">
    <x:xf numFmtId="0" fontId="0" fillId="0" borderId="0"/>
    <x:xf numFmtId="0" fontId="2" fillId="0" borderId="1" applyNumberFormat="0" applyFill="0" applyAlignment="0" applyProtection="0"/>
    <x:xf numFmtId="0" fontId="3" fillId="0" borderId="2" applyNumberFormat="0" applyFill="0" applyAlignment="0" applyProtection="0"/>
    <x:xf numFmtId="0" fontId="3" fillId="0" borderId="0" applyNumberFormat="0" applyFill="0" applyBorder="0" applyAlignment="0" applyProtection="0"/>
    <x:xf numFmtId="0" fontId="4" fillId="2" borderId="3" applyNumberFormat="0" applyAlignment="0" applyProtection="0"/>
    <x:xf numFmtId="0" fontId="1" fillId="3" borderId="0" applyNumberFormat="0" applyBorder="0" applyAlignment="0" applyProtection="0"/>
    <x:xf numFmtId="0" fontId="30" fillId="0" borderId="0" applyNumberFormat="0" applyFill="0" applyBorder="0" applyAlignment="0" applyProtection="0"/>
    <x:xf numFmtId="0" fontId="0" fillId="0" borderId="0" applyNumberFormat="1" applyFill="1" applyBorder="0" applyAlignment="1" applyProtection="1">
      <x:protection locked="1" hidden="0"/>
    </x:xf>
    <x:xf numFmtId="166" fontId="0" fillId="0" borderId="0" applyNumberFormat="1" applyFill="1" applyBorder="0" applyAlignment="1" applyProtection="1">
      <x:protection locked="1" hidden="0"/>
    </x:xf>
    <x:xf numFmtId="0" fontId="2" fillId="0" borderId="1" applyNumberFormat="1" applyFill="1" applyBorder="1" applyAlignment="1" applyProtection="1">
      <x:protection locked="1" hidden="0"/>
    </x:xf>
    <x:xf numFmtId="0" fontId="32" fillId="0" borderId="0" applyNumberFormat="1" applyFill="1" applyBorder="0" applyAlignment="1" applyProtection="1">
      <x:protection locked="1" hidden="0"/>
    </x:xf>
    <x:xf numFmtId="0" fontId="33" fillId="0" borderId="0" applyNumberFormat="1" applyFill="1" applyBorder="0" applyAlignment="1" applyProtection="1">
      <x:protection locked="1" hidden="0"/>
    </x:xf>
    <x:xf numFmtId="0" fontId="7" fillId="0" borderId="0" applyNumberFormat="1" applyFill="1" applyBorder="0" applyAlignment="1" applyProtection="1">
      <x:protection locked="1" hidden="0"/>
    </x:xf>
    <x:xf numFmtId="0" fontId="9" fillId="0" borderId="0" applyNumberFormat="1" applyFill="1" applyBorder="0" applyAlignment="1" applyProtection="1">
      <x:protection locked="1" hidden="0"/>
    </x:xf>
    <x:xf numFmtId="0" fontId="8" fillId="0" borderId="0" applyNumberFormat="1" applyFill="1" applyBorder="0" applyAlignment="1" applyProtection="1">
      <x:protection locked="1" hidden="0"/>
    </x:xf>
    <x:xf numFmtId="166" fontId="8" fillId="0" borderId="0" applyNumberFormat="1" applyFill="1" applyBorder="0" applyAlignment="1" applyProtection="1">
      <x:protection locked="1" hidden="0"/>
    </x:xf>
    <x:xf numFmtId="49" fontId="3" fillId="0" borderId="2" applyNumberFormat="1" applyFill="1" applyBorder="1" applyAlignment="1" applyProtection="1">
      <x:protection locked="1" hidden="0"/>
    </x:xf>
    <x:xf numFmtId="0" fontId="10" fillId="0" borderId="2" applyNumberFormat="1" applyFill="1" applyBorder="1" applyAlignment="1" applyProtection="1">
      <x:protection locked="1" hidden="0"/>
    </x:xf>
    <x:xf numFmtId="0" fontId="22" fillId="0" borderId="2" applyNumberFormat="1" applyFill="1" applyBorder="1" applyAlignment="1" applyProtection="1">
      <x:protection locked="1" hidden="0"/>
    </x:xf>
    <x:xf numFmtId="49" fontId="10" fillId="0" borderId="2" applyNumberFormat="1" applyFill="1" applyBorder="1" applyAlignment="1" applyProtection="1">
      <x:protection locked="1" hidden="0"/>
    </x:xf>
    <x:xf numFmtId="166" fontId="10" fillId="0" borderId="0" applyNumberFormat="1" applyFill="1" applyBorder="0" applyAlignment="1" applyProtection="1">
      <x:protection locked="1" hidden="0"/>
    </x:xf>
    <x:xf numFmtId="0" fontId="3" fillId="0" borderId="4" applyNumberFormat="1" applyFill="1" applyBorder="1" applyAlignment="1" applyProtection="1">
      <x:protection locked="1" hidden="0"/>
    </x:xf>
    <x:xf numFmtId="0" fontId="3" fillId="0" borderId="4" applyNumberFormat="1" applyFill="1" applyBorder="1" applyAlignment="1" applyProtection="1">
      <x:protection locked="1" hidden="0"/>
    </x:xf>
    <x:xf numFmtId="0" fontId="22" fillId="0" borderId="5" applyNumberFormat="1" applyFill="1" applyBorder="1" applyAlignment="1" applyProtection="1">
      <x:protection locked="1" hidden="0"/>
    </x:xf>
    <x:xf numFmtId="0" fontId="3" fillId="0" borderId="2" applyNumberFormat="1" applyFill="1" applyBorder="1" applyAlignment="1" applyProtection="1">
      <x:protection locked="1" hidden="0"/>
    </x:xf>
    <x:xf numFmtId="0" fontId="3" fillId="0" borderId="0" applyNumberFormat="1" applyFill="1" applyBorder="0" applyAlignment="1" applyProtection="1">
      <x:protection locked="1" hidden="0"/>
    </x:xf>
    <x:xf numFmtId="0" fontId="24" fillId="0" borderId="0" applyNumberFormat="1" applyFill="1" applyBorder="0" applyAlignment="1" applyProtection="1">
      <x:protection locked="1" hidden="0"/>
    </x:xf>
    <x:xf numFmtId="169" fontId="10" fillId="0" borderId="2" applyNumberFormat="1" applyFill="1" applyBorder="1" applyAlignment="1" applyProtection="1">
      <x:protection locked="1" hidden="0"/>
    </x:xf>
    <x:xf numFmtId="0" fontId="28" fillId="0" borderId="0" applyNumberFormat="1" applyFill="1" applyBorder="0" applyAlignment="1" applyProtection="1">
      <x:protection locked="1" hidden="0"/>
    </x:xf>
    <x:xf numFmtId="49" fontId="10" fillId="0" borderId="5" applyNumberFormat="1" applyFill="1" applyBorder="1" applyAlignment="1" applyProtection="1">
      <x:protection locked="1" hidden="0"/>
    </x:xf>
    <x:xf numFmtId="0" fontId="12" fillId="0" borderId="0" applyNumberFormat="1" applyFill="1" applyBorder="0" applyAlignment="1" applyProtection="1">
      <x:protection locked="1" hidden="0"/>
    </x:xf>
    <x:xf numFmtId="170" fontId="10" fillId="0" borderId="2" applyNumberFormat="1" applyFill="1" applyBorder="1" applyAlignment="1" applyProtection="1">
      <x:protection locked="1" hidden="0"/>
    </x:xf>
    <x:xf numFmtId="0" fontId="10" fillId="0" borderId="2" applyNumberFormat="1" applyFill="1" applyBorder="1" applyAlignment="1" applyProtection="1">
      <x:protection locked="1" hidden="0"/>
    </x:xf>
    <x:xf numFmtId="166" fontId="10" fillId="0" borderId="0" applyNumberFormat="1" applyFill="1" applyBorder="0" applyAlignment="1" applyProtection="1">
      <x:protection locked="1" hidden="0"/>
    </x:xf>
    <x:xf numFmtId="0" fontId="29" fillId="0" borderId="0" applyNumberFormat="1" applyFill="1" applyBorder="0" applyAlignment="1" applyProtection="1">
      <x:protection locked="1" hidden="0"/>
    </x:xf>
    <x:xf numFmtId="0" fontId="29" fillId="0" borderId="0" applyNumberFormat="1" applyFill="1" applyBorder="0" applyAlignment="1" applyProtection="1">
      <x:protection locked="1" hidden="0"/>
    </x:xf>
    <x:xf numFmtId="0" fontId="28" fillId="0" borderId="0" applyNumberFormat="1" applyFill="1" applyBorder="0" applyAlignment="1" applyProtection="1">
      <x:protection locked="1" hidden="0"/>
    </x:xf>
    <x:xf numFmtId="0" fontId="30" fillId="0" borderId="0" applyNumberFormat="1" applyFill="1" applyBorder="0" applyAlignment="1" applyProtection="1">
      <x:protection locked="1" hidden="0"/>
    </x:xf>
    <x:xf numFmtId="0" fontId="28" fillId="0" borderId="29" applyNumberFormat="1" applyFill="1" applyBorder="1" applyAlignment="1" applyProtection="1">
      <x:protection locked="1" hidden="0"/>
    </x:xf>
    <x:xf numFmtId="0" fontId="28" fillId="0" borderId="29" applyNumberFormat="1" applyFill="1" applyBorder="1" applyAlignment="1" applyProtection="1">
      <x:protection locked="1" hidden="0"/>
    </x:xf>
    <x:xf numFmtId="0" fontId="25" fillId="5" borderId="3" applyNumberFormat="1" applyFill="0" applyBorder="1" applyAlignment="1" applyProtection="1">
      <x:protection locked="0" hidden="0"/>
    </x:xf>
    <x:xf numFmtId="0" fontId="10" fillId="0" borderId="2" applyNumberFormat="1" applyFill="1" applyBorder="1" applyAlignment="1" applyProtection="1">
      <x:protection locked="1" hidden="0"/>
    </x:xf>
    <x:xf numFmtId="4" fontId="25" fillId="5" borderId="6" applyNumberFormat="1" applyFill="0" applyBorder="1" applyAlignment="1" applyProtection="1">
      <x:protection locked="0" hidden="0"/>
    </x:xf>
    <x:xf numFmtId="0" fontId="3" fillId="0" borderId="7" applyNumberFormat="1" applyFill="1" applyBorder="1" applyAlignment="1" applyProtection="1">
      <x:protection locked="1" hidden="0"/>
    </x:xf>
    <x:xf numFmtId="0" fontId="3" fillId="0" borderId="2" applyNumberFormat="1" applyFill="1" applyBorder="1" applyAlignment="1" applyProtection="1">
      <x:protection locked="1" hidden="0"/>
    </x:xf>
    <x:xf numFmtId="4" fontId="25" fillId="5" borderId="8" applyNumberFormat="1" applyFill="0" applyBorder="1" applyAlignment="1" applyProtection="1">
      <x:protection locked="0" hidden="0"/>
    </x:xf>
    <x:xf numFmtId="4" fontId="25" fillId="5" borderId="9" applyNumberFormat="1" applyFill="0" applyBorder="1" applyAlignment="1" applyProtection="1">
      <x:protection locked="0" hidden="0"/>
    </x:xf>
    <x:xf numFmtId="4" fontId="25" fillId="5" borderId="10" applyNumberFormat="1" applyFill="0" applyBorder="1" applyAlignment="1" applyProtection="1">
      <x:protection locked="0" hidden="0"/>
    </x:xf>
    <x:xf numFmtId="0" fontId="23" fillId="0" borderId="2" applyNumberFormat="1" applyFill="1" applyBorder="1" applyAlignment="1" applyProtection="1">
      <x:protection locked="1" hidden="0"/>
    </x:xf>
    <x:xf numFmtId="49" fontId="10" fillId="0" borderId="2" applyNumberFormat="1" applyFill="1" applyBorder="1" applyAlignment="1" applyProtection="1">
      <x:protection locked="0" hidden="0"/>
    </x:xf>
    <x:xf numFmtId="0" fontId="26" fillId="5" borderId="3" applyNumberFormat="1" applyFill="0" applyBorder="1" applyAlignment="1" applyProtection="1">
      <x:protection locked="0" hidden="0"/>
    </x:xf>
    <x:xf numFmtId="166" fontId="10" fillId="0" borderId="2" applyNumberFormat="1" applyFill="1" applyBorder="1" applyAlignment="1" applyProtection="1">
      <x:protection locked="1" hidden="0"/>
    </x:xf>
    <x:xf numFmtId="167" fontId="26" fillId="5" borderId="3" applyNumberFormat="1" applyFill="0" applyBorder="1" applyAlignment="1" applyProtection="1">
      <x:protection locked="0" hidden="0"/>
    </x:xf>
    <x:xf numFmtId="164" fontId="10" fillId="0" borderId="5" applyNumberFormat="1" applyFill="1" applyBorder="1" applyAlignment="1" applyProtection="1">
      <x:protection locked="1" hidden="0"/>
    </x:xf>
    <x:xf numFmtId="0" fontId="12" fillId="0" borderId="0" applyNumberFormat="1" applyFill="1" applyBorder="0" applyAlignment="1" applyProtection="1">
      <x:protection locked="1" hidden="0"/>
    </x:xf>
    <x:xf numFmtId="166" fontId="24" fillId="0" borderId="0" applyNumberFormat="1" applyFill="1" applyBorder="0" applyAlignment="1" applyProtection="1">
      <x:protection locked="1" hidden="0"/>
    </x:xf>
    <x:xf numFmtId="0" fontId="13" fillId="0" borderId="0" applyNumberFormat="1" applyFill="1" applyBorder="0" applyAlignment="1" applyProtection="1">
      <x:protection locked="1" hidden="0"/>
    </x:xf>
    <x:xf numFmtId="164" fontId="13" fillId="0" borderId="0" applyNumberFormat="1" applyFill="1" applyBorder="0" applyAlignment="1" applyProtection="1">
      <x:protection locked="1" hidden="0"/>
    </x:xf>
    <x:xf numFmtId="164" fontId="13" fillId="0" borderId="0" applyNumberFormat="1" applyFill="1" applyBorder="0" applyAlignment="1" applyProtection="1">
      <x:protection locked="1" hidden="0"/>
    </x:xf>
    <x:xf numFmtId="165" fontId="14" fillId="6" borderId="11" applyNumberFormat="1" applyFill="0" applyBorder="1" applyAlignment="1" applyProtection="1">
      <x:protection locked="1" hidden="0"/>
    </x:xf>
    <x:xf numFmtId="165" fontId="14" fillId="6" borderId="0" applyNumberFormat="1" applyFill="0" applyBorder="0" applyAlignment="1" applyProtection="1">
      <x:protection locked="1" hidden="0"/>
    </x:xf>
    <x:xf numFmtId="0" fontId="14" fillId="6" borderId="0" applyNumberFormat="1" applyFill="0" applyBorder="0" applyAlignment="1" applyProtection="1">
      <x:protection locked="1" hidden="0"/>
    </x:xf>
    <x:xf numFmtId="0" fontId="14" fillId="6" borderId="0" applyNumberFormat="1" applyFill="0" applyBorder="0" applyAlignment="1" applyProtection="1">
      <x:protection locked="1" hidden="0"/>
    </x:xf>
    <x:xf numFmtId="166" fontId="14" fillId="11" borderId="0" applyNumberFormat="1" applyFill="0" applyBorder="0" applyAlignment="1" applyProtection="1">
      <x:protection locked="1" hidden="0"/>
    </x:xf>
    <x:xf numFmtId="1" fontId="15" fillId="12" borderId="12" applyNumberFormat="1" applyFill="0" applyBorder="1" applyAlignment="1" applyProtection="1">
      <x:protection locked="1" hidden="0"/>
    </x:xf>
    <x:xf numFmtId="49" fontId="15" fillId="12" borderId="12" applyNumberFormat="1" applyFill="0" applyBorder="1" applyAlignment="1" applyProtection="1">
      <x:protection locked="1" hidden="0"/>
    </x:xf>
    <x:xf numFmtId="49" fontId="15" fillId="12" borderId="12" applyNumberFormat="1" applyFill="0" applyBorder="1" applyAlignment="1" applyProtection="1">
      <x:protection locked="1" hidden="0"/>
    </x:xf>
    <x:xf numFmtId="49" fontId="15" fillId="12" borderId="12" applyNumberFormat="1" applyFill="0" applyBorder="1" applyAlignment="1" applyProtection="1">
      <x:protection locked="1" hidden="0"/>
    </x:xf>
    <x:xf numFmtId="2" fontId="15" fillId="12" borderId="12" applyNumberFormat="1" applyFill="0" applyBorder="1" applyAlignment="1" applyProtection="1">
      <x:protection locked="1" hidden="0"/>
    </x:xf>
    <x:xf numFmtId="49" fontId="15" fillId="12" borderId="17" applyNumberFormat="1" applyFill="0" applyBorder="1" applyAlignment="1" applyProtection="1">
      <x:protection locked="1" hidden="0"/>
    </x:xf>
    <x:xf numFmtId="4" fontId="15" fillId="12" borderId="17" applyNumberFormat="1" applyFill="0" applyBorder="1" applyAlignment="1" applyProtection="1">
      <x:protection locked="1" hidden="0"/>
    </x:xf>
    <x:xf numFmtId="49" fontId="15" fillId="12" borderId="18" applyNumberFormat="1" applyFill="0" applyBorder="1" applyAlignment="1" applyProtection="1">
      <x:protection locked="1" hidden="0"/>
    </x:xf>
    <x:xf numFmtId="167" fontId="15" fillId="12" borderId="12" applyNumberFormat="1" applyFill="0" applyBorder="1" applyAlignment="1" applyProtection="1">
      <x:protection locked="1" hidden="0"/>
    </x:xf>
    <x:xf numFmtId="49" fontId="16" fillId="12" borderId="12" applyNumberFormat="1" applyFill="0" applyBorder="1" applyAlignment="1" applyProtection="1">
      <x:protection locked="1" hidden="0"/>
    </x:xf>
    <x:xf numFmtId="11" fontId="16" fillId="8" borderId="17" applyNumberFormat="1" applyFill="0" applyBorder="1" applyAlignment="1" applyProtection="1">
      <x:protection locked="0" hidden="0"/>
    </x:xf>
    <x:xf numFmtId="166" fontId="16" fillId="11" borderId="0" applyNumberFormat="1" applyFill="0" applyBorder="0" applyAlignment="1" applyProtection="1">
      <x:protection locked="1" hidden="0"/>
    </x:xf>
    <x:xf numFmtId="1" fontId="12" fillId="0" borderId="13" applyNumberFormat="1" applyFill="1" applyBorder="1" applyAlignment="1" applyProtection="1">
      <x:protection locked="1" hidden="0"/>
    </x:xf>
    <x:xf numFmtId="1" fontId="12" fillId="0" borderId="0" applyNumberFormat="1" applyFill="1" applyBorder="0" applyAlignment="1" applyProtection="1">
      <x:protection locked="1" hidden="0"/>
    </x:xf>
    <x:xf numFmtId="0" fontId="24" fillId="0" borderId="0" applyNumberFormat="1" applyFill="1" applyBorder="0" applyAlignment="1" applyProtection="1">
      <x:protection locked="1" hidden="0"/>
    </x:xf>
    <x:xf numFmtId="0" fontId="12" fillId="0" borderId="0" applyNumberFormat="1" applyFill="1" applyBorder="0" applyAlignment="1" applyProtection="1">
      <x:protection locked="1" hidden="0"/>
    </x:xf>
    <x:xf numFmtId="0" fontId="12" fillId="0" borderId="16" applyNumberFormat="1" applyFill="1" applyBorder="1" applyAlignment="1" applyProtection="1">
      <x:protection locked="1" hidden="0"/>
    </x:xf>
    <x:xf numFmtId="166" fontId="33" fillId="11" borderId="0" applyNumberFormat="1" applyFill="0" applyBorder="0" applyAlignment="1" applyProtection="1">
      <x:protection locked="1" hidden="0"/>
    </x:xf>
    <x:xf numFmtId="49" fontId="15" fillId="9" borderId="12" applyNumberFormat="1" applyFill="0" applyBorder="1" applyAlignment="1" applyProtection="1">
      <x:protection locked="1" hidden="0"/>
    </x:xf>
    <x:xf numFmtId="0" fontId="26" fillId="10" borderId="21" applyNumberFormat="1" applyFill="0" applyBorder="1" applyAlignment="1" applyProtection="1">
      <x:protection locked="0" hidden="0"/>
    </x:xf>
    <x:xf numFmtId="0" fontId="26" fillId="10" borderId="22" applyNumberFormat="1" applyFill="0" applyBorder="1" applyAlignment="1" applyProtection="1">
      <x:protection locked="0" hidden="0"/>
    </x:xf>
    <x:xf numFmtId="0" fontId="26" fillId="10" borderId="26" applyNumberFormat="1" applyFill="0" applyBorder="1" applyAlignment="1" applyProtection="1">
      <x:protection locked="0" hidden="0"/>
    </x:xf>
    <x:xf numFmtId="0" fontId="26" fillId="10" borderId="14" applyNumberFormat="1" applyFill="0" applyBorder="1" applyAlignment="1" applyProtection="1">
      <x:protection locked="0" hidden="0"/>
    </x:xf>
    <x:xf numFmtId="172" fontId="26" fillId="10" borderId="14" applyNumberFormat="1" applyFill="0" applyBorder="1" applyAlignment="1" applyProtection="1">
      <x:protection locked="0" hidden="0"/>
    </x:xf>
    <x:xf numFmtId="172" fontId="26" fillId="10" borderId="15" applyNumberFormat="1" applyFill="0" applyBorder="1" applyAlignment="1" applyProtection="1">
      <x:protection locked="0" hidden="0"/>
    </x:xf>
    <x:xf numFmtId="167" fontId="26" fillId="10" borderId="19" applyNumberFormat="1" applyFill="0" applyBorder="1" applyAlignment="1" applyProtection="1">
      <x:protection locked="1" hidden="0"/>
    </x:xf>
    <x:xf numFmtId="49" fontId="16" fillId="3" borderId="21" applyNumberFormat="1" applyFill="0" applyBorder="1" applyAlignment="1" applyProtection="1">
      <x:protection locked="0" hidden="0"/>
    </x:xf>
    <x:xf numFmtId="49" fontId="16" fillId="3" borderId="22" applyNumberFormat="1" applyFill="0" applyBorder="1" applyAlignment="1" applyProtection="1">
      <x:protection locked="0" hidden="0"/>
    </x:xf>
    <x:xf numFmtId="166" fontId="16" fillId="11" borderId="0" applyNumberFormat="1" applyFill="0" applyBorder="0" applyAlignment="1" applyProtection="1">
      <x:protection locked="0" hidden="0"/>
    </x:xf>
    <x:xf numFmtId="0" fontId="34" fillId="0" borderId="0" applyNumberFormat="1" applyFill="1" applyBorder="0" applyAlignment="1" applyProtection="1">
      <x:protection locked="1" hidden="0"/>
    </x:xf>
    <x:xf numFmtId="44" fontId="35" fillId="0" borderId="0" applyNumberFormat="1" applyFill="1" applyBorder="0" applyAlignment="1" applyProtection="1">
      <x:protection locked="1" hidden="0"/>
    </x:xf>
    <x:xf numFmtId="0" fontId="24" fillId="0" borderId="24" applyNumberFormat="1" applyFill="1" applyBorder="1" applyAlignment="1" applyProtection="1">
      <x:protection locked="1" hidden="0"/>
    </x:xf>
    <x:xf numFmtId="0" fontId="20" fillId="0" borderId="25" applyNumberFormat="1" applyFill="1" applyBorder="1" applyAlignment="1" applyProtection="1">
      <x:protection locked="1" hidden="0"/>
    </x:xf>
    <x:xf numFmtId="0" fontId="20" fillId="0" borderId="20" applyNumberFormat="1" applyFill="1" applyBorder="1" applyAlignment="1" applyProtection="1">
      <x:protection locked="1" hidden="0"/>
    </x:xf>
    <x:xf numFmtId="0" fontId="15" fillId="0" borderId="12" applyNumberFormat="1" applyFill="1" applyBorder="1" applyAlignment="1" applyProtection="1">
      <x:protection locked="1" hidden="0"/>
    </x:xf>
    <x:xf numFmtId="168" fontId="15" fillId="9" borderId="20" applyNumberFormat="1" applyFill="0" applyBorder="1" applyAlignment="1" applyProtection="1">
      <x:protection locked="1" hidden="0"/>
    </x:xf>
    <x:xf numFmtId="0" fontId="24" fillId="0" borderId="23" applyNumberFormat="1" applyFill="1" applyBorder="1" applyAlignment="1" applyProtection="1">
      <x:protection locked="1" hidden="0"/>
    </x:xf>
    <x:xf numFmtId="0" fontId="20" fillId="0" borderId="12" applyNumberFormat="1" applyFill="1" applyBorder="1" applyAlignment="1" applyProtection="1">
      <x:protection locked="1" hidden="0"/>
    </x:xf>
    <x:xf numFmtId="168" fontId="15" fillId="9" borderId="12" applyNumberFormat="1" applyFill="0" applyBorder="1" applyAlignment="1" applyProtection="1">
      <x:protection locked="1" hidden="0"/>
    </x:xf>
    <x:xf numFmtId="1" fontId="24" fillId="0" borderId="0" applyNumberFormat="1" applyFill="1" applyBorder="0" applyAlignment="1" applyProtection="1">
      <x:protection locked="1" hidden="0"/>
    </x:xf>
    <x:xf numFmtId="1" fontId="36" fillId="0" borderId="0" applyNumberFormat="1" applyFill="1" applyBorder="0" applyAlignment="1" applyProtection="1">
      <x:protection locked="1" hidden="0"/>
    </x:xf>
    <x:xf numFmtId="3" fontId="36" fillId="0" borderId="0" applyNumberFormat="1" applyFill="1" applyBorder="0" applyAlignment="1" applyProtection="1">
      <x:protection locked="1" hidden="0"/>
    </x:xf>
    <x:xf numFmtId="44" fontId="36" fillId="0" borderId="0" applyNumberFormat="1" applyFill="1" applyBorder="0" applyAlignment="1" applyProtection="1">
      <x:protection locked="1" hidden="0"/>
    </x:xf>
    <x:xf numFmtId="49" fontId="35" fillId="0" borderId="0" applyNumberFormat="1" applyFill="1" applyBorder="0" applyAlignment="1" applyProtection="1">
      <x:protection locked="1" hidden="0"/>
    </x:xf>
    <x:xf numFmtId="44" fontId="35" fillId="4" borderId="0" applyNumberFormat="1" applyFill="0" applyBorder="0" applyAlignment="1" applyProtection="1">
      <x:protection locked="1" hidden="0"/>
    </x:xf>
    <x:xf numFmtId="44" fontId="36" fillId="4" borderId="0" applyNumberFormat="1" applyFill="0" applyBorder="0" applyAlignment="1" applyProtection="1">
      <x:protection locked="1" hidden="0"/>
    </x:xf>
    <x:xf numFmtId="165" fontId="14" fillId="6" borderId="19" applyNumberFormat="1" applyFill="0" applyBorder="1" applyAlignment="1" applyProtection="1">
      <x:protection locked="1" hidden="0"/>
    </x:xf>
    <x:xf numFmtId="0" fontId="24" fillId="9" borderId="19" applyNumberFormat="1" applyFill="0" applyBorder="1" applyAlignment="1" applyProtection="1">
      <x:protection locked="1" hidden="0"/>
    </x:xf>
    <x:xf numFmtId="0" fontId="17" fillId="10" borderId="21" applyNumberFormat="1" applyFill="0" applyBorder="1" applyAlignment="1" applyProtection="1">
      <x:protection locked="0" hidden="0"/>
    </x:xf>
    <x:xf numFmtId="0" fontId="26" fillId="10" borderId="22" applyNumberFormat="1" applyFill="0" applyBorder="1" applyAlignment="1" applyProtection="1">
      <x:protection locked="0" hidden="0"/>
    </x:xf>
    <x:xf numFmtId="0" fontId="17" fillId="10" borderId="26" applyNumberFormat="1" applyFill="0" applyBorder="1" applyAlignment="1" applyProtection="1">
      <x:protection locked="0" hidden="0"/>
    </x:xf>
    <x:xf numFmtId="166" fontId="17" fillId="11" borderId="0" applyNumberFormat="1" applyFill="0" applyBorder="0" applyAlignment="1" applyProtection="1">
      <x:protection locked="0" hidden="0"/>
    </x:xf>
    <x:xf numFmtId="1" fontId="20" fillId="9" borderId="0" applyNumberFormat="1" applyFill="0" applyBorder="0" applyAlignment="1" applyProtection="1">
      <x:protection locked="1" hidden="0"/>
    </x:xf>
    <x:xf numFmtId="166" fontId="20" fillId="11" borderId="0" applyNumberFormat="1" applyFill="0" applyBorder="0" applyAlignment="1" applyProtection="1">
      <x:protection locked="1" hidden="0"/>
    </x:xf>
    <x:xf numFmtId="1" fontId="15" fillId="9" borderId="0" applyNumberFormat="1" applyFill="0" applyBorder="0" applyAlignment="1" applyProtection="1">
      <x:protection locked="1" hidden="0"/>
    </x:xf>
    <x:xf numFmtId="166" fontId="15" fillId="11" borderId="0" applyNumberFormat="1" applyFill="0" applyBorder="0" applyAlignment="1" applyProtection="1">
      <x:protection locked="1" hidden="0"/>
    </x:xf>
    <x:xf numFmtId="1" fontId="15" fillId="9" borderId="0" applyNumberFormat="1" applyFill="0" applyBorder="0" applyAlignment="1" applyProtection="1">
      <x:protection locked="1" hidden="0"/>
    </x:xf>
    <x:xf numFmtId="166" fontId="15" fillId="11" borderId="0" applyNumberFormat="1" applyFill="0" applyBorder="0" applyAlignment="1" applyProtection="1">
      <x:protection locked="1" hidden="0"/>
    </x:xf>
    <x:xf numFmtId="1" fontId="20" fillId="9" borderId="0" applyNumberFormat="1" applyFill="0" applyBorder="0" applyAlignment="1" applyProtection="1">
      <x:protection locked="1" hidden="0"/>
    </x:xf>
    <x:xf numFmtId="166" fontId="20" fillId="11" borderId="0" applyNumberFormat="1" applyFill="0" applyBorder="0" applyAlignment="1" applyProtection="1">
      <x:protection locked="1" hidden="0"/>
    </x:xf>
    <x:xf numFmtId="1" fontId="15" fillId="9" borderId="0" applyNumberFormat="1" applyFill="0" applyBorder="0" applyAlignment="1" applyProtection="1">
      <x:protection locked="1" hidden="0"/>
    </x:xf>
    <x:xf numFmtId="166" fontId="15" fillId="11" borderId="0" applyNumberFormat="1" applyFill="0" applyBorder="0" applyAlignment="1" applyProtection="1">
      <x:protection locked="1" hidden="0"/>
    </x:xf>
    <x:xf numFmtId="1" fontId="15" fillId="0" borderId="12" applyNumberFormat="1" applyFill="1" applyBorder="1" applyAlignment="1" applyProtection="1">
      <x:protection locked="1" hidden="0"/>
    </x:xf>
    <x:xf numFmtId="49" fontId="15" fillId="0" borderId="12" applyNumberFormat="1" applyFill="1" applyBorder="1" applyAlignment="1" applyProtection="1">
      <x:protection locked="1" hidden="0"/>
    </x:xf>
    <x:xf numFmtId="49" fontId="15" fillId="0" borderId="12" applyNumberFormat="1" applyFill="1" applyBorder="1" applyAlignment="1" applyProtection="1">
      <x:protection locked="1" hidden="0"/>
    </x:xf>
    <x:xf numFmtId="49" fontId="15" fillId="0" borderId="12" applyNumberFormat="1" applyFill="1" applyBorder="1" applyAlignment="1" applyProtection="1">
      <x:protection locked="1" hidden="0"/>
    </x:xf>
    <x:xf numFmtId="2" fontId="15" fillId="0" borderId="12" applyNumberFormat="1" applyFill="1" applyBorder="1" applyAlignment="1" applyProtection="1">
      <x:protection locked="1" hidden="0"/>
    </x:xf>
    <x:xf numFmtId="49" fontId="15" fillId="0" borderId="12" applyNumberFormat="1" applyFill="1" applyBorder="1" applyAlignment="1" applyProtection="1">
      <x:protection locked="0" hidden="0"/>
    </x:xf>
    <x:xf numFmtId="172" fontId="15" fillId="3" borderId="17" applyNumberFormat="1" applyFill="0" applyBorder="1" applyAlignment="1" applyProtection="1">
      <x:protection locked="0" hidden="0"/>
    </x:xf>
    <x:xf numFmtId="4" fontId="15" fillId="3" borderId="17" applyNumberFormat="1" applyFill="0" applyBorder="1" applyAlignment="1" applyProtection="1">
      <x:protection locked="0" hidden="0"/>
    </x:xf>
    <x:xf numFmtId="172" fontId="15" fillId="3" borderId="18" applyNumberFormat="1" applyFill="0" applyBorder="1" applyAlignment="1" applyProtection="1">
      <x:protection locked="0" hidden="0"/>
    </x:xf>
    <x:xf numFmtId="172" fontId="15" fillId="3" borderId="12" applyNumberFormat="1" applyFill="0" applyBorder="1" applyAlignment="1" applyProtection="1">
      <x:protection locked="0" hidden="0"/>
    </x:xf>
    <x:xf numFmtId="167" fontId="15" fillId="9" borderId="12" applyNumberFormat="1" applyFill="0" applyBorder="1" applyAlignment="1" applyProtection="1">
      <x:protection locked="1" hidden="0"/>
    </x:xf>
    <x:xf numFmtId="49" fontId="16" fillId="3" borderId="12" applyNumberFormat="1" applyFill="0" applyBorder="1" applyAlignment="1" applyProtection="1">
      <x:protection locked="0" hidden="0"/>
    </x:xf>
    <x:xf numFmtId="49" fontId="16" fillId="0" borderId="12" applyNumberFormat="1" applyFill="1" applyBorder="1" applyAlignment="1" applyProtection="1">
      <x:protection locked="1" hidden="0"/>
    </x:xf>
    <x:xf numFmtId="49" fontId="15" fillId="3" borderId="17" applyNumberFormat="1" applyFill="0" applyBorder="1" applyAlignment="1" applyProtection="1">
      <x:protection locked="1" hidden="0"/>
    </x:xf>
    <x:xf numFmtId="4" fontId="15" fillId="3" borderId="17" applyNumberFormat="1" applyFill="0" applyBorder="1" applyAlignment="1" applyProtection="1">
      <x:protection locked="1" hidden="0"/>
    </x:xf>
    <x:xf numFmtId="49" fontId="15" fillId="3" borderId="18" applyNumberFormat="1" applyFill="0" applyBorder="1" applyAlignment="1" applyProtection="1">
      <x:protection locked="1" hidden="0"/>
    </x:xf>
    <x:xf numFmtId="49" fontId="15" fillId="3" borderId="12" applyNumberFormat="1" applyFill="0" applyBorder="1" applyAlignment="1" applyProtection="1">
      <x:protection locked="1" hidden="0"/>
    </x:xf>
    <x:xf numFmtId="49" fontId="16" fillId="3" borderId="12" applyNumberFormat="1" applyFill="0" applyBorder="1" applyAlignment="1" applyProtection="1">
      <x:protection locked="1" hidden="0"/>
    </x:xf>
    <x:xf numFmtId="49" fontId="15" fillId="3" borderId="18" applyNumberFormat="1" applyFill="0" applyBorder="1" applyAlignment="1" applyProtection="1">
      <x:protection locked="0" hidden="0"/>
    </x:xf>
    <x:xf numFmtId="49" fontId="15" fillId="3" borderId="12" applyNumberFormat="1" applyFill="0" applyBorder="1" applyAlignment="1" applyProtection="1">
      <x:protection locked="0" hidden="0"/>
    </x:xf>
    <x:xf numFmtId="0" fontId="0" fillId="0" borderId="27" applyNumberFormat="1" applyFill="1" applyBorder="1" applyAlignment="1" applyProtection="1">
      <x:protection locked="1" hidden="0"/>
    </x:xf>
    <x:xf numFmtId="49" fontId="0" fillId="0" borderId="0" applyNumberFormat="1" applyFill="1" applyBorder="0" applyAlignment="1" applyProtection="1">
      <x:protection locked="1" hidden="0"/>
    </x:xf>
    <x:xf numFmtId="0" fontId="0" fillId="0" borderId="28" applyNumberFormat="1" applyFill="1" applyBorder="1" applyAlignment="1" applyProtection="1">
      <x:protection locked="1" hidden="0"/>
    </x:xf>
  </x:cellStyleXfs>
  <x:cellXfs count="272">
    <x:xf numFmtId="0" fontId="0" fillId="0" borderId="0" xfId="0"/>
    <x:xf numFmtId="0" fontId="6" fillId="0" borderId="0" xfId="0" applyFont="1" applyProtection="1"/>
    <x:xf numFmtId="165" fontId="14" fillId="6" borderId="11" xfId="0" applyNumberFormat="1" applyFont="1" applyFill="1" applyBorder="1" applyAlignment="1" applyProtection="1">
      <x:alignment horizontal="left" wrapText="1"/>
    </x:xf>
    <x:xf numFmtId="165" fontId="14" fillId="6" borderId="0" xfId="0" applyNumberFormat="1" applyFont="1" applyFill="1" applyBorder="1" applyAlignment="1" applyProtection="1">
      <x:alignment horizontal="left" wrapText="1"/>
    </x:xf>
    <x:xf numFmtId="0" fontId="14" fillId="6" borderId="0" xfId="0" applyFont="1" applyFill="1" applyBorder="1" applyAlignment="1" applyProtection="1">
      <x:alignment horizontal="left" wrapText="1"/>
    </x:xf>
    <x:xf numFmtId="0" fontId="14" fillId="6" borderId="0" xfId="0" applyFont="1" applyFill="1" applyBorder="1" applyAlignment="1" applyProtection="1">
      <x:alignment wrapText="1"/>
    </x:xf>
    <x:xf numFmtId="1" fontId="12" fillId="0" borderId="13" xfId="0" applyNumberFormat="1" applyFont="1" applyFill="1" applyBorder="1" applyAlignment="1">
      <x:alignment horizontal="right" vertical="center"/>
    </x:xf>
    <x:xf numFmtId="49" fontId="15" fillId="9" borderId="12" xfId="0" applyNumberFormat="1" applyFont="1" applyFill="1" applyBorder="1" applyAlignment="1" applyProtection="1">
      <x:alignment horizontal="right" vertical="center"/>
    </x:xf>
    <x:xf numFmtId="44" fontId="19" fillId="4" borderId="0" xfId="0" applyNumberFormat="1" applyFont="1" applyFill="1" applyBorder="1" applyAlignment="1" applyProtection="1"/>
    <x:xf numFmtId="1" fontId="15" fillId="9" borderId="0" xfId="0" applyNumberFormat="1" applyFont="1" applyFill="1" applyBorder="1" applyAlignment="1" applyProtection="1">
      <x:alignment vertical="center" wrapText="1"/>
    </x:xf>
    <x:xf numFmtId="0" fontId="5" fillId="0" borderId="0" xfId="0" applyFont="1" applyFill="1" applyBorder="1" applyAlignment="1" applyProtection="1">
      <x:alignment horizontal="left" indent="1"/>
    </x:xf>
    <x:xf numFmtId="0" fontId="6" fillId="0" borderId="0" xfId="0" applyFont="1" applyFill="1" applyProtection="1"/>
    <x:xf numFmtId="0" fontId="7" fillId="0" borderId="0" xfId="0" applyFont="1" applyFill="1" applyBorder="1" applyAlignment="1" applyProtection="1"/>
    <x:xf numFmtId="0" fontId="0" fillId="0" borderId="0" xfId="0" applyFill="1" applyBorder="1"/>
    <x:xf numFmtId="0" fontId="0" fillId="0" borderId="0" xfId="0" applyFill="1"/>
    <x:xf numFmtId="0" fontId="10" fillId="0" borderId="2" xfId="2" applyFont="1" applyFill="1" applyAlignment="1" applyProtection="1">
      <x:alignment horizontal="left"/>
    </x:xf>
    <x:xf numFmtId="0" fontId="11" fillId="0" borderId="0" xfId="0" applyFont="1" applyFill="1" applyProtection="1"/>
    <x:xf numFmtId="0" fontId="12" fillId="0" borderId="0" xfId="0" applyFont="1" applyFill="1" applyAlignment="1" applyProtection="1">
      <x:alignment vertical="top"/>
    </x:xf>
    <x:xf numFmtId="0" fontId="10" fillId="0" borderId="2" xfId="2" applyFont="1" applyFill="1" applyAlignment="1" applyProtection="1">
      <x:alignment vertical="top"/>
    </x:xf>
    <x:xf numFmtId="0" fontId="10" fillId="0" borderId="2" xfId="2" applyFont="1" applyFill="1" applyProtection="1"/>
    <x:xf numFmtId="0" fontId="3" fillId="0" borderId="2" xfId="2" applyFont="1" applyFill="1" applyAlignment="1" applyProtection="1">
      <x:alignment horizontal="left"/>
    </x:xf>
    <x:xf numFmtId="0" fontId="10" fillId="0" borderId="2" xfId="2" applyFont="1" applyFill="1" applyAlignment="1" applyProtection="1">
      <x:alignment horizontal="right"/>
    </x:xf>
    <x:xf numFmtId="164" fontId="10" fillId="0" borderId="5" xfId="2" applyNumberFormat="1" applyFont="1" applyFill="1" applyBorder="1" applyAlignment="1" applyProtection="1"/>
    <x:xf numFmtId="0" fontId="11" fillId="0" borderId="0" xfId="0" applyFont="1" applyFill="1" applyBorder="1" applyAlignment="1" applyProtection="1"/>
    <x:xf numFmtId="0" fontId="12" fillId="0" borderId="0" xfId="0" applyFont="1" applyFill="1" applyAlignment="1" applyProtection="1"/>
    <x:xf numFmtId="0" fontId="12" fillId="0" borderId="0" xfId="0" applyFont="1" applyFill="1" applyAlignment="1" applyProtection="1">
      <x:alignment horizontal="left"/>
    </x:xf>
    <x:xf numFmtId="164" fontId="13" fillId="0" borderId="0" xfId="0" applyNumberFormat="1" applyFont="1" applyFill="1" applyAlignment="1" applyProtection="1"/>
    <x:xf numFmtId="164" fontId="13" fillId="0" borderId="0" xfId="0" applyNumberFormat="1" applyFont="1" applyFill="1" applyAlignment="1" applyProtection="1">
      <x:alignment horizontal="left"/>
    </x:xf>
    <x:xf numFmtId="1" fontId="12" fillId="0" borderId="0" xfId="0" applyNumberFormat="1" applyFont="1" applyFill="1" applyBorder="1" applyAlignment="1">
      <x:alignment horizontal="right" vertical="center"/>
    </x:xf>
    <x:xf numFmtId="0" fontId="11" fillId="0" borderId="0" xfId="0" applyNumberFormat="1" applyFont="1" applyFill="1" applyBorder="1" applyAlignment="1" applyProtection="1">
      <x:alignment horizontal="left"/>
    </x:xf>
    <x:xf numFmtId="0" fontId="11" fillId="0" borderId="0" xfId="0" applyFont="1" applyFill="1" applyBorder="1" applyAlignment="1" applyProtection="1">
      <x:alignment horizontal="left"/>
    </x:xf>
    <x:xf numFmtId="0" fontId="12" fillId="0" borderId="0" xfId="0" applyFont="1" applyFill="1" applyBorder="1" applyAlignment="1" applyProtection="1">
      <x:alignment horizontal="right"/>
    </x:xf>
    <x:xf numFmtId="0" fontId="18" fillId="0" borderId="0" xfId="0" applyFont="1" applyFill="1" applyBorder="1" applyProtection="1"/>
    <x:xf numFmtId="44" fontId="19" fillId="0" borderId="0" xfId="0" applyNumberFormat="1" applyFont="1" applyFill="1" applyBorder="1" applyAlignment="1" applyProtection="1"/>
    <x:xf numFmtId="0" fontId="11" fillId="0" borderId="0" xfId="0" applyFont="1" applyFill="1" applyAlignment="1" applyProtection="1"/>
    <x:xf numFmtId="49" fontId="19" fillId="0" borderId="0" xfId="0" applyNumberFormat="1" applyFont="1" applyFill="1" applyBorder="1" applyAlignment="1" applyProtection="1"/>
    <x:xf numFmtId="4" fontId="15" fillId="7" borderId="17" xfId="0" applyNumberFormat="1" applyFont="1" applyFill="1" applyBorder="1" applyAlignment="1" applyProtection="1">
      <x:alignment vertical="center"/>
      <x:protection locked="0"/>
    </x:xf>
    <x:xf numFmtId="0" fontId="12" fillId="0" borderId="16" xfId="0" applyFont="1" applyFill="1" applyBorder="1" applyAlignment="1" applyProtection="1">
      <x:alignment vertical="center"/>
    </x:xf>
    <x:xf numFmtId="49" fontId="16" fillId="7" borderId="12" xfId="5" applyNumberFormat="1" applyFont="1" applyFill="1" applyBorder="1" applyAlignment="1" applyProtection="1">
      <x:alignment vertical="center"/>
      <x:protection locked="0"/>
    </x:xf>
    <x:xf numFmtId="11" fontId="16" fillId="8" borderId="17" xfId="5" applyNumberFormat="1" applyFont="1" applyFill="1" applyBorder="1" applyAlignment="1" applyProtection="1">
      <x:alignment vertical="center"/>
      <x:protection locked="0"/>
    </x:xf>
    <x:xf numFmtId="0" fontId="11" fillId="0" borderId="23" xfId="0" applyFont="1" applyFill="1" applyBorder="1" applyAlignment="1" applyProtection="1"/>
    <x:xf numFmtId="0" fontId="11" fillId="0" borderId="24" xfId="0" applyFont="1" applyFill="1" applyBorder="1" applyAlignment="1" applyProtection="1"/>
    <x:xf numFmtId="44" fontId="21" fillId="0" borderId="0" xfId="0" applyNumberFormat="1" applyFont="1" applyFill="1" applyBorder="1" applyAlignment="1" applyProtection="1"/>
    <x:xf numFmtId="1" fontId="21" fillId="0" borderId="0" xfId="0" applyNumberFormat="1" applyFont="1" applyFill="1" applyBorder="1" applyAlignment="1" applyProtection="1"/>
    <x:xf numFmtId="3" fontId="21" fillId="0" borderId="0" xfId="0" applyNumberFormat="1" applyFont="1" applyFill="1" applyBorder="1" applyAlignment="1" applyProtection="1"/>
    <x:xf numFmtId="1" fontId="11" fillId="0" borderId="0" xfId="0" applyNumberFormat="1" applyFont="1" applyFill="1" applyBorder="1" applyProtection="1"/>
    <x:xf numFmtId="0" fontId="0" fillId="0" borderId="0" xfId="0" applyFont="1"/>
    <x:xf numFmtId="44" fontId="21" fillId="4" borderId="0" xfId="0" applyNumberFormat="1" applyFont="1" applyFill="1" applyBorder="1" applyAlignment="1" applyProtection="1"/>
    <x:xf numFmtId="44" fontId="21" fillId="4" borderId="0" xfId="0" applyNumberFormat="1" applyFont="1" applyFill="1" applyBorder="1" applyAlignment="1" applyProtection="1">
      <x:alignment wrapText="1"/>
    </x:xf>
    <x:xf numFmtId="0" fontId="22" fillId="0" borderId="2" xfId="2" applyFont="1" applyFill="1" applyAlignment="1" applyProtection="1"/>
    <x:xf numFmtId="0" fontId="22" fillId="0" borderId="2" xfId="2" applyFont="1" applyFill="1" applyProtection="1"/>
    <x:xf numFmtId="0" fontId="17" fillId="10" borderId="21" xfId="4" applyFont="1" applyFill="1" applyBorder="1" applyAlignment="1" applyProtection="1">
      <x:alignment horizontal="left" vertical="top"/>
      <x:protection locked="0"/>
    </x:xf>
    <x:xf numFmtId="0" fontId="17" fillId="10" borderId="26" xfId="4" applyFont="1" applyFill="1" applyBorder="1" applyAlignment="1" applyProtection="1">
      <x:alignment horizontal="left" vertical="top"/>
      <x:protection locked="0"/>
    </x:xf>
    <x:xf numFmtId="166" fontId="10" fillId="0" borderId="2" xfId="2" applyNumberFormat="1" applyFont="1" applyFill="1" applyProtection="1"/>
    <x:xf numFmtId="167" fontId="15" fillId="9" borderId="12" xfId="0" applyNumberFormat="1" applyFont="1" applyFill="1" applyBorder="1" applyAlignment="1" applyProtection="1">
      <x:alignment vertical="center"/>
    </x:xf>
    <x:xf numFmtId="168" fontId="15" fillId="9" borderId="20" xfId="0" applyNumberFormat="1" applyFont="1" applyFill="1" applyBorder="1" applyAlignment="1" applyProtection="1">
      <x:alignment horizontal="left" vertical="center"/>
    </x:xf>
    <x:xf numFmtId="168" fontId="15" fillId="9" borderId="12" xfId="0" applyNumberFormat="1" applyFont="1" applyFill="1" applyBorder="1" applyAlignment="1" applyProtection="1">
      <x:alignment horizontal="left" vertical="center"/>
    </x:xf>
    <x:xf numFmtId="0" fontId="14" fillId="6" borderId="0" xfId="0" applyFont="1" applyFill="1" applyBorder="1" applyAlignment="1" applyProtection="1">
      <x:alignment horizontal="left" wrapText="1"/>
    </x:xf>
    <x:xf numFmtId="166" fontId="8" fillId="0" borderId="0" xfId="0" applyNumberFormat="1" applyFont="1" applyFill="1" applyBorder="1" applyAlignment="1" applyProtection="1">
      <x:alignment horizontal="right"/>
    </x:xf>
    <x:xf numFmtId="166" fontId="0" fillId="0" borderId="0" xfId="0" applyNumberFormat="1" applyFill="1" applyBorder="1"/>
    <x:xf numFmtId="166" fontId="10" fillId="0" borderId="0" xfId="2" applyNumberFormat="1" applyFont="1" applyFill="1" applyBorder="1" applyAlignment="1" applyProtection="1">
      <x:alignment horizontal="left"/>
    </x:xf>
    <x:xf numFmtId="166" fontId="10" fillId="0" borderId="0" xfId="2" applyNumberFormat="1" applyFont="1" applyFill="1" applyBorder="1" applyAlignment="1" applyProtection="1">
      <x:alignment vertical="top"/>
    </x:xf>
    <x:xf numFmtId="166" fontId="11" fillId="0" borderId="0" xfId="0" applyNumberFormat="1" applyFont="1" applyFill="1" applyProtection="1"/>
    <x:xf numFmtId="166" fontId="14" fillId="11" borderId="0" xfId="0" applyNumberFormat="1" applyFont="1" applyFill="1" applyBorder="1" applyAlignment="1" applyProtection="1">
      <x:alignment horizontal="left" wrapText="1"/>
    </x:xf>
    <x:xf numFmtId="166" fontId="6" fillId="11" borderId="0" xfId="0" applyNumberFormat="1" applyFont="1" applyFill="1" applyBorder="1" applyProtection="1"/>
    <x:xf numFmtId="166" fontId="16" fillId="11" borderId="0" xfId="5" applyNumberFormat="1" applyFont="1" applyFill="1" applyBorder="1" applyAlignment="1" applyProtection="1">
      <x:alignment horizontal="left" vertical="center"/>
      <x:protection locked="0"/>
    </x:xf>
    <x:xf numFmtId="166" fontId="6" fillId="11" borderId="0" xfId="0" applyNumberFormat="1" applyFont="1" applyFill="1" applyProtection="1"/>
    <x:xf numFmtId="166" fontId="17" fillId="11" borderId="0" xfId="4" applyNumberFormat="1" applyFont="1" applyFill="1" applyBorder="1" applyAlignment="1" applyProtection="1">
      <x:alignment horizontal="left" vertical="top"/>
      <x:protection locked="0"/>
    </x:xf>
    <x:xf numFmtId="166" fontId="20" fillId="11" borderId="0" xfId="0" applyNumberFormat="1" applyFont="1" applyFill="1" applyBorder="1" applyAlignment="1" applyProtection="1">
      <x:alignment horizontal="left" vertical="top"/>
    </x:xf>
    <x:xf numFmtId="166" fontId="15" fillId="11" borderId="0" xfId="0" applyNumberFormat="1" applyFont="1" applyFill="1" applyBorder="1" applyAlignment="1" applyProtection="1">
      <x:alignment vertical="center" wrapText="1"/>
    </x:xf>
    <x:xf numFmtId="166" fontId="15" fillId="11" borderId="0" xfId="0" applyNumberFormat="1" applyFont="1" applyFill="1" applyBorder="1" applyAlignment="1" applyProtection="1">
      <x:alignment horizontal="left" vertical="top" wrapText="1"/>
    </x:xf>
    <x:xf numFmtId="166" fontId="20" fillId="11" borderId="0" xfId="0" applyNumberFormat="1" applyFont="1" applyFill="1" applyBorder="1" applyAlignment="1" applyProtection="1">
      <x:alignment horizontal="left" vertical="top" wrapText="1"/>
    </x:xf>
    <x:xf numFmtId="166" fontId="15" fillId="11" borderId="0" xfId="0" applyNumberFormat="1" applyFont="1" applyFill="1" applyBorder="1" applyAlignment="1" applyProtection="1">
      <x:alignment horizontal="left" vertical="top"/>
    </x:xf>
    <x:xf numFmtId="166" fontId="0" fillId="0" borderId="0" xfId="0" applyNumberFormat="1" applyFill="1"/>
    <x:xf numFmtId="0" fontId="14" fillId="6" borderId="0" xfId="0" applyFont="1" applyFill="1" applyBorder="1" applyAlignment="1" applyProtection="1">
      <x:alignment horizontal="left" wrapText="1"/>
    </x:xf>
    <x:xf numFmtId="166" fontId="16" fillId="11" borderId="0" xfId="5" applyNumberFormat="1" applyFont="1" applyFill="1" applyBorder="1" applyAlignment="1" applyProtection="1">
      <x:alignment vertical="center"/>
    </x:xf>
    <x:xf numFmtId="1" fontId="15" fillId="0" borderId="12" xfId="0" applyNumberFormat="1" applyFont="1" applyFill="1" applyBorder="1" applyAlignment="1" applyProtection="1">
      <x:alignment horizontal="right" vertical="center"/>
    </x:xf>
    <x:xf numFmtId="49" fontId="15" fillId="0" borderId="12" xfId="0" applyNumberFormat="1" applyFont="1" applyFill="1" applyBorder="1" applyAlignment="1" applyProtection="1">
      <x:alignment horizontal="left" vertical="center"/>
    </x:xf>
    <x:xf numFmtId="49" fontId="15" fillId="0" borderId="12" xfId="0" applyNumberFormat="1" applyFont="1" applyFill="1" applyBorder="1" applyAlignment="1" applyProtection="1">
      <x:alignment vertical="center" wrapText="1"/>
    </x:xf>
    <x:xf numFmtId="49" fontId="15" fillId="0" borderId="12" xfId="0" applyNumberFormat="1" applyFont="1" applyFill="1" applyBorder="1" applyAlignment="1" applyProtection="1">
      <x:alignment vertical="center"/>
    </x:xf>
    <x:xf numFmtId="49" fontId="15" fillId="0" borderId="12" xfId="0" applyNumberFormat="1" applyFont="1" applyFill="1" applyBorder="1" applyAlignment="1" applyProtection="1">
      <x:alignment horizontal="left" vertical="center"/>
      <x:protection locked="0"/>
    </x:xf>
    <x:xf numFmtId="49" fontId="16" fillId="0" borderId="12" xfId="5" applyNumberFormat="1" applyFont="1" applyFill="1" applyBorder="1" applyAlignment="1" applyProtection="1">
      <x:alignment vertical="center"/>
    </x:xf>
    <x:xf numFmtId="0" fontId="25" fillId="5" borderId="3" xfId="4" applyFont="1" applyFill="1" applyAlignment="1" applyProtection="1">
      <x:alignment horizontal="left"/>
      <x:protection locked="0"/>
    </x:xf>
    <x:xf numFmtId="4" fontId="25" fillId="5" borderId="6" xfId="4" applyNumberFormat="1" applyFont="1" applyFill="1" applyBorder="1" applyAlignment="1" applyProtection="1">
      <x:alignment horizontal="right"/>
      <x:protection locked="0"/>
    </x:xf>
    <x:xf numFmtId="167" fontId="26" fillId="5" borderId="3" xfId="4" applyNumberFormat="1" applyFont="1" applyFill="1" applyAlignment="1" applyProtection="1">
      <x:alignment horizontal="right"/>
      <x:protection locked="0"/>
    </x:xf>
    <x:xf numFmtId="0" fontId="26" fillId="5" borderId="3" xfId="4" applyFont="1" applyFill="1" applyAlignment="1" applyProtection="1">
      <x:alignment horizontal="right"/>
      <x:protection locked="0"/>
    </x:xf>
    <x:xf numFmtId="0" fontId="26" fillId="10" borderId="14" xfId="4" applyFont="1" applyFill="1" applyBorder="1" applyAlignment="1" applyProtection="1">
      <x:alignment horizontal="left"/>
      <x:protection locked="0"/>
    </x:xf>
    <x:xf numFmtId="168" fontId="26" fillId="10" borderId="14" xfId="4" applyNumberFormat="1" applyFont="1" applyFill="1" applyBorder="1" applyAlignment="1" applyProtection="1">
      <x:alignment horizontal="left"/>
      <x:protection locked="0"/>
    </x:xf>
    <x:xf numFmtId="168" fontId="26" fillId="10" borderId="15" xfId="4" applyNumberFormat="1" applyFont="1" applyFill="1" applyBorder="1" applyAlignment="1" applyProtection="1">
      <x:alignment horizontal="left"/>
      <x:protection locked="0"/>
    </x:xf>
    <x:xf numFmtId="167" fontId="26" fillId="10" borderId="19" xfId="4" applyNumberFormat="1" applyFont="1" applyFill="1" applyBorder="1" applyAlignment="1" applyProtection="1">
      <x:alignment horizontal="left"/>
    </x:xf>
    <x:xf numFmtId="165" fontId="14" fillId="6" borderId="0" xfId="0" applyNumberFormat="1" applyFont="1" applyFill="1" applyBorder="1" applyAlignment="1" applyProtection="1">
      <x:alignment horizontal="left" wrapText="1"/>
    </x:xf>
    <x:xf numFmtId="0" fontId="14" fillId="6" borderId="0" xfId="0" applyFont="1" applyFill="1" applyBorder="1" applyAlignment="1" applyProtection="1">
      <x:alignment horizontal="left" wrapText="1"/>
    </x:xf>
    <x:xf numFmtId="2" fontId="15" fillId="0" borderId="12" xfId="0" applyNumberFormat="1" applyFont="1" applyFill="1" applyBorder="1" applyAlignment="1" applyProtection="1">
      <x:alignment horizontal="right" vertical="center"/>
    </x:xf>
    <x:xf numFmtId="49" fontId="15" fillId="7" borderId="18" xfId="0" applyNumberFormat="1" applyFont="1" applyFill="1" applyBorder="1" applyAlignment="1" applyProtection="1">
      <x:alignment horizontal="right" vertical="center"/>
      <x:protection locked="0"/>
    </x:xf>
    <x:xf numFmtId="49" fontId="15" fillId="7" borderId="17" xfId="0" applyNumberFormat="1" applyFont="1" applyFill="1" applyBorder="1" applyAlignment="1" applyProtection="1">
      <x:alignment vertical="center"/>
    </x:xf>
    <x:xf numFmtId="49" fontId="15" fillId="7" borderId="12" xfId="0" applyNumberFormat="1" applyFont="1" applyFill="1" applyBorder="1" applyAlignment="1" applyProtection="1">
      <x:alignment vertical="center"/>
      <x:protection locked="0"/>
    </x:xf>
    <x:xf numFmtId="0" fontId="0" fillId="0" borderId="27" xfId="0" applyBorder="1"/>
    <x:xf numFmtId="0" fontId="0" fillId="0" borderId="0" xfId="0" applyBorder="1"/>
    <x:xf numFmtId="0" fontId="0" fillId="0" borderId="28" xfId="0" applyBorder="1"/>
    <x:xf numFmtId="49" fontId="0" fillId="0" borderId="0" xfId="0" applyNumberFormat="1" applyBorder="1"/>
    <x:xf numFmtId="0" fontId="3" fillId="0" borderId="4" xfId="3" applyFont="1" applyFill="1" applyBorder="1" applyAlignment="1" applyProtection="1">
      <x:alignment vertical="top" wrapText="1"/>
    </x:xf>
    <x:xf numFmtId="0" fontId="3" fillId="0" borderId="0" xfId="3" applyFont="1" applyFill="1" applyBorder="1" applyAlignment="1" applyProtection="1">
      <x:alignment vertical="top" wrapText="1"/>
    </x:xf>
    <x:xf numFmtId="0" fontId="29" fillId="0" borderId="0" xfId="0" applyFont="1" applyFill="1" applyBorder="1" applyAlignment="1" applyProtection="1">
      <x:alignment wrapText="1"/>
    </x:xf>
    <x:xf numFmtId="0" fontId="29" fillId="0" borderId="0" xfId="0" applyFont="1" applyFill="1" applyBorder="1" applyAlignment="1" applyProtection="1">
      <x:alignment horizontal="left" wrapText="1"/>
    </x:xf>
    <x:xf numFmtId="0" fontId="10" fillId="0" borderId="2" xfId="2" applyFont="1" applyFill="1" applyAlignment="1" applyProtection="1"/>
    <x:xf numFmtId="0" fontId="28" fillId="0" borderId="0" xfId="0" applyFont="1" applyFill="1" applyBorder="1" applyAlignment="1" applyProtection="1">
      <x:alignment wrapText="1"/>
    </x:xf>
    <x:xf numFmtId="0" fontId="28" fillId="0" borderId="29" xfId="0" applyFont="1" applyFill="1" applyBorder="1" applyAlignment="1" applyProtection="1">
      <x:alignment wrapText="1"/>
    </x:xf>
    <x:xf numFmtId="0" fontId="3" fillId="0" borderId="4" xfId="3" applyFont="1" applyFill="1" applyBorder="1" applyAlignment="1" applyProtection="1">
      <x:alignment horizontal="left" wrapText="1"/>
    </x:xf>
    <x:xf numFmtId="0" fontId="3" fillId="0" borderId="2" xfId="2" applyFont="1" applyFill="1" applyAlignment="1" applyProtection="1">
      <x:alignment horizontal="left" wrapText="1"/>
    </x:xf>
    <x:xf numFmtId="0" fontId="28" fillId="0" borderId="0" xfId="0" applyFont="1" applyFill="1" applyBorder="1" applyAlignment="1" applyProtection="1">
      <x:alignment horizontal="left" wrapText="1"/>
    </x:xf>
    <x:xf numFmtId="0" fontId="22" fillId="0" borderId="5" xfId="2" applyFont="1" applyFill="1" applyBorder="1" applyAlignment="1" applyProtection="1">
      <x:alignment horizontal="left"/>
    </x:xf>
    <x:xf numFmtId="49" fontId="10" fillId="0" borderId="2" xfId="2" applyNumberFormat="1" applyFont="1" applyFill="1" applyAlignment="1" applyProtection="1">
      <x:alignment horizontal="left"/>
    </x:xf>
    <x:xf numFmtId="169" fontId="10" fillId="0" borderId="2" xfId="2" applyNumberFormat="1" applyFont="1" applyFill="1" applyAlignment="1" applyProtection="1">
      <x:alignment horizontal="left"/>
    </x:xf>
    <x:xf numFmtId="0" fontId="22" fillId="0" borderId="2" xfId="2" applyFont="1" applyFill="1" applyAlignment="1" applyProtection="1">
      <x:alignment horizontal="left"/>
    </x:xf>
    <x:xf numFmtId="49" fontId="10" fillId="0" borderId="5" xfId="2" applyNumberFormat="1" applyFont="1" applyFill="1" applyBorder="1" applyAlignment="1" applyProtection="1">
      <x:alignment horizontal="left"/>
    </x:xf>
    <x:xf numFmtId="170" fontId="10" fillId="0" borderId="2" xfId="2" applyNumberFormat="1" applyFont="1" applyFill="1" applyAlignment="1" applyProtection="1">
      <x:alignment horizontal="left"/>
    </x:xf>
    <x:xf numFmtId="0" fontId="9" fillId="0" borderId="0" xfId="0" applyFont="1" applyFill="1" applyBorder="1" applyAlignment="1" applyProtection="1">
      <x:alignment horizontal="right"/>
    </x:xf>
    <x:xf numFmtId="0" fontId="8" fillId="0" borderId="0" xfId="0" applyFont="1" applyFill="1" applyBorder="1" applyAlignment="1" applyProtection="1">
      <x:alignment horizontal="right"/>
    </x:xf>
    <x:xf numFmtId="0" fontId="2" fillId="0" borderId="1" xfId="1" applyFont="1" applyFill="1" applyAlignment="1" applyProtection="1">
      <x:alignment horizontal="left"/>
    </x:xf>
    <x:xf numFmtId="49" fontId="3" fillId="0" borderId="2" xfId="2" applyNumberFormat="1" applyFont="1" applyFill="1" applyAlignment="1" applyProtection="1">
      <x:alignment horizontal="left" wrapText="1"/>
    </x:xf>
    <x:xf numFmtId="4" fontId="25" fillId="5" borderId="8" xfId="4" applyNumberFormat="1" applyFont="1" applyFill="1" applyBorder="1" applyAlignment="1" applyProtection="1">
      <x:alignment horizontal="left"/>
      <x:protection locked="0"/>
    </x:xf>
    <x:xf numFmtId="4" fontId="25" fillId="5" borderId="9" xfId="4" applyNumberFormat="1" applyFont="1" applyFill="1" applyBorder="1" applyAlignment="1" applyProtection="1">
      <x:alignment horizontal="left"/>
      <x:protection locked="0"/>
    </x:xf>
    <x:xf numFmtId="4" fontId="25" fillId="5" borderId="10" xfId="4" applyNumberFormat="1" applyFont="1" applyFill="1" applyBorder="1" applyAlignment="1" applyProtection="1">
      <x:alignment horizontal="left"/>
      <x:protection locked="0"/>
    </x:xf>
    <x:xf numFmtId="0" fontId="23" fillId="0" borderId="2" xfId="2" applyFont="1" applyFill="1" applyAlignment="1" applyProtection="1">
      <x:alignment horizontal="left"/>
    </x:xf>
    <x:xf numFmtId="49" fontId="10" fillId="0" borderId="2" xfId="2" applyNumberFormat="1" applyFont="1" applyFill="1" applyAlignment="1" applyProtection="1">
      <x:alignment horizontal="left"/>
      <x:protection locked="0"/>
    </x:xf>
    <x:xf numFmtId="0" fontId="3" fillId="0" borderId="7" xfId="2" applyFont="1" applyFill="1" applyBorder="1" applyAlignment="1" applyProtection="1">
      <x:alignment horizontal="left"/>
    </x:xf>
    <x:xf numFmtId="0" fontId="30" fillId="0" borderId="0" xfId="6" applyFill="1" applyBorder="1" applyAlignment="1" applyProtection="1">
      <x:alignment horizontal="left" wrapText="1"/>
    </x:xf>
    <x:xf numFmtId="0" fontId="28" fillId="0" borderId="29" xfId="0" applyFont="1" applyFill="1" applyBorder="1" applyAlignment="1" applyProtection="1">
      <x:alignment horizontal="left" wrapText="1"/>
    </x:xf>
    <x:xf numFmtId="0" fontId="13" fillId="0" borderId="0" xfId="0" applyFont="1" applyFill="1" applyAlignment="1" applyProtection="1">
      <x:alignment horizontal="left"/>
    </x:xf>
    <x:xf numFmtId="165" fontId="14" fillId="6" borderId="0" xfId="0" applyNumberFormat="1" applyFont="1" applyFill="1" applyBorder="1" applyAlignment="1" applyProtection="1">
      <x:alignment horizontal="left" wrapText="1"/>
    </x:xf>
    <x:xf numFmtId="0" fontId="14" fillId="6" borderId="0" xfId="0" applyFont="1" applyFill="1" applyBorder="1" applyAlignment="1" applyProtection="1">
      <x:alignment horizontal="left" wrapText="1"/>
    </x:xf>
    <x:xf numFmtId="49" fontId="16" fillId="7" borderId="21" xfId="5" applyNumberFormat="1" applyFont="1" applyFill="1" applyBorder="1" applyAlignment="1" applyProtection="1">
      <x:alignment horizontal="left" vertical="center"/>
      <x:protection locked="0"/>
    </x:xf>
    <x:xf numFmtId="49" fontId="16" fillId="7" borderId="22" xfId="5" applyNumberFormat="1" applyFont="1" applyFill="1" applyBorder="1" applyAlignment="1" applyProtection="1">
      <x:alignment horizontal="left" vertical="center"/>
      <x:protection locked="0"/>
    </x:xf>
    <x:xf numFmtId="0" fontId="26" fillId="10" borderId="21" xfId="4" applyFont="1" applyFill="1" applyBorder="1" applyAlignment="1" applyProtection="1">
      <x:alignment horizontal="left"/>
      <x:protection locked="0"/>
    </x:xf>
    <x:xf numFmtId="0" fontId="26" fillId="10" borderId="22" xfId="4" applyFont="1" applyFill="1" applyBorder="1" applyAlignment="1" applyProtection="1">
      <x:alignment horizontal="left"/>
      <x:protection locked="0"/>
    </x:xf>
    <x:xf numFmtId="0" fontId="26" fillId="10" borderId="26" xfId="4" applyFont="1" applyFill="1" applyBorder="1" applyAlignment="1" applyProtection="1">
      <x:alignment horizontal="left"/>
      <x:protection locked="0"/>
    </x:xf>
    <x:xf numFmtId="1" fontId="20" fillId="9" borderId="0" xfId="0" applyNumberFormat="1" applyFont="1" applyFill="1" applyBorder="1" applyAlignment="1" applyProtection="1">
      <x:alignment horizontal="left" vertical="top"/>
    </x:xf>
    <x:xf numFmtId="1" fontId="15" fillId="9" borderId="0" xfId="0" applyNumberFormat="1" applyFont="1" applyFill="1" applyBorder="1" applyAlignment="1" applyProtection="1">
      <x:alignment horizontal="left" vertical="top" wrapText="1"/>
    </x:xf>
    <x:xf numFmtId="165" fontId="14" fillId="6" borderId="19" xfId="0" applyNumberFormat="1" applyFont="1" applyFill="1" applyBorder="1" applyAlignment="1" applyProtection="1">
      <x:alignment horizontal="left" vertical="center" wrapText="1"/>
    </x:xf>
    <x:xf numFmtId="0" fontId="20" fillId="0" borderId="25" xfId="0" applyNumberFormat="1" applyFont="1" applyFill="1" applyBorder="1" applyAlignment="1" applyProtection="1">
      <x:alignment horizontal="left" vertical="center"/>
    </x:xf>
    <x:xf numFmtId="0" fontId="20" fillId="0" borderId="20" xfId="0" applyNumberFormat="1" applyFont="1" applyFill="1" applyBorder="1" applyAlignment="1" applyProtection="1">
      <x:alignment horizontal="left" vertical="center"/>
    </x:xf>
    <x:xf numFmtId="0" fontId="15" fillId="0" borderId="12" xfId="0" applyNumberFormat="1" applyFont="1" applyFill="1" applyBorder="1" applyAlignment="1" applyProtection="1">
      <x:alignment horizontal="left" vertical="center"/>
    </x:xf>
    <x:xf numFmtId="0" fontId="20" fillId="0" borderId="12" xfId="0" applyNumberFormat="1" applyFont="1" applyFill="1" applyBorder="1" applyAlignment="1" applyProtection="1">
      <x:alignment horizontal="left" vertical="center"/>
    </x:xf>
    <x:xf numFmtId="0" fontId="24" fillId="9" borderId="19" xfId="0" applyNumberFormat="1" applyFont="1" applyFill="1" applyBorder="1" applyAlignment="1" applyProtection="1">
      <x:alignment horizontal="left" vertical="center"/>
    </x:xf>
    <x:xf numFmtId="0" fontId="26" fillId="10" borderId="22" xfId="4" applyFont="1" applyFill="1" applyBorder="1" applyAlignment="1" applyProtection="1">
      <x:alignment horizontal="left" vertical="top"/>
      <x:protection locked="0"/>
    </x:xf>
    <x:xf numFmtId="1" fontId="15" fillId="9" borderId="0" xfId="0" applyNumberFormat="1" applyFont="1" applyFill="1" applyBorder="1" applyAlignment="1" applyProtection="1">
      <x:alignment horizontal="left" vertical="top"/>
    </x:xf>
    <x:xf numFmtId="1" fontId="20" fillId="9" borderId="0" xfId="0" applyNumberFormat="1" applyFont="1" applyFill="1" applyBorder="1" applyAlignment="1" applyProtection="1">
      <x:alignment horizontal="left" vertical="top" wrapText="1"/>
    </x:xf>
    <x:xf numFmtId="0" fontId="0" fillId="0" borderId="0" xfId="0" applyNumberFormat="1" applyFill="1" applyBorder="0" applyAlignment="1" applyProtection="1">
      <x:alignment horizontal="general" vertical="bottom" textRotation="0" wrapText="0" indent="0" relativeIndent="0" justifyLastLine="0" shrinkToFit="0" readingOrder="0"/>
      <x:protection locked="1" hidden="0"/>
    </x:xf>
    <x:xf numFmtId="166" fontId="0" fillId="0" borderId="0" xfId="0" applyNumberFormat="1" applyFill="1" applyBorder="0" applyAlignment="1" applyProtection="1">
      <x:alignment horizontal="general" vertical="bottom" textRotation="0" wrapText="0" indent="0" relativeIndent="0" justifyLastLine="0" shrinkToFit="0" readingOrder="0"/>
      <x:protection locked="1" hidden="0"/>
    </x:xf>
    <x:xf numFmtId="0" fontId="2" fillId="0" borderId="1" xfId="0" applyNumberFormat="1" applyFill="1" applyBorder="1" applyAlignment="1" applyProtection="1">
      <x:alignment horizontal="left" vertical="bottom" textRotation="0" wrapText="0" indent="0" relativeIndent="0" justifyLastLine="0" shrinkToFit="0" readingOrder="0"/>
      <x:protection locked="1" hidden="0"/>
    </x:xf>
    <x:xf numFmtId="0" fontId="32" fillId="0" borderId="0" xfId="0" applyNumberFormat="1" applyFill="1" applyBorder="0" applyAlignment="1" applyProtection="1">
      <x:alignment horizontal="left" vertical="bottom" textRotation="0" wrapText="0" indent="1" relativeIndent="0" justifyLastLine="0" shrinkToFit="0" readingOrder="0"/>
      <x:protection locked="1" hidden="0"/>
    </x:xf>
    <x:xf numFmtId="0" fontId="33" fillId="0" borderId="0" xfId="0" applyNumberFormat="1" applyFill="1" applyBorder="0" applyAlignment="1" applyProtection="1">
      <x:alignment horizontal="general" vertical="bottom" textRotation="0" wrapText="0" indent="0" relativeIndent="0" justifyLastLine="0" shrinkToFit="0" readingOrder="0"/>
      <x:protection locked="1" hidden="0"/>
    </x:xf>
    <x:xf numFmtId="0" fontId="7" fillId="0" borderId="0" xfId="0" applyNumberFormat="1" applyFill="1" applyBorder="0" applyAlignment="1" applyProtection="1">
      <x:alignment horizontal="general" vertical="bottom" textRotation="0" wrapText="0" indent="0" relativeIndent="0" justifyLastLine="0" shrinkToFit="0" readingOrder="0"/>
      <x:protection locked="1" hidden="0"/>
    </x:xf>
    <x:xf numFmtId="0" fontId="9" fillId="0" borderId="0" xfId="0" applyNumberFormat="1" applyFill="1" applyBorder="0" applyAlignment="1" applyProtection="1">
      <x:alignment horizontal="right" vertical="bottom" textRotation="0" wrapText="0" indent="0" relativeIndent="0" justifyLastLine="0" shrinkToFit="0" readingOrder="0"/>
      <x:protection locked="1" hidden="0"/>
    </x:xf>
    <x:xf numFmtId="0" fontId="8" fillId="0" borderId="0" xfId="0" applyNumberFormat="1" applyFill="1" applyBorder="0" applyAlignment="1" applyProtection="1">
      <x:alignment horizontal="right" vertical="bottom" textRotation="0" wrapText="0" indent="0" relativeIndent="0" justifyLastLine="0" shrinkToFit="0" readingOrder="0"/>
      <x:protection locked="1" hidden="0"/>
    </x:xf>
    <x:xf numFmtId="166" fontId="8" fillId="0" borderId="0" xfId="0" applyNumberFormat="1" applyFill="1" applyBorder="0" applyAlignment="1" applyProtection="1">
      <x:alignment horizontal="right" vertical="bottom" textRotation="0" wrapText="0" indent="0" relativeIndent="0" justifyLastLine="0" shrinkToFit="0" readingOrder="0"/>
      <x:protection locked="1" hidden="0"/>
    </x:xf>
    <x:xf numFmtId="49" fontId="3" fillId="0" borderId="2" xfId="0" applyNumberFormat="1" applyFill="1" applyBorder="1" applyAlignment="1" applyProtection="1">
      <x:alignment horizontal="left" vertical="bottom" textRotation="0" wrapText="1" indent="0" relativeIndent="0" justifyLastLine="0" shrinkToFit="0" readingOrder="0"/>
      <x:protection locked="1" hidden="0"/>
    </x:xf>
    <x:xf numFmtId="0" fontId="10" fillId="0" borderId="2" xfId="0" applyNumberFormat="1" applyFill="1" applyBorder="1" applyAlignment="1" applyProtection="1">
      <x:alignment horizontal="left" vertical="bottom" textRotation="0" wrapText="0" indent="0" relativeIndent="0" justifyLastLine="0" shrinkToFit="0" readingOrder="0"/>
      <x:protection locked="1" hidden="0"/>
    </x:xf>
    <x:xf numFmtId="0" fontId="22" fillId="0" borderId="2" xfId="0" applyNumberFormat="1" applyFill="1" applyBorder="1" applyAlignment="1" applyProtection="1">
      <x:alignment horizontal="left" vertical="bottom" textRotation="0" wrapText="0" indent="0" relativeIndent="0" justifyLastLine="0" shrinkToFit="0" readingOrder="0"/>
      <x:protection locked="1" hidden="0"/>
    </x:xf>
    <x:xf numFmtId="49" fontId="10" fillId="0" borderId="2" xfId="0" applyNumberFormat="1" applyFill="1" applyBorder="1" applyAlignment="1" applyProtection="1">
      <x:alignment horizontal="left" vertical="bottom" textRotation="0" wrapText="0" indent="0" relativeIndent="0" justifyLastLine="0" shrinkToFit="0" readingOrder="0"/>
      <x:protection locked="1" hidden="0"/>
    </x:xf>
    <x:xf numFmtId="166" fontId="10" fillId="0" borderId="0" xfId="0" applyNumberFormat="1" applyFill="1" applyBorder="0" applyAlignment="1" applyProtection="1">
      <x:alignment horizontal="left" vertical="bottom" textRotation="0" wrapText="0" indent="0" relativeIndent="0" justifyLastLine="0" shrinkToFit="0" readingOrder="0"/>
      <x:protection locked="1" hidden="0"/>
    </x:xf>
    <x:xf numFmtId="0" fontId="3" fillId="0" borderId="2" xfId="0" applyNumberFormat="1" applyFill="1" applyBorder="1" applyAlignment="1" applyProtection="1">
      <x:alignment horizontal="left" vertical="bottom" textRotation="0" wrapText="1" indent="0" relativeIndent="0" justifyLastLine="0" shrinkToFit="0" readingOrder="0"/>
      <x:protection locked="1" hidden="0"/>
    </x:xf>
    <x:xf numFmtId="0" fontId="3" fillId="0" borderId="0" xfId="0" applyNumberFormat="1" applyFill="1" applyBorder="0" applyAlignment="1" applyProtection="1">
      <x:alignment horizontal="general" vertical="top" textRotation="0" wrapText="1" indent="0" relativeIndent="0" justifyLastLine="0" shrinkToFit="0" readingOrder="0"/>
      <x:protection locked="1" hidden="0"/>
    </x:xf>
    <x:xf numFmtId="0" fontId="24" fillId="0" borderId="0" xfId="0" applyNumberFormat="1" applyFill="1" applyBorder="0" applyAlignment="1" applyProtection="1">
      <x:alignment horizontal="general" vertical="bottom" textRotation="0" wrapText="0" indent="0" relativeIndent="0" justifyLastLine="0" shrinkToFit="0" readingOrder="0"/>
      <x:protection locked="1" hidden="0"/>
    </x:xf>
    <x:xf numFmtId="169" fontId="10" fillId="0" borderId="2" xfId="0" applyNumberFormat="1" applyFill="1" applyBorder="1" applyAlignment="1" applyProtection="1">
      <x:alignment horizontal="left" vertical="bottom" textRotation="0" wrapText="0" indent="0" relativeIndent="0" justifyLastLine="0" shrinkToFit="0" readingOrder="0"/>
      <x:protection locked="1" hidden="0"/>
    </x:xf>
    <x:xf numFmtId="0" fontId="28" fillId="0" borderId="0" xfId="0" applyNumberFormat="1" applyFill="1" applyBorder="0" applyAlignment="1" applyProtection="1">
      <x:alignment horizontal="left" vertical="bottom" textRotation="0" wrapText="1" indent="0" relativeIndent="0" justifyLastLine="0" shrinkToFit="0" readingOrder="0"/>
      <x:protection locked="1" hidden="0"/>
    </x:xf>
    <x:xf numFmtId="0" fontId="12" fillId="0" borderId="0" xfId="0" applyNumberFormat="1" applyFill="1" applyBorder="0" applyAlignment="1" applyProtection="1">
      <x:alignment horizontal="general" vertical="top" textRotation="0" wrapText="0" indent="0" relativeIndent="0" justifyLastLine="0" shrinkToFit="0" readingOrder="0"/>
      <x:protection locked="1" hidden="0"/>
    </x:xf>
    <x:xf numFmtId="170" fontId="10" fillId="0" borderId="2" xfId="0" applyNumberFormat="1" applyFill="1" applyBorder="1" applyAlignment="1" applyProtection="1">
      <x:alignment horizontal="left" vertical="bottom" textRotation="0" wrapText="0" indent="0" relativeIndent="0" justifyLastLine="0" shrinkToFit="0" readingOrder="0"/>
      <x:protection locked="1" hidden="0"/>
    </x:xf>
    <x:xf numFmtId="0" fontId="10" fillId="0" borderId="2" xfId="0" applyNumberFormat="1" applyFill="1" applyBorder="1" applyAlignment="1" applyProtection="1">
      <x:alignment horizontal="general" vertical="top" textRotation="0" wrapText="0" indent="0" relativeIndent="0" justifyLastLine="0" shrinkToFit="0" readingOrder="0"/>
      <x:protection locked="1" hidden="0"/>
    </x:xf>
    <x:xf numFmtId="166" fontId="10" fillId="0" borderId="0" xfId="0" applyNumberFormat="1" applyFill="1" applyBorder="0" applyAlignment="1" applyProtection="1">
      <x:alignment horizontal="general" vertical="top" textRotation="0" wrapText="0" indent="0" relativeIndent="0" justifyLastLine="0" shrinkToFit="0" readingOrder="0"/>
      <x:protection locked="1" hidden="0"/>
    </x:xf>
    <x:xf numFmtId="0" fontId="29" fillId="0" borderId="0" xfId="0" applyNumberFormat="1" applyFill="1" applyBorder="0" applyAlignment="1" applyProtection="1">
      <x:alignment horizontal="general" vertical="bottom" textRotation="0" wrapText="1" indent="0" relativeIndent="0" justifyLastLine="0" shrinkToFit="0" readingOrder="0"/>
      <x:protection locked="1" hidden="0"/>
    </x:xf>
    <x:xf numFmtId="0" fontId="29" fillId="0" borderId="0" xfId="0" applyNumberFormat="1" applyFill="1" applyBorder="0" applyAlignment="1" applyProtection="1">
      <x:alignment horizontal="left" vertical="bottom" textRotation="0" wrapText="1" indent="0" relativeIndent="0" justifyLastLine="0" shrinkToFit="0" readingOrder="0"/>
      <x:protection locked="1" hidden="0"/>
    </x:xf>
    <x:xf numFmtId="0" fontId="10" fillId="0" borderId="2" xfId="0" applyNumberFormat="1" applyFill="1" applyBorder="1" applyAlignment="1" applyProtection="1">
      <x:alignment horizontal="general" vertical="bottom" textRotation="0" wrapText="0" indent="0" relativeIndent="0" justifyLastLine="0" shrinkToFit="0" readingOrder="0"/>
      <x:protection locked="1" hidden="0"/>
    </x:xf>
    <x:xf numFmtId="0" fontId="28" fillId="0" borderId="0" xfId="0" applyNumberFormat="1" applyFill="1" applyBorder="0" applyAlignment="1" applyProtection="1">
      <x:alignment horizontal="general" vertical="bottom" textRotation="0" wrapText="1" indent="0" relativeIndent="0" justifyLastLine="0" shrinkToFit="0" readingOrder="0"/>
      <x:protection locked="1" hidden="0"/>
    </x:xf>
    <x:xf numFmtId="0" fontId="30" fillId="0" borderId="0" xfId="0" applyNumberFormat="1" applyFill="1" applyBorder="0" applyAlignment="1" applyProtection="1">
      <x:alignment horizontal="left" vertical="bottom" textRotation="0" wrapText="1" indent="0" relativeIndent="0" justifyLastLine="0" shrinkToFit="0" readingOrder="0"/>
      <x:protection locked="1" hidden="0"/>
    </x:xf>
    <x:xf numFmtId="0" fontId="22" fillId="0" borderId="2" xfId="0" applyNumberFormat="1" applyFill="1" applyBorder="1" applyAlignment="1" applyProtection="1">
      <x:alignment horizontal="general" vertical="bottom" textRotation="0" wrapText="0" indent="0" relativeIndent="0" justifyLastLine="0" shrinkToFit="0" readingOrder="0"/>
      <x:protection locked="1" hidden="0"/>
    </x:xf>
    <x:xf numFmtId="0" fontId="25" fillId="5" borderId="3" xfId="0" applyNumberFormat="1" applyFill="0" applyBorder="1" applyAlignment="1" applyProtection="1">
      <x:alignment horizontal="left" vertical="bottom" textRotation="0" wrapText="0" indent="0" relativeIndent="0" justifyLastLine="0" shrinkToFit="0" readingOrder="0"/>
      <x:protection locked="0" hidden="0"/>
    </x:xf>
    <x:xf numFmtId="0" fontId="10" fillId="0" borderId="2" xfId="0" applyNumberFormat="1" applyFill="1" applyBorder="1" applyAlignment="1" applyProtection="1">
      <x:alignment horizontal="right" vertical="bottom" textRotation="0" wrapText="0" indent="0" relativeIndent="0" justifyLastLine="0" shrinkToFit="0" readingOrder="0"/>
      <x:protection locked="1" hidden="0"/>
    </x:xf>
    <x:xf numFmtId="4" fontId="25" fillId="5" borderId="6" xfId="0" applyNumberFormat="1" applyFill="0" applyBorder="1" applyAlignment="1" applyProtection="1">
      <x:alignment horizontal="right" vertical="bottom" textRotation="0" wrapText="0" indent="0" relativeIndent="0" justifyLastLine="0" shrinkToFit="0" readingOrder="0"/>
      <x:protection locked="0" hidden="0"/>
    </x:xf>
    <x:xf numFmtId="0" fontId="3" fillId="0" borderId="2" xfId="0" applyNumberFormat="1" applyFill="1" applyBorder="1" applyAlignment="1" applyProtection="1">
      <x:alignment horizontal="left" vertical="bottom" textRotation="0" wrapText="0" indent="0" relativeIndent="0" justifyLastLine="0" shrinkToFit="0" readingOrder="0"/>
      <x:protection locked="1" hidden="0"/>
    </x:xf>
    <x:xf numFmtId="4" fontId="25" fillId="5" borderId="8" xfId="0" applyNumberFormat="1" applyFill="0" applyBorder="1" applyAlignment="1" applyProtection="1">
      <x:alignment horizontal="left" vertical="bottom" textRotation="0" wrapText="0" indent="0" relativeIndent="0" justifyLastLine="0" shrinkToFit="0" readingOrder="0"/>
      <x:protection locked="0" hidden="0"/>
    </x:xf>
    <x:xf numFmtId="4" fontId="25" fillId="5" borderId="9" xfId="0" applyNumberFormat="1" applyFill="0" applyBorder="1" applyAlignment="1" applyProtection="1">
      <x:alignment horizontal="left" vertical="bottom" textRotation="0" wrapText="0" indent="0" relativeIndent="0" justifyLastLine="0" shrinkToFit="0" readingOrder="0"/>
      <x:protection locked="0" hidden="0"/>
    </x:xf>
    <x:xf numFmtId="4" fontId="25" fillId="5" borderId="10" xfId="0" applyNumberFormat="1" applyFill="0" applyBorder="1" applyAlignment="1" applyProtection="1">
      <x:alignment horizontal="left" vertical="bottom" textRotation="0" wrapText="0" indent="0" relativeIndent="0" justifyLastLine="0" shrinkToFit="0" readingOrder="0"/>
      <x:protection locked="0" hidden="0"/>
    </x:xf>
    <x:xf numFmtId="0" fontId="23" fillId="0" borderId="2" xfId="0" applyNumberFormat="1" applyFill="1" applyBorder="1" applyAlignment="1" applyProtection="1">
      <x:alignment horizontal="left" vertical="bottom" textRotation="0" wrapText="0" indent="0" relativeIndent="0" justifyLastLine="0" shrinkToFit="0" readingOrder="0"/>
      <x:protection locked="1" hidden="0"/>
    </x:xf>
    <x:xf numFmtId="49" fontId="10" fillId="0" borderId="2" xfId="0" applyNumberFormat="1" applyFill="1" applyBorder="1" applyAlignment="1" applyProtection="1">
      <x:alignment horizontal="left" vertical="bottom" textRotation="0" wrapText="0" indent="0" relativeIndent="0" justifyLastLine="0" shrinkToFit="0" readingOrder="0"/>
      <x:protection locked="0" hidden="0"/>
    </x:xf>
    <x:xf numFmtId="0" fontId="26" fillId="5" borderId="3" xfId="0" applyNumberFormat="1" applyFill="0" applyBorder="1" applyAlignment="1" applyProtection="1">
      <x:alignment horizontal="right" vertical="bottom" textRotation="0" wrapText="0" indent="0" relativeIndent="0" justifyLastLine="0" shrinkToFit="0" readingOrder="0"/>
      <x:protection locked="0" hidden="0"/>
    </x:xf>
    <x:xf numFmtId="166" fontId="10" fillId="0" borderId="2" xfId="0" applyNumberFormat="1" applyFill="1" applyBorder="1" applyAlignment="1" applyProtection="1">
      <x:alignment horizontal="general" vertical="bottom" textRotation="0" wrapText="0" indent="0" relativeIndent="0" justifyLastLine="0" shrinkToFit="0" readingOrder="0"/>
      <x:protection locked="1" hidden="0"/>
    </x:xf>
    <x:xf numFmtId="167" fontId="26" fillId="5" borderId="3" xfId="0" applyNumberFormat="1" applyFill="0" applyBorder="1" applyAlignment="1" applyProtection="1">
      <x:alignment horizontal="right" vertical="bottom" textRotation="0" wrapText="0" indent="0" relativeIndent="0" justifyLastLine="0" shrinkToFit="0" readingOrder="0"/>
      <x:protection locked="0" hidden="0"/>
    </x:xf>
    <x:xf numFmtId="0" fontId="12" fillId="0" borderId="0" xfId="0" applyNumberFormat="1" applyFill="1" applyBorder="0" applyAlignment="1" applyProtection="1">
      <x:alignment horizontal="left" vertical="bottom" textRotation="0" wrapText="0" indent="0" relativeIndent="0" justifyLastLine="0" shrinkToFit="0" readingOrder="0"/>
      <x:protection locked="1" hidden="0"/>
    </x:xf>
    <x:xf numFmtId="166" fontId="24" fillId="0" borderId="0" xfId="0" applyNumberFormat="1" applyFill="1" applyBorder="0" applyAlignment="1" applyProtection="1">
      <x:alignment horizontal="general" vertical="bottom" textRotation="0" wrapText="0" indent="0" relativeIndent="0" justifyLastLine="0" shrinkToFit="0" readingOrder="0"/>
      <x:protection locked="1" hidden="0"/>
    </x:xf>
    <x:xf numFmtId="0" fontId="12" fillId="0" borderId="0" xfId="0" applyNumberFormat="1" applyFill="1" applyBorder="0" applyAlignment="1" applyProtection="1">
      <x:alignment horizontal="general" vertical="bottom" textRotation="0" wrapText="0" indent="0" relativeIndent="0" justifyLastLine="0" shrinkToFit="0" readingOrder="0"/>
      <x:protection locked="1" hidden="0"/>
    </x:xf>
    <x:xf numFmtId="0" fontId="13" fillId="0" borderId="0" xfId="0" applyNumberFormat="1" applyFill="1" applyBorder="0" applyAlignment="1" applyProtection="1">
      <x:alignment horizontal="left" vertical="bottom" textRotation="0" wrapText="0" indent="0" relativeIndent="0" justifyLastLine="0" shrinkToFit="0" readingOrder="0"/>
      <x:protection locked="1" hidden="0"/>
    </x:xf>
    <x:xf numFmtId="164" fontId="13" fillId="0" borderId="0" xfId="0" applyNumberFormat="1" applyFill="1" applyBorder="0" applyAlignment="1" applyProtection="1">
      <x:alignment horizontal="general" vertical="bottom" textRotation="0" wrapText="0" indent="0" relativeIndent="0" justifyLastLine="0" shrinkToFit="0" readingOrder="0"/>
      <x:protection locked="1" hidden="0"/>
    </x:xf>
    <x:xf numFmtId="164" fontId="13" fillId="0" borderId="0" xfId="0" applyNumberFormat="1" applyFill="1" applyBorder="0" applyAlignment="1" applyProtection="1">
      <x:alignment horizontal="left" vertical="bottom" textRotation="0" wrapText="0" indent="0" relativeIndent="0" justifyLastLine="0" shrinkToFit="0" readingOrder="0"/>
      <x:protection locked="1" hidden="0"/>
    </x:xf>
    <x:xf numFmtId="165" fontId="14" fillId="6" borderId="11" xfId="0" applyNumberFormat="1" applyFill="0" applyBorder="1" applyAlignment="1" applyProtection="1">
      <x:alignment horizontal="left" vertical="bottom" textRotation="0" wrapText="1" indent="0" relativeIndent="0" justifyLastLine="0" shrinkToFit="0" readingOrder="0"/>
      <x:protection locked="1" hidden="0"/>
    </x:xf>
    <x:xf numFmtId="165" fontId="14" fillId="6" borderId="0" xfId="0" applyNumberFormat="1" applyFill="0" applyBorder="0" applyAlignment="1" applyProtection="1">
      <x:alignment horizontal="left" vertical="bottom" textRotation="0" wrapText="1" indent="0" relativeIndent="0" justifyLastLine="0" shrinkToFit="0" readingOrder="0"/>
      <x:protection locked="1" hidden="0"/>
    </x:xf>
    <x:xf numFmtId="0" fontId="14" fillId="6" borderId="0" xfId="0" applyNumberFormat="1" applyFill="0" applyBorder="0" applyAlignment="1" applyProtection="1">
      <x:alignment horizontal="general" vertical="bottom" textRotation="0" wrapText="1" indent="0" relativeIndent="0" justifyLastLine="0" shrinkToFit="0" readingOrder="0"/>
      <x:protection locked="1" hidden="0"/>
    </x:xf>
    <x:xf numFmtId="0" fontId="14" fillId="6" borderId="0" xfId="0" applyNumberFormat="1" applyFill="0" applyBorder="0" applyAlignment="1" applyProtection="1">
      <x:alignment horizontal="left" vertical="bottom" textRotation="0" wrapText="1" indent="0" relativeIndent="0" justifyLastLine="0" shrinkToFit="0" readingOrder="0"/>
      <x:protection locked="1" hidden="0"/>
    </x:xf>
    <x:xf numFmtId="166" fontId="14" fillId="11" borderId="0" xfId="0" applyNumberFormat="1" applyFill="0" applyBorder="0" applyAlignment="1" applyProtection="1">
      <x:alignment horizontal="left" vertical="bottom" textRotation="0" wrapText="1" indent="0" relativeIndent="0" justifyLastLine="0" shrinkToFit="0" readingOrder="0"/>
      <x:protection locked="1" hidden="0"/>
    </x:xf>
    <x:xf numFmtId="1" fontId="15" fillId="12" borderId="12" xfId="0" applyNumberFormat="1" applyFill="0" applyBorder="1" applyAlignment="1" applyProtection="1">
      <x:alignment horizontal="right" vertical="center" textRotation="0" wrapText="0" indent="0" relativeIndent="0" justifyLastLine="0" shrinkToFit="0" readingOrder="0"/>
      <x:protection locked="1" hidden="0"/>
    </x:xf>
    <x:xf numFmtId="49" fontId="15" fillId="12" borderId="12" xfId="0" applyNumberFormat="1" applyFill="0" applyBorder="1" applyAlignment="1" applyProtection="1">
      <x:alignment horizontal="left" vertical="center" textRotation="0" wrapText="0" indent="0" relativeIndent="0" justifyLastLine="0" shrinkToFit="0" readingOrder="0"/>
      <x:protection locked="1" hidden="0"/>
    </x:xf>
    <x:xf numFmtId="49" fontId="15" fillId="12" borderId="12" xfId="0" applyNumberFormat="1" applyFill="0" applyBorder="1" applyAlignment="1" applyProtection="1">
      <x:alignment horizontal="general" vertical="center" textRotation="0" wrapText="1" indent="0" relativeIndent="0" justifyLastLine="0" shrinkToFit="0" readingOrder="0"/>
      <x:protection locked="1" hidden="0"/>
    </x:xf>
    <x:xf numFmtId="49" fontId="15" fillId="12" borderId="12" xfId="0" applyNumberFormat="1" applyFill="0" applyBorder="1" applyAlignment="1" applyProtection="1">
      <x:alignment horizontal="general" vertical="center" textRotation="0" wrapText="0" indent="0" relativeIndent="0" justifyLastLine="0" shrinkToFit="0" readingOrder="0"/>
      <x:protection locked="1" hidden="0"/>
    </x:xf>
    <x:xf numFmtId="2" fontId="15" fillId="12" borderId="12" xfId="0" applyNumberFormat="1" applyFill="0" applyBorder="1" applyAlignment="1" applyProtection="1">
      <x:alignment horizontal="right" vertical="center" textRotation="0" wrapText="0" indent="0" relativeIndent="0" justifyLastLine="0" shrinkToFit="0" readingOrder="0"/>
      <x:protection locked="1" hidden="0"/>
    </x:xf>
    <x:xf numFmtId="49" fontId="15" fillId="12" borderId="17" xfId="0" applyNumberFormat="1" applyFill="0" applyBorder="1" applyAlignment="1" applyProtection="1">
      <x:alignment horizontal="general" vertical="center" textRotation="0" wrapText="0" indent="0" relativeIndent="0" justifyLastLine="0" shrinkToFit="0" readingOrder="0"/>
      <x:protection locked="1" hidden="0"/>
    </x:xf>
    <x:xf numFmtId="4" fontId="15" fillId="12" borderId="17" xfId="0" applyNumberFormat="1" applyFill="0" applyBorder="1" applyAlignment="1" applyProtection="1">
      <x:alignment horizontal="general" vertical="center" textRotation="0" wrapText="0" indent="0" relativeIndent="0" justifyLastLine="0" shrinkToFit="0" readingOrder="0"/>
      <x:protection locked="1" hidden="0"/>
    </x:xf>
    <x:xf numFmtId="49" fontId="15" fillId="12" borderId="18" xfId="0" applyNumberFormat="1" applyFill="0" applyBorder="1" applyAlignment="1" applyProtection="1">
      <x:alignment horizontal="right" vertical="center" textRotation="0" wrapText="0" indent="0" relativeIndent="0" justifyLastLine="0" shrinkToFit="0" readingOrder="0"/>
      <x:protection locked="1" hidden="0"/>
    </x:xf>
    <x:xf numFmtId="167" fontId="15" fillId="12" borderId="12" xfId="0" applyNumberFormat="1" applyFill="0" applyBorder="1" applyAlignment="1" applyProtection="1">
      <x:alignment horizontal="general" vertical="center" textRotation="0" wrapText="0" indent="0" relativeIndent="0" justifyLastLine="0" shrinkToFit="0" readingOrder="0"/>
      <x:protection locked="1" hidden="0"/>
    </x:xf>
    <x:xf numFmtId="49" fontId="16" fillId="12" borderId="12" xfId="0" applyNumberFormat="1" applyFill="0" applyBorder="1" applyAlignment="1" applyProtection="1">
      <x:alignment horizontal="general" vertical="center" textRotation="0" wrapText="0" indent="0" relativeIndent="0" justifyLastLine="0" shrinkToFit="0" readingOrder="0"/>
      <x:protection locked="1" hidden="0"/>
    </x:xf>
    <x:xf numFmtId="11" fontId="16" fillId="8" borderId="17" xfId="0" applyNumberFormat="1" applyFill="0" applyBorder="1" applyAlignment="1" applyProtection="1">
      <x:alignment horizontal="general" vertical="center" textRotation="0" wrapText="0" indent="0" relativeIndent="0" justifyLastLine="0" shrinkToFit="0" readingOrder="0"/>
      <x:protection locked="0" hidden="0"/>
    </x:xf>
    <x:xf numFmtId="166" fontId="16" fillId="11" borderId="0" xfId="0" applyNumberFormat="1" applyFill="0" applyBorder="0" applyAlignment="1" applyProtection="1">
      <x:alignment horizontal="general" vertical="center" textRotation="0" wrapText="0" indent="0" relativeIndent="0" justifyLastLine="0" shrinkToFit="0" readingOrder="0"/>
      <x:protection locked="1" hidden="0"/>
    </x:xf>
    <x:xf numFmtId="1" fontId="12" fillId="0" borderId="0" xfId="0" applyNumberFormat="1" applyFill="1" applyBorder="0" applyAlignment="1" applyProtection="1">
      <x:alignment horizontal="right" vertical="center" textRotation="0" wrapText="0" indent="0" relativeIndent="0" justifyLastLine="0" shrinkToFit="0" readingOrder="0"/>
      <x:protection locked="1" hidden="0"/>
    </x:xf>
    <x:xf numFmtId="0" fontId="24" fillId="0" borderId="0" xfId="0" applyNumberFormat="1" applyFill="1" applyBorder="0" applyAlignment="1" applyProtection="1">
      <x:alignment horizontal="left" vertical="bottom" textRotation="0" wrapText="0" indent="0" relativeIndent="0" justifyLastLine="0" shrinkToFit="0" readingOrder="0"/>
      <x:protection locked="1" hidden="0"/>
    </x:xf>
    <x:xf numFmtId="0" fontId="12" fillId="0" borderId="0" xfId="0" applyNumberFormat="1" applyFill="1" applyBorder="0" applyAlignment="1" applyProtection="1">
      <x:alignment horizontal="right" vertical="bottom" textRotation="0" wrapText="0" indent="0" relativeIndent="0" justifyLastLine="0" shrinkToFit="0" readingOrder="0"/>
      <x:protection locked="1" hidden="0"/>
    </x:xf>
    <x:xf numFmtId="166" fontId="33" fillId="11" borderId="0" xfId="0" applyNumberFormat="1" applyFill="0" applyBorder="0" applyAlignment="1" applyProtection="1">
      <x:alignment horizontal="general" vertical="bottom" textRotation="0" wrapText="0" indent="0" relativeIndent="0" justifyLastLine="0" shrinkToFit="0" readingOrder="0"/>
      <x:protection locked="1" hidden="0"/>
    </x:xf>
    <x:xf numFmtId="49" fontId="15" fillId="9" borderId="12" xfId="0" applyNumberFormat="1" applyFill="0" applyBorder="1" applyAlignment="1" applyProtection="1">
      <x:alignment horizontal="right" vertical="center" textRotation="0" wrapText="0" indent="0" relativeIndent="0" justifyLastLine="0" shrinkToFit="0" readingOrder="0"/>
      <x:protection locked="1" hidden="0"/>
    </x:xf>
    <x:xf numFmtId="0" fontId="26" fillId="10" borderId="21" xfId="0" applyNumberFormat="1" applyFill="0" applyBorder="1" applyAlignment="1" applyProtection="1">
      <x:alignment horizontal="left" vertical="bottom" textRotation="0" wrapText="0" indent="0" relativeIndent="0" justifyLastLine="0" shrinkToFit="0" readingOrder="0"/>
      <x:protection locked="0" hidden="0"/>
    </x:xf>
    <x:xf numFmtId="0" fontId="26" fillId="10" borderId="22" xfId="0" applyNumberFormat="1" applyFill="0" applyBorder="1" applyAlignment="1" applyProtection="1">
      <x:alignment horizontal="left" vertical="bottom" textRotation="0" wrapText="0" indent="0" relativeIndent="0" justifyLastLine="0" shrinkToFit="0" readingOrder="0"/>
      <x:protection locked="0" hidden="0"/>
    </x:xf>
    <x:xf numFmtId="0" fontId="26" fillId="10" borderId="26" xfId="0" applyNumberFormat="1" applyFill="0" applyBorder="1" applyAlignment="1" applyProtection="1">
      <x:alignment horizontal="left" vertical="bottom" textRotation="0" wrapText="0" indent="0" relativeIndent="0" justifyLastLine="0" shrinkToFit="0" readingOrder="0"/>
      <x:protection locked="0" hidden="0"/>
    </x:xf>
    <x:xf numFmtId="0" fontId="26" fillId="10" borderId="14" xfId="0" applyNumberFormat="1" applyFill="0" applyBorder="1" applyAlignment="1" applyProtection="1">
      <x:alignment horizontal="left" vertical="bottom" textRotation="0" wrapText="0" indent="0" relativeIndent="0" justifyLastLine="0" shrinkToFit="0" readingOrder="0"/>
      <x:protection locked="0" hidden="0"/>
    </x:xf>
    <x:xf numFmtId="172" fontId="26" fillId="10" borderId="14" xfId="0" applyNumberFormat="1" applyFill="0" applyBorder="1" applyAlignment="1" applyProtection="1">
      <x:alignment horizontal="left" vertical="bottom" textRotation="0" wrapText="0" indent="0" relativeIndent="0" justifyLastLine="0" shrinkToFit="0" readingOrder="0"/>
      <x:protection locked="0" hidden="0"/>
    </x:xf>
    <x:xf numFmtId="172" fontId="26" fillId="10" borderId="15" xfId="0" applyNumberFormat="1" applyFill="0" applyBorder="1" applyAlignment="1" applyProtection="1">
      <x:alignment horizontal="left" vertical="bottom" textRotation="0" wrapText="0" indent="0" relativeIndent="0" justifyLastLine="0" shrinkToFit="0" readingOrder="0"/>
      <x:protection locked="0" hidden="0"/>
    </x:xf>
    <x:xf numFmtId="167" fontId="26" fillId="10" borderId="19" xfId="0" applyNumberFormat="1" applyFill="0" applyBorder="1" applyAlignment="1" applyProtection="1">
      <x:alignment horizontal="left" vertical="bottom" textRotation="0" wrapText="0" indent="0" relativeIndent="0" justifyLastLine="0" shrinkToFit="0" readingOrder="0"/>
      <x:protection locked="1" hidden="0"/>
    </x:xf>
    <x:xf numFmtId="49" fontId="16" fillId="3" borderId="21" xfId="0" applyNumberFormat="1" applyFill="0" applyBorder="1" applyAlignment="1" applyProtection="1">
      <x:alignment horizontal="left" vertical="center" textRotation="0" wrapText="0" indent="0" relativeIndent="0" justifyLastLine="0" shrinkToFit="0" readingOrder="0"/>
      <x:protection locked="0" hidden="0"/>
    </x:xf>
    <x:xf numFmtId="49" fontId="16" fillId="3" borderId="22" xfId="0" applyNumberFormat="1" applyFill="0" applyBorder="1" applyAlignment="1" applyProtection="1">
      <x:alignment horizontal="left" vertical="center" textRotation="0" wrapText="0" indent="0" relativeIndent="0" justifyLastLine="0" shrinkToFit="0" readingOrder="0"/>
      <x:protection locked="0" hidden="0"/>
    </x:xf>
    <x:xf numFmtId="166" fontId="16" fillId="11" borderId="0" xfId="0" applyNumberFormat="1" applyFill="0" applyBorder="0" applyAlignment="1" applyProtection="1">
      <x:alignment horizontal="left" vertical="center" textRotation="0" wrapText="0" indent="0" relativeIndent="0" justifyLastLine="0" shrinkToFit="0" readingOrder="0"/>
      <x:protection locked="0" hidden="0"/>
    </x:xf>
    <x:xf numFmtId="0" fontId="34" fillId="0" borderId="0" xfId="0" applyNumberFormat="1" applyFill="1" applyBorder="0" applyAlignment="1" applyProtection="1">
      <x:alignment horizontal="general" vertical="bottom" textRotation="0" wrapText="0" indent="0" relativeIndent="0" justifyLastLine="0" shrinkToFit="0" readingOrder="0"/>
      <x:protection locked="1" hidden="0"/>
    </x:xf>
    <x:xf numFmtId="44" fontId="35" fillId="0" borderId="0" xfId="0" applyNumberFormat="1" applyFill="1" applyBorder="0" applyAlignment="1" applyProtection="1">
      <x:alignment horizontal="general" vertical="bottom" textRotation="0" wrapText="0" indent="0" relativeIndent="0" justifyLastLine="0" shrinkToFit="0" readingOrder="0"/>
      <x:protection locked="1" hidden="0"/>
    </x:xf>
    <x:xf numFmtId="0" fontId="24" fillId="0" borderId="24" xfId="0" applyNumberFormat="1" applyFill="1" applyBorder="1" applyAlignment="1" applyProtection="1">
      <x:alignment horizontal="general" vertical="bottom" textRotation="0" wrapText="0" indent="0" relativeIndent="0" justifyLastLine="0" shrinkToFit="0" readingOrder="0"/>
      <x:protection locked="1" hidden="0"/>
    </x:xf>
    <x:xf numFmtId="168" fontId="15" fillId="9" borderId="20" xfId="0" applyNumberFormat="1" applyFill="0" applyBorder="1" applyAlignment="1" applyProtection="1">
      <x:alignment horizontal="left" vertical="center" textRotation="0" wrapText="0" indent="0" relativeIndent="0" justifyLastLine="0" shrinkToFit="0" readingOrder="0"/>
      <x:protection locked="1" hidden="0"/>
    </x:xf>
    <x:xf numFmtId="0" fontId="24" fillId="0" borderId="23" xfId="0" applyNumberFormat="1" applyFill="1" applyBorder="1" applyAlignment="1" applyProtection="1">
      <x:alignment horizontal="general" vertical="bottom" textRotation="0" wrapText="0" indent="0" relativeIndent="0" justifyLastLine="0" shrinkToFit="0" readingOrder="0"/>
      <x:protection locked="1" hidden="0"/>
    </x:xf>
    <x:xf numFmtId="168" fontId="15" fillId="9" borderId="12" xfId="0" applyNumberFormat="1" applyFill="0" applyBorder="1" applyAlignment="1" applyProtection="1">
      <x:alignment horizontal="left" vertical="center" textRotation="0" wrapText="0" indent="0" relativeIndent="0" justifyLastLine="0" shrinkToFit="0" readingOrder="0"/>
      <x:protection locked="1" hidden="0"/>
    </x:xf>
    <x:xf numFmtId="1" fontId="24" fillId="0" borderId="0" xfId="0" applyNumberFormat="1" applyFill="1" applyBorder="0" applyAlignment="1" applyProtection="1">
      <x:alignment horizontal="general" vertical="bottom" textRotation="0" wrapText="0" indent="0" relativeIndent="0" justifyLastLine="0" shrinkToFit="0" readingOrder="0"/>
      <x:protection locked="1" hidden="0"/>
    </x:xf>
    <x:xf numFmtId="1" fontId="36" fillId="0" borderId="0" xfId="0" applyNumberFormat="1" applyFill="1" applyBorder="0" applyAlignment="1" applyProtection="1">
      <x:alignment horizontal="general" vertical="bottom" textRotation="0" wrapText="0" indent="0" relativeIndent="0" justifyLastLine="0" shrinkToFit="0" readingOrder="0"/>
      <x:protection locked="1" hidden="0"/>
    </x:xf>
    <x:xf numFmtId="3" fontId="36" fillId="0" borderId="0" xfId="0" applyNumberFormat="1" applyFill="1" applyBorder="0" applyAlignment="1" applyProtection="1">
      <x:alignment horizontal="general" vertical="bottom" textRotation="0" wrapText="0" indent="0" relativeIndent="0" justifyLastLine="0" shrinkToFit="0" readingOrder="0"/>
      <x:protection locked="1" hidden="0"/>
    </x:xf>
    <x:xf numFmtId="44" fontId="36" fillId="0" borderId="0" xfId="0" applyNumberFormat="1" applyFill="1" applyBorder="0" applyAlignment="1" applyProtection="1">
      <x:alignment horizontal="general" vertical="bottom" textRotation="0" wrapText="0" indent="0" relativeIndent="0" justifyLastLine="0" shrinkToFit="0" readingOrder="0"/>
      <x:protection locked="1" hidden="0"/>
    </x:xf>
    <x:xf numFmtId="49" fontId="35" fillId="0" borderId="0" xfId="0" applyNumberFormat="1" applyFill="1" applyBorder="0" applyAlignment="1" applyProtection="1">
      <x:alignment horizontal="general" vertical="bottom" textRotation="0" wrapText="0" indent="0" relativeIndent="0" justifyLastLine="0" shrinkToFit="0" readingOrder="0"/>
      <x:protection locked="1" hidden="0"/>
    </x:xf>
    <x:xf numFmtId="44" fontId="35" fillId="4" borderId="0" xfId="0" applyNumberFormat="1" applyFill="0" applyBorder="0" applyAlignment="1" applyProtection="1">
      <x:alignment horizontal="general" vertical="bottom" textRotation="0" wrapText="0" indent="0" relativeIndent="0" justifyLastLine="0" shrinkToFit="0" readingOrder="0"/>
      <x:protection locked="1" hidden="0"/>
    </x:xf>
    <x:xf numFmtId="44" fontId="36" fillId="4" borderId="0" xfId="0" applyNumberFormat="1" applyFill="0" applyBorder="0" applyAlignment="1" applyProtection="1">
      <x:alignment horizontal="general" vertical="bottom" textRotation="0" wrapText="1" indent="0" relativeIndent="0" justifyLastLine="0" shrinkToFit="0" readingOrder="0"/>
      <x:protection locked="1" hidden="0"/>
    </x:xf>
    <x:xf numFmtId="44" fontId="36" fillId="4" borderId="0" xfId="0" applyNumberFormat="1" applyFill="0" applyBorder="0" applyAlignment="1" applyProtection="1">
      <x:alignment horizontal="general" vertical="bottom" textRotation="0" wrapText="0" indent="0" relativeIndent="0" justifyLastLine="0" shrinkToFit="0" readingOrder="0"/>
      <x:protection locked="1" hidden="0"/>
    </x:xf>
    <x:xf numFmtId="165" fontId="14" fillId="6" borderId="19" xfId="0" applyNumberFormat="1" applyFill="0" applyBorder="1" applyAlignment="1" applyProtection="1">
      <x:alignment horizontal="left" vertical="center" textRotation="0" wrapText="1" indent="0" relativeIndent="0" justifyLastLine="0" shrinkToFit="0" readingOrder="0"/>
      <x:protection locked="1" hidden="0"/>
    </x:xf>
    <x:xf numFmtId="0" fontId="24" fillId="9" borderId="19" xfId="0" applyNumberFormat="1" applyFill="0" applyBorder="1" applyAlignment="1" applyProtection="1">
      <x:alignment horizontal="left" vertical="center" textRotation="0" wrapText="0" indent="0" relativeIndent="0" justifyLastLine="0" shrinkToFit="0" readingOrder="0"/>
      <x:protection locked="1" hidden="0"/>
    </x:xf>
    <x:xf numFmtId="0" fontId="17" fillId="10" borderId="21" xfId="0" applyNumberFormat="1" applyFill="0" applyBorder="1" applyAlignment="1" applyProtection="1">
      <x:alignment horizontal="left" vertical="top" textRotation="0" wrapText="0" indent="0" relativeIndent="0" justifyLastLine="0" shrinkToFit="0" readingOrder="0"/>
      <x:protection locked="0" hidden="0"/>
    </x:xf>
    <x:xf numFmtId="0" fontId="26" fillId="10" borderId="22" xfId="0" applyNumberFormat="1" applyFill="0" applyBorder="1" applyAlignment="1" applyProtection="1">
      <x:alignment horizontal="left" vertical="top" textRotation="0" wrapText="0" indent="0" relativeIndent="0" justifyLastLine="0" shrinkToFit="0" readingOrder="0"/>
      <x:protection locked="0" hidden="0"/>
    </x:xf>
    <x:xf numFmtId="0" fontId="17" fillId="10" borderId="26" xfId="0" applyNumberFormat="1" applyFill="0" applyBorder="1" applyAlignment="1" applyProtection="1">
      <x:alignment horizontal="left" vertical="top" textRotation="0" wrapText="0" indent="0" relativeIndent="0" justifyLastLine="0" shrinkToFit="0" readingOrder="0"/>
      <x:protection locked="0" hidden="0"/>
    </x:xf>
    <x:xf numFmtId="166" fontId="17" fillId="11" borderId="0" xfId="0" applyNumberFormat="1" applyFill="0" applyBorder="0" applyAlignment="1" applyProtection="1">
      <x:alignment horizontal="left" vertical="top" textRotation="0" wrapText="0" indent="0" relativeIndent="0" justifyLastLine="0" shrinkToFit="0" readingOrder="0"/>
      <x:protection locked="0" hidden="0"/>
    </x:xf>
    <x:xf numFmtId="1" fontId="20" fillId="9" borderId="0" xfId="0" applyNumberFormat="1" applyFill="0" applyBorder="0" applyAlignment="1" applyProtection="1">
      <x:alignment horizontal="left" vertical="top" textRotation="0" wrapText="0" indent="0" relativeIndent="0" justifyLastLine="0" shrinkToFit="0" readingOrder="0"/>
      <x:protection locked="1" hidden="0"/>
    </x:xf>
    <x:xf numFmtId="166" fontId="20" fillId="11" borderId="0" xfId="0" applyNumberFormat="1" applyFill="0" applyBorder="0" applyAlignment="1" applyProtection="1">
      <x:alignment horizontal="left" vertical="top" textRotation="0" wrapText="0" indent="0" relativeIndent="0" justifyLastLine="0" shrinkToFit="0" readingOrder="0"/>
      <x:protection locked="1" hidden="0"/>
    </x:xf>
    <x:xf numFmtId="1" fontId="15" fillId="9" borderId="0" xfId="0" applyNumberFormat="1" applyFill="0" applyBorder="0" applyAlignment="1" applyProtection="1">
      <x:alignment horizontal="general" vertical="center" textRotation="0" wrapText="1" indent="0" relativeIndent="0" justifyLastLine="0" shrinkToFit="0" readingOrder="0"/>
      <x:protection locked="1" hidden="0"/>
    </x:xf>
    <x:xf numFmtId="166" fontId="15" fillId="11" borderId="0" xfId="0" applyNumberFormat="1" applyFill="0" applyBorder="0" applyAlignment="1" applyProtection="1">
      <x:alignment horizontal="general" vertical="center" textRotation="0" wrapText="1" indent="0" relativeIndent="0" justifyLastLine="0" shrinkToFit="0" readingOrder="0"/>
      <x:protection locked="1" hidden="0"/>
    </x:xf>
    <x:xf numFmtId="1" fontId="15" fillId="9" borderId="0" xfId="0" applyNumberFormat="1" applyFill="0" applyBorder="0" applyAlignment="1" applyProtection="1">
      <x:alignment horizontal="left" vertical="top" textRotation="0" wrapText="1" indent="0" relativeIndent="0" justifyLastLine="0" shrinkToFit="0" readingOrder="0"/>
      <x:protection locked="1" hidden="0"/>
    </x:xf>
    <x:xf numFmtId="166" fontId="15" fillId="11" borderId="0" xfId="0" applyNumberFormat="1" applyFill="0" applyBorder="0" applyAlignment="1" applyProtection="1">
      <x:alignment horizontal="left" vertical="top" textRotation="0" wrapText="1" indent="0" relativeIndent="0" justifyLastLine="0" shrinkToFit="0" readingOrder="0"/>
      <x:protection locked="1" hidden="0"/>
    </x:xf>
    <x:xf numFmtId="1" fontId="20" fillId="9" borderId="0" xfId="0" applyNumberFormat="1" applyFill="0" applyBorder="0" applyAlignment="1" applyProtection="1">
      <x:alignment horizontal="left" vertical="top" textRotation="0" wrapText="1" indent="0" relativeIndent="0" justifyLastLine="0" shrinkToFit="0" readingOrder="0"/>
      <x:protection locked="1" hidden="0"/>
    </x:xf>
    <x:xf numFmtId="166" fontId="20" fillId="11" borderId="0" xfId="0" applyNumberFormat="1" applyFill="0" applyBorder="0" applyAlignment="1" applyProtection="1">
      <x:alignment horizontal="left" vertical="top" textRotation="0" wrapText="1" indent="0" relativeIndent="0" justifyLastLine="0" shrinkToFit="0" readingOrder="0"/>
      <x:protection locked="1" hidden="0"/>
    </x:xf>
    <x:xf numFmtId="1" fontId="15" fillId="9" borderId="0" xfId="0" applyNumberFormat="1" applyFill="0" applyBorder="0" applyAlignment="1" applyProtection="1">
      <x:alignment horizontal="left" vertical="top" textRotation="0" wrapText="0" indent="0" relativeIndent="0" justifyLastLine="0" shrinkToFit="0" readingOrder="0"/>
      <x:protection locked="1" hidden="0"/>
    </x:xf>
    <x:xf numFmtId="166" fontId="15" fillId="11" borderId="0" xfId="0" applyNumberFormat="1" applyFill="0" applyBorder="0" applyAlignment="1" applyProtection="1">
      <x:alignment horizontal="left" vertical="top" textRotation="0" wrapText="0" indent="0" relativeIndent="0" justifyLastLine="0" shrinkToFit="0" readingOrder="0"/>
      <x:protection locked="1" hidden="0"/>
    </x:xf>
    <x:xf numFmtId="172" fontId="15" fillId="3" borderId="17" xfId="0" applyNumberFormat="1" applyFill="0" applyBorder="1" applyAlignment="1" applyProtection="1">
      <x:alignment horizontal="general" vertical="center" textRotation="0" wrapText="0" indent="0" relativeIndent="0" justifyLastLine="0" shrinkToFit="0" readingOrder="0"/>
      <x:protection locked="0" hidden="0"/>
    </x:xf>
    <x:xf numFmtId="4" fontId="15" fillId="3" borderId="17" xfId="0" applyNumberFormat="1" applyFill="0" applyBorder="1" applyAlignment="1" applyProtection="1">
      <x:alignment horizontal="general" vertical="center" textRotation="0" wrapText="0" indent="0" relativeIndent="0" justifyLastLine="0" shrinkToFit="0" readingOrder="0"/>
      <x:protection locked="0" hidden="0"/>
    </x:xf>
    <x:xf numFmtId="172" fontId="15" fillId="3" borderId="18" xfId="0" applyNumberFormat="1" applyFill="0" applyBorder="1" applyAlignment="1" applyProtection="1">
      <x:alignment horizontal="right" vertical="center" textRotation="0" wrapText="0" indent="0" relativeIndent="0" justifyLastLine="0" shrinkToFit="0" readingOrder="0"/>
      <x:protection locked="0" hidden="0"/>
    </x:xf>
    <x:xf numFmtId="172" fontId="15" fillId="3" borderId="12" xfId="0" applyNumberFormat="1" applyFill="0" applyBorder="1" applyAlignment="1" applyProtection="1">
      <x:alignment horizontal="general" vertical="center" textRotation="0" wrapText="0" indent="0" relativeIndent="0" justifyLastLine="0" shrinkToFit="0" readingOrder="0"/>
      <x:protection locked="0" hidden="0"/>
    </x:xf>
    <x:xf numFmtId="167" fontId="15" fillId="9" borderId="12" xfId="0" applyNumberFormat="1" applyFill="0" applyBorder="1" applyAlignment="1" applyProtection="1">
      <x:alignment horizontal="general" vertical="center" textRotation="0" wrapText="0" indent="0" relativeIndent="0" justifyLastLine="0" shrinkToFit="0" readingOrder="0"/>
      <x:protection locked="1" hidden="0"/>
    </x:xf>
    <x:xf numFmtId="49" fontId="16" fillId="3" borderId="12" xfId="0" applyNumberFormat="1" applyFill="0" applyBorder="1" applyAlignment="1" applyProtection="1">
      <x:alignment horizontal="general" vertical="center" textRotation="0" wrapText="0" indent="0" relativeIndent="0" justifyLastLine="0" shrinkToFit="0" readingOrder="0"/>
      <x:protection locked="0" hidden="0"/>
    </x:xf>
    <x:xf numFmtId="49" fontId="15" fillId="3" borderId="17" xfId="0" applyNumberFormat="1" applyFill="0" applyBorder="1" applyAlignment="1" applyProtection="1">
      <x:alignment horizontal="general" vertical="center" textRotation="0" wrapText="0" indent="0" relativeIndent="0" justifyLastLine="0" shrinkToFit="0" readingOrder="0"/>
      <x:protection locked="1" hidden="0"/>
    </x:xf>
    <x:xf numFmtId="4" fontId="15" fillId="3" borderId="17" xfId="0" applyNumberFormat="1" applyFill="0" applyBorder="1" applyAlignment="1" applyProtection="1">
      <x:alignment horizontal="general" vertical="center" textRotation="0" wrapText="0" indent="0" relativeIndent="0" justifyLastLine="0" shrinkToFit="0" readingOrder="0"/>
      <x:protection locked="1" hidden="0"/>
    </x:xf>
    <x:xf numFmtId="49" fontId="15" fillId="3" borderId="18" xfId="0" applyNumberFormat="1" applyFill="0" applyBorder="1" applyAlignment="1" applyProtection="1">
      <x:alignment horizontal="right" vertical="center" textRotation="0" wrapText="0" indent="0" relativeIndent="0" justifyLastLine="0" shrinkToFit="0" readingOrder="0"/>
      <x:protection locked="1" hidden="0"/>
    </x:xf>
    <x:xf numFmtId="49" fontId="15" fillId="3" borderId="12" xfId="0" applyNumberFormat="1" applyFill="0" applyBorder="1" applyAlignment="1" applyProtection="1">
      <x:alignment horizontal="general" vertical="center" textRotation="0" wrapText="0" indent="0" relativeIndent="0" justifyLastLine="0" shrinkToFit="0" readingOrder="0"/>
      <x:protection locked="1" hidden="0"/>
    </x:xf>
    <x:xf numFmtId="49" fontId="16" fillId="3" borderId="12" xfId="0" applyNumberFormat="1" applyFill="0" applyBorder="1" applyAlignment="1" applyProtection="1">
      <x:alignment horizontal="general" vertical="center" textRotation="0" wrapText="0" indent="0" relativeIndent="0" justifyLastLine="0" shrinkToFit="0" readingOrder="0"/>
      <x:protection locked="1" hidden="0"/>
    </x:xf>
    <x:xf numFmtId="49" fontId="15" fillId="3" borderId="18" xfId="0" applyNumberFormat="1" applyFill="0" applyBorder="1" applyAlignment="1" applyProtection="1">
      <x:alignment horizontal="right" vertical="center" textRotation="0" wrapText="0" indent="0" relativeIndent="0" justifyLastLine="0" shrinkToFit="0" readingOrder="0"/>
      <x:protection locked="0" hidden="0"/>
    </x:xf>
    <x:xf numFmtId="49" fontId="15" fillId="3" borderId="12" xfId="0" applyNumberFormat="1" applyFill="0" applyBorder="1" applyAlignment="1" applyProtection="1">
      <x:alignment horizontal="general" vertical="center" textRotation="0" wrapText="0" indent="0" relativeIndent="0" justifyLastLine="0" shrinkToFit="0" readingOrder="0"/>
      <x:protection locked="0" hidden="0"/>
    </x:xf>
    <x:xf numFmtId="0" fontId="0" fillId="0" borderId="27" xfId="0" applyNumberFormat="1" applyFill="1" applyBorder="1" applyAlignment="1" applyProtection="1">
      <x:alignment horizontal="general" vertical="bottom" textRotation="0" wrapText="0" indent="0" relativeIndent="0" justifyLastLine="0" shrinkToFit="0" readingOrder="0"/>
      <x:protection locked="1" hidden="0"/>
    </x:xf>
    <x:xf numFmtId="49" fontId="0" fillId="0" borderId="0" xfId="0" applyNumberFormat="1" applyFill="1" applyBorder="0" applyAlignment="1" applyProtection="1">
      <x:alignment horizontal="general" vertical="bottom" textRotation="0" wrapText="0" indent="0" relativeIndent="0" justifyLastLine="0" shrinkToFit="0" readingOrder="0"/>
      <x:protection locked="1" hidden="0"/>
    </x:xf>
    <x:xf numFmtId="0" fontId="0" fillId="0" borderId="28" xfId="0" applyNumberFormat="1" applyFill="1" applyBorder="1" applyAlignment="1" applyProtection="1">
      <x:alignment horizontal="general" vertical="bottom" textRotation="0" wrapText="0" indent="0" relativeIndent="0" justifyLastLine="0" shrinkToFit="0" readingOrder="0"/>
      <x:protection locked="1" hidden="0"/>
    </x:xf>
  </x:cellXfs>
  <x:cellStyles count="7">
    <x:cellStyle name="40% - Accent1" xfId="5" builtinId="31"/>
    <x:cellStyle name="Calculation" xfId="4" builtinId="22"/>
    <x:cellStyle name="Heading 1" xfId="1" builtinId="16"/>
    <x:cellStyle name="Heading 3" xfId="2" builtinId="18"/>
    <x:cellStyle name="Heading 4" xfId="3" builtinId="19"/>
    <x:cellStyle name="Hyperlink" xfId="6" builtinId="8"/>
    <x:cellStyle name="Normal" xfId="0" builtinId="0"/>
  </x:cellStyles>
  <x:tableStyles count="0" defaultTableStyle="TableStyleMedium2" defaultPivotStyle="PivotStyleLight16"/>
  <x:colors>
    <x:mruColors>
      <x:color rgb="FFEDF3F3"/>
      <x:color rgb="FFD6DCE0"/>
      <x:color rgb="FF9DBEC3"/>
      <x:color rgb="FF4B7279"/>
    </x:mruColors>
  </x:colors>
  <x:extLst>
    <x:ext xmlns:x14="http://schemas.microsoft.com/office/spreadsheetml/2009/9/main" uri="{EB79DEF2-80B8-43e5-95BD-54CBDDF9020C}">
      <x14:slicerStyles defaultSlicerStyle="SlicerStyleLight1"/>
    </x:ext>
    <x:ext xmlns:x15="http://schemas.microsoft.com/office/spreadsheetml/2010/11/main" uri="{9260A510-F301-46a8-8635-F512D64BE5F5}">
      <x15:timelineStyles defaultTimelineStyle="TimeSlicerStyleLight1"/>
    </x:ext>
  </x:extLst>
</x: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editAs="oneCell">
    <xdr:from>
      <xdr:col>0</xdr:col>
      <xdr:colOff>38100</xdr:colOff>
      <xdr:row>0</xdr:row>
      <xdr:rowOff>57150</xdr:rowOff>
    </xdr:from>
    <xdr:to>
      <xdr:col>3</xdr:col>
      <xdr:colOff>334053</xdr:colOff>
      <xdr:row>0</xdr:row>
      <xdr:rowOff>544041</xdr:rowOff>
    </xdr:to>
    <xdr:pic>
      <xdr:nvPicPr>
        <xdr:cNvPr id="3" name="Picture 2" descr="Seachef_Logo.jpg">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1" cstate="print"/>
        <a:stretch>
          <a:fillRect/>
        </a:stretch>
      </xdr:blipFill>
      <xdr:spPr>
        <a:xfrm>
          <a:off x="38100" y="57150"/>
          <a:ext cx="1700784" cy="486891"/>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&#65279;<?xml version="1.0" encoding="utf-8"?><Relationships xmlns="http://schemas.openxmlformats.org/package/2006/relationships"><Relationship Type="http://schemas.openxmlformats.org/officeDocument/2006/relationships/drawing" Target="../drawings/drawing1.xml" Id="rId3" /><Relationship Type="http://schemas.openxmlformats.org/officeDocument/2006/relationships/printerSettings" Target="../printerSettings/printerSettings1.bin" Id="rId2" /><Relationship Type="http://schemas.openxmlformats.org/officeDocument/2006/relationships/hyperlink" Target="mailto:seachef@seachef.com" TargetMode="External" Id="rId8" /></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x:worksheet xmlns:x14="http://schemas.microsoft.com/office/spreadsheetml/2009/9/main" xmlns:xm="http://schemas.microsoft.com/office/excel/2006/main" xmlns:r="http://schemas.openxmlformats.org/officeDocument/2006/relationships" xmlns:mc="http://schemas.openxmlformats.org/markup-compatibility/2006" xmlns:x14ac="http://schemas.microsoft.com/office/spreadsheetml/2009/9/ac" xmlns:x="http://schemas.openxmlformats.org/spreadsheetml/2006/main" mc:Ignorable="x14ac">
  <x:sheetPr codeName="Sheet1">
    <x:outlinePr summaryBelow="1" summaryRight="1"/>
  </x:sheetPr>
  <x:dimension ref="A1:W58"/>
  <x:sheetViews>
    <x:sheetView showGridLines="0" tabSelected="1" zoomScale="90" zoomScaleNormal="90" workbookViewId="0">
      <x:selection activeCell="U3" sqref="U3 U3:U3"/>
    </x:sheetView>
  </x:sheetViews>
  <x:sheetFormatPr defaultColWidth="9.140625" defaultRowHeight="15" x14ac:dyDescent="0.25"/>
  <x:cols>
    <x:col min="1" max="1" width="7" style="147" customWidth="1"/>
    <x:col min="2" max="2" width="4.855469" style="147" hidden="1" customWidth="1"/>
    <x:col min="3" max="3" width="14.140625" style="147" customWidth="1"/>
    <x:col min="4" max="4" width="27.425781" style="147" customWidth="1"/>
    <x:col min="5" max="5" width="16.710938" style="147" hidden="1" customWidth="1"/>
    <x:col min="6" max="6" width="12.710938" style="147" customWidth="1"/>
    <x:col min="7" max="7" width="9.425781" style="147" customWidth="1"/>
    <x:col min="8" max="9" width="7.425781" style="147" customWidth="1"/>
    <x:col min="10" max="10" width="12.285156" style="147" customWidth="1"/>
    <x:col min="11" max="11" width="9.285156" style="147" customWidth="1"/>
    <x:col min="12" max="12" width="2.425781" style="147" hidden="1" customWidth="1"/>
    <x:col min="13" max="13" width="13.855469" style="147" customWidth="1"/>
    <x:col min="14" max="14" width="9.855469" style="147" customWidth="1"/>
    <x:col min="15" max="15" width="8.425781" style="147" customWidth="1"/>
    <x:col min="16" max="16" width="15.285156" style="147" customWidth="1"/>
    <x:col min="17" max="17" width="24.140625" style="147" customWidth="1"/>
    <x:col min="18" max="18" width="8.855469" style="147" hidden="1" customWidth="1"/>
    <x:col min="19" max="19" width="18.570312" style="147" customWidth="1"/>
    <x:col min="20" max="20" width="9.140625" style="147" hidden="1" customWidth="1"/>
    <x:col min="21" max="21" width="9.140625" style="148" customWidth="1"/>
    <x:col min="22" max="22" width="9.140625" style="147" customWidth="1"/>
    <x:col min="23" max="23" width="9.140625" style="147" hidden="1" customWidth="1"/>
    <x:col min="24" max="16384" width="9.140625" style="147" customWidth="1"/>
  </x:cols>
  <x:sheetData>
    <x:row r="1" spans="1:23" customFormat="1" ht="51" customHeight="1" x14ac:dyDescent="0.75">
      <x:c r="A1" s="150" t="s"/>
      <x:c r="B1" s="150" t="s"/>
      <x:c r="C1" s="150" t="s"/>
      <x:c r="D1" s="151" t="s"/>
      <x:c r="E1" s="152" t="s"/>
      <x:c r="F1" s="152" t="s"/>
      <x:c r="G1" s="152" t="s"/>
      <x:c r="H1" s="151" t="s"/>
      <x:c r="I1" s="151" t="s"/>
      <x:c r="J1" s="151" t="s"/>
      <x:c r="K1" s="152" t="s"/>
      <x:c r="L1" s="152" t="s"/>
      <x:c r="M1" s="153" t="s">
        <x:v>0</x:v>
      </x:c>
      <x:c r="N1" s="154" t="s"/>
      <x:c r="O1" s="154" t="s"/>
      <x:c r="P1" s="154" t="s"/>
      <x:c r="Q1" s="154" t="s"/>
      <x:c r="R1" s="154" t="s"/>
      <x:c r="S1" s="154" t="s"/>
      <x:c r="T1" s="154" t="s"/>
      <x:c r="U1" s="155" t="s"/>
    </x:row>
    <x:row r="2" spans="1:23" customFormat="1" ht="5.25" customHeight="1" x14ac:dyDescent="0.25">
      <x:c r="U2" s="148" t="s"/>
    </x:row>
    <x:row r="3" spans="1:23" customFormat="1" ht="15.75" customHeight="1" thickBot="1" x14ac:dyDescent="0.35">
      <x:c r="A3" s="149" t="s">
        <x:v>1</x:v>
      </x:c>
      <x:c r="B3" s="149" t="s"/>
      <x:c r="C3" s="149" t="s"/>
      <x:c r="D3" s="149" t="s"/>
      <x:c r="E3" s="149" t="s"/>
      <x:c r="U3" s="148" t="s"/>
    </x:row>
    <x:row r="4" spans="1:23" customFormat="1" ht="22.5" customHeight="1" thickTop="1" thickBot="1" x14ac:dyDescent="0.3">
      <x:c r="A4" s="156" t="s">
        <x:v>2</x:v>
      </x:c>
      <x:c r="B4" s="156" t="s"/>
      <x:c r="C4" s="156" t="s"/>
      <x:c r="D4" s="156" t="s"/>
      <x:c r="E4" s="156" t="s"/>
      <x:c r="F4" s="156" t="s"/>
      <x:c r="G4" s="156" t="s"/>
      <x:c r="H4" s="157" t="s"/>
      <x:c r="I4" s="157" t="s"/>
      <x:c r="J4" s="157" t="s"/>
      <x:c r="M4" s="158" t="s">
        <x:v>3</x:v>
      </x:c>
      <x:c r="N4" s="158" t="s"/>
      <x:c r="O4" s="159" t="s">
        <x:v>4</x:v>
      </x:c>
      <x:c r="P4" s="159" t="s"/>
      <x:c r="Q4" s="159" t="s"/>
      <x:c r="R4" s="157" t="s"/>
      <x:c r="S4" s="157" t="s"/>
      <x:c r="T4" s="157" t="s"/>
      <x:c r="U4" s="160" t="s"/>
    </x:row>
    <x:row r="5" spans="1:23" customFormat="1" ht="13.5" customHeight="1" thickBot="1" x14ac:dyDescent="0.3">
      <x:c r="A5" s="107" t="s">
        <x:v>5</x:v>
      </x:c>
      <x:c r="B5" s="107" t="s"/>
      <x:c r="C5" s="107" t="s"/>
      <x:c r="D5" s="107" t="s"/>
      <x:c r="E5" s="107" t="s"/>
      <x:c r="F5" s="107" t="s"/>
      <x:c r="G5" s="107" t="s"/>
      <x:c r="H5" s="100" t="s"/>
      <x:c r="I5" s="100" t="s"/>
      <x:c r="J5" s="100" t="s"/>
      <x:c r="L5" s="151" t="s"/>
      <x:c r="M5" s="110" t="s">
        <x:v>6</x:v>
      </x:c>
      <x:c r="N5" s="110" t="s"/>
      <x:c r="O5" s="159" t="s">
        <x:v>7</x:v>
      </x:c>
      <x:c r="P5" s="159" t="s"/>
      <x:c r="Q5" s="159" t="s"/>
      <x:c r="R5" s="157" t="s"/>
      <x:c r="S5" s="157" t="s"/>
      <x:c r="T5" s="157" t="s"/>
      <x:c r="U5" s="160" t="s"/>
    </x:row>
    <x:row r="6" spans="1:23" customFormat="1" ht="13.5" customHeight="1" thickBot="1" x14ac:dyDescent="0.3">
      <x:c r="A6" s="161" t="s">
        <x:v>8</x:v>
      </x:c>
      <x:c r="B6" s="161" t="s"/>
      <x:c r="C6" s="161" t="s"/>
      <x:c r="D6" s="161" t="s"/>
      <x:c r="E6" s="161" t="s"/>
      <x:c r="F6" s="161" t="s"/>
      <x:c r="G6" s="161" t="s"/>
      <x:c r="H6" s="162" t="s"/>
      <x:c r="I6" s="162" t="s"/>
      <x:c r="J6" s="162" t="s"/>
      <x:c r="K6" s="163" t="s"/>
      <x:c r="L6" s="163" t="s"/>
      <x:c r="M6" s="158" t="s">
        <x:v>9</x:v>
      </x:c>
      <x:c r="N6" s="158" t="s"/>
      <x:c r="O6" s="164">
        <x:v>43679</x:v>
      </x:c>
      <x:c r="P6" s="164" t="s"/>
      <x:c r="Q6" s="164" t="s"/>
      <x:c r="R6" s="157" t="s"/>
      <x:c r="S6" s="157" t="s"/>
      <x:c r="T6" s="157" t="s"/>
      <x:c r="U6" s="160" t="s"/>
    </x:row>
    <x:row r="7" spans="1:23" customFormat="1" ht="13.5" customHeight="1" thickBot="1" x14ac:dyDescent="0.3">
      <x:c r="A7" s="165" t="s">
        <x:v>10</x:v>
      </x:c>
      <x:c r="B7" s="165" t="s"/>
      <x:c r="C7" s="165" t="s"/>
      <x:c r="D7" s="165" t="s"/>
      <x:c r="E7" s="165" t="s"/>
      <x:c r="F7" s="165" t="s"/>
      <x:c r="G7" s="165" t="s"/>
      <x:c r="H7" s="162" t="s"/>
      <x:c r="I7" s="162" t="s"/>
      <x:c r="J7" s="162" t="s"/>
      <x:c r="K7" s="163" t="s"/>
      <x:c r="L7" s="163" t="s"/>
      <x:c r="M7" s="158" t="s"/>
      <x:c r="N7" s="158" t="s"/>
      <x:c r="O7" s="114" t="s"/>
      <x:c r="P7" s="114" t="s"/>
      <x:c r="Q7" s="114" t="s"/>
      <x:c r="R7" s="114" t="s"/>
      <x:c r="S7" s="157" t="s"/>
      <x:c r="T7" s="157" t="s"/>
      <x:c r="U7" s="160" t="s"/>
    </x:row>
    <x:row r="8" spans="1:23" customFormat="1" ht="13.5" customHeight="1" thickBot="1" x14ac:dyDescent="0.3">
      <x:c r="A8" s="165" t="s">
        <x:v>11</x:v>
      </x:c>
      <x:c r="B8" s="165" t="s"/>
      <x:c r="C8" s="165" t="s"/>
      <x:c r="D8" s="165" t="s"/>
      <x:c r="E8" s="165" t="s"/>
      <x:c r="F8" s="165" t="s"/>
      <x:c r="G8" s="165" t="s"/>
      <x:c r="H8" s="162" t="s"/>
      <x:c r="I8" s="162" t="s"/>
      <x:c r="J8" s="162" t="s"/>
      <x:c r="K8" s="166" t="s"/>
      <x:c r="L8" s="166" t="s"/>
      <x:c r="M8" s="158" t="s">
        <x:v>12</x:v>
      </x:c>
      <x:c r="N8" s="158" t="s"/>
      <x:c r="O8" s="167">
        <x:v>43679</x:v>
      </x:c>
      <x:c r="P8" s="167" t="s"/>
      <x:c r="Q8" s="157" t="s"/>
      <x:c r="R8" s="168" t="s"/>
      <x:c r="S8" s="168" t="s"/>
      <x:c r="T8" s="168" t="s"/>
      <x:c r="U8" s="169" t="s"/>
    </x:row>
    <x:row r="9" spans="1:23" customFormat="1" ht="15" customHeight="1" thickBot="1" x14ac:dyDescent="0.3">
      <x:c r="A9" s="165" t="s">
        <x:v>13</x:v>
      </x:c>
      <x:c r="B9" s="165" t="s"/>
      <x:c r="C9" s="165" t="s"/>
      <x:c r="D9" s="165" t="s"/>
      <x:c r="E9" s="165" t="s"/>
      <x:c r="F9" s="165" t="s"/>
      <x:c r="G9" s="165" t="s"/>
      <x:c r="H9" s="170" t="s"/>
      <x:c r="I9" s="171" t="s"/>
      <x:c r="J9" s="166" t="s"/>
      <x:c r="K9" s="166" t="s"/>
      <x:c r="L9" s="172" t="s">
        <x:v>14</x:v>
      </x:c>
      <x:c r="M9" s="172" t="s"/>
      <x:c r="N9" s="114" t="s"/>
      <x:c r="O9" s="114" t="s">
        <x:v>15</x:v>
      </x:c>
      <x:c r="P9" s="114" t="s"/>
      <x:c r="Q9" s="114" t="s"/>
      <x:c r="R9" s="168" t="s"/>
      <x:c r="S9" s="168" t="s"/>
    </x:row>
    <x:row r="10" spans="1:23" customFormat="1" ht="15" customHeight="1" thickBot="1" x14ac:dyDescent="0.3">
      <x:c r="A10" s="173" t="s">
        <x:v>16</x:v>
      </x:c>
      <x:c r="B10" s="173" t="s">
        <x:v>16</x:v>
      </x:c>
      <x:c r="C10" s="174" t="s">
        <x:v>17</x:v>
      </x:c>
      <x:c r="D10" s="165" t="s"/>
      <x:c r="E10" s="165" t="s"/>
      <x:c r="F10" s="162" t="s"/>
      <x:c r="G10" s="162" t="s"/>
      <x:c r="H10" s="162" t="s"/>
      <x:c r="I10" s="162" t="s"/>
      <x:c r="J10" s="162" t="s"/>
      <x:c r="K10" s="166" t="s"/>
      <x:c r="L10" s="166" t="s"/>
      <x:c r="M10" s="175" t="s">
        <x:v>18</x:v>
      </x:c>
      <x:c r="N10" s="175" t="s"/>
      <x:c r="O10" s="164">
        <x:v>43691.5</x:v>
      </x:c>
      <x:c r="P10" s="164" t="s"/>
      <x:c r="Q10" s="172" t="s"/>
      <x:c r="R10" s="168" t="s"/>
      <x:c r="S10" s="168" t="s"/>
      <x:c r="T10" s="168" t="s"/>
      <x:c r="U10" s="169" t="s"/>
    </x:row>
    <x:row r="11" spans="1:23" customFormat="1" ht="15" customHeight="1" thickBot="1" x14ac:dyDescent="0.3">
      <x:c r="A11" s="106" t="s">
        <x:v>19</x:v>
      </x:c>
      <x:c r="B11" s="162" t="s"/>
      <x:c r="C11" s="127" t="s">
        <x:v>20</x:v>
      </x:c>
      <x:c r="D11" s="127" t="s"/>
      <x:c r="E11" s="127" t="s"/>
      <x:c r="F11" s="127" t="s"/>
      <x:c r="G11" s="127" t="s"/>
      <x:c r="H11" s="162" t="s"/>
      <x:c r="I11" s="162" t="s"/>
      <x:c r="J11" s="162" t="s"/>
      <x:c r="K11" s="166" t="s"/>
      <x:c r="L11" s="166" t="s"/>
      <x:c r="M11" s="175" t="s">
        <x:v>21</x:v>
      </x:c>
      <x:c r="N11" s="175" t="s"/>
      <x:c r="O11" s="176" t="s">
        <x:v>22</x:v>
      </x:c>
      <x:c r="P11" s="177" t="s">
        <x:v>23</x:v>
      </x:c>
      <x:c r="Q11" s="178" t="n">
        <x:v>5</x:v>
      </x:c>
      <x:c r="R11" s="168" t="s"/>
      <x:c r="S11" s="168" t="s"/>
      <x:c r="T11" s="168" t="s"/>
      <x:c r="U11" s="169" t="s"/>
    </x:row>
    <x:row r="12" spans="1:23" customFormat="1" ht="15.75" customHeight="1" thickBot="1" x14ac:dyDescent="0.3">
      <x:c r="A12" s="125" t="s">
        <x:v>24</x:v>
      </x:c>
      <x:c r="B12" s="125" t="s"/>
      <x:c r="C12" s="125" t="s"/>
      <x:c r="D12" s="125" t="s"/>
      <x:c r="E12" s="179" t="s"/>
      <x:c r="F12" s="179" t="s"/>
      <x:c r="G12" s="179" t="s"/>
      <x:c r="H12" s="179" t="s"/>
      <x:c r="I12" s="179" t="s"/>
      <x:c r="J12" s="179" t="s"/>
      <x:c r="K12" s="163" t="s"/>
      <x:c r="L12" s="163" t="s"/>
      <x:c r="M12" s="158" t="s">
        <x:v>25</x:v>
      </x:c>
      <x:c r="N12" s="158" t="s"/>
      <x:c r="O12" s="180" t="s"/>
      <x:c r="P12" s="181" t="s"/>
      <x:c r="Q12" s="182" t="s"/>
      <x:c r="R12" s="168" t="s"/>
      <x:c r="S12" s="168" t="s"/>
      <x:c r="T12" s="168" t="s"/>
      <x:c r="U12" s="169" t="s"/>
    </x:row>
    <x:row r="13" spans="1:23" customFormat="1" ht="15.75" customHeight="1" thickBot="1" x14ac:dyDescent="0.3">
      <x:c r="A13" s="110" t="s">
        <x:v>26</x:v>
      </x:c>
      <x:c r="B13" s="110" t="s"/>
      <x:c r="C13" s="110" t="s"/>
      <x:c r="D13" s="159" t="s">
        <x:v>27</x:v>
      </x:c>
      <x:c r="E13" s="159" t="s"/>
      <x:c r="F13" s="159" t="s"/>
      <x:c r="G13" s="159" t="s"/>
      <x:c r="H13" s="159" t="s"/>
      <x:c r="I13" s="159" t="s"/>
      <x:c r="J13" s="159" t="s"/>
      <x:c r="K13" s="163" t="s"/>
      <x:c r="L13" s="163" t="s"/>
      <x:c r="M13" s="183" t="s"/>
      <x:c r="N13" s="183" t="s"/>
      <x:c r="O13" s="184" t="s"/>
      <x:c r="P13" s="184" t="s"/>
      <x:c r="Q13" s="184" t="s"/>
      <x:c r="R13" s="184" t="s"/>
      <x:c r="S13" s="168" t="s"/>
      <x:c r="T13" s="168" t="s"/>
      <x:c r="U13" s="169" t="s"/>
    </x:row>
    <x:row r="14" spans="1:23" customFormat="1" ht="16.5" customHeight="1" thickBot="1" x14ac:dyDescent="0.3">
      <x:c r="A14" s="110" t="s">
        <x:v>28</x:v>
      </x:c>
      <x:c r="B14" s="110" t="s"/>
      <x:c r="C14" s="110" t="s"/>
      <x:c r="D14" s="159" t="s">
        <x:v>29</x:v>
      </x:c>
      <x:c r="E14" s="159" t="s"/>
      <x:c r="F14" s="159" t="s"/>
      <x:c r="G14" s="159" t="s"/>
      <x:c r="H14" s="159" t="s"/>
      <x:c r="I14" s="159" t="s"/>
      <x:c r="J14" s="159" t="s"/>
      <x:c r="K14" s="163" t="s"/>
      <x:c r="L14" s="163" t="s"/>
      <x:c r="M14" s="110" t="s">
        <x:v>30</x:v>
      </x:c>
      <x:c r="N14" s="110" t="s"/>
      <x:c r="O14" s="185" t="s">
        <x:v>31</x:v>
      </x:c>
      <x:c r="P14" s="172" t="s"/>
      <x:c r="Q14" s="186" t="s"/>
      <x:c r="R14" s="157" t="s"/>
      <x:c r="S14" s="168" t="s"/>
      <x:c r="T14" s="168" t="s"/>
      <x:c r="U14" s="169" t="s"/>
    </x:row>
    <x:row r="15" spans="1:23" customFormat="1" ht="15.75" customHeight="1" thickBot="1" x14ac:dyDescent="0.3">
      <x:c r="A15" s="110" t="s">
        <x:v>32</x:v>
      </x:c>
      <x:c r="B15" s="110" t="s"/>
      <x:c r="C15" s="110" t="s"/>
      <x:c r="D15" s="159" t="s"/>
      <x:c r="E15" s="159" t="s"/>
      <x:c r="F15" s="159" t="s"/>
      <x:c r="G15" s="159" t="s"/>
      <x:c r="H15" s="159" t="s"/>
      <x:c r="I15" s="159" t="s"/>
      <x:c r="J15" s="159" t="s"/>
      <x:c r="K15" s="163" t="s"/>
      <x:c r="L15" s="163" t="s"/>
      <x:c r="M15" s="110" t="s">
        <x:v>33</x:v>
      </x:c>
      <x:c r="N15" s="110" t="s"/>
      <x:c r="O15" s="187" t="n">
        <x:v>0</x:v>
      </x:c>
      <x:c r="P15" s="22" t="s"/>
      <x:c r="Q15" s="186" t="s">
        <x:v>34</x:v>
      </x:c>
      <x:c r="R15" s="157" t="s"/>
      <x:c r="S15" s="168" t="s"/>
      <x:c r="T15" s="168" t="s"/>
      <x:c r="U15" s="169" t="s"/>
    </x:row>
    <x:row r="16" spans="1:23" customFormat="1" ht="15.75" customHeight="1" thickBot="1" x14ac:dyDescent="0.3">
      <x:c r="A16" s="110" t="s">
        <x:v>35</x:v>
      </x:c>
      <x:c r="B16" s="110" t="s"/>
      <x:c r="C16" s="110" t="s"/>
      <x:c r="D16" s="159" t="n">
        <x:v>6562622323</x:v>
      </x:c>
      <x:c r="E16" s="159" t="s"/>
      <x:c r="F16" s="159" t="s"/>
      <x:c r="G16" s="159" t="s"/>
      <x:c r="H16" s="159" t="s"/>
      <x:c r="I16" s="159" t="s"/>
      <x:c r="J16" s="159" t="s"/>
      <x:c r="K16" s="163" t="s"/>
      <x:c r="L16" s="163" t="s"/>
      <x:c r="M16" s="110" t="s">
        <x:v>36</x:v>
      </x:c>
      <x:c r="N16" s="110" t="s"/>
      <x:c r="O16" s="187" t="n">
        <x:v>0</x:v>
      </x:c>
      <x:c r="P16" s="22" t="s"/>
      <x:c r="Q16" s="172" t="s"/>
      <x:c r="R16" s="157" t="s"/>
      <x:c r="S16" s="168" t="s"/>
      <x:c r="T16" s="168" t="s"/>
      <x:c r="U16" s="169" t="s"/>
    </x:row>
    <x:row r="17" spans="1:23" customFormat="1" ht="13.5" customHeight="1" thickBot="1" x14ac:dyDescent="0.3">
      <x:c r="A17" s="110" t="s">
        <x:v>37</x:v>
      </x:c>
      <x:c r="B17" s="110" t="s"/>
      <x:c r="C17" s="110" t="s"/>
      <x:c r="D17" s="159" t="s">
        <x:v>38</x:v>
      </x:c>
      <x:c r="E17" s="159" t="s"/>
      <x:c r="F17" s="159" t="s"/>
      <x:c r="G17" s="159" t="s"/>
      <x:c r="H17" s="159" t="s"/>
      <x:c r="I17" s="159" t="s"/>
      <x:c r="J17" s="159" t="s"/>
      <x:c r="K17" s="163" t="s"/>
      <x:c r="L17" s="163" t="s"/>
      <x:c r="M17" s="188" t="s"/>
      <x:c r="N17" s="188" t="s"/>
      <x:c r="O17" s="188" t="s"/>
      <x:c r="P17" s="188" t="s"/>
      <x:c r="Q17" s="188" t="s"/>
      <x:c r="R17" s="188" t="s"/>
      <x:c r="S17" s="188" t="s"/>
      <x:c r="T17" s="163" t="s"/>
      <x:c r="U17" s="189" t="s"/>
    </x:row>
    <x:row r="18" spans="1:23" customFormat="1" ht="13.5" customHeight="1" x14ac:dyDescent="0.25">
      <x:c r="A18" s="163" t="s"/>
      <x:c r="B18" s="163" t="s"/>
      <x:c r="C18" s="163" t="s"/>
      <x:c r="D18" s="190" t="s"/>
      <x:c r="E18" s="191" t="s"/>
      <x:c r="F18" s="191" t="s"/>
      <x:c r="G18" s="190" t="s"/>
      <x:c r="H18" s="191" t="s"/>
      <x:c r="I18" s="191" t="s"/>
      <x:c r="J18" s="191" t="s"/>
      <x:c r="K18" s="191" t="s"/>
      <x:c r="L18" s="191" t="s"/>
      <x:c r="M18" s="190" t="s"/>
      <x:c r="N18" s="192" t="s"/>
      <x:c r="O18" s="163" t="s"/>
      <x:c r="P18" s="190" t="s"/>
      <x:c r="Q18" s="193" t="s"/>
      <x:c r="R18" s="190" t="s"/>
      <x:c r="S18" s="193" t="s"/>
      <x:c r="T18" s="163" t="s"/>
      <x:c r="U18" s="189" t="s"/>
    </x:row>
    <x:row r="19" spans="1:23" customFormat="1" ht="27" customHeight="1" x14ac:dyDescent="0.25">
      <x:c r="A19" s="194" t="s">
        <x:v>39</x:v>
      </x:c>
      <x:c r="B19" s="195" t="s"/>
      <x:c r="C19" s="195" t="s">
        <x:v>40</x:v>
      </x:c>
      <x:c r="D19" s="195" t="s">
        <x:v>41</x:v>
      </x:c>
      <x:c r="E19" s="195" t="s"/>
      <x:c r="F19" s="196" t="s">
        <x:v>42</x:v>
      </x:c>
      <x:c r="G19" s="197" t="s">
        <x:v>43</x:v>
      </x:c>
      <x:c r="H19" s="197" t="s">
        <x:v>44</x:v>
      </x:c>
      <x:c r="I19" s="197" t="s">
        <x:v>45</x:v>
      </x:c>
      <x:c r="J19" s="197" t="s">
        <x:v>46</x:v>
      </x:c>
      <x:c r="K19" s="197" t="s">
        <x:v>47</x:v>
      </x:c>
      <x:c r="L19" s="197" t="str">
        <x:f> CONCATENATE("Unit Price ", "( ",Currency, " )")</x:f>
      </x:c>
      <x:c r="M19" s="197" t="s"/>
      <x:c r="N19" s="197" t="s">
        <x:v>48</x:v>
      </x:c>
      <x:c r="O19" s="197" t="s">
        <x:v>49</x:v>
      </x:c>
      <x:c r="P19" s="197" t="s">
        <x:v>50</x:v>
      </x:c>
      <x:c r="Q19" s="197" t="s">
        <x:v>51</x:v>
      </x:c>
      <x:c r="R19" s="197" t="s"/>
      <x:c r="S19" s="197" t="s">
        <x:v>52</x:v>
      </x:c>
      <x:c r="T19" s="197" t="s"/>
      <x:c r="U19" s="198" t="s"/>
    </x:row>
    <x:row r="20" spans="1:23" x14ac:dyDescent="0.25">
      <x:c r="A20" s="199" t="s"/>
      <x:c r="B20" s="199" t="n">
        <x:v>0</x:v>
      </x:c>
      <x:c r="C20" s="200" t="s">
        <x:v>53</x:v>
      </x:c>
      <x:c r="D20" s="201" t="s"/>
      <x:c r="E20" s="202" t="s"/>
      <x:c r="F20" s="200" t="s"/>
      <x:c r="G20" s="203" t="s"/>
      <x:c r="H20" s="200" t="s"/>
      <x:c r="I20" s="200" t="s"/>
      <x:c r="J20" s="202" t="s"/>
      <x:c r="K20" s="204" t="s"/>
      <x:c r="L20" s="205" t="s"/>
      <x:c r="M20" s="206" t="s"/>
      <x:c r="N20" s="202" t="s"/>
      <x:c r="O20" s="202" t="s"/>
      <x:c r="P20" s="207" t="s"/>
      <x:c r="Q20" s="208" t="s"/>
      <x:c r="R20" s="208" t="s"/>
      <x:c r="S20" s="208" t="s"/>
      <x:c r="T20" s="209" t="s"/>
      <x:c r="U20" s="210" t="s"/>
    </x:row>
    <x:row r="21" spans="1:23" x14ac:dyDescent="0.25">
      <x:c r="A21" s="76" t="n">
        <x:v>1</x:v>
      </x:c>
      <x:c r="B21" s="76" t="n">
        <x:v>99990013600201</x:v>
      </x:c>
      <x:c r="C21" s="77" t="s">
        <x:v>54</x:v>
      </x:c>
      <x:c r="D21" s="78" t="s">
        <x:v>55</x:v>
      </x:c>
      <x:c r="E21" s="79" t="s"/>
      <x:c r="F21" s="77" t="s"/>
      <x:c r="G21" s="92" t="n">
        <x:v>0</x:v>
      </x:c>
      <x:c r="H21" s="80" t="s">
        <x:v>56</x:v>
      </x:c>
      <x:c r="I21" s="80" t="s"/>
      <x:c r="J21" s="79" t="n">
        <x:v>0</x:v>
      </x:c>
      <x:c r="K21" s="256" t="n">
        <x:v>2</x:v>
      </x:c>
      <x:c r="L21" s="257" t="s"/>
      <x:c r="M21" s="258" t="n">
        <x:v>0</x:v>
      </x:c>
      <x:c r="N21" s="259" t="n">
        <x:v>0</x:v>
      </x:c>
      <x:c r="O21" s="259" t="n">
        <x:v>0</x:v>
      </x:c>
      <x:c r="P21" s="260">
        <x:f>ROUND(((K21*M21) - (K21*M21*N21/100)) + (((K21*M21) - (K21*M21*N21/100)) * O21/100), 2)</x:f>
      </x:c>
      <x:c r="Q21" s="261" t="s"/>
      <x:c r="R21" s="261" t="s"/>
      <x:c r="S21" s="81" t="s"/>
      <x:c r="T21" s="209" t="s"/>
      <x:c r="U21" s="210" t="s"/>
    </x:row>
    <x:row r="22" spans="1:23" x14ac:dyDescent="0.25">
      <x:c r="A22" s="76" t="n">
        <x:v>2</x:v>
      </x:c>
      <x:c r="B22" s="76" t="n">
        <x:v>99990008192244</x:v>
      </x:c>
      <x:c r="C22" s="77" t="n">
        <x:v>630464</x:v>
      </x:c>
      <x:c r="D22" s="78" t="s">
        <x:v>57</x:v>
      </x:c>
      <x:c r="E22" s="79" t="s"/>
      <x:c r="F22" s="77" t="s"/>
      <x:c r="G22" s="92" t="n">
        <x:v>0</x:v>
      </x:c>
      <x:c r="H22" s="80" t="s">
        <x:v>56</x:v>
      </x:c>
      <x:c r="I22" s="80" t="s"/>
      <x:c r="J22" s="79" t="n">
        <x:v>0</x:v>
      </x:c>
      <x:c r="K22" s="256" t="n">
        <x:v>1</x:v>
      </x:c>
      <x:c r="L22" s="257" t="s"/>
      <x:c r="M22" s="258" t="n">
        <x:v>0</x:v>
      </x:c>
      <x:c r="N22" s="259" t="n">
        <x:v>0</x:v>
      </x:c>
      <x:c r="O22" s="259" t="n">
        <x:v>0</x:v>
      </x:c>
      <x:c r="P22" s="260" t="s">
        <x:f>ROUND(((K22*M22) - (K22*M22*N22/100)) + (((K22*M22) - (K22*M22*N22/100)) * O22/100), 2)</x:f>
      </x:c>
      <x:c r="Q22" s="261" t="s"/>
      <x:c r="R22" s="261" t="s"/>
      <x:c r="S22" s="81" t="s"/>
      <x:c r="T22" s="209" t="s"/>
      <x:c r="U22" s="210" t="s"/>
    </x:row>
    <x:row r="23" spans="1:23" x14ac:dyDescent="0.25">
      <x:c r="A23" s="76" t="n">
        <x:v>3</x:v>
      </x:c>
      <x:c r="B23" s="76" t="n">
        <x:v>99990008656631</x:v>
      </x:c>
      <x:c r="C23" s="77" t="n">
        <x:v>871801</x:v>
      </x:c>
      <x:c r="D23" s="78" t="s">
        <x:v>58</x:v>
      </x:c>
      <x:c r="E23" s="79" t="s"/>
      <x:c r="F23" s="77" t="s"/>
      <x:c r="G23" s="92" t="n">
        <x:v>0</x:v>
      </x:c>
      <x:c r="H23" s="77" t="s">
        <x:v>59</x:v>
      </x:c>
      <x:c r="I23" s="77" t="s"/>
      <x:c r="J23" s="79" t="n">
        <x:v>24.65</x:v>
      </x:c>
      <x:c r="K23" s="256" t="n">
        <x:v>5</x:v>
      </x:c>
      <x:c r="L23" s="257" t="s"/>
      <x:c r="M23" s="258" t="n">
        <x:v>24.65</x:v>
      </x:c>
      <x:c r="N23" s="259" t="n">
        <x:v>0</x:v>
      </x:c>
      <x:c r="O23" s="259" t="n">
        <x:v>0</x:v>
      </x:c>
      <x:c r="P23" s="260">
        <x:f>ROUND(((K23*M23) - (K23*M23*N23/100)) + (((K23*M23) - (K23*M23*N23/100)) * O23/100), 2)</x:f>
      </x:c>
      <x:c r="Q23" s="261" t="s"/>
      <x:c r="R23" s="261" t="s"/>
      <x:c r="S23" s="81" t="s">
        <x:v>60</x:v>
      </x:c>
      <x:c r="T23" s="209" t="s"/>
      <x:c r="U23" s="210" t="s"/>
    </x:row>
    <x:row r="24" spans="1:23" x14ac:dyDescent="0.25">
      <x:c r="A24" s="76" t="n">
        <x:v>4</x:v>
      </x:c>
      <x:c r="B24" s="76" t="n">
        <x:v>99990008656632</x:v>
      </x:c>
      <x:c r="C24" s="77" t="n">
        <x:v>871802</x:v>
      </x:c>
      <x:c r="D24" s="78" t="s">
        <x:v>61</x:v>
      </x:c>
      <x:c r="E24" s="79" t="s"/>
      <x:c r="F24" s="77" t="s"/>
      <x:c r="G24" s="92" t="n">
        <x:v>0</x:v>
      </x:c>
      <x:c r="H24" s="77" t="s">
        <x:v>59</x:v>
      </x:c>
      <x:c r="I24" s="77" t="s"/>
      <x:c r="J24" s="79" t="n">
        <x:v>33.99</x:v>
      </x:c>
      <x:c r="K24" s="256" t="n">
        <x:v>6</x:v>
      </x:c>
      <x:c r="L24" s="257" t="s"/>
      <x:c r="M24" s="258" t="n">
        <x:v>33.99</x:v>
      </x:c>
      <x:c r="N24" s="259" t="n">
        <x:v>0</x:v>
      </x:c>
      <x:c r="O24" s="259" t="n">
        <x:v>0</x:v>
      </x:c>
      <x:c r="P24" s="260">
        <x:f>ROUND(((K24*M24) - (K24*M24*N24/100)) + (((K24*M24) - (K24*M24*N24/100)) * O24/100), 2)</x:f>
      </x:c>
      <x:c r="Q24" s="261" t="s"/>
      <x:c r="R24" s="261" t="s"/>
      <x:c r="S24" s="81" t="s">
        <x:v>60</x:v>
      </x:c>
      <x:c r="T24" s="209" t="s"/>
      <x:c r="U24" s="210" t="s"/>
    </x:row>
    <x:row r="25" spans="1:23" x14ac:dyDescent="0.25">
      <x:c r="A25" s="76" t="n">
        <x:v>5</x:v>
      </x:c>
      <x:c r="B25" s="76" t="n">
        <x:v>99990008656634</x:v>
      </x:c>
      <x:c r="C25" s="77" t="n">
        <x:v>871808</x:v>
      </x:c>
      <x:c r="D25" s="78" t="s">
        <x:v>62</x:v>
      </x:c>
      <x:c r="E25" s="79" t="s"/>
      <x:c r="F25" s="77" t="s"/>
      <x:c r="G25" s="92" t="n">
        <x:v>0</x:v>
      </x:c>
      <x:c r="H25" s="77" t="s">
        <x:v>59</x:v>
      </x:c>
      <x:c r="I25" s="77" t="s"/>
      <x:c r="J25" s="79" t="n">
        <x:v>51.55</x:v>
      </x:c>
      <x:c r="K25" s="256" t="n">
        <x:v>6</x:v>
      </x:c>
      <x:c r="L25" s="257" t="s"/>
      <x:c r="M25" s="258" t="n">
        <x:v>51.55</x:v>
      </x:c>
      <x:c r="N25" s="259" t="n">
        <x:v>0</x:v>
      </x:c>
      <x:c r="O25" s="259" t="n">
        <x:v>0</x:v>
      </x:c>
      <x:c r="P25" s="260">
        <x:f>ROUND(((K25*M25) - (K25*M25*N25/100)) + (((K25*M25) - (K25*M25*N25/100)) * O25/100), 2)</x:f>
      </x:c>
      <x:c r="Q25" s="261" t="s"/>
      <x:c r="R25" s="261" t="s"/>
      <x:c r="S25" s="81" t="s">
        <x:v>63</x:v>
      </x:c>
      <x:c r="T25" s="209" t="s"/>
      <x:c r="U25" s="210" t="s"/>
    </x:row>
    <x:row r="26" spans="1:23" x14ac:dyDescent="0.25">
      <x:c r="A26" s="76" t="n">
        <x:v>6</x:v>
      </x:c>
      <x:c r="B26" s="76" t="n">
        <x:v>99990011921608</x:v>
      </x:c>
      <x:c r="C26" s="77" t="s">
        <x:v>64</x:v>
      </x:c>
      <x:c r="D26" s="78" t="s">
        <x:v>65</x:v>
      </x:c>
      <x:c r="E26" s="79" t="s"/>
      <x:c r="F26" s="77" t="s"/>
      <x:c r="G26" s="92" t="n">
        <x:v>0</x:v>
      </x:c>
      <x:c r="H26" s="80" t="s">
        <x:v>56</x:v>
      </x:c>
      <x:c r="I26" s="80" t="s"/>
      <x:c r="J26" s="79" t="n">
        <x:v>0</x:v>
      </x:c>
      <x:c r="K26" s="256" t="n">
        <x:v>30</x:v>
      </x:c>
      <x:c r="L26" s="257" t="s"/>
      <x:c r="M26" s="258" t="n">
        <x:v>0</x:v>
      </x:c>
      <x:c r="N26" s="259" t="n">
        <x:v>0</x:v>
      </x:c>
      <x:c r="O26" s="259" t="n">
        <x:v>0</x:v>
      </x:c>
      <x:c r="P26" s="260">
        <x:f>ROUND(((K26*M26) - (K26*M26*N26/100)) + (((K26*M26) - (K26*M26*N26/100)) * O26/100), 2)</x:f>
      </x:c>
      <x:c r="Q26" s="261" t="s"/>
      <x:c r="R26" s="261" t="s"/>
      <x:c r="S26" s="81" t="s"/>
      <x:c r="T26" s="209" t="s"/>
      <x:c r="U26" s="210" t="s"/>
    </x:row>
    <x:row r="27" spans="1:23" x14ac:dyDescent="0.25">
      <x:c r="A27" s="76" t="n">
        <x:v>7</x:v>
      </x:c>
      <x:c r="B27" s="76" t="n">
        <x:v>99990011921598</x:v>
      </x:c>
      <x:c r="C27" s="77" t="s">
        <x:v>66</x:v>
      </x:c>
      <x:c r="D27" s="78" t="s">
        <x:v>67</x:v>
      </x:c>
      <x:c r="E27" s="79" t="s"/>
      <x:c r="F27" s="77" t="s"/>
      <x:c r="G27" s="92" t="n">
        <x:v>0</x:v>
      </x:c>
      <x:c r="H27" s="80" t="s">
        <x:v>56</x:v>
      </x:c>
      <x:c r="I27" s="80" t="s"/>
      <x:c r="J27" s="79" t="n">
        <x:v>0</x:v>
      </x:c>
      <x:c r="K27" s="256" t="n">
        <x:v>100</x:v>
      </x:c>
      <x:c r="L27" s="257" t="s"/>
      <x:c r="M27" s="258" t="n">
        <x:v>0</x:v>
      </x:c>
      <x:c r="N27" s="259" t="n">
        <x:v>0</x:v>
      </x:c>
      <x:c r="O27" s="259" t="n">
        <x:v>0</x:v>
      </x:c>
      <x:c r="P27" s="260">
        <x:f>ROUND(((K27*M27) - (K27*M27*N27/100)) + (((K27*M27) - (K27*M27*N27/100)) * O27/100), 2)</x:f>
      </x:c>
      <x:c r="Q27" s="261" t="s"/>
      <x:c r="R27" s="261" t="s"/>
      <x:c r="S27" s="81" t="s"/>
      <x:c r="T27" s="209" t="s"/>
      <x:c r="U27" s="210" t="s"/>
    </x:row>
    <x:row r="28" spans="1:23" x14ac:dyDescent="0.25">
      <x:c r="A28" s="76" t="n">
        <x:v>8</x:v>
      </x:c>
      <x:c r="B28" s="76" t="n">
        <x:v>99990008211401</x:v>
      </x:c>
      <x:c r="C28" s="77" t="n">
        <x:v>795384</x:v>
      </x:c>
      <x:c r="D28" s="78" t="s">
        <x:v>68</x:v>
      </x:c>
      <x:c r="E28" s="79" t="s"/>
      <x:c r="F28" s="77" t="s"/>
      <x:c r="G28" s="92" t="n">
        <x:v>0</x:v>
      </x:c>
      <x:c r="H28" s="80" t="s">
        <x:v>69</x:v>
      </x:c>
      <x:c r="I28" s="80" t="s"/>
      <x:c r="J28" s="79" t="n">
        <x:v>0</x:v>
      </x:c>
      <x:c r="K28" s="256" t="n">
        <x:v>1</x:v>
      </x:c>
      <x:c r="L28" s="257" t="s"/>
      <x:c r="M28" s="258" t="n">
        <x:v>0</x:v>
      </x:c>
      <x:c r="N28" s="259" t="n">
        <x:v>0</x:v>
      </x:c>
      <x:c r="O28" s="259" t="n">
        <x:v>0</x:v>
      </x:c>
      <x:c r="P28" s="260">
        <x:f>ROUND(((K28*M28) - (K28*M28*N28/100)) + (((K28*M28) - (K28*M28*N28/100)) * O28/100), 2)</x:f>
      </x:c>
      <x:c r="Q28" s="261" t="s"/>
      <x:c r="R28" s="261" t="s"/>
      <x:c r="S28" s="81" t="s"/>
      <x:c r="T28" s="209" t="s"/>
      <x:c r="U28" s="210" t="s"/>
    </x:row>
    <x:row r="29" spans="1:23" x14ac:dyDescent="0.25">
      <x:c r="A29" s="76" t="n">
        <x:v>9</x:v>
      </x:c>
      <x:c r="B29" s="76" t="n">
        <x:v>99990011921594</x:v>
      </x:c>
      <x:c r="C29" s="77" t="s">
        <x:v>70</x:v>
      </x:c>
      <x:c r="D29" s="78" t="s">
        <x:v>71</x:v>
      </x:c>
      <x:c r="E29" s="79" t="s"/>
      <x:c r="F29" s="77" t="s"/>
      <x:c r="G29" s="92" t="n">
        <x:v>0</x:v>
      </x:c>
      <x:c r="H29" s="80" t="s">
        <x:v>56</x:v>
      </x:c>
      <x:c r="I29" s="80" t="s"/>
      <x:c r="J29" s="79" t="n">
        <x:v>0</x:v>
      </x:c>
      <x:c r="K29" s="256" t="n">
        <x:v>100</x:v>
      </x:c>
      <x:c r="L29" s="257" t="s"/>
      <x:c r="M29" s="258" t="n">
        <x:v>0</x:v>
      </x:c>
      <x:c r="N29" s="259" t="n">
        <x:v>0</x:v>
      </x:c>
      <x:c r="O29" s="259" t="n">
        <x:v>0</x:v>
      </x:c>
      <x:c r="P29" s="260">
        <x:f>ROUND(((K29*M29) - (K29*M29*N29/100)) + (((K29*M29) - (K29*M29*N29/100)) * O29/100), 2)</x:f>
      </x:c>
      <x:c r="Q29" s="261" t="s"/>
      <x:c r="R29" s="261" t="s"/>
      <x:c r="S29" s="81" t="s"/>
      <x:c r="T29" s="209" t="s"/>
      <x:c r="U29" s="210" t="s"/>
    </x:row>
    <x:row r="30" spans="1:23" x14ac:dyDescent="0.25">
      <x:c r="A30" s="76" t="n">
        <x:v>10</x:v>
      </x:c>
      <x:c r="B30" s="76" t="n">
        <x:v>99990011921602</x:v>
      </x:c>
      <x:c r="C30" s="77" t="s">
        <x:v>72</x:v>
      </x:c>
      <x:c r="D30" s="78" t="s">
        <x:v>73</x:v>
      </x:c>
      <x:c r="E30" s="79" t="s"/>
      <x:c r="F30" s="77" t="s"/>
      <x:c r="G30" s="92" t="n">
        <x:v>0</x:v>
      </x:c>
      <x:c r="H30" s="80" t="s">
        <x:v>56</x:v>
      </x:c>
      <x:c r="I30" s="80" t="s"/>
      <x:c r="J30" s="79" t="n">
        <x:v>0</x:v>
      </x:c>
      <x:c r="K30" s="256" t="n">
        <x:v>100</x:v>
      </x:c>
      <x:c r="L30" s="257" t="s"/>
      <x:c r="M30" s="258" t="n">
        <x:v>0</x:v>
      </x:c>
      <x:c r="N30" s="259" t="n">
        <x:v>0</x:v>
      </x:c>
      <x:c r="O30" s="259" t="n">
        <x:v>0</x:v>
      </x:c>
      <x:c r="P30" s="260">
        <x:f>ROUND(((K30*M30) - (K30*M30*N30/100)) + (((K30*M30) - (K30*M30*N30/100)) * O30/100), 2)</x:f>
      </x:c>
      <x:c r="Q30" s="261" t="s"/>
      <x:c r="R30" s="261" t="s"/>
      <x:c r="S30" s="81" t="s"/>
      <x:c r="T30" s="209" t="s"/>
      <x:c r="U30" s="210" t="s"/>
    </x:row>
    <x:row r="31" spans="1:23" x14ac:dyDescent="0.25">
      <x:c r="A31" s="76" t="n">
        <x:v>11</x:v>
      </x:c>
      <x:c r="B31" s="76" t="n">
        <x:v>99990011921593</x:v>
      </x:c>
      <x:c r="C31" s="77" t="s">
        <x:v>74</x:v>
      </x:c>
      <x:c r="D31" s="78" t="s">
        <x:v>75</x:v>
      </x:c>
      <x:c r="E31" s="79" t="s"/>
      <x:c r="F31" s="77" t="s"/>
      <x:c r="G31" s="92" t="n">
        <x:v>0</x:v>
      </x:c>
      <x:c r="H31" s="80" t="s">
        <x:v>56</x:v>
      </x:c>
      <x:c r="I31" s="80" t="s"/>
      <x:c r="J31" s="79" t="n">
        <x:v>0</x:v>
      </x:c>
      <x:c r="K31" s="256" t="n">
        <x:v>100</x:v>
      </x:c>
      <x:c r="L31" s="257" t="s"/>
      <x:c r="M31" s="258" t="n">
        <x:v>0</x:v>
      </x:c>
      <x:c r="N31" s="259" t="n">
        <x:v>0</x:v>
      </x:c>
      <x:c r="O31" s="259" t="n">
        <x:v>0</x:v>
      </x:c>
      <x:c r="P31" s="260">
        <x:f>ROUND(((K31*M31) - (K31*M31*N31/100)) + (((K31*M31) - (K31*M31*N31/100)) * O31/100), 2)</x:f>
      </x:c>
      <x:c r="Q31" s="261" t="s"/>
      <x:c r="R31" s="261" t="s"/>
      <x:c r="S31" s="81" t="s"/>
      <x:c r="T31" s="209" t="s"/>
      <x:c r="U31" s="210" t="s"/>
    </x:row>
    <x:row r="32" spans="1:23" x14ac:dyDescent="0.25">
      <x:c r="A32" s="76" t="n">
        <x:v>12</x:v>
      </x:c>
      <x:c r="B32" s="76" t="n">
        <x:v>99990011920130</x:v>
      </x:c>
      <x:c r="C32" s="77" t="s">
        <x:v>76</x:v>
      </x:c>
      <x:c r="D32" s="78" t="s">
        <x:v>77</x:v>
      </x:c>
      <x:c r="E32" s="79" t="s"/>
      <x:c r="F32" s="77" t="s"/>
      <x:c r="G32" s="92" t="n">
        <x:v>0</x:v>
      </x:c>
      <x:c r="H32" s="80" t="s">
        <x:v>56</x:v>
      </x:c>
      <x:c r="I32" s="80" t="s"/>
      <x:c r="J32" s="79" t="n">
        <x:v>0</x:v>
      </x:c>
      <x:c r="K32" s="256" t="n">
        <x:v>2</x:v>
      </x:c>
      <x:c r="L32" s="257" t="s"/>
      <x:c r="M32" s="258" t="n">
        <x:v>0</x:v>
      </x:c>
      <x:c r="N32" s="259" t="n">
        <x:v>0</x:v>
      </x:c>
      <x:c r="O32" s="259" t="n">
        <x:v>0</x:v>
      </x:c>
      <x:c r="P32" s="260">
        <x:f>ROUND(((K32*M32) - (K32*M32*N32/100)) + (((K32*M32) - (K32*M32*N32/100)) * O32/100), 2)</x:f>
      </x:c>
      <x:c r="Q32" s="261" t="s"/>
      <x:c r="R32" s="261" t="s"/>
      <x:c r="S32" s="81" t="s"/>
      <x:c r="T32" s="209" t="s"/>
      <x:c r="U32" s="210" t="s"/>
    </x:row>
    <x:row r="33" spans="1:23" x14ac:dyDescent="0.25">
      <x:c r="A33" s="76" t="n">
        <x:v>13</x:v>
      </x:c>
      <x:c r="B33" s="76" t="n">
        <x:v>99990011922607</x:v>
      </x:c>
      <x:c r="C33" s="77" t="s">
        <x:v>78</x:v>
      </x:c>
      <x:c r="D33" s="78" t="s">
        <x:v>79</x:v>
      </x:c>
      <x:c r="E33" s="79" t="s"/>
      <x:c r="F33" s="77" t="s"/>
      <x:c r="G33" s="92" t="n">
        <x:v>0</x:v>
      </x:c>
      <x:c r="H33" s="80" t="s">
        <x:v>56</x:v>
      </x:c>
      <x:c r="I33" s="80" t="s"/>
      <x:c r="J33" s="79" t="n">
        <x:v>0</x:v>
      </x:c>
      <x:c r="K33" s="256" t="n">
        <x:v>1</x:v>
      </x:c>
      <x:c r="L33" s="257" t="s"/>
      <x:c r="M33" s="258" t="n">
        <x:v>0</x:v>
      </x:c>
      <x:c r="N33" s="259" t="n">
        <x:v>0</x:v>
      </x:c>
      <x:c r="O33" s="259" t="n">
        <x:v>0</x:v>
      </x:c>
      <x:c r="P33" s="260">
        <x:f>ROUND(((K33*M33) - (K33*M33*N33/100)) + (((K33*M33) - (K33*M33*N33/100)) * O33/100), 2)</x:f>
      </x:c>
      <x:c r="Q33" s="261" t="s"/>
      <x:c r="R33" s="261" t="s"/>
      <x:c r="S33" s="81" t="s"/>
      <x:c r="T33" s="209" t="s"/>
      <x:c r="U33" s="210" t="s"/>
    </x:row>
    <x:row r="34" spans="1:23" x14ac:dyDescent="0.25">
      <x:c r="A34" s="76" t="n">
        <x:v>14</x:v>
      </x:c>
      <x:c r="B34" s="76" t="n">
        <x:v>99990011922683</x:v>
      </x:c>
      <x:c r="C34" s="77" t="s">
        <x:v>80</x:v>
      </x:c>
      <x:c r="D34" s="78" t="s">
        <x:v>81</x:v>
      </x:c>
      <x:c r="E34" s="79" t="s"/>
      <x:c r="F34" s="77" t="s"/>
      <x:c r="G34" s="92" t="n">
        <x:v>0</x:v>
      </x:c>
      <x:c r="H34" s="80" t="s">
        <x:v>56</x:v>
      </x:c>
      <x:c r="I34" s="80" t="s"/>
      <x:c r="J34" s="79" t="n">
        <x:v>0</x:v>
      </x:c>
      <x:c r="K34" s="256" t="n">
        <x:v>1</x:v>
      </x:c>
      <x:c r="L34" s="257" t="s"/>
      <x:c r="M34" s="258" t="n">
        <x:v>0</x:v>
      </x:c>
      <x:c r="N34" s="259" t="n">
        <x:v>0</x:v>
      </x:c>
      <x:c r="O34" s="259" t="n">
        <x:v>0</x:v>
      </x:c>
      <x:c r="P34" s="260">
        <x:f>ROUND(((K34*M34) - (K34*M34*N34/100)) + (((K34*M34) - (K34*M34*N34/100)) * O34/100), 2)</x:f>
      </x:c>
      <x:c r="Q34" s="261" t="s"/>
      <x:c r="R34" s="261" t="s"/>
      <x:c r="S34" s="81" t="s"/>
      <x:c r="T34" s="209" t="s"/>
      <x:c r="U34" s="210" t="s"/>
    </x:row>
    <x:row r="35" spans="1:23" x14ac:dyDescent="0.25">
      <x:c r="A35" s="76" t="n">
        <x:v>15</x:v>
      </x:c>
      <x:c r="B35" s="76" t="n">
        <x:v>99990011922684</x:v>
      </x:c>
      <x:c r="C35" s="77" t="s">
        <x:v>82</x:v>
      </x:c>
      <x:c r="D35" s="78" t="s">
        <x:v>83</x:v>
      </x:c>
      <x:c r="E35" s="79" t="s"/>
      <x:c r="F35" s="77" t="s"/>
      <x:c r="G35" s="92" t="n">
        <x:v>0</x:v>
      </x:c>
      <x:c r="H35" s="80" t="s">
        <x:v>56</x:v>
      </x:c>
      <x:c r="I35" s="80" t="s"/>
      <x:c r="J35" s="79" t="n">
        <x:v>0</x:v>
      </x:c>
      <x:c r="K35" s="256" t="n">
        <x:v>1</x:v>
      </x:c>
      <x:c r="L35" s="257" t="s"/>
      <x:c r="M35" s="258" t="n">
        <x:v>0</x:v>
      </x:c>
      <x:c r="N35" s="259" t="n">
        <x:v>0</x:v>
      </x:c>
      <x:c r="O35" s="259" t="n">
        <x:v>0</x:v>
      </x:c>
      <x:c r="P35" s="260">
        <x:f>ROUND(((K35*M35) - (K35*M35*N35/100)) + (((K35*M35) - (K35*M35*N35/100)) * O35/100), 2)</x:f>
      </x:c>
      <x:c r="Q35" s="261" t="s"/>
      <x:c r="R35" s="261" t="s"/>
      <x:c r="S35" s="81" t="s"/>
      <x:c r="T35" s="209" t="s"/>
      <x:c r="U35" s="210" t="s"/>
    </x:row>
    <x:row r="36" spans="1:23" x14ac:dyDescent="0.25">
      <x:c r="A36" s="76" t="n">
        <x:v>16</x:v>
      </x:c>
      <x:c r="B36" s="76" t="n">
        <x:v>99990011922682</x:v>
      </x:c>
      <x:c r="C36" s="77" t="s">
        <x:v>84</x:v>
      </x:c>
      <x:c r="D36" s="78" t="s">
        <x:v>85</x:v>
      </x:c>
      <x:c r="E36" s="79" t="s"/>
      <x:c r="F36" s="77" t="s"/>
      <x:c r="G36" s="92" t="n">
        <x:v>0</x:v>
      </x:c>
      <x:c r="H36" s="80" t="s">
        <x:v>56</x:v>
      </x:c>
      <x:c r="I36" s="80" t="s"/>
      <x:c r="J36" s="79" t="n">
        <x:v>0</x:v>
      </x:c>
      <x:c r="K36" s="256" t="n">
        <x:v>1</x:v>
      </x:c>
      <x:c r="L36" s="257" t="s"/>
      <x:c r="M36" s="258" t="n">
        <x:v>0</x:v>
      </x:c>
      <x:c r="N36" s="259" t="n">
        <x:v>0</x:v>
      </x:c>
      <x:c r="O36" s="259" t="n">
        <x:v>0</x:v>
      </x:c>
      <x:c r="P36" s="260">
        <x:f>ROUND(((K36*M36) - (K36*M36*N36/100)) + (((K36*M36) - (K36*M36*N36/100)) * O36/100), 2)</x:f>
      </x:c>
      <x:c r="Q36" s="261" t="s"/>
      <x:c r="R36" s="261" t="s"/>
      <x:c r="S36" s="81" t="s"/>
      <x:c r="T36" s="209" t="s"/>
      <x:c r="U36" s="210" t="s"/>
    </x:row>
    <x:row r="37" spans="1:23" x14ac:dyDescent="0.25">
      <x:c r="A37" s="76" t="n">
        <x:v>17</x:v>
      </x:c>
      <x:c r="B37" s="76" t="n">
        <x:v>99990011922639</x:v>
      </x:c>
      <x:c r="C37" s="77" t="s">
        <x:v>86</x:v>
      </x:c>
      <x:c r="D37" s="78" t="s">
        <x:v>87</x:v>
      </x:c>
      <x:c r="E37" s="79" t="s"/>
      <x:c r="F37" s="77" t="s"/>
      <x:c r="G37" s="92" t="n">
        <x:v>0</x:v>
      </x:c>
      <x:c r="H37" s="80" t="s">
        <x:v>56</x:v>
      </x:c>
      <x:c r="I37" s="80" t="s"/>
      <x:c r="J37" s="79" t="n">
        <x:v>0</x:v>
      </x:c>
      <x:c r="K37" s="256" t="n">
        <x:v>1</x:v>
      </x:c>
      <x:c r="L37" s="257" t="s"/>
      <x:c r="M37" s="258" t="n">
        <x:v>0</x:v>
      </x:c>
      <x:c r="N37" s="259" t="n">
        <x:v>0</x:v>
      </x:c>
      <x:c r="O37" s="259" t="n">
        <x:v>0</x:v>
      </x:c>
      <x:c r="P37" s="260">
        <x:f>ROUND(((K37*M37) - (K37*M37*N37/100)) + (((K37*M37) - (K37*M37*N37/100)) * O37/100), 2)</x:f>
      </x:c>
      <x:c r="Q37" s="261" t="s"/>
      <x:c r="R37" s="261" t="s"/>
      <x:c r="S37" s="81" t="s"/>
      <x:c r="T37" s="209" t="s"/>
      <x:c r="U37" s="210" t="s"/>
    </x:row>
    <x:row r="38" spans="1:23" x14ac:dyDescent="0.25">
      <x:c r="A38" s="76" t="n">
        <x:v>18</x:v>
      </x:c>
      <x:c r="B38" s="76" t="n">
        <x:v>99990011922644</x:v>
      </x:c>
      <x:c r="C38" s="77" t="s">
        <x:v>88</x:v>
      </x:c>
      <x:c r="D38" s="78" t="s">
        <x:v>89</x:v>
      </x:c>
      <x:c r="E38" s="79" t="s"/>
      <x:c r="F38" s="77" t="s"/>
      <x:c r="G38" s="92" t="n">
        <x:v>0</x:v>
      </x:c>
      <x:c r="H38" s="80" t="s">
        <x:v>56</x:v>
      </x:c>
      <x:c r="I38" s="80" t="s"/>
      <x:c r="J38" s="79" t="n">
        <x:v>0</x:v>
      </x:c>
      <x:c r="K38" s="256" t="n">
        <x:v>1</x:v>
      </x:c>
      <x:c r="L38" s="257" t="s"/>
      <x:c r="M38" s="258" t="n">
        <x:v>0</x:v>
      </x:c>
      <x:c r="N38" s="259" t="n">
        <x:v>0</x:v>
      </x:c>
      <x:c r="O38" s="259" t="n">
        <x:v>0</x:v>
      </x:c>
      <x:c r="P38" s="260">
        <x:f>ROUND(((K38*M38) - (K38*M38*N38/100)) + (((K38*M38) - (K38*M38*N38/100)) * O38/100), 2)</x:f>
      </x:c>
      <x:c r="Q38" s="261" t="s"/>
      <x:c r="R38" s="261" t="s"/>
      <x:c r="S38" s="81" t="s"/>
      <x:c r="T38" s="209" t="s"/>
      <x:c r="U38" s="210" t="s"/>
    </x:row>
    <x:row r="39" spans="1:23" x14ac:dyDescent="0.25">
      <x:c r="A39" s="76" t="n">
        <x:v>19</x:v>
      </x:c>
      <x:c r="B39" s="76" t="n">
        <x:v>99990011922629</x:v>
      </x:c>
      <x:c r="C39" s="77" t="s">
        <x:v>90</x:v>
      </x:c>
      <x:c r="D39" s="78" t="s">
        <x:v>91</x:v>
      </x:c>
      <x:c r="E39" s="79" t="s"/>
      <x:c r="F39" s="77" t="s"/>
      <x:c r="G39" s="92" t="n">
        <x:v>0</x:v>
      </x:c>
      <x:c r="H39" s="80" t="s">
        <x:v>56</x:v>
      </x:c>
      <x:c r="I39" s="80" t="s"/>
      <x:c r="J39" s="79" t="n">
        <x:v>0</x:v>
      </x:c>
      <x:c r="K39" s="256" t="n">
        <x:v>1</x:v>
      </x:c>
      <x:c r="L39" s="257" t="s"/>
      <x:c r="M39" s="258" t="n">
        <x:v>0</x:v>
      </x:c>
      <x:c r="N39" s="259" t="n">
        <x:v>0</x:v>
      </x:c>
      <x:c r="O39" s="259" t="n">
        <x:v>0</x:v>
      </x:c>
      <x:c r="P39" s="260">
        <x:f>ROUND(((K39*M39) - (K39*M39*N39/100)) + (((K39*M39) - (K39*M39*N39/100)) * O39/100), 2)</x:f>
      </x:c>
      <x:c r="Q39" s="261" t="s"/>
      <x:c r="R39" s="261" t="s"/>
      <x:c r="S39" s="81" t="s"/>
      <x:c r="T39" s="209" t="s"/>
      <x:c r="U39" s="210" t="s"/>
    </x:row>
    <x:row r="40" spans="1:23" x14ac:dyDescent="0.25">
      <x:c r="A40" s="76" t="n">
        <x:v>20</x:v>
      </x:c>
      <x:c r="B40" s="76" t="n">
        <x:v>99990011922627</x:v>
      </x:c>
      <x:c r="C40" s="77" t="s">
        <x:v>92</x:v>
      </x:c>
      <x:c r="D40" s="78" t="s">
        <x:v>93</x:v>
      </x:c>
      <x:c r="E40" s="79" t="s"/>
      <x:c r="F40" s="77" t="s"/>
      <x:c r="G40" s="92" t="n">
        <x:v>0</x:v>
      </x:c>
      <x:c r="H40" s="80" t="s">
        <x:v>56</x:v>
      </x:c>
      <x:c r="I40" s="80" t="s"/>
      <x:c r="J40" s="79" t="n">
        <x:v>0</x:v>
      </x:c>
      <x:c r="K40" s="256" t="n">
        <x:v>1</x:v>
      </x:c>
      <x:c r="L40" s="257" t="s"/>
      <x:c r="M40" s="258" t="n">
        <x:v>0</x:v>
      </x:c>
      <x:c r="N40" s="259" t="n">
        <x:v>0</x:v>
      </x:c>
      <x:c r="O40" s="259" t="n">
        <x:v>0</x:v>
      </x:c>
      <x:c r="P40" s="260">
        <x:f>ROUND(((K40*M40) - (K40*M40*N40/100)) + (((K40*M40) - (K40*M40*N40/100)) * O40/100), 2)</x:f>
      </x:c>
      <x:c r="Q40" s="261" t="s"/>
      <x:c r="R40" s="261" t="s"/>
      <x:c r="S40" s="81" t="s"/>
      <x:c r="T40" s="209" t="s"/>
      <x:c r="U40" s="210" t="s"/>
    </x:row>
    <x:row r="41" spans="1:23" x14ac:dyDescent="0.25">
      <x:c r="A41" s="76" t="n">
        <x:v>21</x:v>
      </x:c>
      <x:c r="B41" s="76" t="n">
        <x:v>99990011922907</x:v>
      </x:c>
      <x:c r="C41" s="77" t="s">
        <x:v>94</x:v>
      </x:c>
      <x:c r="D41" s="78" t="s">
        <x:v>95</x:v>
      </x:c>
      <x:c r="E41" s="79" t="s"/>
      <x:c r="F41" s="77" t="s"/>
      <x:c r="G41" s="92" t="n">
        <x:v>0</x:v>
      </x:c>
      <x:c r="H41" s="80" t="s">
        <x:v>56</x:v>
      </x:c>
      <x:c r="I41" s="80" t="s"/>
      <x:c r="J41" s="79" t="n">
        <x:v>0</x:v>
      </x:c>
      <x:c r="K41" s="256" t="n">
        <x:v>10</x:v>
      </x:c>
      <x:c r="L41" s="257" t="s"/>
      <x:c r="M41" s="258" t="n">
        <x:v>0</x:v>
      </x:c>
      <x:c r="N41" s="259" t="n">
        <x:v>0</x:v>
      </x:c>
      <x:c r="O41" s="259" t="n">
        <x:v>0</x:v>
      </x:c>
      <x:c r="P41" s="260">
        <x:f>ROUND(((K41*M41) - (K41*M41*N41/100)) + (((K41*M41) - (K41*M41*N41/100)) * O41/100), 2)</x:f>
      </x:c>
      <x:c r="Q41" s="261" t="s"/>
      <x:c r="R41" s="261" t="s"/>
      <x:c r="S41" s="81" t="s"/>
      <x:c r="T41" s="209" t="s"/>
      <x:c r="U41" s="210" t="s"/>
    </x:row>
    <x:row r="42" spans="1:23" x14ac:dyDescent="0.25">
      <x:c r="A42" s="76" t="n">
        <x:v>22</x:v>
      </x:c>
      <x:c r="B42" s="76" t="n">
        <x:v>99990011922908</x:v>
      </x:c>
      <x:c r="C42" s="77" t="s">
        <x:v>96</x:v>
      </x:c>
      <x:c r="D42" s="78" t="s">
        <x:v>97</x:v>
      </x:c>
      <x:c r="E42" s="79" t="s"/>
      <x:c r="F42" s="77" t="s"/>
      <x:c r="G42" s="92" t="n">
        <x:v>0</x:v>
      </x:c>
      <x:c r="H42" s="80" t="s">
        <x:v>56</x:v>
      </x:c>
      <x:c r="I42" s="80" t="s"/>
      <x:c r="J42" s="79" t="n">
        <x:v>0</x:v>
      </x:c>
      <x:c r="K42" s="256" t="n">
        <x:v>10</x:v>
      </x:c>
      <x:c r="L42" s="257" t="s"/>
      <x:c r="M42" s="258" t="n">
        <x:v>0</x:v>
      </x:c>
      <x:c r="N42" s="259" t="n">
        <x:v>0</x:v>
      </x:c>
      <x:c r="O42" s="259" t="n">
        <x:v>0</x:v>
      </x:c>
      <x:c r="P42" s="260">
        <x:f>ROUND(((K42*M42) - (K42*M42*N42/100)) + (((K42*M42) - (K42*M42*N42/100)) * O42/100), 2)</x:f>
      </x:c>
      <x:c r="Q42" s="261" t="s"/>
      <x:c r="R42" s="261" t="s"/>
      <x:c r="S42" s="81" t="s"/>
      <x:c r="T42" s="209" t="s"/>
      <x:c r="U42" s="210" t="s"/>
    </x:row>
    <x:row r="43" spans="1:23" x14ac:dyDescent="0.25">
      <x:c r="A43" s="76" t="n">
        <x:v>23</x:v>
      </x:c>
      <x:c r="B43" s="76" t="n">
        <x:v>99990011922376</x:v>
      </x:c>
      <x:c r="C43" s="77" t="s">
        <x:v>98</x:v>
      </x:c>
      <x:c r="D43" s="78" t="s">
        <x:v>99</x:v>
      </x:c>
      <x:c r="E43" s="79" t="s"/>
      <x:c r="F43" s="77" t="s"/>
      <x:c r="G43" s="92" t="n">
        <x:v>0</x:v>
      </x:c>
      <x:c r="H43" s="80" t="s">
        <x:v>56</x:v>
      </x:c>
      <x:c r="I43" s="80" t="s"/>
      <x:c r="J43" s="79" t="n">
        <x:v>0</x:v>
      </x:c>
      <x:c r="K43" s="256" t="n">
        <x:v>20</x:v>
      </x:c>
      <x:c r="L43" s="257" t="s"/>
      <x:c r="M43" s="258" t="n">
        <x:v>0</x:v>
      </x:c>
      <x:c r="N43" s="259" t="n">
        <x:v>0</x:v>
      </x:c>
      <x:c r="O43" s="259" t="n">
        <x:v>0</x:v>
      </x:c>
      <x:c r="P43" s="260">
        <x:f>ROUND(((K43*M43) - (K43*M43*N43/100)) + (((K43*M43) - (K43*M43*N43/100)) * O43/100), 2)</x:f>
      </x:c>
      <x:c r="Q43" s="261" t="s"/>
      <x:c r="R43" s="261" t="s"/>
      <x:c r="S43" s="81" t="s"/>
      <x:c r="T43" s="209" t="s"/>
      <x:c r="U43" s="210" t="s"/>
    </x:row>
    <x:row r="44" spans="1:23" x14ac:dyDescent="0.25">
      <x:c r="A44" s="76" t="n">
        <x:v>24</x:v>
      </x:c>
      <x:c r="B44" s="76" t="n">
        <x:v>99990011922378</x:v>
      </x:c>
      <x:c r="C44" s="77" t="s">
        <x:v>100</x:v>
      </x:c>
      <x:c r="D44" s="78" t="s">
        <x:v>101</x:v>
      </x:c>
      <x:c r="E44" s="79" t="s"/>
      <x:c r="F44" s="77" t="s"/>
      <x:c r="G44" s="92" t="n">
        <x:v>0</x:v>
      </x:c>
      <x:c r="H44" s="80" t="s">
        <x:v>56</x:v>
      </x:c>
      <x:c r="I44" s="80" t="s"/>
      <x:c r="J44" s="79" t="n">
        <x:v>0</x:v>
      </x:c>
      <x:c r="K44" s="256" t="n">
        <x:v>20</x:v>
      </x:c>
      <x:c r="L44" s="257" t="s"/>
      <x:c r="M44" s="258" t="n">
        <x:v>0</x:v>
      </x:c>
      <x:c r="N44" s="259" t="n">
        <x:v>0</x:v>
      </x:c>
      <x:c r="O44" s="259" t="n">
        <x:v>0</x:v>
      </x:c>
      <x:c r="P44" s="260">
        <x:f>ROUND(((K44*M44) - (K44*M44*N44/100)) + (((K44*M44) - (K44*M44*N44/100)) * O44/100), 2)</x:f>
      </x:c>
      <x:c r="Q44" s="261" t="s"/>
      <x:c r="R44" s="261" t="s"/>
      <x:c r="S44" s="81" t="s"/>
      <x:c r="T44" s="209" t="s"/>
      <x:c r="U44" s="210" t="s"/>
    </x:row>
    <x:row r="45" spans="1:23" x14ac:dyDescent="0.25">
      <x:c r="A45" s="76" t="n">
        <x:v>25</x:v>
      </x:c>
      <x:c r="B45" s="76" t="n">
        <x:v>99990011922380</x:v>
      </x:c>
      <x:c r="C45" s="77" t="s">
        <x:v>102</x:v>
      </x:c>
      <x:c r="D45" s="78" t="s">
        <x:v>103</x:v>
      </x:c>
      <x:c r="E45" s="79" t="s"/>
      <x:c r="F45" s="77" t="s"/>
      <x:c r="G45" s="92" t="n">
        <x:v>0</x:v>
      </x:c>
      <x:c r="H45" s="80" t="s">
        <x:v>56</x:v>
      </x:c>
      <x:c r="I45" s="80" t="s"/>
      <x:c r="J45" s="79" t="n">
        <x:v>0</x:v>
      </x:c>
      <x:c r="K45" s="256" t="n">
        <x:v>20</x:v>
      </x:c>
      <x:c r="L45" s="257" t="s"/>
      <x:c r="M45" s="258" t="n">
        <x:v>0</x:v>
      </x:c>
      <x:c r="N45" s="259" t="n">
        <x:v>0</x:v>
      </x:c>
      <x:c r="O45" s="259" t="n">
        <x:v>0</x:v>
      </x:c>
      <x:c r="P45" s="260">
        <x:f>ROUND(((K45*M45) - (K45*M45*N45/100)) + (((K45*M45) - (K45*M45*N45/100)) * O45/100), 2)</x:f>
      </x:c>
      <x:c r="Q45" s="261" t="s"/>
      <x:c r="R45" s="261" t="s"/>
      <x:c r="S45" s="81" t="s"/>
      <x:c r="T45" s="209" t="s"/>
      <x:c r="U45" s="210" t="s"/>
    </x:row>
    <x:row r="46" spans="1:23" x14ac:dyDescent="0.25">
      <x:c r="A46" s="76" t="n">
        <x:v>26</x:v>
      </x:c>
      <x:c r="B46" s="76" t="n">
        <x:v>99990011922382</x:v>
      </x:c>
      <x:c r="C46" s="77" t="s">
        <x:v>104</x:v>
      </x:c>
      <x:c r="D46" s="78" t="s">
        <x:v>105</x:v>
      </x:c>
      <x:c r="E46" s="79" t="s"/>
      <x:c r="F46" s="77" t="s"/>
      <x:c r="G46" s="92" t="n">
        <x:v>0</x:v>
      </x:c>
      <x:c r="H46" s="80" t="s">
        <x:v>56</x:v>
      </x:c>
      <x:c r="I46" s="80" t="s"/>
      <x:c r="J46" s="79" t="n">
        <x:v>0</x:v>
      </x:c>
      <x:c r="K46" s="256" t="n">
        <x:v>20</x:v>
      </x:c>
      <x:c r="L46" s="257" t="s"/>
      <x:c r="M46" s="258" t="n">
        <x:v>0</x:v>
      </x:c>
      <x:c r="N46" s="259" t="n">
        <x:v>0</x:v>
      </x:c>
      <x:c r="O46" s="259" t="n">
        <x:v>0</x:v>
      </x:c>
      <x:c r="P46" s="260">
        <x:f>ROUND(((K46*M46) - (K46*M46*N46/100)) + (((K46*M46) - (K46*M46*N46/100)) * O46/100), 2)</x:f>
      </x:c>
      <x:c r="Q46" s="261" t="s"/>
      <x:c r="R46" s="261" t="s"/>
      <x:c r="S46" s="81" t="s"/>
      <x:c r="T46" s="209" t="s"/>
      <x:c r="U46" s="210" t="s"/>
    </x:row>
    <x:row r="47" spans="1:23" x14ac:dyDescent="0.25">
      <x:c r="A47" s="76" t="n">
        <x:v>27</x:v>
      </x:c>
      <x:c r="B47" s="76" t="n">
        <x:v>99990011922374</x:v>
      </x:c>
      <x:c r="C47" s="77" t="s">
        <x:v>106</x:v>
      </x:c>
      <x:c r="D47" s="78" t="s">
        <x:v>107</x:v>
      </x:c>
      <x:c r="E47" s="79" t="s"/>
      <x:c r="F47" s="77" t="s"/>
      <x:c r="G47" s="92" t="n">
        <x:v>0</x:v>
      </x:c>
      <x:c r="H47" s="80" t="s">
        <x:v>56</x:v>
      </x:c>
      <x:c r="I47" s="80" t="s"/>
      <x:c r="J47" s="79" t="n">
        <x:v>0</x:v>
      </x:c>
      <x:c r="K47" s="256" t="n">
        <x:v>20</x:v>
      </x:c>
      <x:c r="L47" s="257" t="s"/>
      <x:c r="M47" s="258" t="n">
        <x:v>0</x:v>
      </x:c>
      <x:c r="N47" s="259" t="n">
        <x:v>0</x:v>
      </x:c>
      <x:c r="O47" s="259" t="n">
        <x:v>0</x:v>
      </x:c>
      <x:c r="P47" s="260">
        <x:f>ROUND(((K47*M47) - (K47*M47*N47/100)) + (((K47*M47) - (K47*M47*N47/100)) * O47/100), 2)</x:f>
      </x:c>
      <x:c r="Q47" s="261" t="s"/>
      <x:c r="R47" s="261" t="s"/>
      <x:c r="S47" s="81" t="s"/>
      <x:c r="T47" s="209" t="s"/>
      <x:c r="U47" s="210" t="s"/>
    </x:row>
    <x:row r="48" spans="1:23" x14ac:dyDescent="0.25">
      <x:c r="A48" s="76" t="n">
        <x:v>28</x:v>
      </x:c>
      <x:c r="B48" s="76" t="n">
        <x:v>99990013780037</x:v>
      </x:c>
      <x:c r="C48" s="77" t="s">
        <x:v>108</x:v>
      </x:c>
      <x:c r="D48" s="78" t="s">
        <x:v>109</x:v>
      </x:c>
      <x:c r="E48" s="79" t="s"/>
      <x:c r="F48" s="77" t="s"/>
      <x:c r="G48" s="92" t="n">
        <x:v>0</x:v>
      </x:c>
      <x:c r="H48" s="80" t="s">
        <x:v>110</x:v>
      </x:c>
      <x:c r="I48" s="80" t="s"/>
      <x:c r="J48" s="79" t="n">
        <x:v>0</x:v>
      </x:c>
      <x:c r="K48" s="256" t="n">
        <x:v>1</x:v>
      </x:c>
      <x:c r="L48" s="257" t="s"/>
      <x:c r="M48" s="258" t="n">
        <x:v>0</x:v>
      </x:c>
      <x:c r="N48" s="259" t="n">
        <x:v>0</x:v>
      </x:c>
      <x:c r="O48" s="259" t="n">
        <x:v>0</x:v>
      </x:c>
      <x:c r="P48" s="260">
        <x:f>ROUND(((K48*M48) - (K48*M48*N48/100)) + (((K48*M48) - (K48*M48*N48/100)) * O48/100), 2)</x:f>
      </x:c>
      <x:c r="Q48" s="261" t="s"/>
      <x:c r="R48" s="261" t="s"/>
      <x:c r="S48" s="81" t="s"/>
      <x:c r="T48" s="209" t="s"/>
      <x:c r="U48" s="210" t="s"/>
    </x:row>
    <x:row r="49" spans="1:23" x14ac:dyDescent="0.25">
      <x:c r="A49" s="76" t="n">
        <x:v>29</x:v>
      </x:c>
      <x:c r="B49" s="76" t="n">
        <x:v>99990011921582</x:v>
      </x:c>
      <x:c r="C49" s="77" t="s">
        <x:v>111</x:v>
      </x:c>
      <x:c r="D49" s="78" t="s">
        <x:v>112</x:v>
      </x:c>
      <x:c r="E49" s="79" t="s"/>
      <x:c r="F49" s="77" t="s"/>
      <x:c r="G49" s="92" t="n">
        <x:v>0</x:v>
      </x:c>
      <x:c r="H49" s="80" t="s">
        <x:v>56</x:v>
      </x:c>
      <x:c r="I49" s="80" t="s"/>
      <x:c r="J49" s="79" t="n">
        <x:v>0</x:v>
      </x:c>
      <x:c r="K49" s="256" t="n">
        <x:v>1</x:v>
      </x:c>
      <x:c r="L49" s="257" t="s"/>
      <x:c r="M49" s="258" t="n">
        <x:v>0</x:v>
      </x:c>
      <x:c r="N49" s="259" t="n">
        <x:v>0</x:v>
      </x:c>
      <x:c r="O49" s="259" t="n">
        <x:v>0</x:v>
      </x:c>
      <x:c r="P49" s="260">
        <x:f>ROUND(((K49*M49) - (K49*M49*N49/100)) + (((K49*M49) - (K49*M49*N49/100)) * O49/100), 2)</x:f>
      </x:c>
      <x:c r="Q49" s="261" t="s"/>
      <x:c r="R49" s="261" t="s"/>
      <x:c r="S49" s="81" t="s"/>
      <x:c r="T49" s="209" t="s"/>
      <x:c r="U49" s="210" t="s"/>
    </x:row>
    <x:row r="50" spans="1:23" x14ac:dyDescent="0.25">
      <x:c r="A50" s="76" t="n">
        <x:v>30</x:v>
      </x:c>
      <x:c r="B50" s="76" t="n">
        <x:v>99990011922080</x:v>
      </x:c>
      <x:c r="C50" s="77" t="s">
        <x:v>113</x:v>
      </x:c>
      <x:c r="D50" s="78" t="s">
        <x:v>114</x:v>
      </x:c>
      <x:c r="E50" s="79" t="s"/>
      <x:c r="F50" s="77" t="s"/>
      <x:c r="G50" s="92" t="n">
        <x:v>0</x:v>
      </x:c>
      <x:c r="H50" s="80" t="s">
        <x:v>56</x:v>
      </x:c>
      <x:c r="I50" s="80" t="s"/>
      <x:c r="J50" s="79" t="n">
        <x:v>0</x:v>
      </x:c>
      <x:c r="K50" s="256" t="n">
        <x:v>1</x:v>
      </x:c>
      <x:c r="L50" s="257" t="s"/>
      <x:c r="M50" s="258" t="n">
        <x:v>0</x:v>
      </x:c>
      <x:c r="N50" s="259" t="n">
        <x:v>0</x:v>
      </x:c>
      <x:c r="O50" s="259" t="n">
        <x:v>0</x:v>
      </x:c>
      <x:c r="P50" s="260">
        <x:f>ROUND(((K50*M50) - (K50*M50*N50/100)) + (((K50*M50) - (K50*M50*N50/100)) * O50/100), 2)</x:f>
      </x:c>
      <x:c r="Q50" s="261" t="s"/>
      <x:c r="R50" s="261" t="s"/>
      <x:c r="S50" s="81" t="s"/>
      <x:c r="T50" s="209" t="s"/>
      <x:c r="U50" s="210" t="s"/>
    </x:row>
    <x:row r="51" spans="1:23" x14ac:dyDescent="0.25">
      <x:c r="A51" s="76" t="n">
        <x:v>31</x:v>
      </x:c>
      <x:c r="B51" s="76" t="n">
        <x:v>99990011922067</x:v>
      </x:c>
      <x:c r="C51" s="77" t="s">
        <x:v>115</x:v>
      </x:c>
      <x:c r="D51" s="78" t="s">
        <x:v>116</x:v>
      </x:c>
      <x:c r="E51" s="79" t="s"/>
      <x:c r="F51" s="77" t="s"/>
      <x:c r="G51" s="92" t="n">
        <x:v>0</x:v>
      </x:c>
      <x:c r="H51" s="80" t="s">
        <x:v>56</x:v>
      </x:c>
      <x:c r="I51" s="80" t="s"/>
      <x:c r="J51" s="79" t="n">
        <x:v>0</x:v>
      </x:c>
      <x:c r="K51" s="256" t="n">
        <x:v>2</x:v>
      </x:c>
      <x:c r="L51" s="257" t="s"/>
      <x:c r="M51" s="258" t="n">
        <x:v>0</x:v>
      </x:c>
      <x:c r="N51" s="259" t="n">
        <x:v>0</x:v>
      </x:c>
      <x:c r="O51" s="259" t="n">
        <x:v>0</x:v>
      </x:c>
      <x:c r="P51" s="260">
        <x:f>ROUND(((K51*M51) - (K51*M51*N51/100)) + (((K51*M51) - (K51*M51*N51/100)) * O51/100), 2)</x:f>
      </x:c>
      <x:c r="Q51" s="261" t="s"/>
      <x:c r="R51" s="261" t="s"/>
      <x:c r="S51" s="81" t="s"/>
      <x:c r="T51" s="209" t="s"/>
      <x:c r="U51" s="210" t="s"/>
    </x:row>
    <x:row r="52" spans="1:23" x14ac:dyDescent="0.25">
      <x:c r="A52" s="76" t="n">
        <x:v>32</x:v>
      </x:c>
      <x:c r="B52" s="76" t="n">
        <x:v>99990011922900</x:v>
      </x:c>
      <x:c r="C52" s="77" t="s">
        <x:v>117</x:v>
      </x:c>
      <x:c r="D52" s="78" t="s">
        <x:v>118</x:v>
      </x:c>
      <x:c r="E52" s="79" t="s"/>
      <x:c r="F52" s="77" t="s"/>
      <x:c r="G52" s="92" t="n">
        <x:v>0</x:v>
      </x:c>
      <x:c r="H52" s="80" t="s">
        <x:v>56</x:v>
      </x:c>
      <x:c r="I52" s="80" t="s"/>
      <x:c r="J52" s="79" t="n">
        <x:v>0</x:v>
      </x:c>
      <x:c r="K52" s="256" t="n">
        <x:v>10</x:v>
      </x:c>
      <x:c r="L52" s="257" t="s"/>
      <x:c r="M52" s="258" t="n">
        <x:v>0</x:v>
      </x:c>
      <x:c r="N52" s="259" t="n">
        <x:v>0</x:v>
      </x:c>
      <x:c r="O52" s="259" t="n">
        <x:v>0</x:v>
      </x:c>
      <x:c r="P52" s="260">
        <x:f>ROUND(((K52*M52) - (K52*M52*N52/100)) + (((K52*M52) - (K52*M52*N52/100)) * O52/100), 2)</x:f>
      </x:c>
      <x:c r="Q52" s="261" t="s"/>
      <x:c r="R52" s="261" t="s"/>
      <x:c r="S52" s="81" t="s"/>
      <x:c r="T52" s="209" t="s"/>
      <x:c r="U52" s="210" t="s"/>
    </x:row>
    <x:row r="53" spans="1:23" x14ac:dyDescent="0.25">
      <x:c r="A53" s="76" t="n">
        <x:v>33</x:v>
      </x:c>
      <x:c r="B53" s="76" t="n">
        <x:v>99990011922901</x:v>
      </x:c>
      <x:c r="C53" s="77" t="s">
        <x:v>119</x:v>
      </x:c>
      <x:c r="D53" s="78" t="s">
        <x:v>120</x:v>
      </x:c>
      <x:c r="E53" s="79" t="s"/>
      <x:c r="F53" s="77" t="s"/>
      <x:c r="G53" s="92" t="n">
        <x:v>0</x:v>
      </x:c>
      <x:c r="H53" s="80" t="s">
        <x:v>56</x:v>
      </x:c>
      <x:c r="I53" s="80" t="s"/>
      <x:c r="J53" s="79" t="n">
        <x:v>0</x:v>
      </x:c>
      <x:c r="K53" s="256" t="n">
        <x:v>10</x:v>
      </x:c>
      <x:c r="L53" s="257" t="s"/>
      <x:c r="M53" s="258" t="n">
        <x:v>0</x:v>
      </x:c>
      <x:c r="N53" s="259" t="n">
        <x:v>0</x:v>
      </x:c>
      <x:c r="O53" s="259" t="n">
        <x:v>0</x:v>
      </x:c>
      <x:c r="P53" s="260">
        <x:f>ROUND(((K53*M53) - (K53*M53*N53/100)) + (((K53*M53) - (K53*M53*N53/100)) * O53/100), 2)</x:f>
      </x:c>
      <x:c r="Q53" s="261" t="s"/>
      <x:c r="R53" s="261" t="s"/>
      <x:c r="S53" s="81" t="s"/>
      <x:c r="T53" s="209" t="s"/>
      <x:c r="U53" s="210" t="s"/>
    </x:row>
    <x:row r="54" spans="1:23" x14ac:dyDescent="0.25">
      <x:c r="A54" s="76" t="n">
        <x:v>34</x:v>
      </x:c>
      <x:c r="B54" s="76" t="n">
        <x:v>99990011921566</x:v>
      </x:c>
      <x:c r="C54" s="77" t="s">
        <x:v>121</x:v>
      </x:c>
      <x:c r="D54" s="78" t="s">
        <x:v>122</x:v>
      </x:c>
      <x:c r="E54" s="79" t="s"/>
      <x:c r="F54" s="77" t="s"/>
      <x:c r="G54" s="92" t="n">
        <x:v>0</x:v>
      </x:c>
      <x:c r="H54" s="80" t="s">
        <x:v>56</x:v>
      </x:c>
      <x:c r="I54" s="80" t="s"/>
      <x:c r="J54" s="79" t="n">
        <x:v>0</x:v>
      </x:c>
      <x:c r="K54" s="256" t="n">
        <x:v>1</x:v>
      </x:c>
      <x:c r="L54" s="257" t="s"/>
      <x:c r="M54" s="258" t="n">
        <x:v>0</x:v>
      </x:c>
      <x:c r="N54" s="259" t="n">
        <x:v>0</x:v>
      </x:c>
      <x:c r="O54" s="259" t="n">
        <x:v>0</x:v>
      </x:c>
      <x:c r="P54" s="260">
        <x:f>ROUND(((K54*M54) - (K54*M54*N54/100)) + (((K54*M54) - (K54*M54*N54/100)) * O54/100), 2)</x:f>
      </x:c>
      <x:c r="Q54" s="261" t="s"/>
      <x:c r="R54" s="261" t="s"/>
      <x:c r="S54" s="81" t="s"/>
      <x:c r="T54" s="209" t="s"/>
      <x:c r="U54" s="210" t="s"/>
    </x:row>
    <x:row r="55" spans="1:23" x14ac:dyDescent="0.25">
      <x:c r="A55" s="76" t="n">
        <x:v>35</x:v>
      </x:c>
      <x:c r="B55" s="76" t="n">
        <x:v>99990011920099</x:v>
      </x:c>
      <x:c r="C55" s="77" t="s">
        <x:v>123</x:v>
      </x:c>
      <x:c r="D55" s="78" t="s">
        <x:v>124</x:v>
      </x:c>
      <x:c r="E55" s="79" t="s"/>
      <x:c r="F55" s="77" t="s"/>
      <x:c r="G55" s="92" t="n">
        <x:v>0</x:v>
      </x:c>
      <x:c r="H55" s="80" t="s">
        <x:v>56</x:v>
      </x:c>
      <x:c r="I55" s="80" t="s"/>
      <x:c r="J55" s="79" t="n">
        <x:v>0</x:v>
      </x:c>
      <x:c r="K55" s="256" t="n">
        <x:v>1</x:v>
      </x:c>
      <x:c r="L55" s="257" t="s"/>
      <x:c r="M55" s="258" t="n">
        <x:v>0</x:v>
      </x:c>
      <x:c r="N55" s="259" t="n">
        <x:v>0</x:v>
      </x:c>
      <x:c r="O55" s="259" t="n">
        <x:v>0</x:v>
      </x:c>
      <x:c r="P55" s="260">
        <x:f>ROUND(((K55*M55) - (K55*M55*N55/100)) + (((K55*M55) - (K55*M55*N55/100)) * O55/100), 2)</x:f>
      </x:c>
      <x:c r="Q55" s="261" t="s"/>
      <x:c r="R55" s="261" t="s"/>
      <x:c r="S55" s="81" t="s"/>
      <x:c r="T55" s="209" t="s"/>
      <x:c r="U55" s="210" t="s"/>
    </x:row>
    <x:row r="56" spans="1:23" x14ac:dyDescent="0.25">
      <x:c r="A56" s="76" t="n">
        <x:v>36</x:v>
      </x:c>
      <x:c r="B56" s="76" t="n">
        <x:v>99990011919896</x:v>
      </x:c>
      <x:c r="C56" s="77" t="s">
        <x:v>125</x:v>
      </x:c>
      <x:c r="D56" s="78" t="s">
        <x:v>126</x:v>
      </x:c>
      <x:c r="E56" s="79" t="s"/>
      <x:c r="F56" s="77" t="s"/>
      <x:c r="G56" s="92" t="n">
        <x:v>0</x:v>
      </x:c>
      <x:c r="H56" s="80" t="s">
        <x:v>56</x:v>
      </x:c>
      <x:c r="I56" s="80" t="s"/>
      <x:c r="J56" s="79" t="n">
        <x:v>0</x:v>
      </x:c>
      <x:c r="K56" s="256" t="n">
        <x:v>4</x:v>
      </x:c>
      <x:c r="L56" s="257" t="s"/>
      <x:c r="M56" s="258" t="n">
        <x:v>0</x:v>
      </x:c>
      <x:c r="N56" s="259" t="n">
        <x:v>0</x:v>
      </x:c>
      <x:c r="O56" s="259" t="n">
        <x:v>0</x:v>
      </x:c>
      <x:c r="P56" s="260">
        <x:f>ROUND(((K56*M56) - (K56*M56*N56/100)) + (((K56*M56) - (K56*M56*N56/100)) * O56/100), 2)</x:f>
      </x:c>
      <x:c r="Q56" s="261" t="s"/>
      <x:c r="R56" s="261" t="s"/>
      <x:c r="S56" s="81" t="s"/>
      <x:c r="T56" s="209" t="s"/>
      <x:c r="U56" s="210" t="s"/>
    </x:row>
    <x:row r="57" spans="1:23" x14ac:dyDescent="0.25">
      <x:c r="A57" s="76" t="n">
        <x:v>37</x:v>
      </x:c>
      <x:c r="B57" s="76" t="n">
        <x:v>99990011921186</x:v>
      </x:c>
      <x:c r="C57" s="77" t="s">
        <x:v>127</x:v>
      </x:c>
      <x:c r="D57" s="78" t="s">
        <x:v>128</x:v>
      </x:c>
      <x:c r="E57" s="79" t="s"/>
      <x:c r="F57" s="77" t="s"/>
      <x:c r="G57" s="92" t="n">
        <x:v>0</x:v>
      </x:c>
      <x:c r="H57" s="80" t="s">
        <x:v>56</x:v>
      </x:c>
      <x:c r="I57" s="80" t="s"/>
      <x:c r="J57" s="79" t="n">
        <x:v>0</x:v>
      </x:c>
      <x:c r="K57" s="256" t="n">
        <x:v>2</x:v>
      </x:c>
      <x:c r="L57" s="257" t="s"/>
      <x:c r="M57" s="258" t="n">
        <x:v>0</x:v>
      </x:c>
      <x:c r="N57" s="259" t="n">
        <x:v>0</x:v>
      </x:c>
      <x:c r="O57" s="259" t="n">
        <x:v>0</x:v>
      </x:c>
      <x:c r="P57" s="260">
        <x:f>ROUND(((K57*M57) - (K57*M57*N57/100)) + (((K57*M57) - (K57*M57*N57/100)) * O57/100), 2)</x:f>
      </x:c>
      <x:c r="Q57" s="261" t="s"/>
      <x:c r="R57" s="261" t="s"/>
      <x:c r="S57" s="81" t="s"/>
      <x:c r="T57" s="209" t="s"/>
      <x:c r="U57" s="210" t="s"/>
    </x:row>
    <x:row r="58" spans="1:23" x14ac:dyDescent="0.25">
      <x:c r="A58" s="76" t="n">
        <x:v>38</x:v>
      </x:c>
      <x:c r="B58" s="76" t="n">
        <x:v>99990011921190</x:v>
      </x:c>
      <x:c r="C58" s="77" t="s">
        <x:v>129</x:v>
      </x:c>
      <x:c r="D58" s="78" t="s">
        <x:v>130</x:v>
      </x:c>
      <x:c r="E58" s="79" t="s"/>
      <x:c r="F58" s="77" t="s"/>
      <x:c r="G58" s="92" t="n">
        <x:v>0</x:v>
      </x:c>
      <x:c r="H58" s="80" t="s">
        <x:v>56</x:v>
      </x:c>
      <x:c r="I58" s="80" t="s"/>
      <x:c r="J58" s="79" t="n">
        <x:v>0</x:v>
      </x:c>
      <x:c r="K58" s="256" t="n">
        <x:v>10</x:v>
      </x:c>
      <x:c r="L58" s="257" t="s"/>
      <x:c r="M58" s="258" t="n">
        <x:v>0</x:v>
      </x:c>
      <x:c r="N58" s="259" t="n">
        <x:v>0</x:v>
      </x:c>
      <x:c r="O58" s="259" t="n">
        <x:v>0</x:v>
      </x:c>
      <x:c r="P58" s="260">
        <x:f>ROUND(((K58*M58) - (K58*M58*N58/100)) + (((K58*M58) - (K58*M58*N58/100)) * O58/100), 2)</x:f>
      </x:c>
      <x:c r="Q58" s="261" t="s"/>
      <x:c r="R58" s="261" t="s"/>
      <x:c r="S58" s="81" t="s"/>
      <x:c r="T58" s="209" t="s"/>
      <x:c r="U58" s="210" t="s"/>
    </x:row>
    <x:row r="59" spans="1:23">
      <x:c r="A59" s="76" t="n">
        <x:v>39</x:v>
      </x:c>
      <x:c r="B59" s="76" t="n">
        <x:v>99990011920064</x:v>
      </x:c>
      <x:c r="C59" s="77" t="s">
        <x:v>131</x:v>
      </x:c>
      <x:c r="D59" s="78" t="s">
        <x:v>132</x:v>
      </x:c>
      <x:c r="E59" s="79" t="s"/>
      <x:c r="F59" s="77" t="s"/>
      <x:c r="G59" s="92" t="n">
        <x:v>0</x:v>
      </x:c>
      <x:c r="H59" s="80" t="s">
        <x:v>56</x:v>
      </x:c>
      <x:c r="I59" s="80" t="s"/>
      <x:c r="J59" s="79" t="n">
        <x:v>0</x:v>
      </x:c>
      <x:c r="K59" s="256" t="n">
        <x:v>1</x:v>
      </x:c>
      <x:c r="L59" s="257" t="s"/>
      <x:c r="M59" s="258" t="n">
        <x:v>0</x:v>
      </x:c>
      <x:c r="N59" s="259" t="n">
        <x:v>0</x:v>
      </x:c>
      <x:c r="O59" s="259" t="n">
        <x:v>0</x:v>
      </x:c>
      <x:c r="P59" s="260">
        <x:f>ROUND(((K59*M59) - (K59*M59*N59/100)) + (((K59*M59) - (K59*M59*N59/100)) * O59/100), 2)</x:f>
      </x:c>
      <x:c r="Q59" s="261" t="s"/>
      <x:c r="R59" s="261" t="s"/>
      <x:c r="S59" s="81" t="s"/>
      <x:c r="T59" s="209" t="s"/>
      <x:c r="U59" s="210" t="s"/>
    </x:row>
    <x:row r="60" spans="1:23">
      <x:c r="A60" s="76" t="n">
        <x:v>40</x:v>
      </x:c>
      <x:c r="B60" s="76" t="n">
        <x:v>99990011921103</x:v>
      </x:c>
      <x:c r="C60" s="77" t="s">
        <x:v>133</x:v>
      </x:c>
      <x:c r="D60" s="78" t="s">
        <x:v>134</x:v>
      </x:c>
      <x:c r="E60" s="79" t="s"/>
      <x:c r="F60" s="77" t="s"/>
      <x:c r="G60" s="92" t="n">
        <x:v>0</x:v>
      </x:c>
      <x:c r="H60" s="80" t="s">
        <x:v>56</x:v>
      </x:c>
      <x:c r="I60" s="80" t="s"/>
      <x:c r="J60" s="79" t="n">
        <x:v>0</x:v>
      </x:c>
      <x:c r="K60" s="256" t="n">
        <x:v>10</x:v>
      </x:c>
      <x:c r="L60" s="257" t="s"/>
      <x:c r="M60" s="258" t="n">
        <x:v>0</x:v>
      </x:c>
      <x:c r="N60" s="259" t="n">
        <x:v>0</x:v>
      </x:c>
      <x:c r="O60" s="259" t="n">
        <x:v>0</x:v>
      </x:c>
      <x:c r="P60" s="260">
        <x:f>ROUND(((K60*M60) - (K60*M60*N60/100)) + (((K60*M60) - (K60*M60*N60/100)) * O60/100), 2)</x:f>
      </x:c>
      <x:c r="Q60" s="261" t="s"/>
      <x:c r="R60" s="261" t="s"/>
      <x:c r="S60" s="81" t="s"/>
      <x:c r="T60" s="209" t="s"/>
      <x:c r="U60" s="210" t="s"/>
    </x:row>
    <x:row r="61" spans="1:23">
      <x:c r="A61" s="76" t="n">
        <x:v>41</x:v>
      </x:c>
      <x:c r="B61" s="76" t="n">
        <x:v>99990011921082</x:v>
      </x:c>
      <x:c r="C61" s="77" t="s">
        <x:v>135</x:v>
      </x:c>
      <x:c r="D61" s="78" t="s">
        <x:v>136</x:v>
      </x:c>
      <x:c r="E61" s="79" t="s"/>
      <x:c r="F61" s="77" t="s"/>
      <x:c r="G61" s="92" t="n">
        <x:v>0</x:v>
      </x:c>
      <x:c r="H61" s="80" t="s">
        <x:v>56</x:v>
      </x:c>
      <x:c r="I61" s="80" t="s"/>
      <x:c r="J61" s="79" t="n">
        <x:v>0</x:v>
      </x:c>
      <x:c r="K61" s="256" t="n">
        <x:v>1</x:v>
      </x:c>
      <x:c r="L61" s="257" t="s"/>
      <x:c r="M61" s="258" t="n">
        <x:v>0</x:v>
      </x:c>
      <x:c r="N61" s="259" t="n">
        <x:v>0</x:v>
      </x:c>
      <x:c r="O61" s="259" t="n">
        <x:v>0</x:v>
      </x:c>
      <x:c r="P61" s="260">
        <x:f>ROUND(((K61*M61) - (K61*M61*N61/100)) + (((K61*M61) - (K61*M61*N61/100)) * O61/100), 2)</x:f>
      </x:c>
      <x:c r="Q61" s="261" t="s"/>
      <x:c r="R61" s="261" t="s"/>
      <x:c r="S61" s="81" t="s"/>
      <x:c r="T61" s="209" t="s"/>
      <x:c r="U61" s="210" t="s"/>
    </x:row>
    <x:row r="62" spans="1:23">
      <x:c r="A62" s="76" t="n">
        <x:v>42</x:v>
      </x:c>
      <x:c r="B62" s="76" t="n">
        <x:v>99990011921030</x:v>
      </x:c>
      <x:c r="C62" s="77" t="s">
        <x:v>137</x:v>
      </x:c>
      <x:c r="D62" s="78" t="s">
        <x:v>138</x:v>
      </x:c>
      <x:c r="E62" s="79" t="s"/>
      <x:c r="F62" s="77" t="s"/>
      <x:c r="G62" s="92" t="n">
        <x:v>0</x:v>
      </x:c>
      <x:c r="H62" s="80" t="s">
        <x:v>56</x:v>
      </x:c>
      <x:c r="I62" s="80" t="s"/>
      <x:c r="J62" s="79" t="n">
        <x:v>0</x:v>
      </x:c>
      <x:c r="K62" s="256" t="n">
        <x:v>50</x:v>
      </x:c>
      <x:c r="L62" s="257" t="s"/>
      <x:c r="M62" s="258" t="n">
        <x:v>0</x:v>
      </x:c>
      <x:c r="N62" s="259" t="n">
        <x:v>0</x:v>
      </x:c>
      <x:c r="O62" s="259" t="n">
        <x:v>0</x:v>
      </x:c>
      <x:c r="P62" s="260">
        <x:f>ROUND(((K62*M62) - (K62*M62*N62/100)) + (((K62*M62) - (K62*M62*N62/100)) * O62/100), 2)</x:f>
      </x:c>
      <x:c r="Q62" s="261" t="s"/>
      <x:c r="R62" s="261" t="s"/>
      <x:c r="S62" s="81" t="s"/>
      <x:c r="T62" s="209" t="s"/>
      <x:c r="U62" s="210" t="s"/>
    </x:row>
    <x:row r="63" spans="1:23">
      <x:c r="A63" s="76" t="n">
        <x:v>43</x:v>
      </x:c>
      <x:c r="B63" s="76" t="n">
        <x:v>99990011922876</x:v>
      </x:c>
      <x:c r="C63" s="77" t="s">
        <x:v>139</x:v>
      </x:c>
      <x:c r="D63" s="78" t="s">
        <x:v>140</x:v>
      </x:c>
      <x:c r="E63" s="79" t="s"/>
      <x:c r="F63" s="77" t="s"/>
      <x:c r="G63" s="92" t="n">
        <x:v>0</x:v>
      </x:c>
      <x:c r="H63" s="80" t="s">
        <x:v>56</x:v>
      </x:c>
      <x:c r="I63" s="80" t="s"/>
      <x:c r="J63" s="79" t="n">
        <x:v>0</x:v>
      </x:c>
      <x:c r="K63" s="256" t="n">
        <x:v>10</x:v>
      </x:c>
      <x:c r="L63" s="257" t="s"/>
      <x:c r="M63" s="258" t="n">
        <x:v>0</x:v>
      </x:c>
      <x:c r="N63" s="259" t="n">
        <x:v>0</x:v>
      </x:c>
      <x:c r="O63" s="259" t="n">
        <x:v>0</x:v>
      </x:c>
      <x:c r="P63" s="260">
        <x:f>ROUND(((K63*M63) - (K63*M63*N63/100)) + (((K63*M63) - (K63*M63*N63/100)) * O63/100), 2)</x:f>
      </x:c>
      <x:c r="Q63" s="261" t="s"/>
      <x:c r="R63" s="261" t="s"/>
      <x:c r="S63" s="81" t="s"/>
      <x:c r="T63" s="209" t="s"/>
      <x:c r="U63" s="210" t="s"/>
    </x:row>
    <x:row r="64" spans="1:23">
      <x:c r="A64" s="76" t="n">
        <x:v>44</x:v>
      </x:c>
      <x:c r="B64" s="76" t="n">
        <x:v>99990011922879</x:v>
      </x:c>
      <x:c r="C64" s="77" t="s">
        <x:v>141</x:v>
      </x:c>
      <x:c r="D64" s="78" t="s">
        <x:v>142</x:v>
      </x:c>
      <x:c r="E64" s="79" t="s"/>
      <x:c r="F64" s="77" t="s"/>
      <x:c r="G64" s="92" t="n">
        <x:v>0</x:v>
      </x:c>
      <x:c r="H64" s="80" t="s">
        <x:v>56</x:v>
      </x:c>
      <x:c r="I64" s="80" t="s"/>
      <x:c r="J64" s="79" t="n">
        <x:v>0</x:v>
      </x:c>
      <x:c r="K64" s="256" t="n">
        <x:v>5</x:v>
      </x:c>
      <x:c r="L64" s="257" t="s"/>
      <x:c r="M64" s="258" t="n">
        <x:v>0</x:v>
      </x:c>
      <x:c r="N64" s="259" t="n">
        <x:v>0</x:v>
      </x:c>
      <x:c r="O64" s="259" t="n">
        <x:v>0</x:v>
      </x:c>
      <x:c r="P64" s="260">
        <x:f>ROUND(((K64*M64) - (K64*M64*N64/100)) + (((K64*M64) - (K64*M64*N64/100)) * O64/100), 2)</x:f>
      </x:c>
      <x:c r="Q64" s="261" t="s"/>
      <x:c r="R64" s="261" t="s"/>
      <x:c r="S64" s="81" t="s"/>
      <x:c r="T64" s="209" t="s"/>
      <x:c r="U64" s="210" t="s"/>
    </x:row>
    <x:row r="65" spans="1:23">
      <x:c r="A65" s="76" t="n">
        <x:v>45</x:v>
      </x:c>
      <x:c r="B65" s="76" t="n">
        <x:v>99990011921367</x:v>
      </x:c>
      <x:c r="C65" s="77" t="s">
        <x:v>143</x:v>
      </x:c>
      <x:c r="D65" s="78" t="s">
        <x:v>144</x:v>
      </x:c>
      <x:c r="E65" s="79" t="s"/>
      <x:c r="F65" s="77" t="s"/>
      <x:c r="G65" s="92" t="n">
        <x:v>0</x:v>
      </x:c>
      <x:c r="H65" s="80" t="s">
        <x:v>56</x:v>
      </x:c>
      <x:c r="I65" s="80" t="s"/>
      <x:c r="J65" s="79" t="n">
        <x:v>0</x:v>
      </x:c>
      <x:c r="K65" s="256" t="n">
        <x:v>10</x:v>
      </x:c>
      <x:c r="L65" s="257" t="s"/>
      <x:c r="M65" s="258" t="n">
        <x:v>0</x:v>
      </x:c>
      <x:c r="N65" s="259" t="n">
        <x:v>0</x:v>
      </x:c>
      <x:c r="O65" s="259" t="n">
        <x:v>0</x:v>
      </x:c>
      <x:c r="P65" s="260">
        <x:f>ROUND(((K65*M65) - (K65*M65*N65/100)) + (((K65*M65) - (K65*M65*N65/100)) * O65/100), 2)</x:f>
      </x:c>
      <x:c r="Q65" s="261" t="s"/>
      <x:c r="R65" s="261" t="s"/>
      <x:c r="S65" s="81" t="s"/>
      <x:c r="T65" s="209" t="s"/>
      <x:c r="U65" s="210" t="s"/>
    </x:row>
    <x:row r="66" spans="1:23">
      <x:c r="A66" s="76" t="n">
        <x:v>46</x:v>
      </x:c>
      <x:c r="B66" s="76" t="n">
        <x:v>99990011921368</x:v>
      </x:c>
      <x:c r="C66" s="77" t="s">
        <x:v>145</x:v>
      </x:c>
      <x:c r="D66" s="78" t="s">
        <x:v>146</x:v>
      </x:c>
      <x:c r="E66" s="79" t="s"/>
      <x:c r="F66" s="77" t="s"/>
      <x:c r="G66" s="92" t="n">
        <x:v>0</x:v>
      </x:c>
      <x:c r="H66" s="80" t="s">
        <x:v>56</x:v>
      </x:c>
      <x:c r="I66" s="80" t="s"/>
      <x:c r="J66" s="79" t="n">
        <x:v>0</x:v>
      </x:c>
      <x:c r="K66" s="256" t="n">
        <x:v>10</x:v>
      </x:c>
      <x:c r="L66" s="257" t="s"/>
      <x:c r="M66" s="258" t="n">
        <x:v>0</x:v>
      </x:c>
      <x:c r="N66" s="259" t="n">
        <x:v>0</x:v>
      </x:c>
      <x:c r="O66" s="259" t="n">
        <x:v>0</x:v>
      </x:c>
      <x:c r="P66" s="260">
        <x:f>ROUND(((K66*M66) - (K66*M66*N66/100)) + (((K66*M66) - (K66*M66*N66/100)) * O66/100), 2)</x:f>
      </x:c>
      <x:c r="Q66" s="261" t="s"/>
      <x:c r="R66" s="261" t="s"/>
      <x:c r="S66" s="81" t="s"/>
      <x:c r="T66" s="209" t="s"/>
      <x:c r="U66" s="210" t="s"/>
    </x:row>
    <x:row r="67" spans="1:23">
      <x:c r="A67" s="76" t="n">
        <x:v>47</x:v>
      </x:c>
      <x:c r="B67" s="76" t="n">
        <x:v>99990011921369</x:v>
      </x:c>
      <x:c r="C67" s="77" t="s">
        <x:v>147</x:v>
      </x:c>
      <x:c r="D67" s="78" t="s">
        <x:v>148</x:v>
      </x:c>
      <x:c r="E67" s="79" t="s"/>
      <x:c r="F67" s="77" t="s"/>
      <x:c r="G67" s="92" t="n">
        <x:v>0</x:v>
      </x:c>
      <x:c r="H67" s="80" t="s">
        <x:v>56</x:v>
      </x:c>
      <x:c r="I67" s="80" t="s"/>
      <x:c r="J67" s="79" t="n">
        <x:v>0</x:v>
      </x:c>
      <x:c r="K67" s="256" t="n">
        <x:v>10</x:v>
      </x:c>
      <x:c r="L67" s="257" t="s"/>
      <x:c r="M67" s="258" t="n">
        <x:v>0</x:v>
      </x:c>
      <x:c r="N67" s="259" t="n">
        <x:v>0</x:v>
      </x:c>
      <x:c r="O67" s="259" t="n">
        <x:v>0</x:v>
      </x:c>
      <x:c r="P67" s="260">
        <x:f>ROUND(((K67*M67) - (K67*M67*N67/100)) + (((K67*M67) - (K67*M67*N67/100)) * O67/100), 2)</x:f>
      </x:c>
      <x:c r="Q67" s="261" t="s"/>
      <x:c r="R67" s="261" t="s"/>
      <x:c r="S67" s="81" t="s"/>
      <x:c r="T67" s="209" t="s"/>
      <x:c r="U67" s="210" t="s"/>
    </x:row>
    <x:row r="68" spans="1:23">
      <x:c r="A68" s="76" t="n">
        <x:v>48</x:v>
      </x:c>
      <x:c r="B68" s="76" t="n">
        <x:v>99990011921370</x:v>
      </x:c>
      <x:c r="C68" s="77" t="s">
        <x:v>149</x:v>
      </x:c>
      <x:c r="D68" s="78" t="s">
        <x:v>150</x:v>
      </x:c>
      <x:c r="E68" s="79" t="s"/>
      <x:c r="F68" s="77" t="s"/>
      <x:c r="G68" s="92" t="n">
        <x:v>0</x:v>
      </x:c>
      <x:c r="H68" s="80" t="s">
        <x:v>56</x:v>
      </x:c>
      <x:c r="I68" s="80" t="s"/>
      <x:c r="J68" s="79" t="n">
        <x:v>0</x:v>
      </x:c>
      <x:c r="K68" s="256" t="n">
        <x:v>10</x:v>
      </x:c>
      <x:c r="L68" s="257" t="s"/>
      <x:c r="M68" s="258" t="n">
        <x:v>0</x:v>
      </x:c>
      <x:c r="N68" s="259" t="n">
        <x:v>0</x:v>
      </x:c>
      <x:c r="O68" s="259" t="n">
        <x:v>0</x:v>
      </x:c>
      <x:c r="P68" s="260">
        <x:f>ROUND(((K68*M68) - (K68*M68*N68/100)) + (((K68*M68) - (K68*M68*N68/100)) * O68/100), 2)</x:f>
      </x:c>
      <x:c r="Q68" s="261" t="s"/>
      <x:c r="R68" s="261" t="s"/>
      <x:c r="S68" s="81" t="s"/>
      <x:c r="T68" s="209" t="s"/>
      <x:c r="U68" s="210" t="s"/>
    </x:row>
    <x:row r="69" spans="1:23">
      <x:c r="A69" s="76" t="n">
        <x:v>49</x:v>
      </x:c>
      <x:c r="B69" s="76" t="n">
        <x:v>99990011921375</x:v>
      </x:c>
      <x:c r="C69" s="77" t="s">
        <x:v>151</x:v>
      </x:c>
      <x:c r="D69" s="78" t="s">
        <x:v>152</x:v>
      </x:c>
      <x:c r="E69" s="79" t="s"/>
      <x:c r="F69" s="77" t="s"/>
      <x:c r="G69" s="92" t="n">
        <x:v>0</x:v>
      </x:c>
      <x:c r="H69" s="80" t="s">
        <x:v>56</x:v>
      </x:c>
      <x:c r="I69" s="80" t="s"/>
      <x:c r="J69" s="79" t="n">
        <x:v>0</x:v>
      </x:c>
      <x:c r="K69" s="256" t="n">
        <x:v>10</x:v>
      </x:c>
      <x:c r="L69" s="257" t="s"/>
      <x:c r="M69" s="258" t="n">
        <x:v>0</x:v>
      </x:c>
      <x:c r="N69" s="259" t="n">
        <x:v>0</x:v>
      </x:c>
      <x:c r="O69" s="259" t="n">
        <x:v>0</x:v>
      </x:c>
      <x:c r="P69" s="260">
        <x:f>ROUND(((K69*M69) - (K69*M69*N69/100)) + (((K69*M69) - (K69*M69*N69/100)) * O69/100), 2)</x:f>
      </x:c>
      <x:c r="Q69" s="261" t="s"/>
      <x:c r="R69" s="261" t="s"/>
      <x:c r="S69" s="81" t="s"/>
      <x:c r="T69" s="209" t="s"/>
      <x:c r="U69" s="210" t="s"/>
    </x:row>
    <x:row r="70" spans="1:23">
      <x:c r="A70" s="76" t="n">
        <x:v>50</x:v>
      </x:c>
      <x:c r="B70" s="76" t="n">
        <x:v>99990011921377</x:v>
      </x:c>
      <x:c r="C70" s="77" t="s">
        <x:v>153</x:v>
      </x:c>
      <x:c r="D70" s="78" t="s">
        <x:v>154</x:v>
      </x:c>
      <x:c r="E70" s="79" t="s"/>
      <x:c r="F70" s="77" t="s"/>
      <x:c r="G70" s="92" t="n">
        <x:v>0</x:v>
      </x:c>
      <x:c r="H70" s="80" t="s">
        <x:v>56</x:v>
      </x:c>
      <x:c r="I70" s="80" t="s"/>
      <x:c r="J70" s="79" t="n">
        <x:v>0</x:v>
      </x:c>
      <x:c r="K70" s="256" t="n">
        <x:v>10</x:v>
      </x:c>
      <x:c r="L70" s="257" t="s"/>
      <x:c r="M70" s="258" t="n">
        <x:v>0</x:v>
      </x:c>
      <x:c r="N70" s="259" t="n">
        <x:v>0</x:v>
      </x:c>
      <x:c r="O70" s="259" t="n">
        <x:v>0</x:v>
      </x:c>
      <x:c r="P70" s="260">
        <x:f>ROUND(((K70*M70) - (K70*M70*N70/100)) + (((K70*M70) - (K70*M70*N70/100)) * O70/100), 2)</x:f>
      </x:c>
      <x:c r="Q70" s="261" t="s"/>
      <x:c r="R70" s="261" t="s"/>
      <x:c r="S70" s="81" t="s"/>
      <x:c r="T70" s="209" t="s"/>
      <x:c r="U70" s="210" t="s"/>
    </x:row>
    <x:row r="71" spans="1:23">
      <x:c r="A71" s="76" t="n">
        <x:v>51</x:v>
      </x:c>
      <x:c r="B71" s="76" t="n">
        <x:v>99990011921260</x:v>
      </x:c>
      <x:c r="C71" s="77" t="s">
        <x:v>155</x:v>
      </x:c>
      <x:c r="D71" s="78" t="s">
        <x:v>156</x:v>
      </x:c>
      <x:c r="E71" s="79" t="s"/>
      <x:c r="F71" s="77" t="s"/>
      <x:c r="G71" s="92" t="n">
        <x:v>0</x:v>
      </x:c>
      <x:c r="H71" s="80" t="s">
        <x:v>56</x:v>
      </x:c>
      <x:c r="I71" s="80" t="s"/>
      <x:c r="J71" s="79" t="n">
        <x:v>0</x:v>
      </x:c>
      <x:c r="K71" s="256" t="n">
        <x:v>30</x:v>
      </x:c>
      <x:c r="L71" s="257" t="s"/>
      <x:c r="M71" s="258" t="n">
        <x:v>0</x:v>
      </x:c>
      <x:c r="N71" s="259" t="n">
        <x:v>0</x:v>
      </x:c>
      <x:c r="O71" s="259" t="n">
        <x:v>0</x:v>
      </x:c>
      <x:c r="P71" s="260">
        <x:f>ROUND(((K71*M71) - (K71*M71*N71/100)) + (((K71*M71) - (K71*M71*N71/100)) * O71/100), 2)</x:f>
      </x:c>
      <x:c r="Q71" s="261" t="s"/>
      <x:c r="R71" s="261" t="s"/>
      <x:c r="S71" s="81" t="s"/>
      <x:c r="T71" s="209" t="s"/>
      <x:c r="U71" s="210" t="s"/>
    </x:row>
    <x:row r="72" spans="1:23">
      <x:c r="A72" s="76" t="n">
        <x:v>52</x:v>
      </x:c>
      <x:c r="B72" s="76" t="n">
        <x:v>99990011921261</x:v>
      </x:c>
      <x:c r="C72" s="77" t="s">
        <x:v>157</x:v>
      </x:c>
      <x:c r="D72" s="78" t="s">
        <x:v>158</x:v>
      </x:c>
      <x:c r="E72" s="79" t="s"/>
      <x:c r="F72" s="77" t="s"/>
      <x:c r="G72" s="92" t="n">
        <x:v>0</x:v>
      </x:c>
      <x:c r="H72" s="80" t="s">
        <x:v>56</x:v>
      </x:c>
      <x:c r="I72" s="80" t="s"/>
      <x:c r="J72" s="79" t="n">
        <x:v>0</x:v>
      </x:c>
      <x:c r="K72" s="256" t="n">
        <x:v>30</x:v>
      </x:c>
      <x:c r="L72" s="257" t="s"/>
      <x:c r="M72" s="258" t="n">
        <x:v>0</x:v>
      </x:c>
      <x:c r="N72" s="259" t="n">
        <x:v>0</x:v>
      </x:c>
      <x:c r="O72" s="259" t="n">
        <x:v>0</x:v>
      </x:c>
      <x:c r="P72" s="260">
        <x:f>ROUND(((K72*M72) - (K72*M72*N72/100)) + (((K72*M72) - (K72*M72*N72/100)) * O72/100), 2)</x:f>
      </x:c>
      <x:c r="Q72" s="261" t="s"/>
      <x:c r="R72" s="261" t="s"/>
      <x:c r="S72" s="81" t="s"/>
      <x:c r="T72" s="209" t="s"/>
      <x:c r="U72" s="210" t="s"/>
    </x:row>
    <x:row r="73" spans="1:23">
      <x:c r="A73" s="76" t="n">
        <x:v>53</x:v>
      </x:c>
      <x:c r="B73" s="76" t="n">
        <x:v>99990011921245</x:v>
      </x:c>
      <x:c r="C73" s="77" t="s">
        <x:v>159</x:v>
      </x:c>
      <x:c r="D73" s="78" t="s">
        <x:v>160</x:v>
      </x:c>
      <x:c r="E73" s="79" t="s"/>
      <x:c r="F73" s="77" t="s"/>
      <x:c r="G73" s="92" t="n">
        <x:v>0</x:v>
      </x:c>
      <x:c r="H73" s="80" t="s">
        <x:v>56</x:v>
      </x:c>
      <x:c r="I73" s="80" t="s"/>
      <x:c r="J73" s="79" t="n">
        <x:v>0</x:v>
      </x:c>
      <x:c r="K73" s="256" t="n">
        <x:v>30</x:v>
      </x:c>
      <x:c r="L73" s="257" t="s"/>
      <x:c r="M73" s="258" t="n">
        <x:v>0</x:v>
      </x:c>
      <x:c r="N73" s="259" t="n">
        <x:v>0</x:v>
      </x:c>
      <x:c r="O73" s="259" t="n">
        <x:v>0</x:v>
      </x:c>
      <x:c r="P73" s="260">
        <x:f>ROUND(((K73*M73) - (K73*M73*N73/100)) + (((K73*M73) - (K73*M73*N73/100)) * O73/100), 2)</x:f>
      </x:c>
      <x:c r="Q73" s="261" t="s"/>
      <x:c r="R73" s="261" t="s"/>
      <x:c r="S73" s="81" t="s"/>
      <x:c r="T73" s="209" t="s"/>
      <x:c r="U73" s="210" t="s"/>
    </x:row>
    <x:row r="74" spans="1:23">
      <x:c r="A74" s="76" t="n">
        <x:v>54</x:v>
      </x:c>
      <x:c r="B74" s="76" t="n">
        <x:v>99990011921251</x:v>
      </x:c>
      <x:c r="C74" s="77" t="s">
        <x:v>161</x:v>
      </x:c>
      <x:c r="D74" s="78" t="s">
        <x:v>162</x:v>
      </x:c>
      <x:c r="E74" s="79" t="s"/>
      <x:c r="F74" s="77" t="s"/>
      <x:c r="G74" s="92" t="n">
        <x:v>0</x:v>
      </x:c>
      <x:c r="H74" s="80" t="s">
        <x:v>56</x:v>
      </x:c>
      <x:c r="I74" s="80" t="s"/>
      <x:c r="J74" s="79" t="n">
        <x:v>0</x:v>
      </x:c>
      <x:c r="K74" s="256" t="n">
        <x:v>30</x:v>
      </x:c>
      <x:c r="L74" s="257" t="s"/>
      <x:c r="M74" s="258" t="n">
        <x:v>0</x:v>
      </x:c>
      <x:c r="N74" s="259" t="n">
        <x:v>0</x:v>
      </x:c>
      <x:c r="O74" s="259" t="n">
        <x:v>0</x:v>
      </x:c>
      <x:c r="P74" s="260">
        <x:f>ROUND(((K74*M74) - (K74*M74*N74/100)) + (((K74*M74) - (K74*M74*N74/100)) * O74/100), 2)</x:f>
      </x:c>
      <x:c r="Q74" s="261" t="s"/>
      <x:c r="R74" s="261" t="s"/>
      <x:c r="S74" s="81" t="s"/>
      <x:c r="T74" s="209" t="s"/>
      <x:c r="U74" s="210" t="s"/>
    </x:row>
    <x:row r="75" spans="1:23">
      <x:c r="A75" s="76" t="n">
        <x:v>55</x:v>
      </x:c>
      <x:c r="B75" s="76" t="n">
        <x:v>99990011921243</x:v>
      </x:c>
      <x:c r="C75" s="77" t="s">
        <x:v>163</x:v>
      </x:c>
      <x:c r="D75" s="78" t="s">
        <x:v>164</x:v>
      </x:c>
      <x:c r="E75" s="79" t="s"/>
      <x:c r="F75" s="77" t="s"/>
      <x:c r="G75" s="92" t="n">
        <x:v>0</x:v>
      </x:c>
      <x:c r="H75" s="80" t="s">
        <x:v>56</x:v>
      </x:c>
      <x:c r="I75" s="80" t="s"/>
      <x:c r="J75" s="79" t="n">
        <x:v>0</x:v>
      </x:c>
      <x:c r="K75" s="256" t="n">
        <x:v>30</x:v>
      </x:c>
      <x:c r="L75" s="257" t="s"/>
      <x:c r="M75" s="258" t="n">
        <x:v>0</x:v>
      </x:c>
      <x:c r="N75" s="259" t="n">
        <x:v>0</x:v>
      </x:c>
      <x:c r="O75" s="259" t="n">
        <x:v>0</x:v>
      </x:c>
      <x:c r="P75" s="260">
        <x:f>ROUND(((K75*M75) - (K75*M75*N75/100)) + (((K75*M75) - (K75*M75*N75/100)) * O75/100), 2)</x:f>
      </x:c>
      <x:c r="Q75" s="261" t="s"/>
      <x:c r="R75" s="261" t="s"/>
      <x:c r="S75" s="81" t="s"/>
      <x:c r="T75" s="209" t="s"/>
      <x:c r="U75" s="210" t="s"/>
    </x:row>
    <x:row r="76" spans="1:23">
      <x:c r="A76" s="76" t="n">
        <x:v>56</x:v>
      </x:c>
      <x:c r="B76" s="76" t="n">
        <x:v>99990011921317</x:v>
      </x:c>
      <x:c r="C76" s="77" t="s">
        <x:v>165</x:v>
      </x:c>
      <x:c r="D76" s="78" t="s">
        <x:v>166</x:v>
      </x:c>
      <x:c r="E76" s="79" t="s"/>
      <x:c r="F76" s="77" t="s"/>
      <x:c r="G76" s="92" t="n">
        <x:v>0</x:v>
      </x:c>
      <x:c r="H76" s="80" t="s">
        <x:v>56</x:v>
      </x:c>
      <x:c r="I76" s="80" t="s"/>
      <x:c r="J76" s="79" t="n">
        <x:v>0</x:v>
      </x:c>
      <x:c r="K76" s="256" t="n">
        <x:v>30</x:v>
      </x:c>
      <x:c r="L76" s="257" t="s"/>
      <x:c r="M76" s="258" t="n">
        <x:v>0</x:v>
      </x:c>
      <x:c r="N76" s="259" t="n">
        <x:v>0</x:v>
      </x:c>
      <x:c r="O76" s="259" t="n">
        <x:v>0</x:v>
      </x:c>
      <x:c r="P76" s="260">
        <x:f>ROUND(((K76*M76) - (K76*M76*N76/100)) + (((K76*M76) - (K76*M76*N76/100)) * O76/100), 2)</x:f>
      </x:c>
      <x:c r="Q76" s="261" t="s"/>
      <x:c r="R76" s="261" t="s"/>
      <x:c r="S76" s="81" t="s"/>
      <x:c r="T76" s="209" t="s"/>
      <x:c r="U76" s="210" t="s"/>
    </x:row>
    <x:row r="77" spans="1:23">
      <x:c r="A77" s="76" t="n">
        <x:v>57</x:v>
      </x:c>
      <x:c r="B77" s="76" t="n">
        <x:v>99990011921321</x:v>
      </x:c>
      <x:c r="C77" s="77" t="s">
        <x:v>167</x:v>
      </x:c>
      <x:c r="D77" s="78" t="s">
        <x:v>168</x:v>
      </x:c>
      <x:c r="E77" s="79" t="s"/>
      <x:c r="F77" s="77" t="s"/>
      <x:c r="G77" s="92" t="n">
        <x:v>0</x:v>
      </x:c>
      <x:c r="H77" s="80" t="s">
        <x:v>56</x:v>
      </x:c>
      <x:c r="I77" s="80" t="s"/>
      <x:c r="J77" s="79" t="n">
        <x:v>0</x:v>
      </x:c>
      <x:c r="K77" s="256" t="n">
        <x:v>30</x:v>
      </x:c>
      <x:c r="L77" s="257" t="s"/>
      <x:c r="M77" s="258" t="n">
        <x:v>0</x:v>
      </x:c>
      <x:c r="N77" s="259" t="n">
        <x:v>0</x:v>
      </x:c>
      <x:c r="O77" s="259" t="n">
        <x:v>0</x:v>
      </x:c>
      <x:c r="P77" s="260">
        <x:f>ROUND(((K77*M77) - (K77*M77*N77/100)) + (((K77*M77) - (K77*M77*N77/100)) * O77/100), 2)</x:f>
      </x:c>
      <x:c r="Q77" s="261" t="s"/>
      <x:c r="R77" s="261" t="s"/>
      <x:c r="S77" s="81" t="s"/>
      <x:c r="T77" s="209" t="s"/>
      <x:c r="U77" s="210" t="s"/>
    </x:row>
    <x:row r="78" spans="1:23">
      <x:c r="A78" s="76" t="n">
        <x:v>58</x:v>
      </x:c>
      <x:c r="B78" s="76" t="n">
        <x:v>99990011921323</x:v>
      </x:c>
      <x:c r="C78" s="77" t="s">
        <x:v>169</x:v>
      </x:c>
      <x:c r="D78" s="78" t="s">
        <x:v>170</x:v>
      </x:c>
      <x:c r="E78" s="79" t="s"/>
      <x:c r="F78" s="77" t="s"/>
      <x:c r="G78" s="92" t="n">
        <x:v>0</x:v>
      </x:c>
      <x:c r="H78" s="80" t="s">
        <x:v>56</x:v>
      </x:c>
      <x:c r="I78" s="80" t="s"/>
      <x:c r="J78" s="79" t="n">
        <x:v>0</x:v>
      </x:c>
      <x:c r="K78" s="256" t="n">
        <x:v>30</x:v>
      </x:c>
      <x:c r="L78" s="257" t="s"/>
      <x:c r="M78" s="258" t="n">
        <x:v>0</x:v>
      </x:c>
      <x:c r="N78" s="259" t="n">
        <x:v>0</x:v>
      </x:c>
      <x:c r="O78" s="259" t="n">
        <x:v>0</x:v>
      </x:c>
      <x:c r="P78" s="260">
        <x:f>ROUND(((K78*M78) - (K78*M78*N78/100)) + (((K78*M78) - (K78*M78*N78/100)) * O78/100), 2)</x:f>
      </x:c>
      <x:c r="Q78" s="261" t="s"/>
      <x:c r="R78" s="261" t="s"/>
      <x:c r="S78" s="81" t="s"/>
      <x:c r="T78" s="209" t="s"/>
      <x:c r="U78" s="210" t="s"/>
    </x:row>
    <x:row r="79" spans="1:23">
      <x:c r="A79" s="76" t="n">
        <x:v>59</x:v>
      </x:c>
      <x:c r="B79" s="76" t="n">
        <x:v>99990011921315</x:v>
      </x:c>
      <x:c r="C79" s="77" t="s">
        <x:v>171</x:v>
      </x:c>
      <x:c r="D79" s="78" t="s">
        <x:v>172</x:v>
      </x:c>
      <x:c r="E79" s="79" t="s"/>
      <x:c r="F79" s="77" t="s"/>
      <x:c r="G79" s="92" t="n">
        <x:v>0</x:v>
      </x:c>
      <x:c r="H79" s="80" t="s">
        <x:v>56</x:v>
      </x:c>
      <x:c r="I79" s="80" t="s"/>
      <x:c r="J79" s="79" t="n">
        <x:v>0</x:v>
      </x:c>
      <x:c r="K79" s="256" t="n">
        <x:v>30</x:v>
      </x:c>
      <x:c r="L79" s="257" t="s"/>
      <x:c r="M79" s="258" t="n">
        <x:v>0</x:v>
      </x:c>
      <x:c r="N79" s="259" t="n">
        <x:v>0</x:v>
      </x:c>
      <x:c r="O79" s="259" t="n">
        <x:v>0</x:v>
      </x:c>
      <x:c r="P79" s="260">
        <x:f>ROUND(((K79*M79) - (K79*M79*N79/100)) + (((K79*M79) - (K79*M79*N79/100)) * O79/100), 2)</x:f>
      </x:c>
      <x:c r="Q79" s="261" t="s"/>
      <x:c r="R79" s="261" t="s"/>
      <x:c r="S79" s="81" t="s"/>
      <x:c r="T79" s="209" t="s"/>
      <x:c r="U79" s="210" t="s"/>
    </x:row>
    <x:row r="80" spans="1:23">
      <x:c r="A80" s="76" t="n">
        <x:v>60</x:v>
      </x:c>
      <x:c r="B80" s="76" t="n">
        <x:v>99990011921233</x:v>
      </x:c>
      <x:c r="C80" s="77" t="s">
        <x:v>173</x:v>
      </x:c>
      <x:c r="D80" s="78" t="s">
        <x:v>174</x:v>
      </x:c>
      <x:c r="E80" s="79" t="s"/>
      <x:c r="F80" s="77" t="s"/>
      <x:c r="G80" s="92" t="n">
        <x:v>0</x:v>
      </x:c>
      <x:c r="H80" s="80" t="s">
        <x:v>56</x:v>
      </x:c>
      <x:c r="I80" s="80" t="s"/>
      <x:c r="J80" s="79" t="n">
        <x:v>0</x:v>
      </x:c>
      <x:c r="K80" s="256" t="n">
        <x:v>30</x:v>
      </x:c>
      <x:c r="L80" s="257" t="s"/>
      <x:c r="M80" s="258" t="n">
        <x:v>0</x:v>
      </x:c>
      <x:c r="N80" s="259" t="n">
        <x:v>0</x:v>
      </x:c>
      <x:c r="O80" s="259" t="n">
        <x:v>0</x:v>
      </x:c>
      <x:c r="P80" s="260">
        <x:f>ROUND(((K80*M80) - (K80*M80*N80/100)) + (((K80*M80) - (K80*M80*N80/100)) * O80/100), 2)</x:f>
      </x:c>
      <x:c r="Q80" s="261" t="s"/>
      <x:c r="R80" s="261" t="s"/>
      <x:c r="S80" s="81" t="s"/>
      <x:c r="T80" s="209" t="s"/>
      <x:c r="U80" s="210" t="s"/>
    </x:row>
    <x:row r="81" spans="1:23">
      <x:c r="A81" s="76" t="n">
        <x:v>61</x:v>
      </x:c>
      <x:c r="B81" s="76" t="n">
        <x:v>99990011919866</x:v>
      </x:c>
      <x:c r="C81" s="77" t="s">
        <x:v>175</x:v>
      </x:c>
      <x:c r="D81" s="78" t="s">
        <x:v>176</x:v>
      </x:c>
      <x:c r="E81" s="79" t="s"/>
      <x:c r="F81" s="77" t="s"/>
      <x:c r="G81" s="92" t="n">
        <x:v>0</x:v>
      </x:c>
      <x:c r="H81" s="80" t="s">
        <x:v>177</x:v>
      </x:c>
      <x:c r="I81" s="80" t="s"/>
      <x:c r="J81" s="79" t="n">
        <x:v>0</x:v>
      </x:c>
      <x:c r="K81" s="256" t="n">
        <x:v>5</x:v>
      </x:c>
      <x:c r="L81" s="257" t="s"/>
      <x:c r="M81" s="258" t="n">
        <x:v>0</x:v>
      </x:c>
      <x:c r="N81" s="259" t="n">
        <x:v>0</x:v>
      </x:c>
      <x:c r="O81" s="259" t="n">
        <x:v>0</x:v>
      </x:c>
      <x:c r="P81" s="260">
        <x:f>ROUND(((K81*M81) - (K81*M81*N81/100)) + (((K81*M81) - (K81*M81*N81/100)) * O81/100), 2)</x:f>
      </x:c>
      <x:c r="Q81" s="261" t="s"/>
      <x:c r="R81" s="261" t="s"/>
      <x:c r="S81" s="81" t="s"/>
      <x:c r="T81" s="209" t="s"/>
      <x:c r="U81" s="210" t="s"/>
    </x:row>
    <x:row r="82" spans="1:23">
      <x:c r="A82" s="76" t="n">
        <x:v>62</x:v>
      </x:c>
      <x:c r="B82" s="76" t="n">
        <x:v>99990011919869</x:v>
      </x:c>
      <x:c r="C82" s="77" t="s">
        <x:v>178</x:v>
      </x:c>
      <x:c r="D82" s="78" t="s">
        <x:v>179</x:v>
      </x:c>
      <x:c r="E82" s="79" t="s"/>
      <x:c r="F82" s="77" t="s"/>
      <x:c r="G82" s="92" t="n">
        <x:v>0</x:v>
      </x:c>
      <x:c r="H82" s="80" t="s">
        <x:v>177</x:v>
      </x:c>
      <x:c r="I82" s="80" t="s"/>
      <x:c r="J82" s="79" t="n">
        <x:v>0</x:v>
      </x:c>
      <x:c r="K82" s="256" t="n">
        <x:v>5</x:v>
      </x:c>
      <x:c r="L82" s="257" t="s"/>
      <x:c r="M82" s="258" t="n">
        <x:v>0</x:v>
      </x:c>
      <x:c r="N82" s="259" t="n">
        <x:v>0</x:v>
      </x:c>
      <x:c r="O82" s="259" t="n">
        <x:v>0</x:v>
      </x:c>
      <x:c r="P82" s="260">
        <x:f>ROUND(((K82*M82) - (K82*M82*N82/100)) + (((K82*M82) - (K82*M82*N82/100)) * O82/100), 2)</x:f>
      </x:c>
      <x:c r="Q82" s="261" t="s"/>
      <x:c r="R82" s="261" t="s"/>
      <x:c r="S82" s="81" t="s"/>
      <x:c r="T82" s="209" t="s"/>
      <x:c r="U82" s="210" t="s"/>
    </x:row>
    <x:row r="83" spans="1:23">
      <x:c r="A83" s="76" t="n">
        <x:v>63</x:v>
      </x:c>
      <x:c r="B83" s="76" t="n">
        <x:v>99990011919871</x:v>
      </x:c>
      <x:c r="C83" s="77" t="s">
        <x:v>180</x:v>
      </x:c>
      <x:c r="D83" s="78" t="s">
        <x:v>181</x:v>
      </x:c>
      <x:c r="E83" s="79" t="s"/>
      <x:c r="F83" s="77" t="s"/>
      <x:c r="G83" s="92" t="n">
        <x:v>0</x:v>
      </x:c>
      <x:c r="H83" s="80" t="s">
        <x:v>177</x:v>
      </x:c>
      <x:c r="I83" s="80" t="s"/>
      <x:c r="J83" s="79" t="n">
        <x:v>0</x:v>
      </x:c>
      <x:c r="K83" s="256" t="n">
        <x:v>5</x:v>
      </x:c>
      <x:c r="L83" s="257" t="s"/>
      <x:c r="M83" s="258" t="n">
        <x:v>0</x:v>
      </x:c>
      <x:c r="N83" s="259" t="n">
        <x:v>0</x:v>
      </x:c>
      <x:c r="O83" s="259" t="n">
        <x:v>0</x:v>
      </x:c>
      <x:c r="P83" s="260">
        <x:f>ROUND(((K83*M83) - (K83*M83*N83/100)) + (((K83*M83) - (K83*M83*N83/100)) * O83/100), 2)</x:f>
      </x:c>
      <x:c r="Q83" s="261" t="s"/>
      <x:c r="R83" s="261" t="s"/>
      <x:c r="S83" s="81" t="s"/>
      <x:c r="T83" s="209" t="s"/>
      <x:c r="U83" s="210" t="s"/>
    </x:row>
    <x:row r="84" spans="1:23">
      <x:c r="A84" s="76" t="n">
        <x:v>64</x:v>
      </x:c>
      <x:c r="B84" s="76" t="n">
        <x:v>99990011920502</x:v>
      </x:c>
      <x:c r="C84" s="77" t="s">
        <x:v>182</x:v>
      </x:c>
      <x:c r="D84" s="78" t="s">
        <x:v>183</x:v>
      </x:c>
      <x:c r="E84" s="79" t="s"/>
      <x:c r="F84" s="77" t="s"/>
      <x:c r="G84" s="92" t="n">
        <x:v>0</x:v>
      </x:c>
      <x:c r="H84" s="80" t="s">
        <x:v>56</x:v>
      </x:c>
      <x:c r="I84" s="80" t="s"/>
      <x:c r="J84" s="79" t="n">
        <x:v>0</x:v>
      </x:c>
      <x:c r="K84" s="256" t="n">
        <x:v>5</x:v>
      </x:c>
      <x:c r="L84" s="257" t="s"/>
      <x:c r="M84" s="258" t="n">
        <x:v>0</x:v>
      </x:c>
      <x:c r="N84" s="259" t="n">
        <x:v>0</x:v>
      </x:c>
      <x:c r="O84" s="259" t="n">
        <x:v>0</x:v>
      </x:c>
      <x:c r="P84" s="260">
        <x:f>ROUND(((K84*M84) - (K84*M84*N84/100)) + (((K84*M84) - (K84*M84*N84/100)) * O84/100), 2)</x:f>
      </x:c>
      <x:c r="Q84" s="261" t="s"/>
      <x:c r="R84" s="261" t="s"/>
      <x:c r="S84" s="81" t="s"/>
      <x:c r="T84" s="209" t="s"/>
      <x:c r="U84" s="210" t="s"/>
    </x:row>
    <x:row r="85" spans="1:23">
      <x:c r="A85" s="76" t="n">
        <x:v>65</x:v>
      </x:c>
      <x:c r="B85" s="76" t="n">
        <x:v>99990011920463</x:v>
      </x:c>
      <x:c r="C85" s="77" t="s">
        <x:v>184</x:v>
      </x:c>
      <x:c r="D85" s="78" t="s">
        <x:v>185</x:v>
      </x:c>
      <x:c r="E85" s="79" t="s"/>
      <x:c r="F85" s="77" t="s"/>
      <x:c r="G85" s="92" t="n">
        <x:v>0</x:v>
      </x:c>
      <x:c r="H85" s="80" t="s">
        <x:v>56</x:v>
      </x:c>
      <x:c r="I85" s="80" t="s"/>
      <x:c r="J85" s="79" t="n">
        <x:v>0</x:v>
      </x:c>
      <x:c r="K85" s="256" t="n">
        <x:v>20</x:v>
      </x:c>
      <x:c r="L85" s="257" t="s"/>
      <x:c r="M85" s="258" t="n">
        <x:v>0</x:v>
      </x:c>
      <x:c r="N85" s="259" t="n">
        <x:v>0</x:v>
      </x:c>
      <x:c r="O85" s="259" t="n">
        <x:v>0</x:v>
      </x:c>
      <x:c r="P85" s="260">
        <x:f>ROUND(((K85*M85) - (K85*M85*N85/100)) + (((K85*M85) - (K85*M85*N85/100)) * O85/100), 2)</x:f>
      </x:c>
      <x:c r="Q85" s="261" t="s"/>
      <x:c r="R85" s="261" t="s"/>
      <x:c r="S85" s="81" t="s"/>
      <x:c r="T85" s="209" t="s"/>
      <x:c r="U85" s="210" t="s"/>
    </x:row>
    <x:row r="86" spans="1:23">
      <x:c r="A86" s="76" t="n">
        <x:v>66</x:v>
      </x:c>
      <x:c r="B86" s="76" t="n">
        <x:v>99990011921121</x:v>
      </x:c>
      <x:c r="C86" s="77" t="s">
        <x:v>186</x:v>
      </x:c>
      <x:c r="D86" s="78" t="s">
        <x:v>187</x:v>
      </x:c>
      <x:c r="E86" s="79" t="s"/>
      <x:c r="F86" s="77" t="s"/>
      <x:c r="G86" s="92" t="n">
        <x:v>0</x:v>
      </x:c>
      <x:c r="H86" s="80" t="s">
        <x:v>56</x:v>
      </x:c>
      <x:c r="I86" s="80" t="s"/>
      <x:c r="J86" s="79" t="n">
        <x:v>0</x:v>
      </x:c>
      <x:c r="K86" s="256" t="n">
        <x:v>2</x:v>
      </x:c>
      <x:c r="L86" s="257" t="s"/>
      <x:c r="M86" s="258" t="n">
        <x:v>0</x:v>
      </x:c>
      <x:c r="N86" s="259" t="n">
        <x:v>0</x:v>
      </x:c>
      <x:c r="O86" s="259" t="n">
        <x:v>0</x:v>
      </x:c>
      <x:c r="P86" s="260">
        <x:f>ROUND(((K86*M86) - (K86*M86*N86/100)) + (((K86*M86) - (K86*M86*N86/100)) * O86/100), 2)</x:f>
      </x:c>
      <x:c r="Q86" s="261" t="s"/>
      <x:c r="R86" s="261" t="s"/>
      <x:c r="S86" s="81" t="s"/>
      <x:c r="T86" s="209" t="s"/>
      <x:c r="U86" s="210" t="s"/>
    </x:row>
    <x:row r="87" spans="1:23">
      <x:c r="A87" s="76" t="n">
        <x:v>67</x:v>
      </x:c>
      <x:c r="B87" s="76" t="n">
        <x:v>99990011922893</x:v>
      </x:c>
      <x:c r="C87" s="77" t="s">
        <x:v>188</x:v>
      </x:c>
      <x:c r="D87" s="78" t="s">
        <x:v>189</x:v>
      </x:c>
      <x:c r="E87" s="79" t="s"/>
      <x:c r="F87" s="77" t="s"/>
      <x:c r="G87" s="92" t="n">
        <x:v>0</x:v>
      </x:c>
      <x:c r="H87" s="80" t="s">
        <x:v>56</x:v>
      </x:c>
      <x:c r="I87" s="80" t="s"/>
      <x:c r="J87" s="79" t="n">
        <x:v>0</x:v>
      </x:c>
      <x:c r="K87" s="256" t="n">
        <x:v>3</x:v>
      </x:c>
      <x:c r="L87" s="257" t="s"/>
      <x:c r="M87" s="258" t="n">
        <x:v>0</x:v>
      </x:c>
      <x:c r="N87" s="259" t="n">
        <x:v>0</x:v>
      </x:c>
      <x:c r="O87" s="259" t="n">
        <x:v>0</x:v>
      </x:c>
      <x:c r="P87" s="260">
        <x:f>ROUND(((K87*M87) - (K87*M87*N87/100)) + (((K87*M87) - (K87*M87*N87/100)) * O87/100), 2)</x:f>
      </x:c>
      <x:c r="Q87" s="261" t="s"/>
      <x:c r="R87" s="261" t="s"/>
      <x:c r="S87" s="81" t="s"/>
      <x:c r="T87" s="209" t="s"/>
      <x:c r="U87" s="210" t="s"/>
    </x:row>
    <x:row r="88" spans="1:23">
      <x:c r="A88" s="76" t="n">
        <x:v>68</x:v>
      </x:c>
      <x:c r="B88" s="76" t="n">
        <x:v>99990011922892</x:v>
      </x:c>
      <x:c r="C88" s="77" t="s">
        <x:v>190</x:v>
      </x:c>
      <x:c r="D88" s="78" t="s">
        <x:v>191</x:v>
      </x:c>
      <x:c r="E88" s="79" t="s"/>
      <x:c r="F88" s="77" t="s"/>
      <x:c r="G88" s="92" t="n">
        <x:v>0</x:v>
      </x:c>
      <x:c r="H88" s="80" t="s">
        <x:v>56</x:v>
      </x:c>
      <x:c r="I88" s="80" t="s"/>
      <x:c r="J88" s="79" t="n">
        <x:v>0</x:v>
      </x:c>
      <x:c r="K88" s="256" t="n">
        <x:v>5</x:v>
      </x:c>
      <x:c r="L88" s="257" t="s"/>
      <x:c r="M88" s="258" t="n">
        <x:v>0</x:v>
      </x:c>
      <x:c r="N88" s="259" t="n">
        <x:v>0</x:v>
      </x:c>
      <x:c r="O88" s="259" t="n">
        <x:v>0</x:v>
      </x:c>
      <x:c r="P88" s="260">
        <x:f>ROUND(((K88*M88) - (K88*M88*N88/100)) + (((K88*M88) - (K88*M88*N88/100)) * O88/100), 2)</x:f>
      </x:c>
      <x:c r="Q88" s="261" t="s"/>
      <x:c r="R88" s="261" t="s"/>
      <x:c r="S88" s="81" t="s"/>
      <x:c r="T88" s="209" t="s"/>
      <x:c r="U88" s="210" t="s"/>
    </x:row>
    <x:row r="89" spans="1:23">
      <x:c r="A89" s="76" t="n">
        <x:v>69</x:v>
      </x:c>
      <x:c r="B89" s="76" t="n">
        <x:v>99990011921677</x:v>
      </x:c>
      <x:c r="C89" s="77" t="s">
        <x:v>192</x:v>
      </x:c>
      <x:c r="D89" s="78" t="s">
        <x:v>193</x:v>
      </x:c>
      <x:c r="E89" s="79" t="s"/>
      <x:c r="F89" s="77" t="s"/>
      <x:c r="G89" s="92" t="n">
        <x:v>0</x:v>
      </x:c>
      <x:c r="H89" s="80" t="s">
        <x:v>56</x:v>
      </x:c>
      <x:c r="I89" s="80" t="s"/>
      <x:c r="J89" s="79" t="n">
        <x:v>0</x:v>
      </x:c>
      <x:c r="K89" s="256" t="n">
        <x:v>1</x:v>
      </x:c>
      <x:c r="L89" s="257" t="s"/>
      <x:c r="M89" s="258" t="n">
        <x:v>0</x:v>
      </x:c>
      <x:c r="N89" s="259" t="n">
        <x:v>0</x:v>
      </x:c>
      <x:c r="O89" s="259" t="n">
        <x:v>0</x:v>
      </x:c>
      <x:c r="P89" s="260">
        <x:f>ROUND(((K89*M89) - (K89*M89*N89/100)) + (((K89*M89) - (K89*M89*N89/100)) * O89/100), 2)</x:f>
      </x:c>
      <x:c r="Q89" s="261" t="s"/>
      <x:c r="R89" s="261" t="s"/>
      <x:c r="S89" s="81" t="s"/>
      <x:c r="T89" s="209" t="s"/>
      <x:c r="U89" s="210" t="s"/>
    </x:row>
    <x:row r="90" spans="1:23">
      <x:c r="A90" s="76" t="n">
        <x:v>70</x:v>
      </x:c>
      <x:c r="B90" s="76" t="n">
        <x:v>99990011921009</x:v>
      </x:c>
      <x:c r="C90" s="77" t="s">
        <x:v>194</x:v>
      </x:c>
      <x:c r="D90" s="78" t="s">
        <x:v>195</x:v>
      </x:c>
      <x:c r="E90" s="79" t="s"/>
      <x:c r="F90" s="77" t="s"/>
      <x:c r="G90" s="92" t="n">
        <x:v>0</x:v>
      </x:c>
      <x:c r="H90" s="80" t="s">
        <x:v>56</x:v>
      </x:c>
      <x:c r="I90" s="80" t="s"/>
      <x:c r="J90" s="79" t="n">
        <x:v>0</x:v>
      </x:c>
      <x:c r="K90" s="256" t="n">
        <x:v>20</x:v>
      </x:c>
      <x:c r="L90" s="257" t="s"/>
      <x:c r="M90" s="258" t="n">
        <x:v>0</x:v>
      </x:c>
      <x:c r="N90" s="259" t="n">
        <x:v>0</x:v>
      </x:c>
      <x:c r="O90" s="259" t="n">
        <x:v>0</x:v>
      </x:c>
      <x:c r="P90" s="260">
        <x:f>ROUND(((K90*M90) - (K90*M90*N90/100)) + (((K90*M90) - (K90*M90*N90/100)) * O90/100), 2)</x:f>
      </x:c>
      <x:c r="Q90" s="261" t="s"/>
      <x:c r="R90" s="261" t="s"/>
      <x:c r="S90" s="81" t="s"/>
      <x:c r="T90" s="209" t="s"/>
      <x:c r="U90" s="210" t="s"/>
    </x:row>
    <x:row r="91" spans="1:23">
      <x:c r="A91" s="76" t="n">
        <x:v>71</x:v>
      </x:c>
      <x:c r="B91" s="76" t="n">
        <x:v>99990011921010</x:v>
      </x:c>
      <x:c r="C91" s="77" t="s">
        <x:v>196</x:v>
      </x:c>
      <x:c r="D91" s="78" t="s">
        <x:v>197</x:v>
      </x:c>
      <x:c r="E91" s="79" t="s"/>
      <x:c r="F91" s="77" t="s"/>
      <x:c r="G91" s="92" t="n">
        <x:v>0</x:v>
      </x:c>
      <x:c r="H91" s="80" t="s">
        <x:v>56</x:v>
      </x:c>
      <x:c r="I91" s="80" t="s"/>
      <x:c r="J91" s="79" t="n">
        <x:v>0</x:v>
      </x:c>
      <x:c r="K91" s="256" t="n">
        <x:v>20</x:v>
      </x:c>
      <x:c r="L91" s="257" t="s"/>
      <x:c r="M91" s="258" t="n">
        <x:v>0</x:v>
      </x:c>
      <x:c r="N91" s="259" t="n">
        <x:v>0</x:v>
      </x:c>
      <x:c r="O91" s="259" t="n">
        <x:v>0</x:v>
      </x:c>
      <x:c r="P91" s="260">
        <x:f>ROUND(((K91*M91) - (K91*M91*N91/100)) + (((K91*M91) - (K91*M91*N91/100)) * O91/100), 2)</x:f>
      </x:c>
      <x:c r="Q91" s="261" t="s"/>
      <x:c r="R91" s="261" t="s"/>
      <x:c r="S91" s="81" t="s"/>
      <x:c r="T91" s="209" t="s"/>
      <x:c r="U91" s="210" t="s"/>
    </x:row>
    <x:row r="92" spans="1:23">
      <x:c r="A92" s="76" t="n">
        <x:v>72</x:v>
      </x:c>
      <x:c r="B92" s="76" t="n">
        <x:v>99990011922819</x:v>
      </x:c>
      <x:c r="C92" s="77" t="s">
        <x:v>198</x:v>
      </x:c>
      <x:c r="D92" s="78" t="s">
        <x:v>199</x:v>
      </x:c>
      <x:c r="E92" s="79" t="s"/>
      <x:c r="F92" s="77" t="s"/>
      <x:c r="G92" s="92" t="n">
        <x:v>0</x:v>
      </x:c>
      <x:c r="H92" s="80" t="s">
        <x:v>56</x:v>
      </x:c>
      <x:c r="I92" s="80" t="s"/>
      <x:c r="J92" s="79" t="n">
        <x:v>0</x:v>
      </x:c>
      <x:c r="K92" s="256" t="n">
        <x:v>2</x:v>
      </x:c>
      <x:c r="L92" s="257" t="s"/>
      <x:c r="M92" s="258" t="n">
        <x:v>0</x:v>
      </x:c>
      <x:c r="N92" s="259" t="n">
        <x:v>0</x:v>
      </x:c>
      <x:c r="O92" s="259" t="n">
        <x:v>0</x:v>
      </x:c>
      <x:c r="P92" s="260">
        <x:f>ROUND(((K92*M92) - (K92*M92*N92/100)) + (((K92*M92) - (K92*M92*N92/100)) * O92/100), 2)</x:f>
      </x:c>
      <x:c r="Q92" s="261" t="s"/>
      <x:c r="R92" s="261" t="s"/>
      <x:c r="S92" s="81" t="s"/>
      <x:c r="T92" s="209" t="s"/>
      <x:c r="U92" s="210" t="s"/>
    </x:row>
    <x:row r="93" spans="1:23">
      <x:c r="A93" s="76" t="n">
        <x:v>73</x:v>
      </x:c>
      <x:c r="B93" s="76" t="n">
        <x:v>99990011920578</x:v>
      </x:c>
      <x:c r="C93" s="77" t="s">
        <x:v>200</x:v>
      </x:c>
      <x:c r="D93" s="78" t="s">
        <x:v>201</x:v>
      </x:c>
      <x:c r="E93" s="79" t="s"/>
      <x:c r="F93" s="77" t="s"/>
      <x:c r="G93" s="92" t="n">
        <x:v>0</x:v>
      </x:c>
      <x:c r="H93" s="80" t="s">
        <x:v>56</x:v>
      </x:c>
      <x:c r="I93" s="80" t="s"/>
      <x:c r="J93" s="79" t="n">
        <x:v>0</x:v>
      </x:c>
      <x:c r="K93" s="256" t="n">
        <x:v>4</x:v>
      </x:c>
      <x:c r="L93" s="257" t="s"/>
      <x:c r="M93" s="258" t="n">
        <x:v>0</x:v>
      </x:c>
      <x:c r="N93" s="259" t="n">
        <x:v>0</x:v>
      </x:c>
      <x:c r="O93" s="259" t="n">
        <x:v>0</x:v>
      </x:c>
      <x:c r="P93" s="260">
        <x:f>ROUND(((K93*M93) - (K93*M93*N93/100)) + (((K93*M93) - (K93*M93*N93/100)) * O93/100), 2)</x:f>
      </x:c>
      <x:c r="Q93" s="261" t="s"/>
      <x:c r="R93" s="261" t="s"/>
      <x:c r="S93" s="81" t="s"/>
      <x:c r="T93" s="209" t="s"/>
      <x:c r="U93" s="210" t="s"/>
    </x:row>
    <x:row r="94" spans="1:23">
      <x:c r="A94" s="76" t="n">
        <x:v>74</x:v>
      </x:c>
      <x:c r="B94" s="76" t="n">
        <x:v>99990011920579</x:v>
      </x:c>
      <x:c r="C94" s="77" t="s">
        <x:v>202</x:v>
      </x:c>
      <x:c r="D94" s="78" t="s">
        <x:v>203</x:v>
      </x:c>
      <x:c r="E94" s="79" t="s"/>
      <x:c r="F94" s="77" t="s"/>
      <x:c r="G94" s="92" t="n">
        <x:v>0</x:v>
      </x:c>
      <x:c r="H94" s="80" t="s">
        <x:v>56</x:v>
      </x:c>
      <x:c r="I94" s="80" t="s"/>
      <x:c r="J94" s="79" t="n">
        <x:v>0</x:v>
      </x:c>
      <x:c r="K94" s="256" t="n">
        <x:v>4</x:v>
      </x:c>
      <x:c r="L94" s="257" t="s"/>
      <x:c r="M94" s="258" t="n">
        <x:v>0</x:v>
      </x:c>
      <x:c r="N94" s="259" t="n">
        <x:v>0</x:v>
      </x:c>
      <x:c r="O94" s="259" t="n">
        <x:v>0</x:v>
      </x:c>
      <x:c r="P94" s="260">
        <x:f>ROUND(((K94*M94) - (K94*M94*N94/100)) + (((K94*M94) - (K94*M94*N94/100)) * O94/100), 2)</x:f>
      </x:c>
      <x:c r="Q94" s="261" t="s"/>
      <x:c r="R94" s="261" t="s"/>
      <x:c r="S94" s="81" t="s"/>
      <x:c r="T94" s="209" t="s"/>
      <x:c r="U94" s="210" t="s"/>
    </x:row>
    <x:row r="95" spans="1:23">
      <x:c r="A95" s="76" t="n">
        <x:v>75</x:v>
      </x:c>
      <x:c r="B95" s="76" t="n">
        <x:v>99990011920127</x:v>
      </x:c>
      <x:c r="C95" s="77" t="s">
        <x:v>204</x:v>
      </x:c>
      <x:c r="D95" s="78" t="s">
        <x:v>205</x:v>
      </x:c>
      <x:c r="E95" s="79" t="s"/>
      <x:c r="F95" s="77" t="s"/>
      <x:c r="G95" s="92" t="n">
        <x:v>0</x:v>
      </x:c>
      <x:c r="H95" s="80" t="s">
        <x:v>56</x:v>
      </x:c>
      <x:c r="I95" s="80" t="s"/>
      <x:c r="J95" s="79" t="n">
        <x:v>0</x:v>
      </x:c>
      <x:c r="K95" s="256" t="n">
        <x:v>2</x:v>
      </x:c>
      <x:c r="L95" s="257" t="s"/>
      <x:c r="M95" s="258" t="n">
        <x:v>0</x:v>
      </x:c>
      <x:c r="N95" s="259" t="n">
        <x:v>0</x:v>
      </x:c>
      <x:c r="O95" s="259" t="n">
        <x:v>0</x:v>
      </x:c>
      <x:c r="P95" s="260">
        <x:f>ROUND(((K95*M95) - (K95*M95*N95/100)) + (((K95*M95) - (K95*M95*N95/100)) * O95/100), 2)</x:f>
      </x:c>
      <x:c r="Q95" s="261" t="s"/>
      <x:c r="R95" s="261" t="s"/>
      <x:c r="S95" s="81" t="s"/>
      <x:c r="T95" s="209" t="s"/>
      <x:c r="U95" s="210" t="s"/>
    </x:row>
    <x:row r="96" spans="1:23">
      <x:c r="A96" s="76" t="n">
        <x:v>76</x:v>
      </x:c>
      <x:c r="B96" s="76" t="n">
        <x:v>99990011921633</x:v>
      </x:c>
      <x:c r="C96" s="77" t="s">
        <x:v>206</x:v>
      </x:c>
      <x:c r="D96" s="78" t="s">
        <x:v>207</x:v>
      </x:c>
      <x:c r="E96" s="79" t="s"/>
      <x:c r="F96" s="77" t="s"/>
      <x:c r="G96" s="92" t="n">
        <x:v>0</x:v>
      </x:c>
      <x:c r="H96" s="80" t="s">
        <x:v>56</x:v>
      </x:c>
      <x:c r="I96" s="80" t="s"/>
      <x:c r="J96" s="79" t="n">
        <x:v>0</x:v>
      </x:c>
      <x:c r="K96" s="256" t="n">
        <x:v>20</x:v>
      </x:c>
      <x:c r="L96" s="257" t="s"/>
      <x:c r="M96" s="258" t="n">
        <x:v>0</x:v>
      </x:c>
      <x:c r="N96" s="259" t="n">
        <x:v>0</x:v>
      </x:c>
      <x:c r="O96" s="259" t="n">
        <x:v>0</x:v>
      </x:c>
      <x:c r="P96" s="260">
        <x:f>ROUND(((K96*M96) - (K96*M96*N96/100)) + (((K96*M96) - (K96*M96*N96/100)) * O96/100), 2)</x:f>
      </x:c>
      <x:c r="Q96" s="261" t="s"/>
      <x:c r="R96" s="261" t="s"/>
      <x:c r="S96" s="81" t="s"/>
      <x:c r="T96" s="209" t="s"/>
      <x:c r="U96" s="210" t="s"/>
    </x:row>
    <x:row r="97" spans="1:23">
      <x:c r="A97" s="76" t="n">
        <x:v>77</x:v>
      </x:c>
      <x:c r="B97" s="76" t="n">
        <x:v>99990011921635</x:v>
      </x:c>
      <x:c r="C97" s="77" t="s">
        <x:v>208</x:v>
      </x:c>
      <x:c r="D97" s="78" t="s">
        <x:v>209</x:v>
      </x:c>
      <x:c r="E97" s="79" t="s"/>
      <x:c r="F97" s="77" t="s"/>
      <x:c r="G97" s="92" t="n">
        <x:v>0</x:v>
      </x:c>
      <x:c r="H97" s="80" t="s">
        <x:v>56</x:v>
      </x:c>
      <x:c r="I97" s="80" t="s"/>
      <x:c r="J97" s="79" t="n">
        <x:v>0</x:v>
      </x:c>
      <x:c r="K97" s="256" t="n">
        <x:v>5</x:v>
      </x:c>
      <x:c r="L97" s="257" t="s"/>
      <x:c r="M97" s="258" t="n">
        <x:v>0</x:v>
      </x:c>
      <x:c r="N97" s="259" t="n">
        <x:v>0</x:v>
      </x:c>
      <x:c r="O97" s="259" t="n">
        <x:v>0</x:v>
      </x:c>
      <x:c r="P97" s="260">
        <x:f>ROUND(((K97*M97) - (K97*M97*N97/100)) + (((K97*M97) - (K97*M97*N97/100)) * O97/100), 2)</x:f>
      </x:c>
      <x:c r="Q97" s="261" t="s"/>
      <x:c r="R97" s="261" t="s"/>
      <x:c r="S97" s="81" t="s"/>
      <x:c r="T97" s="209" t="s"/>
      <x:c r="U97" s="210" t="s"/>
    </x:row>
    <x:row r="98" spans="1:23">
      <x:c r="A98" s="76" t="n">
        <x:v>78</x:v>
      </x:c>
      <x:c r="B98" s="76" t="n">
        <x:v>99990011921634</x:v>
      </x:c>
      <x:c r="C98" s="77" t="s">
        <x:v>210</x:v>
      </x:c>
      <x:c r="D98" s="78" t="s">
        <x:v>211</x:v>
      </x:c>
      <x:c r="E98" s="79" t="s"/>
      <x:c r="F98" s="77" t="s"/>
      <x:c r="G98" s="92" t="n">
        <x:v>0</x:v>
      </x:c>
      <x:c r="H98" s="80" t="s">
        <x:v>56</x:v>
      </x:c>
      <x:c r="I98" s="80" t="s"/>
      <x:c r="J98" s="79" t="n">
        <x:v>0</x:v>
      </x:c>
      <x:c r="K98" s="256" t="n">
        <x:v>10</x:v>
      </x:c>
      <x:c r="L98" s="257" t="s"/>
      <x:c r="M98" s="258" t="n">
        <x:v>0</x:v>
      </x:c>
      <x:c r="N98" s="259" t="n">
        <x:v>0</x:v>
      </x:c>
      <x:c r="O98" s="259" t="n">
        <x:v>0</x:v>
      </x:c>
      <x:c r="P98" s="260">
        <x:f>ROUND(((K98*M98) - (K98*M98*N98/100)) + (((K98*M98) - (K98*M98*N98/100)) * O98/100), 2)</x:f>
      </x:c>
      <x:c r="Q98" s="261" t="s"/>
      <x:c r="R98" s="261" t="s"/>
      <x:c r="S98" s="81" t="s"/>
      <x:c r="T98" s="209" t="s"/>
      <x:c r="U98" s="210" t="s"/>
    </x:row>
    <x:row r="99" spans="1:23">
      <x:c r="A99" s="76" t="n">
        <x:v>79</x:v>
      </x:c>
      <x:c r="B99" s="76" t="n">
        <x:v>99990011921636</x:v>
      </x:c>
      <x:c r="C99" s="77" t="s">
        <x:v>212</x:v>
      </x:c>
      <x:c r="D99" s="78" t="s">
        <x:v>213</x:v>
      </x:c>
      <x:c r="E99" s="79" t="s"/>
      <x:c r="F99" s="77" t="s"/>
      <x:c r="G99" s="92" t="n">
        <x:v>0</x:v>
      </x:c>
      <x:c r="H99" s="80" t="s">
        <x:v>56</x:v>
      </x:c>
      <x:c r="I99" s="80" t="s"/>
      <x:c r="J99" s="79" t="n">
        <x:v>0</x:v>
      </x:c>
      <x:c r="K99" s="256" t="n">
        <x:v>5</x:v>
      </x:c>
      <x:c r="L99" s="257" t="s"/>
      <x:c r="M99" s="258" t="n">
        <x:v>0</x:v>
      </x:c>
      <x:c r="N99" s="259" t="n">
        <x:v>0</x:v>
      </x:c>
      <x:c r="O99" s="259" t="n">
        <x:v>0</x:v>
      </x:c>
      <x:c r="P99" s="260">
        <x:f>ROUND(((K99*M99) - (K99*M99*N99/100)) + (((K99*M99) - (K99*M99*N99/100)) * O99/100), 2)</x:f>
      </x:c>
      <x:c r="Q99" s="261" t="s"/>
      <x:c r="R99" s="261" t="s"/>
      <x:c r="S99" s="81" t="s"/>
      <x:c r="T99" s="209" t="s"/>
      <x:c r="U99" s="210" t="s"/>
    </x:row>
    <x:row r="100" spans="1:23">
      <x:c r="A100" s="76" t="n">
        <x:v>80</x:v>
      </x:c>
      <x:c r="B100" s="76" t="n">
        <x:v>99990011920117</x:v>
      </x:c>
      <x:c r="C100" s="77" t="s">
        <x:v>214</x:v>
      </x:c>
      <x:c r="D100" s="78" t="s">
        <x:v>215</x:v>
      </x:c>
      <x:c r="E100" s="79" t="s"/>
      <x:c r="F100" s="77" t="s"/>
      <x:c r="G100" s="92" t="n">
        <x:v>0</x:v>
      </x:c>
      <x:c r="H100" s="80" t="s">
        <x:v>56</x:v>
      </x:c>
      <x:c r="I100" s="80" t="s"/>
      <x:c r="J100" s="79" t="n">
        <x:v>0</x:v>
      </x:c>
      <x:c r="K100" s="256" t="n">
        <x:v>1</x:v>
      </x:c>
      <x:c r="L100" s="257" t="s"/>
      <x:c r="M100" s="258" t="n">
        <x:v>0</x:v>
      </x:c>
      <x:c r="N100" s="259" t="n">
        <x:v>0</x:v>
      </x:c>
      <x:c r="O100" s="259" t="n">
        <x:v>0</x:v>
      </x:c>
      <x:c r="P100" s="260">
        <x:f>ROUND(((K100*M100) - (K100*M100*N100/100)) + (((K100*M100) - (K100*M100*N100/100)) * O100/100), 2)</x:f>
      </x:c>
      <x:c r="Q100" s="261" t="s"/>
      <x:c r="R100" s="261" t="s"/>
      <x:c r="S100" s="81" t="s"/>
      <x:c r="T100" s="209" t="s"/>
      <x:c r="U100" s="210" t="s"/>
    </x:row>
    <x:row r="101" spans="1:23">
      <x:c r="A101" s="76" t="n">
        <x:v>81</x:v>
      </x:c>
      <x:c r="B101" s="76" t="n">
        <x:v>99990013700100</x:v>
      </x:c>
      <x:c r="C101" s="77" t="s">
        <x:v>216</x:v>
      </x:c>
      <x:c r="D101" s="78" t="s">
        <x:v>217</x:v>
      </x:c>
      <x:c r="E101" s="79" t="s"/>
      <x:c r="F101" s="77" t="s"/>
      <x:c r="G101" s="92" t="n">
        <x:v>0</x:v>
      </x:c>
      <x:c r="H101" s="80" t="s">
        <x:v>56</x:v>
      </x:c>
      <x:c r="I101" s="80" t="s"/>
      <x:c r="J101" s="79" t="n">
        <x:v>0</x:v>
      </x:c>
      <x:c r="K101" s="256" t="n">
        <x:v>2</x:v>
      </x:c>
      <x:c r="L101" s="257" t="s"/>
      <x:c r="M101" s="258" t="n">
        <x:v>0</x:v>
      </x:c>
      <x:c r="N101" s="259" t="n">
        <x:v>0</x:v>
      </x:c>
      <x:c r="O101" s="259" t="n">
        <x:v>0</x:v>
      </x:c>
      <x:c r="P101" s="260">
        <x:f>ROUND(((K101*M101) - (K101*M101*N101/100)) + (((K101*M101) - (K101*M101*N101/100)) * O101/100), 2)</x:f>
      </x:c>
      <x:c r="Q101" s="261" t="s"/>
      <x:c r="R101" s="261" t="s"/>
      <x:c r="S101" s="81" t="s"/>
      <x:c r="T101" s="209" t="s"/>
      <x:c r="U101" s="210" t="s"/>
    </x:row>
    <x:row r="102" spans="1:23">
      <x:c r="A102" s="76" t="n">
        <x:v>82</x:v>
      </x:c>
      <x:c r="B102" s="76" t="n">
        <x:v>99990011920007</x:v>
      </x:c>
      <x:c r="C102" s="77" t="s">
        <x:v>218</x:v>
      </x:c>
      <x:c r="D102" s="78" t="s">
        <x:v>219</x:v>
      </x:c>
      <x:c r="E102" s="79" t="s"/>
      <x:c r="F102" s="77" t="s"/>
      <x:c r="G102" s="92" t="n">
        <x:v>0</x:v>
      </x:c>
      <x:c r="H102" s="80" t="s">
        <x:v>56</x:v>
      </x:c>
      <x:c r="I102" s="80" t="s"/>
      <x:c r="J102" s="79" t="n">
        <x:v>0</x:v>
      </x:c>
      <x:c r="K102" s="256" t="n">
        <x:v>3</x:v>
      </x:c>
      <x:c r="L102" s="257" t="s"/>
      <x:c r="M102" s="258" t="n">
        <x:v>0</x:v>
      </x:c>
      <x:c r="N102" s="259" t="n">
        <x:v>0</x:v>
      </x:c>
      <x:c r="O102" s="259" t="n">
        <x:v>0</x:v>
      </x:c>
      <x:c r="P102" s="260">
        <x:f>ROUND(((K102*M102) - (K102*M102*N102/100)) + (((K102*M102) - (K102*M102*N102/100)) * O102/100), 2)</x:f>
      </x:c>
      <x:c r="Q102" s="261" t="s"/>
      <x:c r="R102" s="261" t="s"/>
      <x:c r="S102" s="81" t="s"/>
      <x:c r="T102" s="209" t="s"/>
      <x:c r="U102" s="210" t="s"/>
    </x:row>
    <x:row r="103" spans="1:23">
      <x:c r="A103" s="76" t="n">
        <x:v>83</x:v>
      </x:c>
      <x:c r="B103" s="76" t="n">
        <x:v>99990011920010</x:v>
      </x:c>
      <x:c r="C103" s="77" t="s">
        <x:v>220</x:v>
      </x:c>
      <x:c r="D103" s="78" t="s">
        <x:v>221</x:v>
      </x:c>
      <x:c r="E103" s="79" t="s"/>
      <x:c r="F103" s="77" t="s"/>
      <x:c r="G103" s="92" t="n">
        <x:v>0</x:v>
      </x:c>
      <x:c r="H103" s="80" t="s">
        <x:v>56</x:v>
      </x:c>
      <x:c r="I103" s="80" t="s"/>
      <x:c r="J103" s="79" t="n">
        <x:v>0</x:v>
      </x:c>
      <x:c r="K103" s="256" t="n">
        <x:v>2</x:v>
      </x:c>
      <x:c r="L103" s="257" t="s"/>
      <x:c r="M103" s="258" t="n">
        <x:v>0</x:v>
      </x:c>
      <x:c r="N103" s="259" t="n">
        <x:v>0</x:v>
      </x:c>
      <x:c r="O103" s="259" t="n">
        <x:v>0</x:v>
      </x:c>
      <x:c r="P103" s="260">
        <x:f>ROUND(((K103*M103) - (K103*M103*N103/100)) + (((K103*M103) - (K103*M103*N103/100)) * O103/100), 2)</x:f>
      </x:c>
      <x:c r="Q103" s="261" t="s"/>
      <x:c r="R103" s="261" t="s"/>
      <x:c r="S103" s="81" t="s"/>
      <x:c r="T103" s="209" t="s"/>
      <x:c r="U103" s="210" t="s"/>
    </x:row>
    <x:row r="104" spans="1:23">
      <x:c r="A104" s="76" t="n">
        <x:v>84</x:v>
      </x:c>
      <x:c r="B104" s="76" t="n">
        <x:v>99990011922898</x:v>
      </x:c>
      <x:c r="C104" s="77" t="s">
        <x:v>222</x:v>
      </x:c>
      <x:c r="D104" s="78" t="s">
        <x:v>223</x:v>
      </x:c>
      <x:c r="E104" s="79" t="s"/>
      <x:c r="F104" s="77" t="s"/>
      <x:c r="G104" s="92" t="n">
        <x:v>0</x:v>
      </x:c>
      <x:c r="H104" s="80" t="s">
        <x:v>56</x:v>
      </x:c>
      <x:c r="I104" s="80" t="s"/>
      <x:c r="J104" s="79" t="n">
        <x:v>0</x:v>
      </x:c>
      <x:c r="K104" s="256" t="n">
        <x:v>5</x:v>
      </x:c>
      <x:c r="L104" s="257" t="s"/>
      <x:c r="M104" s="258" t="n">
        <x:v>0</x:v>
      </x:c>
      <x:c r="N104" s="259" t="n">
        <x:v>0</x:v>
      </x:c>
      <x:c r="O104" s="259" t="n">
        <x:v>0</x:v>
      </x:c>
      <x:c r="P104" s="260">
        <x:f>ROUND(((K104*M104) - (K104*M104*N104/100)) + (((K104*M104) - (K104*M104*N104/100)) * O104/100), 2)</x:f>
      </x:c>
      <x:c r="Q104" s="261" t="s"/>
      <x:c r="R104" s="261" t="s"/>
      <x:c r="S104" s="81" t="s"/>
      <x:c r="T104" s="209" t="s"/>
      <x:c r="U104" s="210" t="s"/>
    </x:row>
    <x:row r="105" spans="1:23">
      <x:c r="A105" s="76" t="n">
        <x:v>85</x:v>
      </x:c>
      <x:c r="B105" s="76" t="n">
        <x:v>99990011921651</x:v>
      </x:c>
      <x:c r="C105" s="77" t="s">
        <x:v>224</x:v>
      </x:c>
      <x:c r="D105" s="78" t="s">
        <x:v>225</x:v>
      </x:c>
      <x:c r="E105" s="79" t="s"/>
      <x:c r="F105" s="77" t="s"/>
      <x:c r="G105" s="92" t="n">
        <x:v>0</x:v>
      </x:c>
      <x:c r="H105" s="80" t="s">
        <x:v>56</x:v>
      </x:c>
      <x:c r="I105" s="80" t="s"/>
      <x:c r="J105" s="79" t="n">
        <x:v>0</x:v>
      </x:c>
      <x:c r="K105" s="256" t="n">
        <x:v>6</x:v>
      </x:c>
      <x:c r="L105" s="257" t="s"/>
      <x:c r="M105" s="258" t="n">
        <x:v>0</x:v>
      </x:c>
      <x:c r="N105" s="259" t="n">
        <x:v>0</x:v>
      </x:c>
      <x:c r="O105" s="259" t="n">
        <x:v>0</x:v>
      </x:c>
      <x:c r="P105" s="260">
        <x:f>ROUND(((K105*M105) - (K105*M105*N105/100)) + (((K105*M105) - (K105*M105*N105/100)) * O105/100), 2)</x:f>
      </x:c>
      <x:c r="Q105" s="261" t="s"/>
      <x:c r="R105" s="261" t="s"/>
      <x:c r="S105" s="81" t="s"/>
      <x:c r="T105" s="209" t="s"/>
      <x:c r="U105" s="210" t="s"/>
    </x:row>
    <x:row r="106" spans="1:23">
      <x:c r="A106" s="76" t="n">
        <x:v>86</x:v>
      </x:c>
      <x:c r="B106" s="76" t="n">
        <x:v>99990010691757</x:v>
      </x:c>
      <x:c r="C106" s="77" t="s">
        <x:v>226</x:v>
      </x:c>
      <x:c r="D106" s="78" t="s">
        <x:v>227</x:v>
      </x:c>
      <x:c r="E106" s="79" t="s"/>
      <x:c r="F106" s="77" t="s"/>
      <x:c r="G106" s="92" t="n">
        <x:v>0</x:v>
      </x:c>
      <x:c r="H106" s="80" t="s">
        <x:v>228</x:v>
      </x:c>
      <x:c r="I106" s="80" t="s"/>
      <x:c r="J106" s="79" t="n">
        <x:v>0</x:v>
      </x:c>
      <x:c r="K106" s="256" t="n">
        <x:v>1</x:v>
      </x:c>
      <x:c r="L106" s="257" t="s"/>
      <x:c r="M106" s="258" t="n">
        <x:v>0</x:v>
      </x:c>
      <x:c r="N106" s="259" t="n">
        <x:v>0</x:v>
      </x:c>
      <x:c r="O106" s="259" t="n">
        <x:v>0</x:v>
      </x:c>
      <x:c r="P106" s="260">
        <x:f>ROUND(((K106*M106) - (K106*M106*N106/100)) + (((K106*M106) - (K106*M106*N106/100)) * O106/100), 2)</x:f>
      </x:c>
      <x:c r="Q106" s="261" t="s"/>
      <x:c r="R106" s="261" t="s"/>
      <x:c r="S106" s="81" t="s"/>
      <x:c r="T106" s="209" t="s"/>
      <x:c r="U106" s="210" t="s"/>
    </x:row>
    <x:row r="107" spans="1:23">
      <x:c r="A107" s="76" t="n">
        <x:v>87</x:v>
      </x:c>
      <x:c r="B107" s="76" t="n">
        <x:v>99990013790499</x:v>
      </x:c>
      <x:c r="C107" s="77" t="n">
        <x:v>2847835</x:v>
      </x:c>
      <x:c r="D107" s="78" t="s">
        <x:v>229</x:v>
      </x:c>
      <x:c r="E107" s="79" t="s"/>
      <x:c r="F107" s="77" t="s"/>
      <x:c r="G107" s="92" t="n">
        <x:v>0</x:v>
      </x:c>
      <x:c r="H107" s="80" t="s">
        <x:v>230</x:v>
      </x:c>
      <x:c r="I107" s="80" t="s"/>
      <x:c r="J107" s="79" t="n">
        <x:v>0</x:v>
      </x:c>
      <x:c r="K107" s="256" t="n">
        <x:v>1</x:v>
      </x:c>
      <x:c r="L107" s="257" t="s"/>
      <x:c r="M107" s="258" t="n">
        <x:v>0</x:v>
      </x:c>
      <x:c r="N107" s="259" t="n">
        <x:v>0</x:v>
      </x:c>
      <x:c r="O107" s="259" t="n">
        <x:v>0</x:v>
      </x:c>
      <x:c r="P107" s="260">
        <x:f>ROUND(((K107*M107) - (K107*M107*N107/100)) + (((K107*M107) - (K107*M107*N107/100)) * O107/100), 2)</x:f>
      </x:c>
      <x:c r="Q107" s="261" t="s"/>
      <x:c r="R107" s="261" t="s"/>
      <x:c r="S107" s="81" t="s"/>
      <x:c r="T107" s="209" t="s"/>
      <x:c r="U107" s="210" t="s"/>
    </x:row>
    <x:row r="108" spans="1:23">
      <x:c r="A108" s="76" t="n">
        <x:v>88</x:v>
      </x:c>
      <x:c r="B108" s="76" t="n">
        <x:v>99990013790500</x:v>
      </x:c>
      <x:c r="C108" s="77" t="n">
        <x:v>2847836</x:v>
      </x:c>
      <x:c r="D108" s="78" t="s">
        <x:v>231</x:v>
      </x:c>
      <x:c r="E108" s="79" t="s"/>
      <x:c r="F108" s="77" t="s"/>
      <x:c r="G108" s="92" t="n">
        <x:v>0</x:v>
      </x:c>
      <x:c r="H108" s="80" t="s">
        <x:v>230</x:v>
      </x:c>
      <x:c r="I108" s="80" t="s"/>
      <x:c r="J108" s="79" t="n">
        <x:v>0</x:v>
      </x:c>
      <x:c r="K108" s="256" t="n">
        <x:v>1</x:v>
      </x:c>
      <x:c r="L108" s="257" t="s"/>
      <x:c r="M108" s="258" t="n">
        <x:v>0</x:v>
      </x:c>
      <x:c r="N108" s="259" t="n">
        <x:v>0</x:v>
      </x:c>
      <x:c r="O108" s="259" t="n">
        <x:v>0</x:v>
      </x:c>
      <x:c r="P108" s="260">
        <x:f>ROUND(((K108*M108) - (K108*M108*N108/100)) + (((K108*M108) - (K108*M108*N108/100)) * O108/100), 2)</x:f>
      </x:c>
      <x:c r="Q108" s="261" t="s"/>
      <x:c r="R108" s="261" t="s"/>
      <x:c r="S108" s="81" t="s"/>
      <x:c r="T108" s="209" t="s"/>
      <x:c r="U108" s="210" t="s"/>
    </x:row>
    <x:row r="109" spans="1:23">
      <x:c r="A109" s="76" t="n">
        <x:v>89</x:v>
      </x:c>
      <x:c r="B109" s="76" t="n">
        <x:v>99990013790504</x:v>
      </x:c>
      <x:c r="C109" s="77" t="n">
        <x:v>2847840</x:v>
      </x:c>
      <x:c r="D109" s="78" t="s">
        <x:v>232</x:v>
      </x:c>
      <x:c r="E109" s="79" t="s"/>
      <x:c r="F109" s="77" t="s"/>
      <x:c r="G109" s="92" t="n">
        <x:v>0</x:v>
      </x:c>
      <x:c r="H109" s="80" t="s">
        <x:v>230</x:v>
      </x:c>
      <x:c r="I109" s="80" t="s"/>
      <x:c r="J109" s="79" t="n">
        <x:v>0</x:v>
      </x:c>
      <x:c r="K109" s="256" t="n">
        <x:v>1</x:v>
      </x:c>
      <x:c r="L109" s="257" t="s"/>
      <x:c r="M109" s="258" t="n">
        <x:v>0</x:v>
      </x:c>
      <x:c r="N109" s="259" t="n">
        <x:v>0</x:v>
      </x:c>
      <x:c r="O109" s="259" t="n">
        <x:v>0</x:v>
      </x:c>
      <x:c r="P109" s="260">
        <x:f>ROUND(((K109*M109) - (K109*M109*N109/100)) + (((K109*M109) - (K109*M109*N109/100)) * O109/100), 2)</x:f>
      </x:c>
      <x:c r="Q109" s="261" t="s"/>
      <x:c r="R109" s="261" t="s"/>
      <x:c r="S109" s="81" t="s"/>
      <x:c r="T109" s="209" t="s"/>
      <x:c r="U109" s="210" t="s"/>
    </x:row>
    <x:row r="110" spans="1:23">
      <x:c r="A110" s="76" t="n">
        <x:v>90</x:v>
      </x:c>
      <x:c r="B110" s="76" t="n">
        <x:v>99990013790502</x:v>
      </x:c>
      <x:c r="C110" s="77" t="n">
        <x:v>2847838</x:v>
      </x:c>
      <x:c r="D110" s="78" t="s">
        <x:v>233</x:v>
      </x:c>
      <x:c r="E110" s="79" t="s"/>
      <x:c r="F110" s="77" t="s"/>
      <x:c r="G110" s="92" t="n">
        <x:v>0</x:v>
      </x:c>
      <x:c r="H110" s="80" t="s">
        <x:v>230</x:v>
      </x:c>
      <x:c r="I110" s="80" t="s"/>
      <x:c r="J110" s="79" t="n">
        <x:v>0</x:v>
      </x:c>
      <x:c r="K110" s="256" t="n">
        <x:v>1</x:v>
      </x:c>
      <x:c r="L110" s="257" t="s"/>
      <x:c r="M110" s="258" t="n">
        <x:v>0</x:v>
      </x:c>
      <x:c r="N110" s="259" t="n">
        <x:v>0</x:v>
      </x:c>
      <x:c r="O110" s="259" t="n">
        <x:v>0</x:v>
      </x:c>
      <x:c r="P110" s="260">
        <x:f>ROUND(((K110*M110) - (K110*M110*N110/100)) + (((K110*M110) - (K110*M110*N110/100)) * O110/100), 2)</x:f>
      </x:c>
      <x:c r="Q110" s="261" t="s"/>
      <x:c r="R110" s="261" t="s"/>
      <x:c r="S110" s="81" t="s"/>
      <x:c r="T110" s="209" t="s"/>
      <x:c r="U110" s="210" t="s"/>
    </x:row>
    <x:row r="111" spans="1:23">
      <x:c r="A111" s="76" t="n">
        <x:v>91</x:v>
      </x:c>
      <x:c r="B111" s="76" t="n">
        <x:v>99990011823152</x:v>
      </x:c>
      <x:c r="C111" s="77" t="s">
        <x:v>234</x:v>
      </x:c>
      <x:c r="D111" s="78" t="s">
        <x:v>235</x:v>
      </x:c>
      <x:c r="E111" s="79" t="s"/>
      <x:c r="F111" s="77" t="s"/>
      <x:c r="G111" s="92" t="n">
        <x:v>0</x:v>
      </x:c>
      <x:c r="H111" s="80" t="s">
        <x:v>230</x:v>
      </x:c>
      <x:c r="I111" s="80" t="s"/>
      <x:c r="J111" s="79" t="n">
        <x:v>0</x:v>
      </x:c>
      <x:c r="K111" s="256" t="n">
        <x:v>3</x:v>
      </x:c>
      <x:c r="L111" s="257" t="s"/>
      <x:c r="M111" s="258" t="n">
        <x:v>0</x:v>
      </x:c>
      <x:c r="N111" s="259" t="n">
        <x:v>0</x:v>
      </x:c>
      <x:c r="O111" s="259" t="n">
        <x:v>0</x:v>
      </x:c>
      <x:c r="P111" s="260">
        <x:f>ROUND(((K111*M111) - (K111*M111*N111/100)) + (((K111*M111) - (K111*M111*N111/100)) * O111/100), 2)</x:f>
      </x:c>
      <x:c r="Q111" s="261" t="s"/>
      <x:c r="R111" s="261" t="s"/>
      <x:c r="S111" s="81" t="s"/>
      <x:c r="T111" s="209" t="s"/>
      <x:c r="U111" s="210" t="s"/>
    </x:row>
    <x:row r="112" spans="1:23">
      <x:c r="A112" s="76" t="n">
        <x:v>92</x:v>
      </x:c>
      <x:c r="B112" s="76" t="n">
        <x:v>99990011823154</x:v>
      </x:c>
      <x:c r="C112" s="77" t="s">
        <x:v>236</x:v>
      </x:c>
      <x:c r="D112" s="78" t="s">
        <x:v>237</x:v>
      </x:c>
      <x:c r="E112" s="79" t="s"/>
      <x:c r="F112" s="77" t="s"/>
      <x:c r="G112" s="92" t="n">
        <x:v>0</x:v>
      </x:c>
      <x:c r="H112" s="80" t="s">
        <x:v>230</x:v>
      </x:c>
      <x:c r="I112" s="80" t="s"/>
      <x:c r="J112" s="79" t="n">
        <x:v>0</x:v>
      </x:c>
      <x:c r="K112" s="256" t="n">
        <x:v>3</x:v>
      </x:c>
      <x:c r="L112" s="257" t="s"/>
      <x:c r="M112" s="258" t="n">
        <x:v>0</x:v>
      </x:c>
      <x:c r="N112" s="259" t="n">
        <x:v>0</x:v>
      </x:c>
      <x:c r="O112" s="259" t="n">
        <x:v>0</x:v>
      </x:c>
      <x:c r="P112" s="260">
        <x:f>ROUND(((K112*M112) - (K112*M112*N112/100)) + (((K112*M112) - (K112*M112*N112/100)) * O112/100), 2)</x:f>
      </x:c>
      <x:c r="Q112" s="261" t="s"/>
      <x:c r="R112" s="261" t="s"/>
      <x:c r="S112" s="81" t="s"/>
      <x:c r="T112" s="209" t="s"/>
      <x:c r="U112" s="210" t="s"/>
    </x:row>
    <x:row r="113" spans="1:23">
      <x:c r="A113" s="76" t="n">
        <x:v>93</x:v>
      </x:c>
      <x:c r="B113" s="76" t="n">
        <x:v>99990011823153</x:v>
      </x:c>
      <x:c r="C113" s="77" t="s">
        <x:v>238</x:v>
      </x:c>
      <x:c r="D113" s="78" t="s">
        <x:v>239</x:v>
      </x:c>
      <x:c r="E113" s="79" t="s"/>
      <x:c r="F113" s="77" t="s"/>
      <x:c r="G113" s="92" t="n">
        <x:v>0</x:v>
      </x:c>
      <x:c r="H113" s="80" t="s">
        <x:v>230</x:v>
      </x:c>
      <x:c r="I113" s="80" t="s"/>
      <x:c r="J113" s="79" t="n">
        <x:v>0</x:v>
      </x:c>
      <x:c r="K113" s="256" t="n">
        <x:v>3</x:v>
      </x:c>
      <x:c r="L113" s="257" t="s"/>
      <x:c r="M113" s="258" t="n">
        <x:v>0</x:v>
      </x:c>
      <x:c r="N113" s="259" t="n">
        <x:v>0</x:v>
      </x:c>
      <x:c r="O113" s="259" t="n">
        <x:v>0</x:v>
      </x:c>
      <x:c r="P113" s="260">
        <x:f>ROUND(((K113*M113) - (K113*M113*N113/100)) + (((K113*M113) - (K113*M113*N113/100)) * O113/100), 2)</x:f>
      </x:c>
      <x:c r="Q113" s="261" t="s"/>
      <x:c r="R113" s="261" t="s"/>
      <x:c r="S113" s="81" t="s"/>
      <x:c r="T113" s="209" t="s"/>
      <x:c r="U113" s="210" t="s"/>
    </x:row>
    <x:row r="114" spans="1:23">
      <x:c r="A114" s="76" t="n">
        <x:v>94</x:v>
      </x:c>
      <x:c r="B114" s="76" t="n">
        <x:v>99990011823155</x:v>
      </x:c>
      <x:c r="C114" s="77" t="s">
        <x:v>240</x:v>
      </x:c>
      <x:c r="D114" s="78" t="s">
        <x:v>241</x:v>
      </x:c>
      <x:c r="E114" s="79" t="s"/>
      <x:c r="F114" s="77" t="s"/>
      <x:c r="G114" s="92" t="n">
        <x:v>0</x:v>
      </x:c>
      <x:c r="H114" s="80" t="s">
        <x:v>230</x:v>
      </x:c>
      <x:c r="I114" s="80" t="s"/>
      <x:c r="J114" s="79" t="n">
        <x:v>0</x:v>
      </x:c>
      <x:c r="K114" s="256" t="n">
        <x:v>3</x:v>
      </x:c>
      <x:c r="L114" s="257" t="s"/>
      <x:c r="M114" s="258" t="n">
        <x:v>0</x:v>
      </x:c>
      <x:c r="N114" s="259" t="n">
        <x:v>0</x:v>
      </x:c>
      <x:c r="O114" s="259" t="n">
        <x:v>0</x:v>
      </x:c>
      <x:c r="P114" s="260">
        <x:f>ROUND(((K114*M114) - (K114*M114*N114/100)) + (((K114*M114) - (K114*M114*N114/100)) * O114/100), 2)</x:f>
      </x:c>
      <x:c r="Q114" s="261" t="s"/>
      <x:c r="R114" s="261" t="s"/>
      <x:c r="S114" s="81" t="s"/>
      <x:c r="T114" s="209" t="s"/>
      <x:c r="U114" s="210" t="s"/>
    </x:row>
    <x:row r="115" spans="1:23">
      <x:c r="A115" s="76" t="n">
        <x:v>95</x:v>
      </x:c>
      <x:c r="B115" s="76" t="n">
        <x:v>99990011823151</x:v>
      </x:c>
      <x:c r="C115" s="77" t="s">
        <x:v>242</x:v>
      </x:c>
      <x:c r="D115" s="78" t="s">
        <x:v>243</x:v>
      </x:c>
      <x:c r="E115" s="79" t="s"/>
      <x:c r="F115" s="77" t="s"/>
      <x:c r="G115" s="92" t="n">
        <x:v>0</x:v>
      </x:c>
      <x:c r="H115" s="80" t="s">
        <x:v>230</x:v>
      </x:c>
      <x:c r="I115" s="80" t="s"/>
      <x:c r="J115" s="79" t="n">
        <x:v>0</x:v>
      </x:c>
      <x:c r="K115" s="256" t="n">
        <x:v>3</x:v>
      </x:c>
      <x:c r="L115" s="257" t="s"/>
      <x:c r="M115" s="258" t="n">
        <x:v>0</x:v>
      </x:c>
      <x:c r="N115" s="259" t="n">
        <x:v>0</x:v>
      </x:c>
      <x:c r="O115" s="259" t="n">
        <x:v>0</x:v>
      </x:c>
      <x:c r="P115" s="260">
        <x:f>ROUND(((K115*M115) - (K115*M115*N115/100)) + (((K115*M115) - (K115*M115*N115/100)) * O115/100), 2)</x:f>
      </x:c>
      <x:c r="Q115" s="261" t="s"/>
      <x:c r="R115" s="261" t="s"/>
      <x:c r="S115" s="81" t="s"/>
      <x:c r="T115" s="209" t="s"/>
      <x:c r="U115" s="210" t="s"/>
    </x:row>
    <x:row r="116" spans="1:23">
      <x:c r="A116" s="76" t="n">
        <x:v>96</x:v>
      </x:c>
      <x:c r="B116" s="76" t="n">
        <x:v>99990011921117</x:v>
      </x:c>
      <x:c r="C116" s="77" t="s">
        <x:v>244</x:v>
      </x:c>
      <x:c r="D116" s="78" t="s">
        <x:v>245</x:v>
      </x:c>
      <x:c r="E116" s="79" t="s"/>
      <x:c r="F116" s="77" t="s"/>
      <x:c r="G116" s="92" t="n">
        <x:v>0</x:v>
      </x:c>
      <x:c r="H116" s="80" t="s">
        <x:v>56</x:v>
      </x:c>
      <x:c r="I116" s="80" t="s"/>
      <x:c r="J116" s="79" t="n">
        <x:v>0</x:v>
      </x:c>
      <x:c r="K116" s="256" t="n">
        <x:v>5</x:v>
      </x:c>
      <x:c r="L116" s="257" t="s"/>
      <x:c r="M116" s="258" t="n">
        <x:v>0</x:v>
      </x:c>
      <x:c r="N116" s="259" t="n">
        <x:v>0</x:v>
      </x:c>
      <x:c r="O116" s="259" t="n">
        <x:v>0</x:v>
      </x:c>
      <x:c r="P116" s="260">
        <x:f>ROUND(((K116*M116) - (K116*M116*N116/100)) + (((K116*M116) - (K116*M116*N116/100)) * O116/100), 2)</x:f>
      </x:c>
      <x:c r="Q116" s="261" t="s"/>
      <x:c r="R116" s="261" t="s"/>
      <x:c r="S116" s="81" t="s"/>
      <x:c r="T116" s="209" t="s"/>
      <x:c r="U116" s="210" t="s"/>
    </x:row>
    <x:row r="117" spans="1:23">
      <x:c r="A117" s="76" t="n">
        <x:v>97</x:v>
      </x:c>
      <x:c r="B117" s="76" t="n">
        <x:v>99990011922985</x:v>
      </x:c>
      <x:c r="C117" s="77" t="s">
        <x:v>246</x:v>
      </x:c>
      <x:c r="D117" s="78" t="s">
        <x:v>247</x:v>
      </x:c>
      <x:c r="E117" s="79" t="s"/>
      <x:c r="F117" s="77" t="s"/>
      <x:c r="G117" s="92" t="n">
        <x:v>0</x:v>
      </x:c>
      <x:c r="H117" s="80" t="s">
        <x:v>56</x:v>
      </x:c>
      <x:c r="I117" s="80" t="s"/>
      <x:c r="J117" s="79" t="n">
        <x:v>0</x:v>
      </x:c>
      <x:c r="K117" s="256" t="n">
        <x:v>10</x:v>
      </x:c>
      <x:c r="L117" s="257" t="s"/>
      <x:c r="M117" s="258" t="n">
        <x:v>0</x:v>
      </x:c>
      <x:c r="N117" s="259" t="n">
        <x:v>0</x:v>
      </x:c>
      <x:c r="O117" s="259" t="n">
        <x:v>0</x:v>
      </x:c>
      <x:c r="P117" s="260">
        <x:f>ROUND(((K117*M117) - (K117*M117*N117/100)) + (((K117*M117) - (K117*M117*N117/100)) * O117/100), 2)</x:f>
      </x:c>
      <x:c r="Q117" s="261" t="s"/>
      <x:c r="R117" s="261" t="s"/>
      <x:c r="S117" s="81" t="s"/>
      <x:c r="T117" s="209" t="s"/>
      <x:c r="U117" s="210" t="s"/>
    </x:row>
    <x:row r="118" spans="1:23">
      <x:c r="A118" s="76" t="n">
        <x:v>98</x:v>
      </x:c>
      <x:c r="B118" s="76" t="n">
        <x:v>99990011920793</x:v>
      </x:c>
      <x:c r="C118" s="77" t="s">
        <x:v>248</x:v>
      </x:c>
      <x:c r="D118" s="78" t="s">
        <x:v>249</x:v>
      </x:c>
      <x:c r="E118" s="79" t="s"/>
      <x:c r="F118" s="77" t="s"/>
      <x:c r="G118" s="92" t="n">
        <x:v>0</x:v>
      </x:c>
      <x:c r="H118" s="80" t="s">
        <x:v>56</x:v>
      </x:c>
      <x:c r="I118" s="80" t="s"/>
      <x:c r="J118" s="79" t="n">
        <x:v>0</x:v>
      </x:c>
      <x:c r="K118" s="256" t="n">
        <x:v>5</x:v>
      </x:c>
      <x:c r="L118" s="257" t="s"/>
      <x:c r="M118" s="258" t="n">
        <x:v>0</x:v>
      </x:c>
      <x:c r="N118" s="259" t="n">
        <x:v>0</x:v>
      </x:c>
      <x:c r="O118" s="259" t="n">
        <x:v>0</x:v>
      </x:c>
      <x:c r="P118" s="260">
        <x:f>ROUND(((K118*M118) - (K118*M118*N118/100)) + (((K118*M118) - (K118*M118*N118/100)) * O118/100), 2)</x:f>
      </x:c>
      <x:c r="Q118" s="261" t="s"/>
      <x:c r="R118" s="261" t="s"/>
      <x:c r="S118" s="81" t="s"/>
      <x:c r="T118" s="209" t="s"/>
      <x:c r="U118" s="210" t="s"/>
    </x:row>
    <x:row r="119" spans="1:23">
      <x:c r="A119" s="76" t="n">
        <x:v>99</x:v>
      </x:c>
      <x:c r="B119" s="76" t="n">
        <x:v>99990011923016</x:v>
      </x:c>
      <x:c r="C119" s="77" t="s">
        <x:v>250</x:v>
      </x:c>
      <x:c r="D119" s="78" t="s">
        <x:v>251</x:v>
      </x:c>
      <x:c r="E119" s="79" t="s"/>
      <x:c r="F119" s="77" t="s"/>
      <x:c r="G119" s="92" t="n">
        <x:v>0</x:v>
      </x:c>
      <x:c r="H119" s="80" t="s">
        <x:v>56</x:v>
      </x:c>
      <x:c r="I119" s="80" t="s"/>
      <x:c r="J119" s="79" t="n">
        <x:v>0</x:v>
      </x:c>
      <x:c r="K119" s="256" t="n">
        <x:v>10</x:v>
      </x:c>
      <x:c r="L119" s="257" t="s"/>
      <x:c r="M119" s="258" t="n">
        <x:v>0</x:v>
      </x:c>
      <x:c r="N119" s="259" t="n">
        <x:v>0</x:v>
      </x:c>
      <x:c r="O119" s="259" t="n">
        <x:v>0</x:v>
      </x:c>
      <x:c r="P119" s="260">
        <x:f>ROUND(((K119*M119) - (K119*M119*N119/100)) + (((K119*M119) - (K119*M119*N119/100)) * O119/100), 2)</x:f>
      </x:c>
      <x:c r="Q119" s="261" t="s"/>
      <x:c r="R119" s="261" t="s"/>
      <x:c r="S119" s="81" t="s"/>
      <x:c r="T119" s="209" t="s"/>
      <x:c r="U119" s="210" t="s"/>
    </x:row>
    <x:row r="120" spans="1:23">
      <x:c r="A120" s="76" t="n">
        <x:v>100</x:v>
      </x:c>
      <x:c r="B120" s="76" t="n">
        <x:v>99990011920991</x:v>
      </x:c>
      <x:c r="C120" s="77" t="s">
        <x:v>252</x:v>
      </x:c>
      <x:c r="D120" s="78" t="s">
        <x:v>253</x:v>
      </x:c>
      <x:c r="E120" s="79" t="s"/>
      <x:c r="F120" s="77" t="s"/>
      <x:c r="G120" s="92" t="n">
        <x:v>0</x:v>
      </x:c>
      <x:c r="H120" s="80" t="s">
        <x:v>56</x:v>
      </x:c>
      <x:c r="I120" s="80" t="s"/>
      <x:c r="J120" s="79" t="n">
        <x:v>0</x:v>
      </x:c>
      <x:c r="K120" s="256" t="n">
        <x:v>1</x:v>
      </x:c>
      <x:c r="L120" s="257" t="s"/>
      <x:c r="M120" s="258" t="n">
        <x:v>0</x:v>
      </x:c>
      <x:c r="N120" s="259" t="n">
        <x:v>0</x:v>
      </x:c>
      <x:c r="O120" s="259" t="n">
        <x:v>0</x:v>
      </x:c>
      <x:c r="P120" s="260">
        <x:f>ROUND(((K120*M120) - (K120*M120*N120/100)) + (((K120*M120) - (K120*M120*N120/100)) * O120/100), 2)</x:f>
      </x:c>
      <x:c r="Q120" s="261" t="s"/>
      <x:c r="R120" s="261" t="s"/>
      <x:c r="S120" s="81" t="s"/>
      <x:c r="T120" s="209" t="s"/>
      <x:c r="U120" s="210" t="s"/>
    </x:row>
    <x:row r="121" spans="1:23">
      <x:c r="A121" s="76" t="n">
        <x:v>101</x:v>
      </x:c>
      <x:c r="B121" s="76" t="n">
        <x:v>99990011922693</x:v>
      </x:c>
      <x:c r="C121" s="77" t="s">
        <x:v>254</x:v>
      </x:c>
      <x:c r="D121" s="78" t="s">
        <x:v>255</x:v>
      </x:c>
      <x:c r="E121" s="79" t="s"/>
      <x:c r="F121" s="77" t="s"/>
      <x:c r="G121" s="92" t="n">
        <x:v>0</x:v>
      </x:c>
      <x:c r="H121" s="80" t="s">
        <x:v>56</x:v>
      </x:c>
      <x:c r="I121" s="80" t="s"/>
      <x:c r="J121" s="79" t="n">
        <x:v>0</x:v>
      </x:c>
      <x:c r="K121" s="256" t="n">
        <x:v>50</x:v>
      </x:c>
      <x:c r="L121" s="257" t="s"/>
      <x:c r="M121" s="258" t="n">
        <x:v>0</x:v>
      </x:c>
      <x:c r="N121" s="259" t="n">
        <x:v>0</x:v>
      </x:c>
      <x:c r="O121" s="259" t="n">
        <x:v>0</x:v>
      </x:c>
      <x:c r="P121" s="260">
        <x:f>ROUND(((K121*M121) - (K121*M121*N121/100)) + (((K121*M121) - (K121*M121*N121/100)) * O121/100), 2)</x:f>
      </x:c>
      <x:c r="Q121" s="261" t="s"/>
      <x:c r="R121" s="261" t="s"/>
      <x:c r="S121" s="81" t="s"/>
      <x:c r="T121" s="209" t="s"/>
      <x:c r="U121" s="210" t="s"/>
    </x:row>
    <x:row r="122" spans="1:23">
      <x:c r="A122" s="76" t="n">
        <x:v>102</x:v>
      </x:c>
      <x:c r="B122" s="76" t="n">
        <x:v>99990011922885</x:v>
      </x:c>
      <x:c r="C122" s="77" t="s">
        <x:v>256</x:v>
      </x:c>
      <x:c r="D122" s="78" t="s">
        <x:v>257</x:v>
      </x:c>
      <x:c r="E122" s="79" t="s"/>
      <x:c r="F122" s="77" t="s"/>
      <x:c r="G122" s="92" t="n">
        <x:v>0</x:v>
      </x:c>
      <x:c r="H122" s="80" t="s">
        <x:v>56</x:v>
      </x:c>
      <x:c r="I122" s="80" t="s"/>
      <x:c r="J122" s="79" t="n">
        <x:v>0</x:v>
      </x:c>
      <x:c r="K122" s="256" t="n">
        <x:v>5</x:v>
      </x:c>
      <x:c r="L122" s="257" t="s"/>
      <x:c r="M122" s="258" t="n">
        <x:v>0</x:v>
      </x:c>
      <x:c r="N122" s="259" t="n">
        <x:v>0</x:v>
      </x:c>
      <x:c r="O122" s="259" t="n">
        <x:v>0</x:v>
      </x:c>
      <x:c r="P122" s="260">
        <x:f>ROUND(((K122*M122) - (K122*M122*N122/100)) + (((K122*M122) - (K122*M122*N122/100)) * O122/100), 2)</x:f>
      </x:c>
      <x:c r="Q122" s="261" t="s"/>
      <x:c r="R122" s="261" t="s"/>
      <x:c r="S122" s="81" t="s"/>
      <x:c r="T122" s="209" t="s"/>
      <x:c r="U122" s="210" t="s"/>
    </x:row>
    <x:row r="123" spans="1:23">
      <x:c r="A123" s="76" t="n">
        <x:v>103</x:v>
      </x:c>
      <x:c r="B123" s="76" t="n">
        <x:v>99990011922889</x:v>
      </x:c>
      <x:c r="C123" s="77" t="s">
        <x:v>258</x:v>
      </x:c>
      <x:c r="D123" s="78" t="s">
        <x:v>259</x:v>
      </x:c>
      <x:c r="E123" s="79" t="s"/>
      <x:c r="F123" s="77" t="s"/>
      <x:c r="G123" s="92" t="n">
        <x:v>0</x:v>
      </x:c>
      <x:c r="H123" s="80" t="s">
        <x:v>56</x:v>
      </x:c>
      <x:c r="I123" s="80" t="s"/>
      <x:c r="J123" s="79" t="n">
        <x:v>0</x:v>
      </x:c>
      <x:c r="K123" s="256" t="n">
        <x:v>5</x:v>
      </x:c>
      <x:c r="L123" s="257" t="s"/>
      <x:c r="M123" s="258" t="n">
        <x:v>0</x:v>
      </x:c>
      <x:c r="N123" s="259" t="n">
        <x:v>0</x:v>
      </x:c>
      <x:c r="O123" s="259" t="n">
        <x:v>0</x:v>
      </x:c>
      <x:c r="P123" s="260">
        <x:f>ROUND(((K123*M123) - (K123*M123*N123/100)) + (((K123*M123) - (K123*M123*N123/100)) * O123/100), 2)</x:f>
      </x:c>
      <x:c r="Q123" s="261" t="s"/>
      <x:c r="R123" s="261" t="s"/>
      <x:c r="S123" s="81" t="s"/>
      <x:c r="T123" s="209" t="s"/>
      <x:c r="U123" s="210" t="s"/>
    </x:row>
    <x:row r="124" spans="1:23">
      <x:c r="A124" s="76" t="n">
        <x:v>104</x:v>
      </x:c>
      <x:c r="B124" s="76" t="n">
        <x:v>99990013790521</x:v>
      </x:c>
      <x:c r="C124" s="77" t="n">
        <x:v>2847857</x:v>
      </x:c>
      <x:c r="D124" s="78" t="s">
        <x:v>260</x:v>
      </x:c>
      <x:c r="E124" s="79" t="s"/>
      <x:c r="F124" s="77" t="s"/>
      <x:c r="G124" s="92" t="n">
        <x:v>0</x:v>
      </x:c>
      <x:c r="H124" s="80" t="s">
        <x:v>261</x:v>
      </x:c>
      <x:c r="I124" s="80" t="s"/>
      <x:c r="J124" s="79" t="n">
        <x:v>0</x:v>
      </x:c>
      <x:c r="K124" s="256" t="n">
        <x:v>6</x:v>
      </x:c>
      <x:c r="L124" s="257" t="s"/>
      <x:c r="M124" s="258" t="n">
        <x:v>0</x:v>
      </x:c>
      <x:c r="N124" s="259" t="n">
        <x:v>0</x:v>
      </x:c>
      <x:c r="O124" s="259" t="n">
        <x:v>0</x:v>
      </x:c>
      <x:c r="P124" s="260">
        <x:f>ROUND(((K124*M124) - (K124*M124*N124/100)) + (((K124*M124) - (K124*M124*N124/100)) * O124/100), 2)</x:f>
      </x:c>
      <x:c r="Q124" s="261" t="s"/>
      <x:c r="R124" s="261" t="s"/>
      <x:c r="S124" s="81" t="s"/>
      <x:c r="T124" s="209" t="s"/>
      <x:c r="U124" s="210" t="s"/>
    </x:row>
    <x:row r="125" spans="1:23">
      <x:c r="A125" s="76" t="n">
        <x:v>105</x:v>
      </x:c>
      <x:c r="B125" s="76" t="n">
        <x:v>99990010944613</x:v>
      </x:c>
      <x:c r="C125" s="77" t="s">
        <x:v>262</x:v>
      </x:c>
      <x:c r="D125" s="78" t="s">
        <x:v>263</x:v>
      </x:c>
      <x:c r="E125" s="79" t="s"/>
      <x:c r="F125" s="77" t="s"/>
      <x:c r="G125" s="92" t="n">
        <x:v>0</x:v>
      </x:c>
      <x:c r="H125" s="80" t="s">
        <x:v>228</x:v>
      </x:c>
      <x:c r="I125" s="80" t="s"/>
      <x:c r="J125" s="79" t="n">
        <x:v>0</x:v>
      </x:c>
      <x:c r="K125" s="256" t="n">
        <x:v>2</x:v>
      </x:c>
      <x:c r="L125" s="257" t="s"/>
      <x:c r="M125" s="258" t="n">
        <x:v>0</x:v>
      </x:c>
      <x:c r="N125" s="259" t="n">
        <x:v>0</x:v>
      </x:c>
      <x:c r="O125" s="259" t="n">
        <x:v>0</x:v>
      </x:c>
      <x:c r="P125" s="260">
        <x:f>ROUND(((K125*M125) - (K125*M125*N125/100)) + (((K125*M125) - (K125*M125*N125/100)) * O125/100), 2)</x:f>
      </x:c>
      <x:c r="Q125" s="261" t="s"/>
      <x:c r="R125" s="261" t="s"/>
      <x:c r="S125" s="81" t="s"/>
      <x:c r="T125" s="209" t="s"/>
      <x:c r="U125" s="210" t="s"/>
    </x:row>
    <x:row r="126" spans="1:23">
      <x:c r="A126" s="76" t="n">
        <x:v>106</x:v>
      </x:c>
      <x:c r="B126" s="76" t="n">
        <x:v>99990011920863</x:v>
      </x:c>
      <x:c r="C126" s="77" t="s">
        <x:v>264</x:v>
      </x:c>
      <x:c r="D126" s="78" t="s">
        <x:v>265</x:v>
      </x:c>
      <x:c r="E126" s="79" t="s"/>
      <x:c r="F126" s="77" t="s"/>
      <x:c r="G126" s="92" t="n">
        <x:v>0</x:v>
      </x:c>
      <x:c r="H126" s="80" t="s">
        <x:v>56</x:v>
      </x:c>
      <x:c r="I126" s="80" t="s"/>
      <x:c r="J126" s="79" t="n">
        <x:v>0</x:v>
      </x:c>
      <x:c r="K126" s="256" t="n">
        <x:v>1</x:v>
      </x:c>
      <x:c r="L126" s="257" t="s"/>
      <x:c r="M126" s="258" t="n">
        <x:v>0</x:v>
      </x:c>
      <x:c r="N126" s="259" t="n">
        <x:v>0</x:v>
      </x:c>
      <x:c r="O126" s="259" t="n">
        <x:v>0</x:v>
      </x:c>
      <x:c r="P126" s="260">
        <x:f>ROUND(((K126*M126) - (K126*M126*N126/100)) + (((K126*M126) - (K126*M126*N126/100)) * O126/100), 2)</x:f>
      </x:c>
      <x:c r="Q126" s="261" t="s"/>
      <x:c r="R126" s="261" t="s"/>
      <x:c r="S126" s="81" t="s"/>
      <x:c r="T126" s="209" t="s"/>
      <x:c r="U126" s="210" t="s"/>
    </x:row>
    <x:row r="127" spans="1:23">
      <x:c r="A127" s="76" t="n">
        <x:v>107</x:v>
      </x:c>
      <x:c r="B127" s="76" t="n">
        <x:v>99990011920077</x:v>
      </x:c>
      <x:c r="C127" s="77" t="s">
        <x:v>266</x:v>
      </x:c>
      <x:c r="D127" s="78" t="s">
        <x:v>267</x:v>
      </x:c>
      <x:c r="E127" s="79" t="s"/>
      <x:c r="F127" s="77" t="s"/>
      <x:c r="G127" s="92" t="n">
        <x:v>0</x:v>
      </x:c>
      <x:c r="H127" s="80" t="s">
        <x:v>56</x:v>
      </x:c>
      <x:c r="I127" s="80" t="s"/>
      <x:c r="J127" s="79" t="n">
        <x:v>0</x:v>
      </x:c>
      <x:c r="K127" s="256" t="n">
        <x:v>1</x:v>
      </x:c>
      <x:c r="L127" s="257" t="s"/>
      <x:c r="M127" s="258" t="n">
        <x:v>0</x:v>
      </x:c>
      <x:c r="N127" s="259" t="n">
        <x:v>0</x:v>
      </x:c>
      <x:c r="O127" s="259" t="n">
        <x:v>0</x:v>
      </x:c>
      <x:c r="P127" s="260">
        <x:f>ROUND(((K127*M127) - (K127*M127*N127/100)) + (((K127*M127) - (K127*M127*N127/100)) * O127/100), 2)</x:f>
      </x:c>
      <x:c r="Q127" s="261" t="s"/>
      <x:c r="R127" s="261" t="s"/>
      <x:c r="S127" s="81" t="s"/>
      <x:c r="T127" s="209" t="s"/>
      <x:c r="U127" s="210" t="s"/>
    </x:row>
    <x:row r="128" spans="1:23">
      <x:c r="A128" s="76" t="n">
        <x:v>108</x:v>
      </x:c>
      <x:c r="B128" s="76" t="n">
        <x:v>99990011919887</x:v>
      </x:c>
      <x:c r="C128" s="77" t="s">
        <x:v>268</x:v>
      </x:c>
      <x:c r="D128" s="78" t="s">
        <x:v>269</x:v>
      </x:c>
      <x:c r="E128" s="79" t="s"/>
      <x:c r="F128" s="77" t="s"/>
      <x:c r="G128" s="92" t="n">
        <x:v>0</x:v>
      </x:c>
      <x:c r="H128" s="80" t="s">
        <x:v>177</x:v>
      </x:c>
      <x:c r="I128" s="80" t="s"/>
      <x:c r="J128" s="79" t="n">
        <x:v>0</x:v>
      </x:c>
      <x:c r="K128" s="256" t="n">
        <x:v>2</x:v>
      </x:c>
      <x:c r="L128" s="257" t="s"/>
      <x:c r="M128" s="258" t="n">
        <x:v>0</x:v>
      </x:c>
      <x:c r="N128" s="259" t="n">
        <x:v>0</x:v>
      </x:c>
      <x:c r="O128" s="259" t="n">
        <x:v>0</x:v>
      </x:c>
      <x:c r="P128" s="260">
        <x:f>ROUND(((K128*M128) - (K128*M128*N128/100)) + (((K128*M128) - (K128*M128*N128/100)) * O128/100), 2)</x:f>
      </x:c>
      <x:c r="Q128" s="261" t="s"/>
      <x:c r="R128" s="261" t="s"/>
      <x:c r="S128" s="81" t="s"/>
      <x:c r="T128" s="209" t="s"/>
      <x:c r="U128" s="210" t="s"/>
    </x:row>
    <x:row r="129" spans="1:23">
      <x:c r="A129" s="76" t="n">
        <x:v>109</x:v>
      </x:c>
      <x:c r="B129" s="76" t="n">
        <x:v>99990011919888</x:v>
      </x:c>
      <x:c r="C129" s="77" t="s">
        <x:v>270</x:v>
      </x:c>
      <x:c r="D129" s="78" t="s">
        <x:v>271</x:v>
      </x:c>
      <x:c r="E129" s="79" t="s"/>
      <x:c r="F129" s="77" t="s"/>
      <x:c r="G129" s="92" t="n">
        <x:v>0</x:v>
      </x:c>
      <x:c r="H129" s="80" t="s">
        <x:v>177</x:v>
      </x:c>
      <x:c r="I129" s="80" t="s"/>
      <x:c r="J129" s="79" t="n">
        <x:v>0</x:v>
      </x:c>
      <x:c r="K129" s="256" t="n">
        <x:v>5</x:v>
      </x:c>
      <x:c r="L129" s="257" t="s"/>
      <x:c r="M129" s="258" t="n">
        <x:v>0</x:v>
      </x:c>
      <x:c r="N129" s="259" t="n">
        <x:v>0</x:v>
      </x:c>
      <x:c r="O129" s="259" t="n">
        <x:v>0</x:v>
      </x:c>
      <x:c r="P129" s="260">
        <x:f>ROUND(((K129*M129) - (K129*M129*N129/100)) + (((K129*M129) - (K129*M129*N129/100)) * O129/100), 2)</x:f>
      </x:c>
      <x:c r="Q129" s="261" t="s"/>
      <x:c r="R129" s="261" t="s"/>
      <x:c r="S129" s="81" t="s"/>
      <x:c r="T129" s="209" t="s"/>
      <x:c r="U129" s="210" t="s"/>
    </x:row>
    <x:row r="130" spans="1:23">
      <x:c r="A130" s="76" t="n">
        <x:v>110</x:v>
      </x:c>
      <x:c r="B130" s="76" t="n">
        <x:v>99990011919889</x:v>
      </x:c>
      <x:c r="C130" s="77" t="s">
        <x:v>272</x:v>
      </x:c>
      <x:c r="D130" s="78" t="s">
        <x:v>273</x:v>
      </x:c>
      <x:c r="E130" s="79" t="s"/>
      <x:c r="F130" s="77" t="s"/>
      <x:c r="G130" s="92" t="n">
        <x:v>0</x:v>
      </x:c>
      <x:c r="H130" s="80" t="s">
        <x:v>177</x:v>
      </x:c>
      <x:c r="I130" s="80" t="s"/>
      <x:c r="J130" s="79" t="n">
        <x:v>0</x:v>
      </x:c>
      <x:c r="K130" s="256" t="n">
        <x:v>5</x:v>
      </x:c>
      <x:c r="L130" s="257" t="s"/>
      <x:c r="M130" s="258" t="n">
        <x:v>0</x:v>
      </x:c>
      <x:c r="N130" s="259" t="n">
        <x:v>0</x:v>
      </x:c>
      <x:c r="O130" s="259" t="n">
        <x:v>0</x:v>
      </x:c>
      <x:c r="P130" s="260">
        <x:f>ROUND(((K130*M130) - (K130*M130*N130/100)) + (((K130*M130) - (K130*M130*N130/100)) * O130/100), 2)</x:f>
      </x:c>
      <x:c r="Q130" s="261" t="s"/>
      <x:c r="R130" s="261" t="s"/>
      <x:c r="S130" s="81" t="s"/>
      <x:c r="T130" s="209" t="s"/>
      <x:c r="U130" s="210" t="s"/>
    </x:row>
    <x:row r="131" spans="1:23">
      <x:c r="A131" s="76" t="n">
        <x:v>111</x:v>
      </x:c>
      <x:c r="B131" s="76" t="n">
        <x:v>99990011919890</x:v>
      </x:c>
      <x:c r="C131" s="77" t="s">
        <x:v>274</x:v>
      </x:c>
      <x:c r="D131" s="78" t="s">
        <x:v>275</x:v>
      </x:c>
      <x:c r="E131" s="79" t="s"/>
      <x:c r="F131" s="77" t="s"/>
      <x:c r="G131" s="92" t="n">
        <x:v>0</x:v>
      </x:c>
      <x:c r="H131" s="80" t="s">
        <x:v>177</x:v>
      </x:c>
      <x:c r="I131" s="80" t="s"/>
      <x:c r="J131" s="79" t="n">
        <x:v>0</x:v>
      </x:c>
      <x:c r="K131" s="256" t="n">
        <x:v>5</x:v>
      </x:c>
      <x:c r="L131" s="257" t="s"/>
      <x:c r="M131" s="258" t="n">
        <x:v>0</x:v>
      </x:c>
      <x:c r="N131" s="259" t="n">
        <x:v>0</x:v>
      </x:c>
      <x:c r="O131" s="259" t="n">
        <x:v>0</x:v>
      </x:c>
      <x:c r="P131" s="260">
        <x:f>ROUND(((K131*M131) - (K131*M131*N131/100)) + (((K131*M131) - (K131*M131*N131/100)) * O131/100), 2)</x:f>
      </x:c>
      <x:c r="Q131" s="261" t="s"/>
      <x:c r="R131" s="261" t="s"/>
      <x:c r="S131" s="81" t="s"/>
      <x:c r="T131" s="209" t="s"/>
      <x:c r="U131" s="210" t="s"/>
    </x:row>
    <x:row r="132" spans="1:23">
      <x:c r="A132" s="76" t="n">
        <x:v>112</x:v>
      </x:c>
      <x:c r="B132" s="76" t="n">
        <x:v>99990011919891</x:v>
      </x:c>
      <x:c r="C132" s="77" t="s">
        <x:v>276</x:v>
      </x:c>
      <x:c r="D132" s="78" t="s">
        <x:v>277</x:v>
      </x:c>
      <x:c r="E132" s="79" t="s"/>
      <x:c r="F132" s="77" t="s"/>
      <x:c r="G132" s="92" t="n">
        <x:v>0</x:v>
      </x:c>
      <x:c r="H132" s="80" t="s">
        <x:v>177</x:v>
      </x:c>
      <x:c r="I132" s="80" t="s"/>
      <x:c r="J132" s="79" t="n">
        <x:v>0</x:v>
      </x:c>
      <x:c r="K132" s="256" t="n">
        <x:v>5</x:v>
      </x:c>
      <x:c r="L132" s="257" t="s"/>
      <x:c r="M132" s="258" t="n">
        <x:v>0</x:v>
      </x:c>
      <x:c r="N132" s="259" t="n">
        <x:v>0</x:v>
      </x:c>
      <x:c r="O132" s="259" t="n">
        <x:v>0</x:v>
      </x:c>
      <x:c r="P132" s="260">
        <x:f>ROUND(((K132*M132) - (K132*M132*N132/100)) + (((K132*M132) - (K132*M132*N132/100)) * O132/100), 2)</x:f>
      </x:c>
      <x:c r="Q132" s="261" t="s"/>
      <x:c r="R132" s="261" t="s"/>
      <x:c r="S132" s="81" t="s"/>
      <x:c r="T132" s="209" t="s"/>
      <x:c r="U132" s="210" t="s"/>
    </x:row>
    <x:row r="133" spans="1:23">
      <x:c r="A133" s="76" t="n">
        <x:v>113</x:v>
      </x:c>
      <x:c r="B133" s="76" t="n">
        <x:v>99990011922209</x:v>
      </x:c>
      <x:c r="C133" s="77" t="s">
        <x:v>278</x:v>
      </x:c>
      <x:c r="D133" s="78" t="s">
        <x:v>279</x:v>
      </x:c>
      <x:c r="E133" s="79" t="s"/>
      <x:c r="F133" s="77" t="s"/>
      <x:c r="G133" s="92" t="n">
        <x:v>0</x:v>
      </x:c>
      <x:c r="H133" s="80" t="s">
        <x:v>177</x:v>
      </x:c>
      <x:c r="I133" s="80" t="s"/>
      <x:c r="J133" s="79" t="n">
        <x:v>0</x:v>
      </x:c>
      <x:c r="K133" s="256" t="n">
        <x:v>30</x:v>
      </x:c>
      <x:c r="L133" s="257" t="s"/>
      <x:c r="M133" s="258" t="n">
        <x:v>0</x:v>
      </x:c>
      <x:c r="N133" s="259" t="n">
        <x:v>0</x:v>
      </x:c>
      <x:c r="O133" s="259" t="n">
        <x:v>0</x:v>
      </x:c>
      <x:c r="P133" s="260">
        <x:f>ROUND(((K133*M133) - (K133*M133*N133/100)) + (((K133*M133) - (K133*M133*N133/100)) * O133/100), 2)</x:f>
      </x:c>
      <x:c r="Q133" s="261" t="s"/>
      <x:c r="R133" s="261" t="s"/>
      <x:c r="S133" s="81" t="s"/>
      <x:c r="T133" s="209" t="s"/>
      <x:c r="U133" s="210" t="s"/>
    </x:row>
    <x:row r="134" spans="1:23">
      <x:c r="A134" s="76" t="n">
        <x:v>114</x:v>
      </x:c>
      <x:c r="B134" s="76" t="n">
        <x:v>99990011922207</x:v>
      </x:c>
      <x:c r="C134" s="77" t="s">
        <x:v>280</x:v>
      </x:c>
      <x:c r="D134" s="78" t="s">
        <x:v>281</x:v>
      </x:c>
      <x:c r="E134" s="79" t="s"/>
      <x:c r="F134" s="77" t="s"/>
      <x:c r="G134" s="92" t="n">
        <x:v>0</x:v>
      </x:c>
      <x:c r="H134" s="80" t="s">
        <x:v>177</x:v>
      </x:c>
      <x:c r="I134" s="80" t="s"/>
      <x:c r="J134" s="79" t="n">
        <x:v>0</x:v>
      </x:c>
      <x:c r="K134" s="256" t="n">
        <x:v>30</x:v>
      </x:c>
      <x:c r="L134" s="257" t="s"/>
      <x:c r="M134" s="258" t="n">
        <x:v>0</x:v>
      </x:c>
      <x:c r="N134" s="259" t="n">
        <x:v>0</x:v>
      </x:c>
      <x:c r="O134" s="259" t="n">
        <x:v>0</x:v>
      </x:c>
      <x:c r="P134" s="260">
        <x:f>ROUND(((K134*M134) - (K134*M134*N134/100)) + (((K134*M134) - (K134*M134*N134/100)) * O134/100), 2)</x:f>
      </x:c>
      <x:c r="Q134" s="261" t="s"/>
      <x:c r="R134" s="261" t="s"/>
      <x:c r="S134" s="81" t="s"/>
      <x:c r="T134" s="209" t="s"/>
      <x:c r="U134" s="210" t="s"/>
    </x:row>
    <x:row r="135" spans="1:23">
      <x:c r="A135" s="76" t="n">
        <x:v>115</x:v>
      </x:c>
      <x:c r="B135" s="76" t="n">
        <x:v>99990011922208</x:v>
      </x:c>
      <x:c r="C135" s="77" t="s">
        <x:v>282</x:v>
      </x:c>
      <x:c r="D135" s="78" t="s">
        <x:v>283</x:v>
      </x:c>
      <x:c r="E135" s="79" t="s"/>
      <x:c r="F135" s="77" t="s"/>
      <x:c r="G135" s="92" t="n">
        <x:v>0</x:v>
      </x:c>
      <x:c r="H135" s="80" t="s">
        <x:v>177</x:v>
      </x:c>
      <x:c r="I135" s="80" t="s"/>
      <x:c r="J135" s="79" t="n">
        <x:v>0</x:v>
      </x:c>
      <x:c r="K135" s="256" t="n">
        <x:v>30</x:v>
      </x:c>
      <x:c r="L135" s="257" t="s"/>
      <x:c r="M135" s="258" t="n">
        <x:v>0</x:v>
      </x:c>
      <x:c r="N135" s="259" t="n">
        <x:v>0</x:v>
      </x:c>
      <x:c r="O135" s="259" t="n">
        <x:v>0</x:v>
      </x:c>
      <x:c r="P135" s="260">
        <x:f>ROUND(((K135*M135) - (K135*M135*N135/100)) + (((K135*M135) - (K135*M135*N135/100)) * O135/100), 2)</x:f>
      </x:c>
      <x:c r="Q135" s="261" t="s"/>
      <x:c r="R135" s="261" t="s"/>
      <x:c r="S135" s="81" t="s"/>
      <x:c r="T135" s="209" t="s"/>
      <x:c r="U135" s="210" t="s"/>
    </x:row>
    <x:row r="136" spans="1:23">
      <x:c r="A136" s="76" t="n">
        <x:v>116</x:v>
      </x:c>
      <x:c r="B136" s="76" t="n">
        <x:v>99990011922213</x:v>
      </x:c>
      <x:c r="C136" s="77" t="s">
        <x:v>284</x:v>
      </x:c>
      <x:c r="D136" s="78" t="s">
        <x:v>285</x:v>
      </x:c>
      <x:c r="E136" s="79" t="s"/>
      <x:c r="F136" s="77" t="s"/>
      <x:c r="G136" s="92" t="n">
        <x:v>0</x:v>
      </x:c>
      <x:c r="H136" s="80" t="s">
        <x:v>177</x:v>
      </x:c>
      <x:c r="I136" s="80" t="s"/>
      <x:c r="J136" s="79" t="n">
        <x:v>0</x:v>
      </x:c>
      <x:c r="K136" s="256" t="n">
        <x:v>50</x:v>
      </x:c>
      <x:c r="L136" s="257" t="s"/>
      <x:c r="M136" s="258" t="n">
        <x:v>0</x:v>
      </x:c>
      <x:c r="N136" s="259" t="n">
        <x:v>0</x:v>
      </x:c>
      <x:c r="O136" s="259" t="n">
        <x:v>0</x:v>
      </x:c>
      <x:c r="P136" s="260">
        <x:f>ROUND(((K136*M136) - (K136*M136*N136/100)) + (((K136*M136) - (K136*M136*N136/100)) * O136/100), 2)</x:f>
      </x:c>
      <x:c r="Q136" s="261" t="s"/>
      <x:c r="R136" s="261" t="s"/>
      <x:c r="S136" s="81" t="s"/>
      <x:c r="T136" s="209" t="s"/>
      <x:c r="U136" s="210" t="s"/>
    </x:row>
    <x:row r="137" spans="1:23">
      <x:c r="A137" s="76" t="n">
        <x:v>117</x:v>
      </x:c>
      <x:c r="B137" s="76" t="n">
        <x:v>99990011922610</x:v>
      </x:c>
      <x:c r="C137" s="77" t="s">
        <x:v>286</x:v>
      </x:c>
      <x:c r="D137" s="78" t="s">
        <x:v>287</x:v>
      </x:c>
      <x:c r="E137" s="79" t="s"/>
      <x:c r="F137" s="77" t="s"/>
      <x:c r="G137" s="92" t="n">
        <x:v>0</x:v>
      </x:c>
      <x:c r="H137" s="80" t="s">
        <x:v>56</x:v>
      </x:c>
      <x:c r="I137" s="80" t="s"/>
      <x:c r="J137" s="79" t="n">
        <x:v>0</x:v>
      </x:c>
      <x:c r="K137" s="256" t="n">
        <x:v>50</x:v>
      </x:c>
      <x:c r="L137" s="257" t="s"/>
      <x:c r="M137" s="258" t="n">
        <x:v>0</x:v>
      </x:c>
      <x:c r="N137" s="259" t="n">
        <x:v>0</x:v>
      </x:c>
      <x:c r="O137" s="259" t="n">
        <x:v>0</x:v>
      </x:c>
      <x:c r="P137" s="260">
        <x:f>ROUND(((K137*M137) - (K137*M137*N137/100)) + (((K137*M137) - (K137*M137*N137/100)) * O137/100), 2)</x:f>
      </x:c>
      <x:c r="Q137" s="261" t="s"/>
      <x:c r="R137" s="261" t="s"/>
      <x:c r="S137" s="81" t="s"/>
      <x:c r="T137" s="209" t="s"/>
      <x:c r="U137" s="210" t="s"/>
    </x:row>
    <x:row r="138" spans="1:23">
      <x:c r="A138" s="76" t="n">
        <x:v>118</x:v>
      </x:c>
      <x:c r="B138" s="76" t="n">
        <x:v>99990011922611</x:v>
      </x:c>
      <x:c r="C138" s="77" t="s">
        <x:v>288</x:v>
      </x:c>
      <x:c r="D138" s="78" t="s">
        <x:v>289</x:v>
      </x:c>
      <x:c r="E138" s="79" t="s"/>
      <x:c r="F138" s="77" t="s"/>
      <x:c r="G138" s="92" t="n">
        <x:v>0</x:v>
      </x:c>
      <x:c r="H138" s="80" t="s">
        <x:v>56</x:v>
      </x:c>
      <x:c r="I138" s="80" t="s"/>
      <x:c r="J138" s="79" t="n">
        <x:v>0</x:v>
      </x:c>
      <x:c r="K138" s="256" t="n">
        <x:v>50</x:v>
      </x:c>
      <x:c r="L138" s="257" t="s"/>
      <x:c r="M138" s="258" t="n">
        <x:v>0</x:v>
      </x:c>
      <x:c r="N138" s="259" t="n">
        <x:v>0</x:v>
      </x:c>
      <x:c r="O138" s="259" t="n">
        <x:v>0</x:v>
      </x:c>
      <x:c r="P138" s="260">
        <x:f>ROUND(((K138*M138) - (K138*M138*N138/100)) + (((K138*M138) - (K138*M138*N138/100)) * O138/100), 2)</x:f>
      </x:c>
      <x:c r="Q138" s="261" t="s"/>
      <x:c r="R138" s="261" t="s"/>
      <x:c r="S138" s="81" t="s"/>
      <x:c r="T138" s="209" t="s"/>
      <x:c r="U138" s="210" t="s"/>
    </x:row>
    <x:row r="139" spans="1:23">
      <x:c r="A139" s="76" t="n">
        <x:v>119</x:v>
      </x:c>
      <x:c r="B139" s="76" t="n">
        <x:v>99990011922612</x:v>
      </x:c>
      <x:c r="C139" s="77" t="s">
        <x:v>290</x:v>
      </x:c>
      <x:c r="D139" s="78" t="s">
        <x:v>291</x:v>
      </x:c>
      <x:c r="E139" s="79" t="s"/>
      <x:c r="F139" s="77" t="s"/>
      <x:c r="G139" s="92" t="n">
        <x:v>0</x:v>
      </x:c>
      <x:c r="H139" s="80" t="s">
        <x:v>56</x:v>
      </x:c>
      <x:c r="I139" s="80" t="s"/>
      <x:c r="J139" s="79" t="n">
        <x:v>0</x:v>
      </x:c>
      <x:c r="K139" s="256" t="n">
        <x:v>30</x:v>
      </x:c>
      <x:c r="L139" s="257" t="s"/>
      <x:c r="M139" s="258" t="n">
        <x:v>0</x:v>
      </x:c>
      <x:c r="N139" s="259" t="n">
        <x:v>0</x:v>
      </x:c>
      <x:c r="O139" s="259" t="n">
        <x:v>0</x:v>
      </x:c>
      <x:c r="P139" s="260">
        <x:f>ROUND(((K139*M139) - (K139*M139*N139/100)) + (((K139*M139) - (K139*M139*N139/100)) * O139/100), 2)</x:f>
      </x:c>
      <x:c r="Q139" s="261" t="s"/>
      <x:c r="R139" s="261" t="s"/>
      <x:c r="S139" s="81" t="s"/>
      <x:c r="T139" s="209" t="s"/>
      <x:c r="U139" s="210" t="s"/>
    </x:row>
    <x:row r="140" spans="1:23">
      <x:c r="A140" s="76" t="n">
        <x:v>120</x:v>
      </x:c>
      <x:c r="B140" s="76" t="n">
        <x:v>99990011922609</x:v>
      </x:c>
      <x:c r="C140" s="77" t="s">
        <x:v>292</x:v>
      </x:c>
      <x:c r="D140" s="78" t="s">
        <x:v>293</x:v>
      </x:c>
      <x:c r="E140" s="79" t="s"/>
      <x:c r="F140" s="77" t="s"/>
      <x:c r="G140" s="92" t="n">
        <x:v>0</x:v>
      </x:c>
      <x:c r="H140" s="80" t="s">
        <x:v>56</x:v>
      </x:c>
      <x:c r="I140" s="80" t="s"/>
      <x:c r="J140" s="79" t="n">
        <x:v>0</x:v>
      </x:c>
      <x:c r="K140" s="256" t="n">
        <x:v>50</x:v>
      </x:c>
      <x:c r="L140" s="257" t="s"/>
      <x:c r="M140" s="258" t="n">
        <x:v>0</x:v>
      </x:c>
      <x:c r="N140" s="259" t="n">
        <x:v>0</x:v>
      </x:c>
      <x:c r="O140" s="259" t="n">
        <x:v>0</x:v>
      </x:c>
      <x:c r="P140" s="260">
        <x:f>ROUND(((K140*M140) - (K140*M140*N140/100)) + (((K140*M140) - (K140*M140*N140/100)) * O140/100), 2)</x:f>
      </x:c>
      <x:c r="Q140" s="261" t="s"/>
      <x:c r="R140" s="261" t="s"/>
      <x:c r="S140" s="81" t="s"/>
      <x:c r="T140" s="209" t="s"/>
      <x:c r="U140" s="210" t="s"/>
    </x:row>
    <x:row r="141" spans="1:23">
      <x:c r="A141" s="76" t="n">
        <x:v>121</x:v>
      </x:c>
      <x:c r="B141" s="76" t="n">
        <x:v>99990011921661</x:v>
      </x:c>
      <x:c r="C141" s="77" t="s">
        <x:v>294</x:v>
      </x:c>
      <x:c r="D141" s="78" t="s">
        <x:v>295</x:v>
      </x:c>
      <x:c r="E141" s="79" t="s"/>
      <x:c r="F141" s="77" t="s"/>
      <x:c r="G141" s="92" t="n">
        <x:v>0</x:v>
      </x:c>
      <x:c r="H141" s="80" t="s">
        <x:v>56</x:v>
      </x:c>
      <x:c r="I141" s="80" t="s"/>
      <x:c r="J141" s="79" t="n">
        <x:v>0</x:v>
      </x:c>
      <x:c r="K141" s="256" t="n">
        <x:v>3</x:v>
      </x:c>
      <x:c r="L141" s="257" t="s"/>
      <x:c r="M141" s="258" t="n">
        <x:v>0</x:v>
      </x:c>
      <x:c r="N141" s="259" t="n">
        <x:v>0</x:v>
      </x:c>
      <x:c r="O141" s="259" t="n">
        <x:v>0</x:v>
      </x:c>
      <x:c r="P141" s="260">
        <x:f>ROUND(((K141*M141) - (K141*M141*N141/100)) + (((K141*M141) - (K141*M141*N141/100)) * O141/100), 2)</x:f>
      </x:c>
      <x:c r="Q141" s="261" t="s"/>
      <x:c r="R141" s="261" t="s"/>
      <x:c r="S141" s="81" t="s"/>
      <x:c r="T141" s="209" t="s"/>
      <x:c r="U141" s="210" t="s"/>
    </x:row>
    <x:row r="142" spans="1:23">
      <x:c r="A142" s="76" t="n">
        <x:v>122</x:v>
      </x:c>
      <x:c r="B142" s="76" t="n">
        <x:v>99990008656894</x:v>
      </x:c>
      <x:c r="C142" s="77" t="n">
        <x:v>795436</x:v>
      </x:c>
      <x:c r="D142" s="78" t="s">
        <x:v>296</x:v>
      </x:c>
      <x:c r="E142" s="79" t="s"/>
      <x:c r="F142" s="77" t="s"/>
      <x:c r="G142" s="92" t="n">
        <x:v>0</x:v>
      </x:c>
      <x:c r="H142" s="77" t="s">
        <x:v>59</x:v>
      </x:c>
      <x:c r="I142" s="77" t="s"/>
      <x:c r="J142" s="79" t="n">
        <x:v>2.72</x:v>
      </x:c>
      <x:c r="K142" s="256" t="n">
        <x:v>10</x:v>
      </x:c>
      <x:c r="L142" s="257" t="s"/>
      <x:c r="M142" s="258" t="n">
        <x:v>2.72</x:v>
      </x:c>
      <x:c r="N142" s="259" t="n">
        <x:v>0</x:v>
      </x:c>
      <x:c r="O142" s="259" t="n">
        <x:v>0</x:v>
      </x:c>
      <x:c r="P142" s="260">
        <x:f>ROUND(((K142*M142) - (K142*M142*N142/100)) + (((K142*M142) - (K142*M142*N142/100)) * O142/100), 2)</x:f>
      </x:c>
      <x:c r="Q142" s="261" t="s"/>
      <x:c r="R142" s="261" t="s"/>
      <x:c r="S142" s="81" t="s">
        <x:v>297</x:v>
      </x:c>
      <x:c r="T142" s="209" t="s"/>
      <x:c r="U142" s="210" t="s"/>
    </x:row>
    <x:row r="143" spans="1:23">
      <x:c r="A143" s="76" t="n">
        <x:v>123</x:v>
      </x:c>
      <x:c r="B143" s="76" t="n">
        <x:v>99990010274059</x:v>
      </x:c>
      <x:c r="C143" s="77" t="s">
        <x:v>298</x:v>
      </x:c>
      <x:c r="D143" s="78" t="s">
        <x:v>299</x:v>
      </x:c>
      <x:c r="E143" s="79" t="s"/>
      <x:c r="F143" s="77" t="s"/>
      <x:c r="G143" s="92" t="n">
        <x:v>0</x:v>
      </x:c>
      <x:c r="H143" s="80" t="s">
        <x:v>56</x:v>
      </x:c>
      <x:c r="I143" s="80" t="s"/>
      <x:c r="J143" s="79" t="n">
        <x:v>0</x:v>
      </x:c>
      <x:c r="K143" s="256" t="n">
        <x:v>2</x:v>
      </x:c>
      <x:c r="L143" s="257" t="s"/>
      <x:c r="M143" s="258" t="n">
        <x:v>0</x:v>
      </x:c>
      <x:c r="N143" s="259" t="n">
        <x:v>0</x:v>
      </x:c>
      <x:c r="O143" s="259" t="n">
        <x:v>0</x:v>
      </x:c>
      <x:c r="P143" s="260">
        <x:f>ROUND(((K143*M143) - (K143*M143*N143/100)) + (((K143*M143) - (K143*M143*N143/100)) * O143/100), 2)</x:f>
      </x:c>
      <x:c r="Q143" s="261" t="s"/>
      <x:c r="R143" s="261" t="s"/>
      <x:c r="S143" s="81" t="s"/>
      <x:c r="T143" s="209" t="s"/>
      <x:c r="U143" s="210" t="s"/>
    </x:row>
    <x:row r="144" spans="1:23">
      <x:c r="A144" s="76" t="n">
        <x:v>124</x:v>
      </x:c>
      <x:c r="B144" s="76" t="n">
        <x:v>99990013815757</x:v>
      </x:c>
      <x:c r="C144" s="77" t="n">
        <x:v>2851766</x:v>
      </x:c>
      <x:c r="D144" s="78" t="s">
        <x:v>300</x:v>
      </x:c>
      <x:c r="E144" s="79" t="s"/>
      <x:c r="F144" s="77" t="s"/>
      <x:c r="G144" s="92" t="n">
        <x:v>0</x:v>
      </x:c>
      <x:c r="H144" s="80" t="s">
        <x:v>261</x:v>
      </x:c>
      <x:c r="I144" s="80" t="s"/>
      <x:c r="J144" s="79" t="n">
        <x:v>0</x:v>
      </x:c>
      <x:c r="K144" s="256" t="n">
        <x:v>1</x:v>
      </x:c>
      <x:c r="L144" s="257" t="s"/>
      <x:c r="M144" s="258" t="n">
        <x:v>0</x:v>
      </x:c>
      <x:c r="N144" s="259" t="n">
        <x:v>0</x:v>
      </x:c>
      <x:c r="O144" s="259" t="n">
        <x:v>0</x:v>
      </x:c>
      <x:c r="P144" s="260">
        <x:f>ROUND(((K144*M144) - (K144*M144*N144/100)) + (((K144*M144) - (K144*M144*N144/100)) * O144/100), 2)</x:f>
      </x:c>
      <x:c r="Q144" s="261" t="s"/>
      <x:c r="R144" s="261" t="s"/>
      <x:c r="S144" s="81" t="s"/>
      <x:c r="T144" s="209" t="s"/>
      <x:c r="U144" s="210" t="s"/>
    </x:row>
    <x:row r="145" spans="1:23">
      <x:c r="A145" s="76" t="n">
        <x:v>125</x:v>
      </x:c>
      <x:c r="B145" s="76" t="n">
        <x:v>99990011922545</x:v>
      </x:c>
      <x:c r="C145" s="77" t="s">
        <x:v>301</x:v>
      </x:c>
      <x:c r="D145" s="78" t="s">
        <x:v>302</x:v>
      </x:c>
      <x:c r="E145" s="79" t="s"/>
      <x:c r="F145" s="77" t="s"/>
      <x:c r="G145" s="92" t="n">
        <x:v>0</x:v>
      </x:c>
      <x:c r="H145" s="80" t="s">
        <x:v>56</x:v>
      </x:c>
      <x:c r="I145" s="80" t="s"/>
      <x:c r="J145" s="79" t="n">
        <x:v>0</x:v>
      </x:c>
      <x:c r="K145" s="256" t="n">
        <x:v>50</x:v>
      </x:c>
      <x:c r="L145" s="257" t="s"/>
      <x:c r="M145" s="258" t="n">
        <x:v>0</x:v>
      </x:c>
      <x:c r="N145" s="259" t="n">
        <x:v>0</x:v>
      </x:c>
      <x:c r="O145" s="259" t="n">
        <x:v>0</x:v>
      </x:c>
      <x:c r="P145" s="260">
        <x:f>ROUND(((K145*M145) - (K145*M145*N145/100)) + (((K145*M145) - (K145*M145*N145/100)) * O145/100), 2)</x:f>
      </x:c>
      <x:c r="Q145" s="261" t="s"/>
      <x:c r="R145" s="261" t="s"/>
      <x:c r="S145" s="81" t="s"/>
      <x:c r="T145" s="209" t="s"/>
      <x:c r="U145" s="210" t="s"/>
    </x:row>
    <x:row r="146" spans="1:23">
      <x:c r="A146" s="76" t="n">
        <x:v>126</x:v>
      </x:c>
      <x:c r="B146" s="76" t="n">
        <x:v>99990011922546</x:v>
      </x:c>
      <x:c r="C146" s="77" t="s">
        <x:v>303</x:v>
      </x:c>
      <x:c r="D146" s="78" t="s">
        <x:v>304</x:v>
      </x:c>
      <x:c r="E146" s="79" t="s"/>
      <x:c r="F146" s="77" t="s"/>
      <x:c r="G146" s="92" t="n">
        <x:v>0</x:v>
      </x:c>
      <x:c r="H146" s="80" t="s">
        <x:v>56</x:v>
      </x:c>
      <x:c r="I146" s="80" t="s"/>
      <x:c r="J146" s="79" t="n">
        <x:v>0</x:v>
      </x:c>
      <x:c r="K146" s="256" t="n">
        <x:v>50</x:v>
      </x:c>
      <x:c r="L146" s="257" t="s"/>
      <x:c r="M146" s="258" t="n">
        <x:v>0</x:v>
      </x:c>
      <x:c r="N146" s="259" t="n">
        <x:v>0</x:v>
      </x:c>
      <x:c r="O146" s="259" t="n">
        <x:v>0</x:v>
      </x:c>
      <x:c r="P146" s="260">
        <x:f>ROUND(((K146*M146) - (K146*M146*N146/100)) + (((K146*M146) - (K146*M146*N146/100)) * O146/100), 2)</x:f>
      </x:c>
      <x:c r="Q146" s="261" t="s"/>
      <x:c r="R146" s="261" t="s"/>
      <x:c r="S146" s="81" t="s"/>
      <x:c r="T146" s="209" t="s"/>
      <x:c r="U146" s="210" t="s"/>
    </x:row>
    <x:row r="147" spans="1:23">
      <x:c r="A147" s="76" t="n">
        <x:v>127</x:v>
      </x:c>
      <x:c r="B147" s="76" t="n">
        <x:v>99990011921118</x:v>
      </x:c>
      <x:c r="C147" s="77" t="s">
        <x:v>305</x:v>
      </x:c>
      <x:c r="D147" s="78" t="s">
        <x:v>306</x:v>
      </x:c>
      <x:c r="E147" s="79" t="s"/>
      <x:c r="F147" s="77" t="s"/>
      <x:c r="G147" s="92" t="n">
        <x:v>0</x:v>
      </x:c>
      <x:c r="H147" s="80" t="s">
        <x:v>56</x:v>
      </x:c>
      <x:c r="I147" s="80" t="s"/>
      <x:c r="J147" s="79" t="n">
        <x:v>0</x:v>
      </x:c>
      <x:c r="K147" s="256" t="n">
        <x:v>1</x:v>
      </x:c>
      <x:c r="L147" s="257" t="s"/>
      <x:c r="M147" s="258" t="n">
        <x:v>0</x:v>
      </x:c>
      <x:c r="N147" s="259" t="n">
        <x:v>0</x:v>
      </x:c>
      <x:c r="O147" s="259" t="n">
        <x:v>0</x:v>
      </x:c>
      <x:c r="P147" s="260">
        <x:f>ROUND(((K147*M147) - (K147*M147*N147/100)) + (((K147*M147) - (K147*M147*N147/100)) * O147/100), 2)</x:f>
      </x:c>
      <x:c r="Q147" s="261" t="s"/>
      <x:c r="R147" s="261" t="s"/>
      <x:c r="S147" s="81" t="s"/>
      <x:c r="T147" s="209" t="s"/>
      <x:c r="U147" s="210" t="s"/>
    </x:row>
    <x:row r="148" spans="1:23">
      <x:c r="A148" s="76" t="n">
        <x:v>128</x:v>
      </x:c>
      <x:c r="B148" s="76" t="n">
        <x:v>99990011920634</x:v>
      </x:c>
      <x:c r="C148" s="77" t="s">
        <x:v>307</x:v>
      </x:c>
      <x:c r="D148" s="78" t="s">
        <x:v>308</x:v>
      </x:c>
      <x:c r="E148" s="79" t="s"/>
      <x:c r="F148" s="77" t="s"/>
      <x:c r="G148" s="92" t="n">
        <x:v>0</x:v>
      </x:c>
      <x:c r="H148" s="80" t="s">
        <x:v>56</x:v>
      </x:c>
      <x:c r="I148" s="80" t="s"/>
      <x:c r="J148" s="79" t="n">
        <x:v>0</x:v>
      </x:c>
      <x:c r="K148" s="256" t="n">
        <x:v>5</x:v>
      </x:c>
      <x:c r="L148" s="257" t="s"/>
      <x:c r="M148" s="258" t="n">
        <x:v>0</x:v>
      </x:c>
      <x:c r="N148" s="259" t="n">
        <x:v>0</x:v>
      </x:c>
      <x:c r="O148" s="259" t="n">
        <x:v>0</x:v>
      </x:c>
      <x:c r="P148" s="260">
        <x:f>ROUND(((K148*M148) - (K148*M148*N148/100)) + (((K148*M148) - (K148*M148*N148/100)) * O148/100), 2)</x:f>
      </x:c>
      <x:c r="Q148" s="261" t="s"/>
      <x:c r="R148" s="261" t="s"/>
      <x:c r="S148" s="81" t="s"/>
      <x:c r="T148" s="209" t="s"/>
      <x:c r="U148" s="210" t="s"/>
    </x:row>
    <x:row r="149" spans="1:23">
      <x:c r="A149" s="76" t="n">
        <x:v>129</x:v>
      </x:c>
      <x:c r="B149" s="76" t="n">
        <x:v>99990008655861</x:v>
      </x:c>
      <x:c r="C149" s="77" t="n">
        <x:v>812323</x:v>
      </x:c>
      <x:c r="D149" s="78" t="s">
        <x:v>309</x:v>
      </x:c>
      <x:c r="E149" s="79" t="s"/>
      <x:c r="F149" s="77" t="s"/>
      <x:c r="G149" s="92" t="n">
        <x:v>0</x:v>
      </x:c>
      <x:c r="H149" s="77" t="s">
        <x:v>59</x:v>
      </x:c>
      <x:c r="I149" s="77" t="s"/>
      <x:c r="J149" s="79" t="n">
        <x:v>3.01</x:v>
      </x:c>
      <x:c r="K149" s="256" t="n">
        <x:v>10</x:v>
      </x:c>
      <x:c r="L149" s="257" t="s"/>
      <x:c r="M149" s="258" t="n">
        <x:v>3.01</x:v>
      </x:c>
      <x:c r="N149" s="259" t="n">
        <x:v>0</x:v>
      </x:c>
      <x:c r="O149" s="259" t="n">
        <x:v>0</x:v>
      </x:c>
      <x:c r="P149" s="260">
        <x:f>ROUND(((K149*M149) - (K149*M149*N149/100)) + (((K149*M149) - (K149*M149*N149/100)) * O149/100), 2)</x:f>
      </x:c>
      <x:c r="Q149" s="261" t="s"/>
      <x:c r="R149" s="261" t="s"/>
      <x:c r="S149" s="81" t="s">
        <x:v>310</x:v>
      </x:c>
      <x:c r="T149" s="209" t="s"/>
      <x:c r="U149" s="210" t="s"/>
    </x:row>
    <x:row r="150" spans="1:23">
      <x:c r="A150" s="76" t="n">
        <x:v>130</x:v>
      </x:c>
      <x:c r="B150" s="76" t="n">
        <x:v>99990008655866</x:v>
      </x:c>
      <x:c r="C150" s="77" t="n">
        <x:v>812442</x:v>
      </x:c>
      <x:c r="D150" s="78" t="s">
        <x:v>311</x:v>
      </x:c>
      <x:c r="E150" s="79" t="s"/>
      <x:c r="F150" s="77" t="s"/>
      <x:c r="G150" s="92" t="n">
        <x:v>0</x:v>
      </x:c>
      <x:c r="H150" s="77" t="s">
        <x:v>312</x:v>
      </x:c>
      <x:c r="I150" s="77" t="s"/>
      <x:c r="J150" s="79" t="n">
        <x:v>40.23</x:v>
      </x:c>
      <x:c r="K150" s="256" t="n">
        <x:v>1</x:v>
      </x:c>
      <x:c r="L150" s="257" t="s"/>
      <x:c r="M150" s="258" t="n">
        <x:v>40.23</x:v>
      </x:c>
      <x:c r="N150" s="259" t="n">
        <x:v>0</x:v>
      </x:c>
      <x:c r="O150" s="259" t="n">
        <x:v>0</x:v>
      </x:c>
      <x:c r="P150" s="260">
        <x:f>ROUND(((K150*M150) - (K150*M150*N150/100)) + (((K150*M150) - (K150*M150*N150/100)) * O150/100), 2)</x:f>
      </x:c>
      <x:c r="Q150" s="261" t="s"/>
      <x:c r="R150" s="261" t="s"/>
      <x:c r="S150" s="81" t="s">
        <x:v>313</x:v>
      </x:c>
      <x:c r="T150" s="209" t="s"/>
      <x:c r="U150" s="210" t="s"/>
    </x:row>
    <x:row r="151" spans="1:23">
      <x:c r="A151" s="76" t="n">
        <x:v>131</x:v>
      </x:c>
      <x:c r="B151" s="76" t="n">
        <x:v>99990008657364</x:v>
      </x:c>
      <x:c r="C151" s="77" t="n">
        <x:v>174212</x:v>
      </x:c>
      <x:c r="D151" s="78" t="s">
        <x:v>314</x:v>
      </x:c>
      <x:c r="E151" s="79" t="s"/>
      <x:c r="F151" s="77" t="s"/>
      <x:c r="G151" s="92" t="n">
        <x:v>0</x:v>
      </x:c>
      <x:c r="H151" s="77" t="s">
        <x:v>59</x:v>
      </x:c>
      <x:c r="I151" s="77" t="s"/>
      <x:c r="J151" s="79" t="n">
        <x:v>2.63</x:v>
      </x:c>
      <x:c r="K151" s="256" t="n">
        <x:v>16</x:v>
      </x:c>
      <x:c r="L151" s="257" t="s"/>
      <x:c r="M151" s="258" t="n">
        <x:v>2.63</x:v>
      </x:c>
      <x:c r="N151" s="259" t="n">
        <x:v>0</x:v>
      </x:c>
      <x:c r="O151" s="259" t="n">
        <x:v>0</x:v>
      </x:c>
      <x:c r="P151" s="260">
        <x:f>ROUND(((K151*M151) - (K151*M151*N151/100)) + (((K151*M151) - (K151*M151*N151/100)) * O151/100), 2)</x:f>
      </x:c>
      <x:c r="Q151" s="261" t="s"/>
      <x:c r="R151" s="261" t="s"/>
      <x:c r="S151" s="81" t="s">
        <x:v>315</x:v>
      </x:c>
      <x:c r="T151" s="209" t="s"/>
      <x:c r="U151" s="210" t="s"/>
    </x:row>
    <x:row r="152" spans="1:23">
      <x:c r="A152" s="76" t="n">
        <x:v>132</x:v>
      </x:c>
      <x:c r="B152" s="76" t="n">
        <x:v>99990009574807</x:v>
      </x:c>
      <x:c r="C152" s="77" t="n">
        <x:v>2137672</x:v>
      </x:c>
      <x:c r="D152" s="78" t="s">
        <x:v>316</x:v>
      </x:c>
      <x:c r="E152" s="79" t="s"/>
      <x:c r="F152" s="77" t="s"/>
      <x:c r="G152" s="92" t="n">
        <x:v>0</x:v>
      </x:c>
      <x:c r="H152" s="77" t="s">
        <x:v>56</x:v>
      </x:c>
      <x:c r="I152" s="77" t="s"/>
      <x:c r="J152" s="79" t="n">
        <x:v>1.24</x:v>
      </x:c>
      <x:c r="K152" s="256" t="n">
        <x:v>10</x:v>
      </x:c>
      <x:c r="L152" s="257" t="s"/>
      <x:c r="M152" s="258" t="n">
        <x:v>1.24</x:v>
      </x:c>
      <x:c r="N152" s="259" t="n">
        <x:v>0</x:v>
      </x:c>
      <x:c r="O152" s="259" t="n">
        <x:v>0</x:v>
      </x:c>
      <x:c r="P152" s="260">
        <x:f>ROUND(((K152*M152) - (K152*M152*N152/100)) + (((K152*M152) - (K152*M152*N152/100)) * O152/100), 2)</x:f>
      </x:c>
      <x:c r="Q152" s="261" t="s"/>
      <x:c r="R152" s="261" t="s"/>
      <x:c r="S152" s="81" t="s">
        <x:v>317</x:v>
      </x:c>
      <x:c r="T152" s="209" t="s"/>
      <x:c r="U152" s="210" t="s"/>
    </x:row>
    <x:row r="153" spans="1:23">
      <x:c r="A153" s="76" t="n">
        <x:v>133</x:v>
      </x:c>
      <x:c r="B153" s="76" t="n">
        <x:v>99990009574801</x:v>
      </x:c>
      <x:c r="C153" s="77" t="n">
        <x:v>2137666</x:v>
      </x:c>
      <x:c r="D153" s="78" t="s">
        <x:v>318</x:v>
      </x:c>
      <x:c r="E153" s="79" t="s"/>
      <x:c r="F153" s="77" t="s"/>
      <x:c r="G153" s="92" t="n">
        <x:v>0</x:v>
      </x:c>
      <x:c r="H153" s="77" t="s">
        <x:v>56</x:v>
      </x:c>
      <x:c r="I153" s="77" t="s"/>
      <x:c r="J153" s="79" t="n">
        <x:v>5.1</x:v>
      </x:c>
      <x:c r="K153" s="256" t="n">
        <x:v>10</x:v>
      </x:c>
      <x:c r="L153" s="257" t="s"/>
      <x:c r="M153" s="258" t="n">
        <x:v>5.1</x:v>
      </x:c>
      <x:c r="N153" s="259" t="n">
        <x:v>0</x:v>
      </x:c>
      <x:c r="O153" s="259" t="n">
        <x:v>0</x:v>
      </x:c>
      <x:c r="P153" s="260">
        <x:f>ROUND(((K153*M153) - (K153*M153*N153/100)) + (((K153*M153) - (K153*M153*N153/100)) * O153/100), 2)</x:f>
      </x:c>
      <x:c r="Q153" s="261" t="s"/>
      <x:c r="R153" s="261" t="s"/>
      <x:c r="S153" s="81" t="s">
        <x:v>317</x:v>
      </x:c>
      <x:c r="T153" s="209" t="s"/>
      <x:c r="U153" s="210" t="s"/>
    </x:row>
    <x:row r="154" spans="1:23">
      <x:c r="A154" s="76" t="n">
        <x:v>134</x:v>
      </x:c>
      <x:c r="B154" s="76" t="n">
        <x:v>99990009574805</x:v>
      </x:c>
      <x:c r="C154" s="77" t="n">
        <x:v>2137670</x:v>
      </x:c>
      <x:c r="D154" s="78" t="s">
        <x:v>319</x:v>
      </x:c>
      <x:c r="E154" s="79" t="s"/>
      <x:c r="F154" s="77" t="s"/>
      <x:c r="G154" s="92" t="n">
        <x:v>0</x:v>
      </x:c>
      <x:c r="H154" s="77" t="s">
        <x:v>56</x:v>
      </x:c>
      <x:c r="I154" s="77" t="s"/>
      <x:c r="J154" s="79" t="n">
        <x:v>5.67</x:v>
      </x:c>
      <x:c r="K154" s="256" t="n">
        <x:v>5</x:v>
      </x:c>
      <x:c r="L154" s="257" t="s"/>
      <x:c r="M154" s="258" t="n">
        <x:v>5.67</x:v>
      </x:c>
      <x:c r="N154" s="259" t="n">
        <x:v>0</x:v>
      </x:c>
      <x:c r="O154" s="259" t="n">
        <x:v>0</x:v>
      </x:c>
      <x:c r="P154" s="260">
        <x:f>ROUND(((K154*M154) - (K154*M154*N154/100)) + (((K154*M154) - (K154*M154*N154/100)) * O154/100), 2)</x:f>
      </x:c>
      <x:c r="Q154" s="261" t="s"/>
      <x:c r="R154" s="261" t="s"/>
      <x:c r="S154" s="81" t="s">
        <x:v>317</x:v>
      </x:c>
      <x:c r="T154" s="209" t="s"/>
      <x:c r="U154" s="210" t="s"/>
    </x:row>
    <x:row r="155" spans="1:23">
      <x:c r="A155" s="76" t="n">
        <x:v>135</x:v>
      </x:c>
      <x:c r="B155" s="76" t="n">
        <x:v>99990008180484</x:v>
      </x:c>
      <x:c r="C155" s="77" t="n">
        <x:v>351664</x:v>
      </x:c>
      <x:c r="D155" s="78" t="s">
        <x:v>320</x:v>
      </x:c>
      <x:c r="E155" s="79" t="s"/>
      <x:c r="F155" s="77" t="s"/>
      <x:c r="G155" s="92" t="n">
        <x:v>0</x:v>
      </x:c>
      <x:c r="H155" s="80" t="s">
        <x:v>56</x:v>
      </x:c>
      <x:c r="I155" s="80" t="s"/>
      <x:c r="J155" s="79" t="n">
        <x:v>0</x:v>
      </x:c>
      <x:c r="K155" s="256" t="n">
        <x:v>5</x:v>
      </x:c>
      <x:c r="L155" s="257" t="s"/>
      <x:c r="M155" s="258" t="n">
        <x:v>0</x:v>
      </x:c>
      <x:c r="N155" s="259" t="n">
        <x:v>0</x:v>
      </x:c>
      <x:c r="O155" s="259" t="n">
        <x:v>0</x:v>
      </x:c>
      <x:c r="P155" s="260">
        <x:f>ROUND(((K155*M155) - (K155*M155*N155/100)) + (((K155*M155) - (K155*M155*N155/100)) * O155/100), 2)</x:f>
      </x:c>
      <x:c r="Q155" s="261" t="s"/>
      <x:c r="R155" s="261" t="s"/>
      <x:c r="S155" s="81" t="s"/>
      <x:c r="T155" s="209" t="s"/>
      <x:c r="U155" s="210" t="s"/>
    </x:row>
    <x:row r="156" spans="1:23">
      <x:c r="A156" s="76" t="n">
        <x:v>136</x:v>
      </x:c>
      <x:c r="B156" s="76" t="n">
        <x:v>99990008195239</x:v>
      </x:c>
      <x:c r="C156" s="77" t="n">
        <x:v>651909</x:v>
      </x:c>
      <x:c r="D156" s="78" t="s">
        <x:v>321</x:v>
      </x:c>
      <x:c r="E156" s="79" t="s"/>
      <x:c r="F156" s="77" t="s"/>
      <x:c r="G156" s="92" t="n">
        <x:v>0</x:v>
      </x:c>
      <x:c r="H156" s="80" t="s">
        <x:v>56</x:v>
      </x:c>
      <x:c r="I156" s="80" t="s"/>
      <x:c r="J156" s="79" t="n">
        <x:v>0</x:v>
      </x:c>
      <x:c r="K156" s="256" t="n">
        <x:v>5</x:v>
      </x:c>
      <x:c r="L156" s="257" t="s"/>
      <x:c r="M156" s="258" t="n">
        <x:v>0</x:v>
      </x:c>
      <x:c r="N156" s="259" t="n">
        <x:v>0</x:v>
      </x:c>
      <x:c r="O156" s="259" t="n">
        <x:v>0</x:v>
      </x:c>
      <x:c r="P156" s="260">
        <x:f>ROUND(((K156*M156) - (K156*M156*N156/100)) + (((K156*M156) - (K156*M156*N156/100)) * O156/100), 2)</x:f>
      </x:c>
      <x:c r="Q156" s="261" t="s"/>
      <x:c r="R156" s="261" t="s"/>
      <x:c r="S156" s="81" t="s"/>
      <x:c r="T156" s="209" t="s"/>
      <x:c r="U156" s="210" t="s"/>
    </x:row>
    <x:row r="157" spans="1:23">
      <x:c r="A157" s="76" t="n">
        <x:v>137</x:v>
      </x:c>
      <x:c r="B157" s="76" t="n">
        <x:v>99990008195251</x:v>
      </x:c>
      <x:c r="C157" s="77" t="n">
        <x:v>651918</x:v>
      </x:c>
      <x:c r="D157" s="78" t="s">
        <x:v>322</x:v>
      </x:c>
      <x:c r="E157" s="79" t="s"/>
      <x:c r="F157" s="77" t="s"/>
      <x:c r="G157" s="92" t="n">
        <x:v>0</x:v>
      </x:c>
      <x:c r="H157" s="80" t="s">
        <x:v>56</x:v>
      </x:c>
      <x:c r="I157" s="80" t="s"/>
      <x:c r="J157" s="79" t="n">
        <x:v>0</x:v>
      </x:c>
      <x:c r="K157" s="256" t="n">
        <x:v>6</x:v>
      </x:c>
      <x:c r="L157" s="257" t="s"/>
      <x:c r="M157" s="258" t="n">
        <x:v>0</x:v>
      </x:c>
      <x:c r="N157" s="259" t="n">
        <x:v>0</x:v>
      </x:c>
      <x:c r="O157" s="259" t="n">
        <x:v>0</x:v>
      </x:c>
      <x:c r="P157" s="260">
        <x:f>ROUND(((K157*M157) - (K157*M157*N157/100)) + (((K157*M157) - (K157*M157*N157/100)) * O157/100), 2)</x:f>
      </x:c>
      <x:c r="Q157" s="261" t="s"/>
      <x:c r="R157" s="261" t="s"/>
      <x:c r="S157" s="81" t="s"/>
      <x:c r="T157" s="209" t="s"/>
      <x:c r="U157" s="210" t="s"/>
    </x:row>
    <x:row r="158" spans="1:23">
      <x:c r="A158" s="76" t="n">
        <x:v>138</x:v>
      </x:c>
      <x:c r="B158" s="76" t="n">
        <x:v>99990008655939</x:v>
      </x:c>
      <x:c r="C158" s="77" t="n">
        <x:v>450102</x:v>
      </x:c>
      <x:c r="D158" s="78" t="s">
        <x:v>323</x:v>
      </x:c>
      <x:c r="E158" s="79" t="s"/>
      <x:c r="F158" s="77" t="s"/>
      <x:c r="G158" s="92" t="n">
        <x:v>0</x:v>
      </x:c>
      <x:c r="H158" s="77" t="s">
        <x:v>324</x:v>
      </x:c>
      <x:c r="I158" s="77" t="s"/>
      <x:c r="J158" s="79" t="n">
        <x:v>50.72</x:v>
      </x:c>
      <x:c r="K158" s="256" t="n">
        <x:v>3</x:v>
      </x:c>
      <x:c r="L158" s="257" t="s"/>
      <x:c r="M158" s="258" t="n">
        <x:v>50.72</x:v>
      </x:c>
      <x:c r="N158" s="259" t="n">
        <x:v>0</x:v>
      </x:c>
      <x:c r="O158" s="259" t="n">
        <x:v>0</x:v>
      </x:c>
      <x:c r="P158" s="260">
        <x:f>ROUND(((K158*M158) - (K158*M158*N158/100)) + (((K158*M158) - (K158*M158*N158/100)) * O158/100), 2)</x:f>
      </x:c>
      <x:c r="Q158" s="261" t="s"/>
      <x:c r="R158" s="261" t="s"/>
      <x:c r="S158" s="81" t="s">
        <x:v>325</x:v>
      </x:c>
      <x:c r="T158" s="209" t="s"/>
      <x:c r="U158" s="210" t="s"/>
    </x:row>
    <x:row r="159" spans="1:23">
      <x:c r="A159" s="76" t="n">
        <x:v>139</x:v>
      </x:c>
      <x:c r="B159" s="76" t="n">
        <x:v>99990013824518</x:v>
      </x:c>
      <x:c r="C159" s="77" t="n">
        <x:v>2853493</x:v>
      </x:c>
      <x:c r="D159" s="78" t="s">
        <x:v>326</x:v>
      </x:c>
      <x:c r="E159" s="79" t="s"/>
      <x:c r="F159" s="77" t="s"/>
      <x:c r="G159" s="92" t="n">
        <x:v>0</x:v>
      </x:c>
      <x:c r="H159" s="80" t="s">
        <x:v>261</x:v>
      </x:c>
      <x:c r="I159" s="80" t="s"/>
      <x:c r="J159" s="79" t="n">
        <x:v>0</x:v>
      </x:c>
      <x:c r="K159" s="256" t="n">
        <x:v>2</x:v>
      </x:c>
      <x:c r="L159" s="257" t="s"/>
      <x:c r="M159" s="258" t="n">
        <x:v>0</x:v>
      </x:c>
      <x:c r="N159" s="259" t="n">
        <x:v>0</x:v>
      </x:c>
      <x:c r="O159" s="259" t="n">
        <x:v>0</x:v>
      </x:c>
      <x:c r="P159" s="260">
        <x:f>ROUND(((K159*M159) - (K159*M159*N159/100)) + (((K159*M159) - (K159*M159*N159/100)) * O159/100), 2)</x:f>
      </x:c>
      <x:c r="Q159" s="261" t="s"/>
      <x:c r="R159" s="261" t="s"/>
      <x:c r="S159" s="81" t="s"/>
      <x:c r="T159" s="209" t="s"/>
      <x:c r="U159" s="210" t="s"/>
    </x:row>
    <x:row r="160" spans="1:23">
      <x:c r="A160" s="76" t="n">
        <x:v>140</x:v>
      </x:c>
      <x:c r="B160" s="76" t="n">
        <x:v>99990009696746</x:v>
      </x:c>
      <x:c r="C160" s="77" t="n">
        <x:v>630460</x:v>
      </x:c>
      <x:c r="D160" s="78" t="s">
        <x:v>327</x:v>
      </x:c>
      <x:c r="E160" s="79" t="s"/>
      <x:c r="F160" s="77" t="s"/>
      <x:c r="G160" s="92" t="n">
        <x:v>0</x:v>
      </x:c>
      <x:c r="H160" s="80" t="s">
        <x:v>56</x:v>
      </x:c>
      <x:c r="I160" s="80" t="s"/>
      <x:c r="J160" s="79" t="n">
        <x:v>0</x:v>
      </x:c>
      <x:c r="K160" s="256" t="n">
        <x:v>1</x:v>
      </x:c>
      <x:c r="L160" s="257" t="s"/>
      <x:c r="M160" s="258" t="n">
        <x:v>0</x:v>
      </x:c>
      <x:c r="N160" s="259" t="n">
        <x:v>0</x:v>
      </x:c>
      <x:c r="O160" s="259" t="n">
        <x:v>0</x:v>
      </x:c>
      <x:c r="P160" s="260">
        <x:f>ROUND(((K160*M160) - (K160*M160*N160/100)) + (((K160*M160) - (K160*M160*N160/100)) * O160/100), 2)</x:f>
      </x:c>
      <x:c r="Q160" s="261" t="s"/>
      <x:c r="R160" s="261" t="s"/>
      <x:c r="S160" s="81" t="s"/>
      <x:c r="T160" s="209" t="s"/>
      <x:c r="U160" s="210" t="s"/>
    </x:row>
    <x:row r="161" spans="1:23">
      <x:c r="A161" s="76" t="n">
        <x:v>141</x:v>
      </x:c>
      <x:c r="B161" s="76" t="n">
        <x:v>99990009696747</x:v>
      </x:c>
      <x:c r="C161" s="77" t="n">
        <x:v>630461</x:v>
      </x:c>
      <x:c r="D161" s="78" t="s">
        <x:v>328</x:v>
      </x:c>
      <x:c r="E161" s="79" t="s"/>
      <x:c r="F161" s="77" t="s"/>
      <x:c r="G161" s="92" t="n">
        <x:v>0</x:v>
      </x:c>
      <x:c r="H161" s="80" t="s">
        <x:v>56</x:v>
      </x:c>
      <x:c r="I161" s="80" t="s"/>
      <x:c r="J161" s="79" t="n">
        <x:v>0</x:v>
      </x:c>
      <x:c r="K161" s="256" t="n">
        <x:v>1</x:v>
      </x:c>
      <x:c r="L161" s="257" t="s"/>
      <x:c r="M161" s="258" t="n">
        <x:v>0</x:v>
      </x:c>
      <x:c r="N161" s="259" t="n">
        <x:v>0</x:v>
      </x:c>
      <x:c r="O161" s="259" t="n">
        <x:v>0</x:v>
      </x:c>
      <x:c r="P161" s="260">
        <x:f>ROUND(((K161*M161) - (K161*M161*N161/100)) + (((K161*M161) - (K161*M161*N161/100)) * O161/100), 2)</x:f>
      </x:c>
      <x:c r="Q161" s="261" t="s"/>
      <x:c r="R161" s="261" t="s"/>
      <x:c r="S161" s="81" t="s"/>
      <x:c r="T161" s="209" t="s"/>
      <x:c r="U161" s="210" t="s"/>
    </x:row>
    <x:row r="162" spans="1:23">
      <x:c r="A162" s="76" t="n">
        <x:v>142</x:v>
      </x:c>
      <x:c r="B162" s="76" t="n">
        <x:v>99990011264771</x:v>
      </x:c>
      <x:c r="C162" s="77" t="n">
        <x:v>630463</x:v>
      </x:c>
      <x:c r="D162" s="78" t="s">
        <x:v>329</x:v>
      </x:c>
      <x:c r="E162" s="79" t="s"/>
      <x:c r="F162" s="77" t="s"/>
      <x:c r="G162" s="92" t="n">
        <x:v>0</x:v>
      </x:c>
      <x:c r="H162" s="80" t="s">
        <x:v>56</x:v>
      </x:c>
      <x:c r="I162" s="80" t="s"/>
      <x:c r="J162" s="79" t="n">
        <x:v>0</x:v>
      </x:c>
      <x:c r="K162" s="256" t="n">
        <x:v>1</x:v>
      </x:c>
      <x:c r="L162" s="257" t="s"/>
      <x:c r="M162" s="258" t="n">
        <x:v>0</x:v>
      </x:c>
      <x:c r="N162" s="259" t="n">
        <x:v>0</x:v>
      </x:c>
      <x:c r="O162" s="259" t="n">
        <x:v>0</x:v>
      </x:c>
      <x:c r="P162" s="260">
        <x:f>ROUND(((K162*M162) - (K162*M162*N162/100)) + (((K162*M162) - (K162*M162*N162/100)) * O162/100), 2)</x:f>
      </x:c>
      <x:c r="Q162" s="261" t="s"/>
      <x:c r="R162" s="261" t="s"/>
      <x:c r="S162" s="81" t="s"/>
      <x:c r="T162" s="209" t="s"/>
      <x:c r="U162" s="210" t="s"/>
    </x:row>
    <x:row r="163" spans="1:23">
      <x:c r="A163" s="76" t="n">
        <x:v>143</x:v>
      </x:c>
      <x:c r="B163" s="76" t="n">
        <x:v>99990009573611</x:v>
      </x:c>
      <x:c r="C163" s="77" t="n">
        <x:v>2136561</x:v>
      </x:c>
      <x:c r="D163" s="78" t="s">
        <x:v>330</x:v>
      </x:c>
      <x:c r="E163" s="79" t="s"/>
      <x:c r="F163" s="77" t="s"/>
      <x:c r="G163" s="92" t="n">
        <x:v>0</x:v>
      </x:c>
      <x:c r="H163" s="77" t="s">
        <x:v>56</x:v>
      </x:c>
      <x:c r="I163" s="77" t="s"/>
      <x:c r="J163" s="79" t="n">
        <x:v>0.21</x:v>
      </x:c>
      <x:c r="K163" s="256" t="n">
        <x:v>10</x:v>
      </x:c>
      <x:c r="L163" s="257" t="s"/>
      <x:c r="M163" s="258" t="n">
        <x:v>0.21</x:v>
      </x:c>
      <x:c r="N163" s="259" t="n">
        <x:v>0</x:v>
      </x:c>
      <x:c r="O163" s="259" t="n">
        <x:v>0</x:v>
      </x:c>
      <x:c r="P163" s="260">
        <x:f>ROUND(((K163*M163) - (K163*M163*N163/100)) + (((K163*M163) - (K163*M163*N163/100)) * O163/100), 2)</x:f>
      </x:c>
      <x:c r="Q163" s="261" t="s"/>
      <x:c r="R163" s="261" t="s"/>
      <x:c r="S163" s="81" t="s">
        <x:v>331</x:v>
      </x:c>
      <x:c r="T163" s="209" t="s"/>
      <x:c r="U163" s="210" t="s"/>
    </x:row>
    <x:row r="164" spans="1:23">
      <x:c r="A164" s="76" t="n">
        <x:v>144</x:v>
      </x:c>
      <x:c r="B164" s="76" t="n">
        <x:v>99990011596835</x:v>
      </x:c>
      <x:c r="C164" s="77" t="n">
        <x:v>2583339</x:v>
      </x:c>
      <x:c r="D164" s="78" t="s">
        <x:v>332</x:v>
      </x:c>
      <x:c r="E164" s="79" t="s"/>
      <x:c r="F164" s="77" t="s"/>
      <x:c r="G164" s="92" t="n">
        <x:v>0</x:v>
      </x:c>
      <x:c r="H164" s="80" t="s">
        <x:v>56</x:v>
      </x:c>
      <x:c r="I164" s="80" t="s"/>
      <x:c r="J164" s="79" t="n">
        <x:v>0</x:v>
      </x:c>
      <x:c r="K164" s="256" t="n">
        <x:v>2</x:v>
      </x:c>
      <x:c r="L164" s="257" t="s"/>
      <x:c r="M164" s="258" t="n">
        <x:v>0</x:v>
      </x:c>
      <x:c r="N164" s="259" t="n">
        <x:v>0</x:v>
      </x:c>
      <x:c r="O164" s="259" t="n">
        <x:v>0</x:v>
      </x:c>
      <x:c r="P164" s="260">
        <x:f>ROUND(((K164*M164) - (K164*M164*N164/100)) + (((K164*M164) - (K164*M164*N164/100)) * O164/100), 2)</x:f>
      </x:c>
      <x:c r="Q164" s="261" t="s"/>
      <x:c r="R164" s="261" t="s"/>
      <x:c r="S164" s="81" t="s"/>
      <x:c r="T164" s="209" t="s"/>
      <x:c r="U164" s="210" t="s"/>
    </x:row>
    <x:row r="165" spans="1:23">
      <x:c r="A165" s="76" t="s"/>
      <x:c r="B165" s="76" t="s"/>
      <x:c r="C165" s="77" t="s"/>
      <x:c r="D165" s="78" t="s"/>
      <x:c r="E165" s="79" t="s"/>
      <x:c r="F165" s="77" t="s"/>
      <x:c r="G165" s="92" t="s"/>
      <x:c r="H165" s="77" t="s"/>
      <x:c r="I165" s="77" t="s"/>
      <x:c r="J165" s="79" t="s"/>
      <x:c r="K165" s="262" t="s"/>
      <x:c r="L165" s="263" t="s"/>
      <x:c r="M165" s="264" t="s">
        <x:v>333</x:v>
      </x:c>
      <x:c r="N165" s="265" t="s"/>
      <x:c r="O165" s="265" t="s"/>
      <x:c r="P165" s="260">
        <x:f>SUM(P21:P164)</x:f>
      </x:c>
      <x:c r="Q165" s="266" t="s"/>
      <x:c r="R165" s="266" t="s"/>
      <x:c r="S165" s="81" t="s"/>
      <x:c r="T165" s="209" t="s"/>
      <x:c r="U165" s="210" t="s"/>
    </x:row>
    <x:row r="166" spans="1:23" hidden="1">
      <x:c r="A166" s="76" t="s"/>
      <x:c r="B166" s="76" t="s"/>
      <x:c r="C166" s="77" t="s"/>
      <x:c r="D166" s="78" t="s"/>
      <x:c r="E166" s="79" t="s"/>
      <x:c r="F166" s="77" t="s"/>
      <x:c r="G166" s="92" t="s"/>
      <x:c r="H166" s="80" t="s"/>
      <x:c r="I166" s="80" t="s"/>
      <x:c r="J166" s="79" t="s"/>
      <x:c r="K166" s="262" t="s"/>
      <x:c r="L166" s="257" t="s"/>
      <x:c r="M166" s="267" t="s"/>
      <x:c r="N166" s="268" t="s"/>
      <x:c r="O166" s="268" t="s"/>
      <x:c r="P166" s="260" t="s"/>
      <x:c r="Q166" s="261" t="s"/>
      <x:c r="R166" s="261" t="s"/>
      <x:c r="S166" s="81" t="s"/>
      <x:c r="T166" s="209" t="s"/>
      <x:c r="U166" s="210" t="s"/>
    </x:row>
    <x:row r="167" spans="1:23">
      <x:c r="A167" s="6" t="s"/>
      <x:c r="B167" s="211" t="s"/>
      <x:c r="C167" s="212" t="s"/>
      <x:c r="D167" s="212" t="s"/>
      <x:c r="E167" s="212" t="s"/>
      <x:c r="F167" s="212" t="s"/>
      <x:c r="G167" s="212" t="s"/>
      <x:c r="H167" s="213" t="s"/>
      <x:c r="I167" s="213" t="s"/>
      <x:c r="J167" s="213" t="s"/>
      <x:c r="K167" s="213" t="s"/>
      <x:c r="L167" s="37" t="s"/>
      <x:c r="M167" s="37" t="s"/>
      <x:c r="N167" s="213" t="s"/>
      <x:c r="O167" s="213" t="s"/>
      <x:c r="P167" s="213" t="s"/>
      <x:c r="Q167" s="213" t="s"/>
      <x:c r="R167" s="213" t="s"/>
      <x:c r="S167" s="213" t="s"/>
      <x:c r="T167" s="151" t="s"/>
      <x:c r="U167" s="214" t="s"/>
    </x:row>
    <x:row r="168" spans="1:23" customFormat="1" ht="12.75" customHeight="1">
      <x:c r="A168" s="195" t="s">
        <x:v>39</x:v>
      </x:c>
      <x:c r="B168" s="195" t="s"/>
      <x:c r="C168" s="195" t="s">
        <x:v>334</x:v>
      </x:c>
      <x:c r="D168" s="195" t="s"/>
      <x:c r="E168" s="195" t="s"/>
      <x:c r="F168" s="195" t="s"/>
      <x:c r="G168" s="195" t="s"/>
      <x:c r="H168" s="195" t="s"/>
      <x:c r="I168" s="195" t="s"/>
      <x:c r="J168" s="195" t="s"/>
      <x:c r="K168" s="197" t="s"/>
      <x:c r="L168" s="197" t="s">
        <x:v>335</x:v>
      </x:c>
      <x:c r="M168" s="197" t="s"/>
      <x:c r="N168" s="197" t="s">
        <x:v>48</x:v>
      </x:c>
      <x:c r="O168" s="197" t="s">
        <x:v>49</x:v>
      </x:c>
      <x:c r="P168" s="197" t="s">
        <x:v>336</x:v>
      </x:c>
      <x:c r="Q168" s="197" t="s">
        <x:v>51</x:v>
      </x:c>
      <x:c r="R168" s="197" t="s"/>
      <x:c r="S168" s="197" t="s"/>
      <x:c r="T168" s="197" t="s"/>
      <x:c r="U168" s="198" t="s"/>
    </x:row>
    <x:row r="169" spans="1:23">
      <x:c r="A169" s="215" t="n">
        <x:v>1</x:v>
      </x:c>
      <x:c r="B169" s="215" t="s"/>
      <x:c r="C169" s="216" t="s">
        <x:v>337</x:v>
      </x:c>
      <x:c r="D169" s="217" t="s">
        <x:v>337</x:v>
      </x:c>
      <x:c r="E169" s="217" t="s">
        <x:v>337</x:v>
      </x:c>
      <x:c r="F169" s="217" t="s">
        <x:v>337</x:v>
      </x:c>
      <x:c r="G169" s="217" t="s">
        <x:v>337</x:v>
      </x:c>
      <x:c r="H169" s="217" t="s">
        <x:v>337</x:v>
      </x:c>
      <x:c r="I169" s="217" t="s">
        <x:v>337</x:v>
      </x:c>
      <x:c r="J169" s="217" t="s">
        <x:v>337</x:v>
      </x:c>
      <x:c r="K169" s="218" t="s">
        <x:v>337</x:v>
      </x:c>
      <x:c r="L169" s="219" t="s"/>
      <x:c r="M169" s="220" t="n">
        <x:v>0</x:v>
      </x:c>
      <x:c r="N169" s="220" t="n">
        <x:v>0</x:v>
      </x:c>
      <x:c r="O169" s="221" t="n">
        <x:v>0</x:v>
      </x:c>
      <x:c r="P169" s="222">
        <x:f>ROUND((M169 -(M169*N169/100)+((M169-(M169*N169/100))*O169/100)), 2)</x:f>
      </x:c>
      <x:c r="Q169" s="223" t="s"/>
      <x:c r="R169" s="224" t="s"/>
      <x:c r="S169" s="224" t="s"/>
      <x:c r="T169" s="224" t="s"/>
      <x:c r="U169" s="225" t="s"/>
    </x:row>
    <x:row r="170" spans="1:23">
      <x:c r="A170" s="215" t="n">
        <x:v>2</x:v>
      </x:c>
      <x:c r="B170" s="215" t="s"/>
      <x:c r="C170" s="216" t="s">
        <x:v>338</x:v>
      </x:c>
      <x:c r="D170" s="217" t="s">
        <x:v>338</x:v>
      </x:c>
      <x:c r="E170" s="217" t="s">
        <x:v>338</x:v>
      </x:c>
      <x:c r="F170" s="217" t="s">
        <x:v>338</x:v>
      </x:c>
      <x:c r="G170" s="217" t="s">
        <x:v>338</x:v>
      </x:c>
      <x:c r="H170" s="217" t="s">
        <x:v>338</x:v>
      </x:c>
      <x:c r="I170" s="217" t="s">
        <x:v>338</x:v>
      </x:c>
      <x:c r="J170" s="217" t="s">
        <x:v>338</x:v>
      </x:c>
      <x:c r="K170" s="218" t="s">
        <x:v>338</x:v>
      </x:c>
      <x:c r="L170" s="219" t="s"/>
      <x:c r="M170" s="220" t="n">
        <x:v>0</x:v>
      </x:c>
      <x:c r="N170" s="220" t="n">
        <x:v>0</x:v>
      </x:c>
      <x:c r="O170" s="221" t="n">
        <x:v>0</x:v>
      </x:c>
      <x:c r="P170" s="222">
        <x:f>ROUND((M170 -(M170*N170/100)+((M170-(M170*N170/100))*O170/100)), 2)</x:f>
      </x:c>
      <x:c r="Q170" s="223" t="s"/>
      <x:c r="R170" s="224" t="s"/>
      <x:c r="S170" s="224" t="s"/>
      <x:c r="T170" s="224" t="s"/>
      <x:c r="U170" s="225" t="s">
        <x:v>339</x:v>
      </x:c>
    </x:row>
    <x:row r="171" spans="1:23">
      <x:c r="A171" s="215" t="n">
        <x:v>3</x:v>
      </x:c>
      <x:c r="B171" s="215" t="s"/>
      <x:c r="C171" s="216" t="s"/>
      <x:c r="D171" s="217" t="s"/>
      <x:c r="E171" s="217" t="s"/>
      <x:c r="F171" s="217" t="s"/>
      <x:c r="G171" s="217" t="s"/>
      <x:c r="H171" s="217" t="s"/>
      <x:c r="I171" s="217" t="s"/>
      <x:c r="J171" s="217" t="s"/>
      <x:c r="K171" s="218" t="s"/>
      <x:c r="L171" s="219" t="s"/>
      <x:c r="M171" s="220" t="n">
        <x:v>0</x:v>
      </x:c>
      <x:c r="N171" s="220" t="n">
        <x:v>0</x:v>
      </x:c>
      <x:c r="O171" s="221" t="n">
        <x:v>0</x:v>
      </x:c>
      <x:c r="P171" s="222">
        <x:f>ROUND((M171 -(M171*N171/100)+((M171-(M171*N171/100))*O171/100)), 2)</x:f>
      </x:c>
      <x:c r="Q171" s="223" t="s"/>
      <x:c r="R171" s="224" t="s"/>
      <x:c r="S171" s="224" t="s"/>
      <x:c r="T171" s="224" t="s"/>
      <x:c r="U171" s="225" t="s"/>
    </x:row>
    <x:row r="172" spans="1:23">
      <x:c r="A172" s="215" t="n">
        <x:v>4</x:v>
      </x:c>
      <x:c r="B172" s="215" t="s"/>
      <x:c r="C172" s="216" t="s"/>
      <x:c r="D172" s="217" t="s"/>
      <x:c r="E172" s="217" t="s"/>
      <x:c r="F172" s="217" t="s"/>
      <x:c r="G172" s="217" t="s"/>
      <x:c r="H172" s="217" t="s"/>
      <x:c r="I172" s="217" t="s"/>
      <x:c r="J172" s="217" t="s"/>
      <x:c r="K172" s="218" t="s"/>
      <x:c r="L172" s="219" t="s"/>
      <x:c r="M172" s="220" t="n">
        <x:v>0</x:v>
      </x:c>
      <x:c r="N172" s="220" t="n">
        <x:v>0</x:v>
      </x:c>
      <x:c r="O172" s="221" t="n">
        <x:v>0</x:v>
      </x:c>
      <x:c r="P172" s="222">
        <x:f>ROUND((M172 -(M172*N172/100)+((M172-(M172*N172/100))*O172/100)), 2)</x:f>
      </x:c>
      <x:c r="Q172" s="223" t="s"/>
      <x:c r="R172" s="224" t="s"/>
      <x:c r="S172" s="224" t="s"/>
      <x:c r="T172" s="224" t="s"/>
      <x:c r="U172" s="225" t="s"/>
    </x:row>
    <x:row r="173" spans="1:23" customFormat="1" ht="15.75" customHeight="1">
      <x:c r="A173" s="226" t="s"/>
      <x:c r="B173" s="226" t="s"/>
      <x:c r="C173" s="227" t="s"/>
      <x:c r="D173" s="227" t="s"/>
      <x:c r="E173" s="227" t="s"/>
      <x:c r="F173" s="227" t="s"/>
      <x:c r="G173" s="227" t="s"/>
      <x:c r="H173" s="163" t="s"/>
      <x:c r="I173" s="163" t="s"/>
      <x:c r="J173" s="163" t="s"/>
      <x:c r="K173" s="228" t="s"/>
      <x:c r="L173" s="139" t="s">
        <x:v>333</x:v>
      </x:c>
      <x:c r="M173" s="140" t="s">
        <x:v>333</x:v>
      </x:c>
      <x:c r="N173" s="141" t="s"/>
      <x:c r="O173" s="141" t="s"/>
      <x:c r="P173" s="229">
        <x:f>SUM(SubItemTotal)</x:f>
      </x:c>
      <x:c r="Q173" s="163" t="s"/>
      <x:c r="R173" s="163" t="s"/>
      <x:c r="S173" s="163" t="s"/>
      <x:c r="T173" s="151" t="s"/>
      <x:c r="U173" s="214" t="s"/>
    </x:row>
    <x:row r="174" spans="1:23" customFormat="1" ht="30" customHeight="1">
      <x:c r="A174" s="226" t="s"/>
      <x:c r="B174" s="226" t="s"/>
      <x:c r="C174" s="227" t="s"/>
      <x:c r="D174" s="227" t="s"/>
      <x:c r="E174" s="227" t="s"/>
      <x:c r="F174" s="227" t="s"/>
      <x:c r="G174" s="227" t="s"/>
      <x:c r="H174" s="163" t="s"/>
      <x:c r="I174" s="163" t="s"/>
      <x:c r="J174" s="163" t="s"/>
      <x:c r="K174" s="230" t="s"/>
      <x:c r="L174" s="142" t="s">
        <x:v>340</x:v>
      </x:c>
      <x:c r="M174" s="142" t="s">
        <x:v>340</x:v>
      </x:c>
      <x:c r="N174" s="141" t="s"/>
      <x:c r="O174" s="141" t="s"/>
      <x:c r="P174" s="231">
        <x:f>SUM(P169:P173)</x:f>
      </x:c>
      <x:c r="Q174" s="163" t="s"/>
      <x:c r="R174" s="163" t="s"/>
      <x:c r="S174" s="163" t="s"/>
      <x:c r="T174" s="151" t="s"/>
      <x:c r="U174" s="214" t="s"/>
    </x:row>
    <x:row r="175" spans="1:23" customFormat="1" ht="30" hidden="1" customHeight="1">
      <x:c r="A175" s="232" t="n">
        <x:v>0</x:v>
      </x:c>
      <x:c r="B175" s="232" t="n">
        <x:v>0</x:v>
      </x:c>
      <x:c r="C175" s="233" t="n">
        <x:v>0</x:v>
      </x:c>
      <x:c r="D175" s="227" t="s"/>
      <x:c r="E175" s="227" t="s"/>
      <x:c r="F175" s="234" t="n">
        <x:v>0</x:v>
      </x:c>
      <x:c r="G175" s="227" t="s"/>
      <x:c r="H175" s="227" t="s"/>
      <x:c r="I175" s="227" t="s"/>
      <x:c r="K175" s="235" t="s"/>
      <x:c r="L175" s="227" t="s"/>
      <x:c r="M175" s="236" t="s"/>
      <x:c r="O175" s="227" t="s"/>
      <x:c r="P175" s="237" t="s"/>
      <x:c r="Q175" s="238" t="s"/>
      <x:c r="R175" s="237" t="s"/>
      <x:c r="S175" s="239" t="s"/>
      <x:c r="T175" s="151" t="s"/>
      <x:c r="U175" s="214" t="s"/>
    </x:row>
    <x:row r="176" spans="1:23" customFormat="1" ht="30" customHeight="1">
      <x:c r="A176" s="232" t="s"/>
      <x:c r="B176" s="232" t="s"/>
      <x:c r="C176" s="233" t="s"/>
      <x:c r="D176" s="227" t="s"/>
      <x:c r="E176" s="227" t="s"/>
      <x:c r="F176" s="234" t="s"/>
      <x:c r="G176" s="227" t="s"/>
      <x:c r="H176" s="227" t="s"/>
      <x:c r="I176" s="227" t="s"/>
      <x:c r="K176" s="235" t="s"/>
      <x:c r="L176" s="227" t="s"/>
      <x:c r="M176" s="236" t="s"/>
      <x:c r="O176" s="227" t="s"/>
      <x:c r="P176" s="237" t="s"/>
      <x:c r="Q176" s="238" t="s"/>
      <x:c r="R176" s="237" t="s"/>
      <x:c r="S176" s="239" t="s"/>
      <x:c r="T176" s="151" t="s"/>
      <x:c r="U176" s="214" t="s"/>
    </x:row>
    <x:row r="177" spans="1:23" customFormat="1" ht="30" customHeight="1">
      <x:c r="A177" s="240" t="s">
        <x:v>341</x:v>
      </x:c>
      <x:c r="B177" s="240" t="s"/>
      <x:c r="C177" s="240" t="s"/>
      <x:c r="D177" s="240" t="s"/>
      <x:c r="E177" s="227" t="s"/>
      <x:c r="F177" s="241" t="s"/>
      <x:c r="G177" s="241" t="s"/>
      <x:c r="H177" s="241" t="s"/>
      <x:c r="I177" s="241" t="s"/>
      <x:c r="J177" s="241" t="s"/>
      <x:c r="K177" s="241" t="s"/>
      <x:c r="L177" s="241" t="s"/>
      <x:c r="M177" s="241" t="s"/>
      <x:c r="N177" s="241" t="s"/>
      <x:c r="O177" s="241" t="s"/>
      <x:c r="P177" s="241" t="s"/>
      <x:c r="Q177" s="241" t="s"/>
      <x:c r="R177" s="241" t="s"/>
      <x:c r="S177" s="241" t="s"/>
      <x:c r="T177" s="151" t="s"/>
      <x:c r="U177" s="214" t="s"/>
    </x:row>
    <x:row r="178" spans="1:23" customFormat="1" ht="18.75" customHeight="1">
      <x:c r="A178" s="240" t="s">
        <x:v>342</x:v>
      </x:c>
      <x:c r="B178" s="240" t="s"/>
      <x:c r="C178" s="240" t="s"/>
      <x:c r="D178" s="240" t="s"/>
      <x:c r="E178" s="227" t="s"/>
      <x:c r="F178" s="241" t="s"/>
      <x:c r="G178" s="241" t="s"/>
      <x:c r="H178" s="241" t="s"/>
      <x:c r="I178" s="241" t="s"/>
      <x:c r="J178" s="241" t="s"/>
      <x:c r="K178" s="241" t="s"/>
      <x:c r="L178" s="241" t="s"/>
      <x:c r="M178" s="241" t="s"/>
      <x:c r="N178" s="241" t="s"/>
      <x:c r="O178" s="241" t="s"/>
      <x:c r="P178" s="241" t="s"/>
      <x:c r="Q178" s="241" t="s"/>
      <x:c r="R178" s="241" t="s"/>
      <x:c r="S178" s="241" t="s"/>
      <x:c r="T178" s="151" t="s"/>
      <x:c r="U178" s="214" t="s"/>
    </x:row>
    <x:row r="179" spans="1:23" customFormat="1" ht="15.75" customHeight="1">
      <x:c r="A179" s="240" t="s">
        <x:v>51</x:v>
      </x:c>
      <x:c r="B179" s="240" t="s"/>
      <x:c r="C179" s="240" t="s"/>
      <x:c r="D179" s="240" t="s"/>
      <x:c r="E179" s="242" t="s"/>
      <x:c r="F179" s="243" t="s"/>
      <x:c r="G179" s="243" t="s"/>
      <x:c r="H179" s="243" t="s"/>
      <x:c r="I179" s="243" t="s"/>
      <x:c r="J179" s="243" t="s"/>
      <x:c r="K179" s="243" t="s"/>
      <x:c r="L179" s="243" t="s"/>
      <x:c r="M179" s="243" t="s"/>
      <x:c r="N179" s="243" t="s"/>
      <x:c r="O179" s="243" t="s"/>
      <x:c r="P179" s="243" t="s"/>
      <x:c r="Q179" s="243" t="s"/>
      <x:c r="R179" s="243" t="s"/>
      <x:c r="S179" s="243" t="s"/>
      <x:c r="T179" s="244" t="s"/>
      <x:c r="U179" s="245" t="s"/>
    </x:row>
    <x:row r="180" spans="1:23" customFormat="1" ht="15.75" customHeight="1">
      <x:c r="A180" s="226" t="s"/>
      <x:c r="B180" s="226" t="s"/>
      <x:c r="C180" s="226" t="s"/>
      <x:c r="D180" s="151" t="s"/>
      <x:c r="E180" s="151" t="s"/>
      <x:c r="F180" s="151" t="s"/>
      <x:c r="G180" s="151" t="s"/>
      <x:c r="H180" s="227" t="s"/>
      <x:c r="I180" s="227" t="s"/>
      <x:c r="J180" s="227" t="s"/>
      <x:c r="K180" s="227" t="s"/>
      <x:c r="L180" s="227" t="s"/>
      <x:c r="M180" s="227" t="s"/>
      <x:c r="N180" s="227" t="s"/>
      <x:c r="O180" s="227" t="s"/>
      <x:c r="P180" s="227" t="s"/>
      <x:c r="Q180" s="227" t="s"/>
      <x:c r="R180" s="227" t="s"/>
      <x:c r="S180" s="227" t="s"/>
      <x:c r="T180" s="151" t="s"/>
      <x:c r="U180" s="214" t="s"/>
    </x:row>
    <x:row r="181" spans="1:23" customFormat="1" ht="15" customHeight="1">
      <x:c r="A181" s="195" t="s">
        <x:v>343</x:v>
      </x:c>
      <x:c r="B181" s="195" t="s"/>
      <x:c r="C181" s="195" t="s"/>
      <x:c r="D181" s="195" t="s"/>
      <x:c r="E181" s="195" t="s"/>
      <x:c r="F181" s="195" t="s"/>
      <x:c r="G181" s="195" t="s"/>
      <x:c r="H181" s="195" t="s"/>
      <x:c r="I181" s="195" t="s"/>
      <x:c r="J181" s="195" t="s"/>
      <x:c r="K181" s="195" t="s"/>
      <x:c r="L181" s="195" t="s"/>
      <x:c r="M181" s="195" t="s"/>
      <x:c r="N181" s="195" t="s"/>
      <x:c r="O181" s="195" t="s"/>
      <x:c r="P181" s="195" t="s"/>
      <x:c r="Q181" s="195" t="s"/>
      <x:c r="R181" s="195" t="s"/>
      <x:c r="S181" s="195" t="s"/>
      <x:c r="T181" s="195" t="s"/>
      <x:c r="U181" s="198" t="s"/>
    </x:row>
    <x:row r="182" spans="1:23" customFormat="1" ht="12.75" customHeight="1">
      <x:c r="A182" s="246" t="s">
        <x:v>344</x:v>
      </x:c>
      <x:c r="B182" s="246" t="s"/>
      <x:c r="C182" s="246" t="s"/>
      <x:c r="D182" s="246" t="s"/>
      <x:c r="E182" s="246" t="s"/>
      <x:c r="F182" s="246" t="s"/>
      <x:c r="G182" s="246" t="s"/>
      <x:c r="H182" s="246" t="s"/>
      <x:c r="I182" s="246" t="s"/>
      <x:c r="J182" s="246" t="s"/>
      <x:c r="K182" s="246" t="s"/>
      <x:c r="L182" s="246" t="s"/>
      <x:c r="M182" s="246" t="s"/>
      <x:c r="N182" s="246" t="s"/>
      <x:c r="O182" s="246" t="s"/>
      <x:c r="P182" s="246" t="s"/>
      <x:c r="Q182" s="246" t="s"/>
      <x:c r="R182" s="246" t="s"/>
      <x:c r="S182" s="246" t="s"/>
      <x:c r="T182" s="246" t="s"/>
      <x:c r="U182" s="247" t="s"/>
    </x:row>
    <x:row r="183" spans="1:23" customFormat="1" ht="12.75" customHeight="1">
      <x:c r="A183" s="246" t="s">
        <x:v>345</x:v>
      </x:c>
      <x:c r="B183" s="246" t="s"/>
      <x:c r="C183" s="246" t="s"/>
      <x:c r="D183" s="246" t="s"/>
      <x:c r="E183" s="246" t="s"/>
      <x:c r="F183" s="246" t="s"/>
      <x:c r="G183" s="246" t="s"/>
      <x:c r="H183" s="246" t="s"/>
      <x:c r="I183" s="246" t="s"/>
      <x:c r="J183" s="246" t="s"/>
      <x:c r="K183" s="246" t="s"/>
      <x:c r="L183" s="246" t="s"/>
      <x:c r="M183" s="246" t="s"/>
      <x:c r="N183" s="246" t="s"/>
      <x:c r="O183" s="246" t="s"/>
      <x:c r="P183" s="246" t="s"/>
      <x:c r="Q183" s="246" t="s"/>
      <x:c r="R183" s="246" t="s"/>
      <x:c r="S183" s="246" t="s"/>
      <x:c r="T183" s="246" t="s"/>
      <x:c r="U183" s="247" t="s"/>
    </x:row>
    <x:row r="184" spans="1:23" customFormat="1" ht="7.5" customHeight="1">
      <x:c r="A184" s="248" t="s"/>
      <x:c r="B184" s="248" t="s"/>
      <x:c r="C184" s="248" t="s"/>
      <x:c r="D184" s="248" t="s"/>
      <x:c r="E184" s="248" t="s"/>
      <x:c r="F184" s="248" t="s"/>
      <x:c r="G184" s="248" t="s"/>
      <x:c r="H184" s="248" t="s"/>
      <x:c r="I184" s="248" t="s"/>
      <x:c r="J184" s="248" t="s"/>
      <x:c r="K184" s="248" t="s"/>
      <x:c r="L184" s="248" t="s"/>
      <x:c r="M184" s="248" t="s"/>
      <x:c r="N184" s="248" t="s"/>
      <x:c r="O184" s="248" t="s"/>
      <x:c r="P184" s="248" t="s"/>
      <x:c r="Q184" s="248" t="s"/>
      <x:c r="R184" s="248" t="s"/>
      <x:c r="S184" s="248" t="s"/>
      <x:c r="T184" s="248" t="s"/>
      <x:c r="U184" s="249" t="s"/>
    </x:row>
    <x:row r="185" spans="1:23" customFormat="1" ht="12.75" customHeight="1">
      <x:c r="A185" s="250" t="s">
        <x:v>346</x:v>
      </x:c>
      <x:c r="B185" s="250" t="s"/>
      <x:c r="C185" s="250" t="s"/>
      <x:c r="D185" s="250" t="s"/>
      <x:c r="E185" s="250" t="s"/>
      <x:c r="F185" s="250" t="s"/>
      <x:c r="G185" s="250" t="s"/>
      <x:c r="H185" s="250" t="s"/>
      <x:c r="I185" s="250" t="s"/>
      <x:c r="J185" s="250" t="s"/>
      <x:c r="K185" s="250" t="s"/>
      <x:c r="L185" s="250" t="s"/>
      <x:c r="M185" s="250" t="s"/>
      <x:c r="N185" s="250" t="s"/>
      <x:c r="O185" s="250" t="s"/>
      <x:c r="P185" s="250" t="s"/>
      <x:c r="Q185" s="250" t="s"/>
      <x:c r="R185" s="250" t="s"/>
      <x:c r="S185" s="250" t="s"/>
      <x:c r="T185" s="250" t="s"/>
      <x:c r="U185" s="251" t="s"/>
    </x:row>
    <x:row r="186" spans="1:23" customFormat="1" ht="12.75" customHeight="1">
      <x:c r="A186" s="250" t="s">
        <x:v>347</x:v>
      </x:c>
      <x:c r="B186" s="250" t="s"/>
      <x:c r="C186" s="250" t="s"/>
      <x:c r="D186" s="250" t="s"/>
      <x:c r="E186" s="250" t="s"/>
      <x:c r="F186" s="250" t="s"/>
      <x:c r="G186" s="250" t="s"/>
      <x:c r="H186" s="250" t="s"/>
      <x:c r="I186" s="250" t="s"/>
      <x:c r="J186" s="250" t="s"/>
      <x:c r="K186" s="250" t="s"/>
      <x:c r="L186" s="250" t="s"/>
      <x:c r="M186" s="250" t="s"/>
      <x:c r="N186" s="250" t="s"/>
      <x:c r="O186" s="250" t="s"/>
      <x:c r="P186" s="250" t="s"/>
      <x:c r="Q186" s="250" t="s"/>
      <x:c r="R186" s="250" t="s"/>
      <x:c r="S186" s="250" t="s"/>
      <x:c r="T186" s="250" t="s"/>
      <x:c r="U186" s="251" t="s"/>
    </x:row>
    <x:row r="187" spans="1:23" customFormat="1" ht="12.75" customHeight="1">
      <x:c r="A187" s="250" t="s">
        <x:v>348</x:v>
      </x:c>
      <x:c r="B187" s="250" t="s"/>
      <x:c r="C187" s="250" t="s"/>
      <x:c r="D187" s="250" t="s"/>
      <x:c r="E187" s="250" t="s"/>
      <x:c r="F187" s="250" t="s"/>
      <x:c r="G187" s="250" t="s"/>
      <x:c r="H187" s="250" t="s"/>
      <x:c r="I187" s="250" t="s"/>
      <x:c r="J187" s="250" t="s"/>
      <x:c r="K187" s="250" t="s"/>
      <x:c r="L187" s="250" t="s"/>
      <x:c r="M187" s="250" t="s"/>
      <x:c r="N187" s="250" t="s"/>
      <x:c r="O187" s="250" t="s"/>
      <x:c r="P187" s="250" t="s"/>
      <x:c r="Q187" s="250" t="s"/>
      <x:c r="R187" s="250" t="s"/>
      <x:c r="S187" s="250" t="s"/>
      <x:c r="T187" s="250" t="s"/>
      <x:c r="U187" s="251" t="s"/>
    </x:row>
    <x:row r="188" spans="1:23" customFormat="1" ht="7.5" customHeight="1">
      <x:c r="A188" s="250" t="s"/>
      <x:c r="B188" s="250" t="s"/>
      <x:c r="C188" s="250" t="s"/>
      <x:c r="D188" s="250" t="s"/>
      <x:c r="E188" s="250" t="s"/>
      <x:c r="F188" s="250" t="s"/>
      <x:c r="G188" s="250" t="s"/>
      <x:c r="H188" s="250" t="s"/>
      <x:c r="I188" s="250" t="s"/>
      <x:c r="J188" s="250" t="s"/>
      <x:c r="K188" s="250" t="s"/>
      <x:c r="L188" s="250" t="s"/>
      <x:c r="M188" s="250" t="s"/>
      <x:c r="N188" s="250" t="s"/>
      <x:c r="O188" s="250" t="s"/>
      <x:c r="P188" s="250" t="s"/>
      <x:c r="Q188" s="250" t="s"/>
      <x:c r="R188" s="250" t="s"/>
      <x:c r="S188" s="250" t="s"/>
      <x:c r="T188" s="250" t="s"/>
      <x:c r="U188" s="251" t="s"/>
    </x:row>
    <x:row r="189" spans="1:23" customFormat="1" ht="12.75" customHeight="1">
      <x:c r="A189" s="252" t="s">
        <x:v>349</x:v>
      </x:c>
      <x:c r="B189" s="252" t="s"/>
      <x:c r="C189" s="252" t="s"/>
      <x:c r="D189" s="252" t="s"/>
      <x:c r="E189" s="252" t="s"/>
      <x:c r="F189" s="252" t="s"/>
      <x:c r="G189" s="252" t="s"/>
      <x:c r="H189" s="252" t="s"/>
      <x:c r="I189" s="252" t="s"/>
      <x:c r="J189" s="252" t="s"/>
      <x:c r="K189" s="252" t="s"/>
      <x:c r="L189" s="252" t="s"/>
      <x:c r="M189" s="252" t="s"/>
      <x:c r="N189" s="252" t="s"/>
      <x:c r="O189" s="252" t="s"/>
      <x:c r="P189" s="252" t="s"/>
      <x:c r="Q189" s="252" t="s"/>
      <x:c r="R189" s="252" t="s"/>
      <x:c r="S189" s="252" t="s"/>
      <x:c r="T189" s="252" t="s"/>
      <x:c r="U189" s="253" t="s"/>
    </x:row>
    <x:row r="190" spans="1:23" customFormat="1" ht="12.75" customHeight="1">
      <x:c r="A190" s="254" t="s">
        <x:v>350</x:v>
      </x:c>
      <x:c r="B190" s="254" t="s"/>
      <x:c r="C190" s="254" t="s"/>
      <x:c r="D190" s="254" t="s"/>
      <x:c r="E190" s="254" t="s"/>
      <x:c r="F190" s="254" t="s"/>
      <x:c r="G190" s="254" t="s"/>
      <x:c r="H190" s="254" t="s"/>
      <x:c r="I190" s="254" t="s"/>
      <x:c r="J190" s="254" t="s"/>
      <x:c r="K190" s="254" t="s"/>
      <x:c r="L190" s="254" t="s"/>
      <x:c r="M190" s="254" t="s"/>
      <x:c r="N190" s="254" t="s"/>
      <x:c r="O190" s="254" t="s"/>
      <x:c r="P190" s="254" t="s"/>
      <x:c r="Q190" s="254" t="s"/>
      <x:c r="R190" s="254" t="s"/>
      <x:c r="S190" s="254" t="s"/>
      <x:c r="T190" s="254" t="s"/>
      <x:c r="U190" s="255" t="s"/>
    </x:row>
    <x:row r="191" spans="1:23" customFormat="1" ht="12.75" customHeight="1">
      <x:c r="A191" s="254" t="s">
        <x:v>351</x:v>
      </x:c>
      <x:c r="B191" s="254" t="s"/>
      <x:c r="C191" s="254" t="s"/>
      <x:c r="D191" s="254" t="s"/>
      <x:c r="E191" s="254" t="s"/>
      <x:c r="F191" s="254" t="s"/>
      <x:c r="G191" s="254" t="s"/>
      <x:c r="H191" s="254" t="s"/>
      <x:c r="I191" s="254" t="s"/>
      <x:c r="J191" s="254" t="s"/>
      <x:c r="K191" s="254" t="s"/>
      <x:c r="L191" s="254" t="s"/>
      <x:c r="M191" s="254" t="s"/>
      <x:c r="N191" s="254" t="s"/>
      <x:c r="O191" s="254" t="s"/>
      <x:c r="P191" s="254" t="s"/>
      <x:c r="Q191" s="254" t="s"/>
      <x:c r="R191" s="254" t="s"/>
      <x:c r="S191" s="254" t="s"/>
      <x:c r="T191" s="254" t="s"/>
      <x:c r="U191" s="255" t="s"/>
    </x:row>
    <x:row r="192" spans="1:23" customFormat="1" ht="12.75" customHeight="1">
      <x:c r="A192" s="250" t="s">
        <x:v>352</x:v>
      </x:c>
      <x:c r="B192" s="250" t="s"/>
      <x:c r="C192" s="250" t="s"/>
      <x:c r="D192" s="250" t="s"/>
      <x:c r="E192" s="250" t="s"/>
      <x:c r="F192" s="250" t="s"/>
      <x:c r="G192" s="250" t="s"/>
      <x:c r="H192" s="250" t="s"/>
      <x:c r="I192" s="250" t="s"/>
      <x:c r="J192" s="250" t="s"/>
      <x:c r="K192" s="250" t="s"/>
      <x:c r="L192" s="250" t="s"/>
      <x:c r="M192" s="250" t="s"/>
      <x:c r="N192" s="250" t="s"/>
      <x:c r="O192" s="250" t="s"/>
      <x:c r="P192" s="250" t="s"/>
      <x:c r="Q192" s="250" t="s"/>
      <x:c r="R192" s="250" t="s"/>
      <x:c r="S192" s="250" t="s"/>
      <x:c r="T192" s="250" t="s"/>
      <x:c r="U192" s="251" t="s"/>
    </x:row>
    <x:row r="193" spans="1:23" customFormat="1" ht="12.75" customHeight="1">
      <x:c r="A193" s="254" t="s">
        <x:v>353</x:v>
      </x:c>
      <x:c r="B193" s="254" t="s"/>
      <x:c r="C193" s="254" t="s"/>
      <x:c r="D193" s="254" t="s"/>
      <x:c r="E193" s="254" t="s"/>
      <x:c r="F193" s="254" t="s"/>
      <x:c r="G193" s="254" t="s"/>
      <x:c r="H193" s="254" t="s"/>
      <x:c r="I193" s="254" t="s"/>
      <x:c r="J193" s="254" t="s"/>
      <x:c r="K193" s="254" t="s"/>
      <x:c r="L193" s="254" t="s"/>
      <x:c r="M193" s="254" t="s"/>
      <x:c r="N193" s="254" t="s"/>
      <x:c r="O193" s="254" t="s"/>
      <x:c r="P193" s="254" t="s"/>
      <x:c r="Q193" s="254" t="s"/>
      <x:c r="R193" s="254" t="s"/>
      <x:c r="S193" s="254" t="s"/>
      <x:c r="T193" s="254" t="s"/>
      <x:c r="U193" s="255" t="s"/>
    </x:row>
    <x:row r="194" spans="1:23" customFormat="1" ht="12.75" customHeight="1">
      <x:c r="A194" s="254" t="s">
        <x:v>354</x:v>
      </x:c>
      <x:c r="B194" s="254" t="s"/>
      <x:c r="C194" s="254" t="s"/>
      <x:c r="D194" s="254" t="s"/>
      <x:c r="E194" s="254" t="s"/>
      <x:c r="F194" s="254" t="s"/>
      <x:c r="G194" s="254" t="s"/>
      <x:c r="H194" s="254" t="s"/>
      <x:c r="I194" s="254" t="s"/>
      <x:c r="J194" s="254" t="s"/>
      <x:c r="K194" s="254" t="s"/>
      <x:c r="L194" s="254" t="s"/>
      <x:c r="M194" s="254" t="s"/>
      <x:c r="N194" s="254" t="s"/>
      <x:c r="O194" s="254" t="s"/>
      <x:c r="P194" s="254" t="s"/>
      <x:c r="Q194" s="254" t="s"/>
      <x:c r="R194" s="254" t="s"/>
      <x:c r="S194" s="254" t="s"/>
      <x:c r="T194" s="254" t="s"/>
      <x:c r="U194" s="255" t="s"/>
    </x:row>
    <x:row r="195" spans="1:23" customFormat="1" ht="12" customHeight="1">
      <x:c r="A195" s="254" t="s">
        <x:v>355</x:v>
      </x:c>
      <x:c r="B195" s="254" t="s"/>
      <x:c r="C195" s="254" t="s"/>
      <x:c r="D195" s="254" t="s"/>
      <x:c r="E195" s="254" t="s"/>
      <x:c r="F195" s="254" t="s"/>
      <x:c r="G195" s="254" t="s"/>
      <x:c r="H195" s="254" t="s"/>
      <x:c r="I195" s="254" t="s"/>
      <x:c r="J195" s="254" t="s"/>
      <x:c r="K195" s="254" t="s"/>
      <x:c r="L195" s="254" t="s"/>
      <x:c r="M195" s="254" t="s"/>
      <x:c r="N195" s="254" t="s"/>
      <x:c r="O195" s="254" t="s"/>
      <x:c r="P195" s="254" t="s"/>
      <x:c r="Q195" s="254" t="s"/>
      <x:c r="R195" s="254" t="s"/>
      <x:c r="S195" s="254" t="s"/>
      <x:c r="T195" s="254" t="s"/>
      <x:c r="U195" s="251" t="s"/>
    </x:row>
    <x:row r="196" spans="1:23" customFormat="1" ht="12.75" customHeight="1">
      <x:c r="A196" s="252" t="s">
        <x:v>356</x:v>
      </x:c>
      <x:c r="B196" s="252" t="s"/>
      <x:c r="C196" s="252" t="s"/>
      <x:c r="D196" s="252" t="s"/>
      <x:c r="E196" s="252" t="s"/>
      <x:c r="F196" s="252" t="s"/>
      <x:c r="G196" s="252" t="s"/>
      <x:c r="H196" s="252" t="s"/>
      <x:c r="I196" s="252" t="s"/>
      <x:c r="J196" s="252" t="s"/>
      <x:c r="K196" s="252" t="s"/>
      <x:c r="L196" s="252" t="s"/>
      <x:c r="M196" s="252" t="s"/>
      <x:c r="N196" s="252" t="s"/>
      <x:c r="O196" s="252" t="s"/>
      <x:c r="P196" s="252" t="s"/>
      <x:c r="Q196" s="252" t="s"/>
      <x:c r="R196" s="252" t="s"/>
      <x:c r="S196" s="252" t="s"/>
      <x:c r="T196" s="252" t="s"/>
      <x:c r="U196" s="253" t="s"/>
    </x:row>
    <x:row r="197" spans="1:23" customFormat="1" ht="12.75" customHeight="1">
      <x:c r="A197" s="250" t="s">
        <x:v>357</x:v>
      </x:c>
      <x:c r="B197" s="250" t="s"/>
      <x:c r="C197" s="250" t="s"/>
      <x:c r="D197" s="250" t="s"/>
      <x:c r="E197" s="250" t="s"/>
      <x:c r="F197" s="250" t="s"/>
      <x:c r="G197" s="250" t="s"/>
      <x:c r="H197" s="250" t="s"/>
      <x:c r="I197" s="250" t="s"/>
      <x:c r="J197" s="250" t="s"/>
      <x:c r="K197" s="250" t="s"/>
      <x:c r="L197" s="250" t="s"/>
      <x:c r="M197" s="250" t="s"/>
      <x:c r="N197" s="250" t="s"/>
      <x:c r="O197" s="250" t="s"/>
      <x:c r="P197" s="250" t="s"/>
      <x:c r="Q197" s="250" t="s"/>
      <x:c r="R197" s="250" t="s"/>
      <x:c r="S197" s="250" t="s"/>
      <x:c r="T197" s="250" t="s"/>
      <x:c r="U197" s="251" t="s"/>
    </x:row>
    <x:row r="198" spans="1:23" customFormat="1" ht="12.75" customHeight="1">
      <x:c r="A198" s="250" t="s">
        <x:v>358</x:v>
      </x:c>
      <x:c r="B198" s="250" t="s"/>
      <x:c r="C198" s="250" t="s"/>
      <x:c r="D198" s="250" t="s"/>
      <x:c r="E198" s="250" t="s"/>
      <x:c r="F198" s="250" t="s"/>
      <x:c r="G198" s="250" t="s"/>
      <x:c r="H198" s="250" t="s"/>
      <x:c r="I198" s="250" t="s"/>
      <x:c r="J198" s="250" t="s"/>
      <x:c r="K198" s="250" t="s"/>
      <x:c r="L198" s="250" t="s"/>
      <x:c r="M198" s="250" t="s"/>
      <x:c r="N198" s="250" t="s"/>
      <x:c r="O198" s="250" t="s"/>
      <x:c r="P198" s="250" t="s"/>
      <x:c r="Q198" s="250" t="s"/>
      <x:c r="R198" s="250" t="s"/>
      <x:c r="S198" s="250" t="s"/>
      <x:c r="T198" s="250" t="s"/>
      <x:c r="U198" s="251" t="s"/>
    </x:row>
    <x:row r="199" spans="1:23" customFormat="1" ht="12.75" customHeight="1">
      <x:c r="A199" s="250" t="s">
        <x:v>359</x:v>
      </x:c>
      <x:c r="B199" s="250" t="s"/>
      <x:c r="C199" s="250" t="s"/>
      <x:c r="D199" s="250" t="s"/>
      <x:c r="E199" s="250" t="s"/>
      <x:c r="F199" s="250" t="s"/>
      <x:c r="G199" s="250" t="s"/>
      <x:c r="H199" s="250" t="s"/>
      <x:c r="I199" s="250" t="s"/>
      <x:c r="J199" s="250" t="s"/>
      <x:c r="K199" s="250" t="s"/>
      <x:c r="L199" s="250" t="s"/>
      <x:c r="M199" s="250" t="s"/>
      <x:c r="N199" s="250" t="s"/>
      <x:c r="O199" s="250" t="s"/>
      <x:c r="P199" s="250" t="s"/>
      <x:c r="Q199" s="250" t="s"/>
      <x:c r="R199" s="250" t="s"/>
      <x:c r="S199" s="250" t="s"/>
      <x:c r="T199" s="250" t="s"/>
      <x:c r="U199" s="251" t="s"/>
    </x:row>
    <x:row r="200" spans="1:23" customFormat="1" ht="12" customHeight="1">
      <x:c r="A200" s="250" t="s">
        <x:v>360</x:v>
      </x:c>
      <x:c r="B200" s="250" t="s"/>
      <x:c r="C200" s="250" t="s"/>
      <x:c r="D200" s="250" t="s"/>
      <x:c r="E200" s="250" t="s"/>
      <x:c r="F200" s="250" t="s"/>
      <x:c r="G200" s="250" t="s"/>
      <x:c r="H200" s="250" t="s"/>
      <x:c r="I200" s="250" t="s"/>
      <x:c r="J200" s="250" t="s"/>
      <x:c r="K200" s="250" t="s"/>
      <x:c r="L200" s="250" t="s"/>
      <x:c r="M200" s="250" t="s"/>
      <x:c r="N200" s="250" t="s"/>
      <x:c r="O200" s="250" t="s"/>
      <x:c r="P200" s="250" t="s"/>
      <x:c r="Q200" s="250" t="s"/>
      <x:c r="R200" s="250" t="s"/>
      <x:c r="S200" s="250" t="s"/>
      <x:c r="T200" s="250" t="s"/>
      <x:c r="U200" s="251" t="s"/>
    </x:row>
    <x:row r="201" spans="1:23" customFormat="1" ht="7.5" customHeight="1">
      <x:c r="A201" s="250" t="s"/>
      <x:c r="B201" s="250" t="s"/>
      <x:c r="C201" s="250" t="s"/>
      <x:c r="D201" s="250" t="s"/>
      <x:c r="E201" s="250" t="s"/>
      <x:c r="F201" s="250" t="s"/>
      <x:c r="G201" s="250" t="s"/>
      <x:c r="H201" s="250" t="s"/>
      <x:c r="I201" s="250" t="s"/>
      <x:c r="J201" s="250" t="s"/>
      <x:c r="K201" s="250" t="s"/>
      <x:c r="L201" s="250" t="s"/>
      <x:c r="M201" s="250" t="s"/>
      <x:c r="N201" s="250" t="s"/>
      <x:c r="O201" s="250" t="s"/>
      <x:c r="P201" s="250" t="s"/>
      <x:c r="Q201" s="250" t="s"/>
      <x:c r="R201" s="250" t="s"/>
      <x:c r="S201" s="250" t="s"/>
      <x:c r="T201" s="250" t="s"/>
      <x:c r="U201" s="251" t="s"/>
    </x:row>
    <x:row r="202" spans="1:23" customFormat="1" ht="12.75" customHeight="1">
      <x:c r="A202" s="252" t="s">
        <x:v>361</x:v>
      </x:c>
      <x:c r="B202" s="252" t="s"/>
      <x:c r="C202" s="252" t="s"/>
      <x:c r="D202" s="252" t="s"/>
      <x:c r="E202" s="252" t="s"/>
      <x:c r="F202" s="252" t="s"/>
      <x:c r="G202" s="252" t="s"/>
      <x:c r="H202" s="252" t="s"/>
      <x:c r="I202" s="252" t="s"/>
      <x:c r="J202" s="252" t="s"/>
      <x:c r="K202" s="252" t="s"/>
      <x:c r="L202" s="252" t="s"/>
      <x:c r="M202" s="252" t="s"/>
      <x:c r="N202" s="252" t="s"/>
      <x:c r="O202" s="252" t="s"/>
      <x:c r="P202" s="252" t="s"/>
      <x:c r="Q202" s="252" t="s"/>
      <x:c r="R202" s="252" t="s"/>
      <x:c r="S202" s="252" t="s"/>
      <x:c r="T202" s="252" t="s"/>
      <x:c r="U202" s="253" t="s"/>
    </x:row>
    <x:row r="203" spans="1:23" customFormat="1" ht="12" customHeight="1">
      <x:c r="A203" s="252" t="s">
        <x:v>362</x:v>
      </x:c>
      <x:c r="B203" s="252" t="s"/>
      <x:c r="C203" s="252" t="s"/>
      <x:c r="D203" s="252" t="s"/>
      <x:c r="E203" s="252" t="s"/>
      <x:c r="F203" s="252" t="s"/>
      <x:c r="G203" s="252" t="s"/>
      <x:c r="H203" s="252" t="s"/>
      <x:c r="I203" s="252" t="s"/>
      <x:c r="J203" s="252" t="s"/>
      <x:c r="K203" s="252" t="s"/>
      <x:c r="L203" s="252" t="s"/>
      <x:c r="M203" s="252" t="s"/>
      <x:c r="N203" s="252" t="s"/>
      <x:c r="O203" s="252" t="s"/>
      <x:c r="P203" s="252" t="s"/>
      <x:c r="Q203" s="252" t="s"/>
      <x:c r="R203" s="252" t="s"/>
      <x:c r="S203" s="252" t="s"/>
      <x:c r="T203" s="252" t="s"/>
      <x:c r="U203" s="253" t="s"/>
    </x:row>
    <x:row r="204" spans="1:23" customFormat="1" ht="12.75" customHeight="1">
      <x:c r="A204" s="254" t="s"/>
      <x:c r="B204" s="254" t="s"/>
      <x:c r="C204" s="254" t="s"/>
      <x:c r="D204" s="254" t="s"/>
      <x:c r="E204" s="254" t="s"/>
      <x:c r="F204" s="254" t="s"/>
      <x:c r="G204" s="254" t="s"/>
      <x:c r="H204" s="254" t="s"/>
      <x:c r="I204" s="254" t="s"/>
      <x:c r="J204" s="254" t="s"/>
      <x:c r="K204" s="254" t="s"/>
      <x:c r="L204" s="254" t="s"/>
      <x:c r="M204" s="254" t="s"/>
      <x:c r="N204" s="254" t="s"/>
      <x:c r="O204" s="254" t="s"/>
      <x:c r="P204" s="254" t="s"/>
      <x:c r="Q204" s="254" t="s"/>
      <x:c r="R204" s="254" t="s"/>
      <x:c r="S204" s="254" t="s"/>
      <x:c r="T204" s="254" t="s"/>
      <x:c r="U204" s="255" t="s"/>
    </x:row>
  </x:sheetData>
  <x:sheetProtection algorithmName="SHA-512" hashValue="ODqT77mCG23VcwiQyppH0w+qR1OA7/71DW3oJ47wj0lmvo0Edc4Vh03cv3sJUdViK6n7Maq+y5QMRO6jFYp5uQ==" saltValue="7NzSwiPgZgXo3fGKVuNMfw==" spinCount="100000" sheet="1" objects="1" scenarios="1"/>
  <x:mergeCells count="90">
    <x:mergeCell ref="A192:T192"/>
    <x:mergeCell ref="A181:T181"/>
    <x:mergeCell ref="A182:T182"/>
    <x:mergeCell ref="A204:T204"/>
    <x:mergeCell ref="A193:T193"/>
    <x:mergeCell ref="A194:T194"/>
    <x:mergeCell ref="A195:T195"/>
    <x:mergeCell ref="A196:T196"/>
    <x:mergeCell ref="A197:T197"/>
    <x:mergeCell ref="A198:T198"/>
    <x:mergeCell ref="A199:T199"/>
    <x:mergeCell ref="A200:T200"/>
    <x:mergeCell ref="A201:T201"/>
    <x:mergeCell ref="A202:T202"/>
    <x:mergeCell ref="A203:T203"/>
    <x:mergeCell ref="A189:T189"/>
    <x:mergeCell ref="A190:T190"/>
    <x:mergeCell ref="A191:T191"/>
    <x:mergeCell ref="A186:T186"/>
    <x:mergeCell ref="A187:T187"/>
    <x:mergeCell ref="A188:T188"/>
    <x:mergeCell ref="A183:T183"/>
    <x:mergeCell ref="A185:T185"/>
    <x:mergeCell ref="A179:D179"/>
    <x:mergeCell ref="Q172:T172"/>
    <x:mergeCell ref="L173:M173"/>
    <x:mergeCell ref="N173:O173"/>
    <x:mergeCell ref="L174:M174"/>
    <x:mergeCell ref="N174:O174"/>
    <x:mergeCell ref="F178:S178"/>
    <x:mergeCell ref="F177:S177"/>
    <x:mergeCell ref="A178:D178"/>
    <x:mergeCell ref="A177:D177"/>
    <x:mergeCell ref="F179:S179"/>
    <x:mergeCell ref="Q169:T169"/>
    <x:mergeCell ref="Q170:T170"/>
    <x:mergeCell ref="Q171:T171"/>
    <x:mergeCell ref="D19:E19"/>
    <x:mergeCell ref="L19:M19"/>
    <x:mergeCell ref="Q19:R19"/>
    <x:mergeCell ref="S19:T19"/>
    <x:mergeCell ref="C168:H168"/>
    <x:mergeCell ref="L168:M168"/>
    <x:mergeCell ref="Q168:T168"/>
    <x:mergeCell ref="M14:N14"/>
    <x:mergeCell ref="A15:C15"/>
    <x:mergeCell ref="D15:J15"/>
    <x:mergeCell ref="M15:N15"/>
    <x:mergeCell ref="A16:C16"/>
    <x:mergeCell ref="D16:J16"/>
    <x:mergeCell ref="M16:N16"/>
    <x:mergeCell ref="C10:E10"/>
    <x:mergeCell ref="C11:G11"/>
    <x:mergeCell ref="E18:F18"/>
    <x:mergeCell ref="H18:L18"/>
    <x:mergeCell ref="A14:C14"/>
    <x:mergeCell ref="D14:J14"/>
    <x:mergeCell ref="A17:C17"/>
    <x:mergeCell ref="D17:J17"/>
    <x:mergeCell ref="M12:N12"/>
    <x:mergeCell ref="O12:Q12"/>
    <x:mergeCell ref="A13:C13"/>
    <x:mergeCell ref="D13:J13"/>
    <x:mergeCell ref="M13:N13"/>
    <x:mergeCell ref="O13:R13"/>
    <x:mergeCell ref="A12:D12"/>
    <x:mergeCell ref="M1:T1"/>
    <x:mergeCell ref="A3:E3"/>
    <x:mergeCell ref="A4:G4"/>
    <x:mergeCell ref="M4:N4"/>
    <x:mergeCell ref="O4:Q4"/>
    <x:mergeCell ref="M5:N5"/>
    <x:mergeCell ref="O5:Q5"/>
    <x:mergeCell ref="O10:P10"/>
    <x:mergeCell ref="M6:N6"/>
    <x:mergeCell ref="O6:Q6"/>
    <x:mergeCell ref="M7:N7"/>
    <x:mergeCell ref="O7:R7"/>
    <x:mergeCell ref="M8:N8"/>
    <x:mergeCell ref="O8:P8"/>
    <x:mergeCell ref="N9:Q9"/>
    <x:mergeCell ref="A5:G5"/>
    <x:mergeCell ref="A6:G6"/>
    <x:mergeCell ref="A7:G7"/>
    <x:mergeCell ref="A8:G8"/>
    <x:mergeCell ref="A9:G9"/>
    <x:mergeCell ref="C169:K169"/>
    <x:mergeCell ref="C170:K170"/>
    <x:mergeCell ref="C171:K171"/>
    <x:mergeCell ref="C172:K172"/>
  </x:mergeCells>
  <x:dataValidations disablePrompts="1" count="739">
    <x:dataValidation type="whole" errorStyle="stop" operator="between" allowBlank="1" showDropDown="0" showInputMessage="1" showErrorMessage="1" errorTitle="" error="" promptTitle="" prompt="" sqref="Q11:Q11">
      <x:formula1>1</x:formula1>
      <x:formula2>100</x:formula2>
    </x:dataValidation>
    <x:dataValidation type="list" errorStyle="stop" operator="between" allowBlank="1" showDropDown="0" showInputMessage="1" showErrorMessage="1" errorTitle="" error="" promptTitle="" prompt="" sqref="O11:O11">
      <x:formula1>"Credit, Cash"</x:formula1>
      <x:formula2/>
    </x:dataValidation>
    <x:dataValidation type="decimal" errorStyle="stop" operator="between" allowBlank="1" showDropDown="0" showInputMessage="1" showErrorMessage="1" errorTitle="" error="" promptTitle="" prompt="" sqref="N20:O20">
      <x:formula1>0</x:formula1>
      <x:formula2>100</x:formula2>
    </x:dataValidation>
    <x:dataValidation type="decimal" errorStyle="stop" operator="greaterThanOrEqual" allowBlank="1" showDropDown="0" showInputMessage="1" showErrorMessage="1" errorTitle="" error="" promptTitle="" prompt="" sqref="K20:L20">
      <x:formula1>0</x:formula1>
      <x:formula2/>
    </x:dataValidation>
    <x:dataValidation type="decimal" errorStyle="stop" operator="between" allowBlank="1" showDropDown="0" showInputMessage="1" showErrorMessage="1" errorTitle="" error="" promptTitle="" prompt="" sqref="$O$16:$O$16">
      <x:formula1>0</x:formula1>
      <x:formula2>100</x:formula2>
    </x:dataValidation>
    <x:dataValidation type="decimal" errorStyle="stop" operator="between" allowBlank="1" showDropDown="0" showInputMessage="1" showErrorMessage="1" errorTitle="" error="" promptTitle="" prompt="" sqref="$O$15:$O$15">
      <x:formula1>0</x:formula1>
      <x:formula2>100</x:formula2>
    </x:dataValidation>
    <x:dataValidation type="none" errorStyle="stop" operator="between" allowBlank="1" showDropDown="0" showInputMessage="1" showErrorMessage="1" errorTitle="" error="" promptTitle="" prompt="" sqref="P23:P23">
      <x:formula1/>
      <x:formula2/>
    </x:dataValidation>
    <x:dataValidation type="none" errorStyle="stop" operator="between" allowBlank="1" showDropDown="0" showInputMessage="1" showErrorMessage="1" errorTitle="" error="" promptTitle="" prompt="" sqref="P24:P24">
      <x:formula1/>
      <x:formula2/>
    </x:dataValidation>
    <x:dataValidation type="none" errorStyle="stop" operator="between" allowBlank="1" showDropDown="0" showInputMessage="1" showErrorMessage="1" errorTitle="" error="" promptTitle="" prompt="" sqref="P25:P25">
      <x:formula1/>
      <x:formula2/>
    </x:dataValidation>
    <x:dataValidation type="none" errorStyle="stop" operator="between" allowBlank="1" showDropDown="0" showInputMessage="1" showErrorMessage="1" errorTitle="" error="" promptTitle="" prompt="" sqref="P26:P26">
      <x:formula1/>
      <x:formula2/>
    </x:dataValidation>
    <x:dataValidation type="list" errorStyle="stop" operator="between" allowBlank="1" showDropDown="0" showInputMessage="1" showErrorMessage="1" errorTitle="" error="" promptTitle="" prompt="" sqref="H21:H21">
      <x:formula1>'MasterData'!$B$1:$B$14</x:formula1>
      <x:formula2/>
    </x:dataValidation>
    <x:dataValidation type="list" errorStyle="stop" operator="between" allowBlank="1" showDropDown="0" showInputMessage="1" showErrorMessage="1" errorTitle="" error="" promptTitle="" prompt="" sqref="I21:I21">
      <x:formula1>'MasterData'!$E$1:$E$10</x:formula1>
      <x:formula2/>
    </x:dataValidation>
    <x:dataValidation type="decimal" errorStyle="stop" operator="greaterThanOrEqual" allowBlank="1" showDropDown="0" showInputMessage="1" showErrorMessage="1" errorTitle="" error="" promptTitle="" prompt="" sqref="K21:K21">
      <x:formula1>0</x:formula1>
      <x:formula2/>
    </x:dataValidation>
    <x:dataValidation type="decimal" errorStyle="stop" operator="between" allowBlank="1" showDropDown="0" showInputMessage="1" showErrorMessage="1" errorTitle="" error="" promptTitle="" prompt="" sqref="N21:N21">
      <x:formula1>0</x:formula1>
      <x:formula2>100</x:formula2>
    </x:dataValidation>
    <x:dataValidation type="decimal" errorStyle="stop" operator="between" allowBlank="1" showDropDown="0" showInputMessage="1" showErrorMessage="1" errorTitle="" error="" promptTitle="" prompt="" sqref="O21:O21">
      <x:formula1>0</x:formula1>
      <x:formula2>100</x:formula2>
    </x:dataValidation>
    <x:dataValidation type="list" errorStyle="stop" operator="between" allowBlank="1" showDropDown="0" showInputMessage="1" showErrorMessage="1" errorTitle="" error="" promptTitle="" prompt="" sqref="H22:H22">
      <x:formula1>'MasterData'!$B$1:$B$14</x:formula1>
      <x:formula2/>
    </x:dataValidation>
    <x:dataValidation type="list" errorStyle="stop" operator="between" allowBlank="1" showDropDown="0" showInputMessage="1" showErrorMessage="1" errorTitle="" error="" promptTitle="" prompt="" sqref="I22:I22">
      <x:formula1>'MasterData'!$E$11:$E$20</x:formula1>
      <x:formula2/>
    </x:dataValidation>
    <x:dataValidation type="decimal" errorStyle="stop" operator="greaterThanOrEqual" allowBlank="1" showDropDown="0" showInputMessage="1" showErrorMessage="1" errorTitle="" error="" promptTitle="" prompt="" sqref="K22:K22">
      <x:formula1>0</x:formula1>
      <x:formula2/>
    </x:dataValidation>
    <x:dataValidation type="decimal" errorStyle="stop" operator="between" allowBlank="1" showDropDown="0" showInputMessage="1" showErrorMessage="1" errorTitle="" error="" promptTitle="" prompt="" sqref="N22:N22">
      <x:formula1>0</x:formula1>
      <x:formula2>100</x:formula2>
    </x:dataValidation>
    <x:dataValidation type="decimal" errorStyle="stop" operator="between" allowBlank="1" showDropDown="0" showInputMessage="1" showErrorMessage="1" errorTitle="" error="" promptTitle="" prompt="" sqref="O22:O22">
      <x:formula1>0</x:formula1>
      <x:formula2>100</x:formula2>
    </x:dataValidation>
    <x:dataValidation type="list" errorStyle="stop" operator="between" allowBlank="1" showDropDown="0" showInputMessage="1" showErrorMessage="1" errorTitle="" error="" promptTitle="" prompt="" sqref="H23:H23">
      <x:formula1>'MasterData'!$B$1:$B$14</x:formula1>
      <x:formula2/>
    </x:dataValidation>
    <x:dataValidation type="list" errorStyle="stop" operator="between" allowBlank="1" showDropDown="0" showInputMessage="1" showErrorMessage="1" errorTitle="" error="" promptTitle="" prompt="" sqref="I23:I23">
      <x:formula1>'MasterData'!$E$21:$E$30</x:formula1>
      <x:formula2/>
    </x:dataValidation>
    <x:dataValidation type="decimal" errorStyle="stop" operator="greaterThanOrEqual" allowBlank="1" showDropDown="0" showInputMessage="1" showErrorMessage="1" errorTitle="" error="" promptTitle="" prompt="" sqref="K23:K23">
      <x:formula1>0</x:formula1>
      <x:formula2/>
    </x:dataValidation>
    <x:dataValidation type="decimal" errorStyle="stop" operator="between" allowBlank="1" showDropDown="0" showInputMessage="1" showErrorMessage="1" errorTitle="" error="" promptTitle="" prompt="" sqref="N23:N23">
      <x:formula1>0</x:formula1>
      <x:formula2>100</x:formula2>
    </x:dataValidation>
    <x:dataValidation type="decimal" errorStyle="stop" operator="between" allowBlank="1" showDropDown="0" showInputMessage="1" showErrorMessage="1" errorTitle="" error="" promptTitle="" prompt="" sqref="O23:O23">
      <x:formula1>0</x:formula1>
      <x:formula2>100</x:formula2>
    </x:dataValidation>
    <x:dataValidation type="list" errorStyle="stop" operator="between" allowBlank="1" showDropDown="0" showInputMessage="1" showErrorMessage="1" errorTitle="" error="" promptTitle="" prompt="" sqref="H24:H24">
      <x:formula1>'MasterData'!$B$1:$B$14</x:formula1>
      <x:formula2/>
    </x:dataValidation>
    <x:dataValidation type="list" errorStyle="stop" operator="between" allowBlank="1" showDropDown="0" showInputMessage="1" showErrorMessage="1" errorTitle="" error="" promptTitle="" prompt="" sqref="I24:I24">
      <x:formula1>'MasterData'!$E$31:$E$40</x:formula1>
      <x:formula2/>
    </x:dataValidation>
    <x:dataValidation type="decimal" errorStyle="stop" operator="greaterThanOrEqual" allowBlank="1" showDropDown="0" showInputMessage="1" showErrorMessage="1" errorTitle="" error="" promptTitle="" prompt="" sqref="K24:K24">
      <x:formula1>0</x:formula1>
      <x:formula2/>
    </x:dataValidation>
    <x:dataValidation type="decimal" errorStyle="stop" operator="between" allowBlank="1" showDropDown="0" showInputMessage="1" showErrorMessage="1" errorTitle="" error="" promptTitle="" prompt="" sqref="N24:N24">
      <x:formula1>0</x:formula1>
      <x:formula2>100</x:formula2>
    </x:dataValidation>
    <x:dataValidation type="decimal" errorStyle="stop" operator="between" allowBlank="1" showDropDown="0" showInputMessage="1" showErrorMessage="1" errorTitle="" error="" promptTitle="" prompt="" sqref="O24:O24">
      <x:formula1>0</x:formula1>
      <x:formula2>100</x:formula2>
    </x:dataValidation>
    <x:dataValidation type="list" errorStyle="stop" operator="between" allowBlank="1" showDropDown="0" showInputMessage="1" showErrorMessage="1" errorTitle="" error="" promptTitle="" prompt="" sqref="H25:H25">
      <x:formula1>'MasterData'!$B$1:$B$14</x:formula1>
      <x:formula2/>
    </x:dataValidation>
    <x:dataValidation type="list" errorStyle="stop" operator="between" allowBlank="1" showDropDown="0" showInputMessage="1" showErrorMessage="1" errorTitle="" error="" promptTitle="" prompt="" sqref="I25:I25">
      <x:formula1>'MasterData'!$E$41:$E$50</x:formula1>
      <x:formula2/>
    </x:dataValidation>
    <x:dataValidation type="decimal" errorStyle="stop" operator="greaterThanOrEqual" allowBlank="1" showDropDown="0" showInputMessage="1" showErrorMessage="1" errorTitle="" error="" promptTitle="" prompt="" sqref="K25:K25">
      <x:formula1>0</x:formula1>
      <x:formula2/>
    </x:dataValidation>
    <x:dataValidation type="decimal" errorStyle="stop" operator="between" allowBlank="1" showDropDown="0" showInputMessage="1" showErrorMessage="1" errorTitle="" error="" promptTitle="" prompt="" sqref="N25:N25">
      <x:formula1>0</x:formula1>
      <x:formula2>100</x:formula2>
    </x:dataValidation>
    <x:dataValidation type="decimal" errorStyle="stop" operator="between" allowBlank="1" showDropDown="0" showInputMessage="1" showErrorMessage="1" errorTitle="" error="" promptTitle="" prompt="" sqref="O25:O25">
      <x:formula1>0</x:formula1>
      <x:formula2>100</x:formula2>
    </x:dataValidation>
    <x:dataValidation type="list" errorStyle="stop" operator="between" allowBlank="1" showDropDown="0" showInputMessage="1" showErrorMessage="1" errorTitle="" error="" promptTitle="" prompt="" sqref="H26:H26">
      <x:formula1>'MasterData'!$B$1:$B$14</x:formula1>
      <x:formula2/>
    </x:dataValidation>
    <x:dataValidation type="list" errorStyle="stop" operator="between" allowBlank="1" showDropDown="0" showInputMessage="1" showErrorMessage="1" errorTitle="" error="" promptTitle="" prompt="" sqref="I26:I26">
      <x:formula1>'MasterData'!$E$51:$E$60</x:formula1>
      <x:formula2/>
    </x:dataValidation>
    <x:dataValidation type="decimal" errorStyle="stop" operator="greaterThanOrEqual" allowBlank="1" showDropDown="0" showInputMessage="1" showErrorMessage="1" errorTitle="" error="" promptTitle="" prompt="" sqref="K26:K26">
      <x:formula1>0</x:formula1>
      <x:formula2/>
    </x:dataValidation>
    <x:dataValidation type="decimal" errorStyle="stop" operator="between" allowBlank="1" showDropDown="0" showInputMessage="1" showErrorMessage="1" errorTitle="" error="" promptTitle="" prompt="" sqref="N26:N26">
      <x:formula1>0</x:formula1>
      <x:formula2>100</x:formula2>
    </x:dataValidation>
    <x:dataValidation type="decimal" errorStyle="stop" operator="between" allowBlank="1" showDropDown="0" showInputMessage="1" showErrorMessage="1" errorTitle="" error="" promptTitle="" prompt="" sqref="O26:O26">
      <x:formula1>0</x:formula1>
      <x:formula2>100</x:formula2>
    </x:dataValidation>
    <x:dataValidation type="list" errorStyle="stop" operator="between" allowBlank="1" showDropDown="0" showInputMessage="1" showErrorMessage="1" errorTitle="" error="" promptTitle="" prompt="" sqref="H27:H27">
      <x:formula1>'MasterData'!$B$1:$B$14</x:formula1>
      <x:formula2/>
    </x:dataValidation>
    <x:dataValidation type="list" errorStyle="stop" operator="between" allowBlank="1" showDropDown="0" showInputMessage="1" showErrorMessage="1" errorTitle="" error="" promptTitle="" prompt="" sqref="I27:I27">
      <x:formula1>'MasterData'!$E$61:$E$70</x:formula1>
      <x:formula2/>
    </x:dataValidation>
    <x:dataValidation type="decimal" errorStyle="stop" operator="greaterThanOrEqual" allowBlank="1" showDropDown="0" showInputMessage="1" showErrorMessage="1" errorTitle="" error="" promptTitle="" prompt="" sqref="K27:K27">
      <x:formula1>0</x:formula1>
      <x:formula2/>
    </x:dataValidation>
    <x:dataValidation type="decimal" errorStyle="stop" operator="between" allowBlank="1" showDropDown="0" showInputMessage="1" showErrorMessage="1" errorTitle="" error="" promptTitle="" prompt="" sqref="N27:N27">
      <x:formula1>0</x:formula1>
      <x:formula2>100</x:formula2>
    </x:dataValidation>
    <x:dataValidation type="decimal" errorStyle="stop" operator="between" allowBlank="1" showDropDown="0" showInputMessage="1" showErrorMessage="1" errorTitle="" error="" promptTitle="" prompt="" sqref="O27:O27">
      <x:formula1>0</x:formula1>
      <x:formula2>100</x:formula2>
    </x:dataValidation>
    <x:dataValidation type="list" errorStyle="stop" operator="between" allowBlank="1" showDropDown="0" showInputMessage="1" showErrorMessage="1" errorTitle="" error="" promptTitle="" prompt="" sqref="H28:H28">
      <x:formula1>'MasterData'!$B$1:$B$14</x:formula1>
      <x:formula2/>
    </x:dataValidation>
    <x:dataValidation type="list" errorStyle="stop" operator="between" allowBlank="1" showDropDown="0" showInputMessage="1" showErrorMessage="1" errorTitle="" error="" promptTitle="" prompt="" sqref="I28:I28">
      <x:formula1>'MasterData'!$E$71:$E$80</x:formula1>
      <x:formula2/>
    </x:dataValidation>
    <x:dataValidation type="decimal" errorStyle="stop" operator="greaterThanOrEqual" allowBlank="1" showDropDown="0" showInputMessage="1" showErrorMessage="1" errorTitle="" error="" promptTitle="" prompt="" sqref="K28:K28">
      <x:formula1>0</x:formula1>
      <x:formula2/>
    </x:dataValidation>
    <x:dataValidation type="decimal" errorStyle="stop" operator="between" allowBlank="1" showDropDown="0" showInputMessage="1" showErrorMessage="1" errorTitle="" error="" promptTitle="" prompt="" sqref="N28:N28">
      <x:formula1>0</x:formula1>
      <x:formula2>100</x:formula2>
    </x:dataValidation>
    <x:dataValidation type="decimal" errorStyle="stop" operator="between" allowBlank="1" showDropDown="0" showInputMessage="1" showErrorMessage="1" errorTitle="" error="" promptTitle="" prompt="" sqref="O28:O28">
      <x:formula1>0</x:formula1>
      <x:formula2>100</x:formula2>
    </x:dataValidation>
    <x:dataValidation type="list" errorStyle="stop" operator="between" allowBlank="1" showDropDown="0" showInputMessage="1" showErrorMessage="1" errorTitle="" error="" promptTitle="" prompt="" sqref="H29:H29">
      <x:formula1>'MasterData'!$B$1:$B$14</x:formula1>
      <x:formula2/>
    </x:dataValidation>
    <x:dataValidation type="list" errorStyle="stop" operator="between" allowBlank="1" showDropDown="0" showInputMessage="1" showErrorMessage="1" errorTitle="" error="" promptTitle="" prompt="" sqref="I29:I29">
      <x:formula1>'MasterData'!$E$81:$E$90</x:formula1>
      <x:formula2/>
    </x:dataValidation>
    <x:dataValidation type="decimal" errorStyle="stop" operator="greaterThanOrEqual" allowBlank="1" showDropDown="0" showInputMessage="1" showErrorMessage="1" errorTitle="" error="" promptTitle="" prompt="" sqref="K29:K29">
      <x:formula1>0</x:formula1>
      <x:formula2/>
    </x:dataValidation>
    <x:dataValidation type="decimal" errorStyle="stop" operator="between" allowBlank="1" showDropDown="0" showInputMessage="1" showErrorMessage="1" errorTitle="" error="" promptTitle="" prompt="" sqref="N29:N29">
      <x:formula1>0</x:formula1>
      <x:formula2>100</x:formula2>
    </x:dataValidation>
    <x:dataValidation type="decimal" errorStyle="stop" operator="between" allowBlank="1" showDropDown="0" showInputMessage="1" showErrorMessage="1" errorTitle="" error="" promptTitle="" prompt="" sqref="O29:O29">
      <x:formula1>0</x:formula1>
      <x:formula2>100</x:formula2>
    </x:dataValidation>
    <x:dataValidation type="list" errorStyle="stop" operator="between" allowBlank="1" showDropDown="0" showInputMessage="1" showErrorMessage="1" errorTitle="" error="" promptTitle="" prompt="" sqref="H30:H30">
      <x:formula1>'MasterData'!$B$1:$B$14</x:formula1>
      <x:formula2/>
    </x:dataValidation>
    <x:dataValidation type="list" errorStyle="stop" operator="between" allowBlank="1" showDropDown="0" showInputMessage="1" showErrorMessage="1" errorTitle="" error="" promptTitle="" prompt="" sqref="I30:I30">
      <x:formula1>'MasterData'!$E$91:$E$100</x:formula1>
      <x:formula2/>
    </x:dataValidation>
    <x:dataValidation type="decimal" errorStyle="stop" operator="greaterThanOrEqual" allowBlank="1" showDropDown="0" showInputMessage="1" showErrorMessage="1" errorTitle="" error="" promptTitle="" prompt="" sqref="K30:K30">
      <x:formula1>0</x:formula1>
      <x:formula2/>
    </x:dataValidation>
    <x:dataValidation type="decimal" errorStyle="stop" operator="between" allowBlank="1" showDropDown="0" showInputMessage="1" showErrorMessage="1" errorTitle="" error="" promptTitle="" prompt="" sqref="N30:N30">
      <x:formula1>0</x:formula1>
      <x:formula2>100</x:formula2>
    </x:dataValidation>
    <x:dataValidation type="decimal" errorStyle="stop" operator="between" allowBlank="1" showDropDown="0" showInputMessage="1" showErrorMessage="1" errorTitle="" error="" promptTitle="" prompt="" sqref="O30:O30">
      <x:formula1>0</x:formula1>
      <x:formula2>100</x:formula2>
    </x:dataValidation>
    <x:dataValidation type="list" errorStyle="stop" operator="between" allowBlank="1" showDropDown="0" showInputMessage="1" showErrorMessage="1" errorTitle="" error="" promptTitle="" prompt="" sqref="H31:H31">
      <x:formula1>'MasterData'!$B$1:$B$14</x:formula1>
      <x:formula2/>
    </x:dataValidation>
    <x:dataValidation type="list" errorStyle="stop" operator="between" allowBlank="1" showDropDown="0" showInputMessage="1" showErrorMessage="1" errorTitle="" error="" promptTitle="" prompt="" sqref="I31:I31">
      <x:formula1>'MasterData'!$E$101:$E$110</x:formula1>
      <x:formula2/>
    </x:dataValidation>
    <x:dataValidation type="decimal" errorStyle="stop" operator="greaterThanOrEqual" allowBlank="1" showDropDown="0" showInputMessage="1" showErrorMessage="1" errorTitle="" error="" promptTitle="" prompt="" sqref="K31:K31">
      <x:formula1>0</x:formula1>
      <x:formula2/>
    </x:dataValidation>
    <x:dataValidation type="decimal" errorStyle="stop" operator="between" allowBlank="1" showDropDown="0" showInputMessage="1" showErrorMessage="1" errorTitle="" error="" promptTitle="" prompt="" sqref="N31:N31">
      <x:formula1>0</x:formula1>
      <x:formula2>100</x:formula2>
    </x:dataValidation>
    <x:dataValidation type="decimal" errorStyle="stop" operator="between" allowBlank="1" showDropDown="0" showInputMessage="1" showErrorMessage="1" errorTitle="" error="" promptTitle="" prompt="" sqref="O31:O31">
      <x:formula1>0</x:formula1>
      <x:formula2>100</x:formula2>
    </x:dataValidation>
    <x:dataValidation type="list" errorStyle="stop" operator="between" allowBlank="1" showDropDown="0" showInputMessage="1" showErrorMessage="1" errorTitle="" error="" promptTitle="" prompt="" sqref="H32:H32">
      <x:formula1>'MasterData'!$B$1:$B$14</x:formula1>
      <x:formula2/>
    </x:dataValidation>
    <x:dataValidation type="list" errorStyle="stop" operator="between" allowBlank="1" showDropDown="0" showInputMessage="1" showErrorMessage="1" errorTitle="" error="" promptTitle="" prompt="" sqref="I32:I32">
      <x:formula1>'MasterData'!$E$111:$E$120</x:formula1>
      <x:formula2/>
    </x:dataValidation>
    <x:dataValidation type="decimal" errorStyle="stop" operator="greaterThanOrEqual" allowBlank="1" showDropDown="0" showInputMessage="1" showErrorMessage="1" errorTitle="" error="" promptTitle="" prompt="" sqref="K32:K32">
      <x:formula1>0</x:formula1>
      <x:formula2/>
    </x:dataValidation>
    <x:dataValidation type="decimal" errorStyle="stop" operator="between" allowBlank="1" showDropDown="0" showInputMessage="1" showErrorMessage="1" errorTitle="" error="" promptTitle="" prompt="" sqref="N32:N32">
      <x:formula1>0</x:formula1>
      <x:formula2>100</x:formula2>
    </x:dataValidation>
    <x:dataValidation type="decimal" errorStyle="stop" operator="between" allowBlank="1" showDropDown="0" showInputMessage="1" showErrorMessage="1" errorTitle="" error="" promptTitle="" prompt="" sqref="O32:O32">
      <x:formula1>0</x:formula1>
      <x:formula2>100</x:formula2>
    </x:dataValidation>
    <x:dataValidation type="list" errorStyle="stop" operator="between" allowBlank="1" showDropDown="0" showInputMessage="1" showErrorMessage="1" errorTitle="" error="" promptTitle="" prompt="" sqref="H33:H33">
      <x:formula1>'MasterData'!$B$1:$B$14</x:formula1>
      <x:formula2/>
    </x:dataValidation>
    <x:dataValidation type="list" errorStyle="stop" operator="between" allowBlank="1" showDropDown="0" showInputMessage="1" showErrorMessage="1" errorTitle="" error="" promptTitle="" prompt="" sqref="I33:I33">
      <x:formula1>'MasterData'!$E$121:$E$130</x:formula1>
      <x:formula2/>
    </x:dataValidation>
    <x:dataValidation type="decimal" errorStyle="stop" operator="greaterThanOrEqual" allowBlank="1" showDropDown="0" showInputMessage="1" showErrorMessage="1" errorTitle="" error="" promptTitle="" prompt="" sqref="K33:K33">
      <x:formula1>0</x:formula1>
      <x:formula2/>
    </x:dataValidation>
    <x:dataValidation type="decimal" errorStyle="stop" operator="between" allowBlank="1" showDropDown="0" showInputMessage="1" showErrorMessage="1" errorTitle="" error="" promptTitle="" prompt="" sqref="N33:N33">
      <x:formula1>0</x:formula1>
      <x:formula2>100</x:formula2>
    </x:dataValidation>
    <x:dataValidation type="decimal" errorStyle="stop" operator="between" allowBlank="1" showDropDown="0" showInputMessage="1" showErrorMessage="1" errorTitle="" error="" promptTitle="" prompt="" sqref="O33:O33">
      <x:formula1>0</x:formula1>
      <x:formula2>100</x:formula2>
    </x:dataValidation>
    <x:dataValidation type="list" errorStyle="stop" operator="between" allowBlank="1" showDropDown="0" showInputMessage="1" showErrorMessage="1" errorTitle="" error="" promptTitle="" prompt="" sqref="H34:H34">
      <x:formula1>'MasterData'!$B$1:$B$14</x:formula1>
      <x:formula2/>
    </x:dataValidation>
    <x:dataValidation type="list" errorStyle="stop" operator="between" allowBlank="1" showDropDown="0" showInputMessage="1" showErrorMessage="1" errorTitle="" error="" promptTitle="" prompt="" sqref="I34:I34">
      <x:formula1>'MasterData'!$E$131:$E$140</x:formula1>
      <x:formula2/>
    </x:dataValidation>
    <x:dataValidation type="decimal" errorStyle="stop" operator="greaterThanOrEqual" allowBlank="1" showDropDown="0" showInputMessage="1" showErrorMessage="1" errorTitle="" error="" promptTitle="" prompt="" sqref="K34:K34">
      <x:formula1>0</x:formula1>
      <x:formula2/>
    </x:dataValidation>
    <x:dataValidation type="decimal" errorStyle="stop" operator="between" allowBlank="1" showDropDown="0" showInputMessage="1" showErrorMessage="1" errorTitle="" error="" promptTitle="" prompt="" sqref="N34:N34">
      <x:formula1>0</x:formula1>
      <x:formula2>100</x:formula2>
    </x:dataValidation>
    <x:dataValidation type="decimal" errorStyle="stop" operator="between" allowBlank="1" showDropDown="0" showInputMessage="1" showErrorMessage="1" errorTitle="" error="" promptTitle="" prompt="" sqref="O34:O34">
      <x:formula1>0</x:formula1>
      <x:formula2>100</x:formula2>
    </x:dataValidation>
    <x:dataValidation type="list" errorStyle="stop" operator="between" allowBlank="1" showDropDown="0" showInputMessage="1" showErrorMessage="1" errorTitle="" error="" promptTitle="" prompt="" sqref="H35:H35">
      <x:formula1>'MasterData'!$B$1:$B$14</x:formula1>
      <x:formula2/>
    </x:dataValidation>
    <x:dataValidation type="list" errorStyle="stop" operator="between" allowBlank="1" showDropDown="0" showInputMessage="1" showErrorMessage="1" errorTitle="" error="" promptTitle="" prompt="" sqref="I35:I35">
      <x:formula1>'MasterData'!$E$141:$E$150</x:formula1>
      <x:formula2/>
    </x:dataValidation>
    <x:dataValidation type="decimal" errorStyle="stop" operator="greaterThanOrEqual" allowBlank="1" showDropDown="0" showInputMessage="1" showErrorMessage="1" errorTitle="" error="" promptTitle="" prompt="" sqref="K35:K35">
      <x:formula1>0</x:formula1>
      <x:formula2/>
    </x:dataValidation>
    <x:dataValidation type="decimal" errorStyle="stop" operator="between" allowBlank="1" showDropDown="0" showInputMessage="1" showErrorMessage="1" errorTitle="" error="" promptTitle="" prompt="" sqref="N35:N35">
      <x:formula1>0</x:formula1>
      <x:formula2>100</x:formula2>
    </x:dataValidation>
    <x:dataValidation type="decimal" errorStyle="stop" operator="between" allowBlank="1" showDropDown="0" showInputMessage="1" showErrorMessage="1" errorTitle="" error="" promptTitle="" prompt="" sqref="O35:O35">
      <x:formula1>0</x:formula1>
      <x:formula2>100</x:formula2>
    </x:dataValidation>
    <x:dataValidation type="list" errorStyle="stop" operator="between" allowBlank="1" showDropDown="0" showInputMessage="1" showErrorMessage="1" errorTitle="" error="" promptTitle="" prompt="" sqref="H36:H36">
      <x:formula1>'MasterData'!$B$1:$B$14</x:formula1>
      <x:formula2/>
    </x:dataValidation>
    <x:dataValidation type="list" errorStyle="stop" operator="between" allowBlank="1" showDropDown="0" showInputMessage="1" showErrorMessage="1" errorTitle="" error="" promptTitle="" prompt="" sqref="I36:I36">
      <x:formula1>'MasterData'!$E$151:$E$160</x:formula1>
      <x:formula2/>
    </x:dataValidation>
    <x:dataValidation type="decimal" errorStyle="stop" operator="greaterThanOrEqual" allowBlank="1" showDropDown="0" showInputMessage="1" showErrorMessage="1" errorTitle="" error="" promptTitle="" prompt="" sqref="K36:K36">
      <x:formula1>0</x:formula1>
      <x:formula2/>
    </x:dataValidation>
    <x:dataValidation type="decimal" errorStyle="stop" operator="between" allowBlank="1" showDropDown="0" showInputMessage="1" showErrorMessage="1" errorTitle="" error="" promptTitle="" prompt="" sqref="N36:N36">
      <x:formula1>0</x:formula1>
      <x:formula2>100</x:formula2>
    </x:dataValidation>
    <x:dataValidation type="decimal" errorStyle="stop" operator="between" allowBlank="1" showDropDown="0" showInputMessage="1" showErrorMessage="1" errorTitle="" error="" promptTitle="" prompt="" sqref="O36:O36">
      <x:formula1>0</x:formula1>
      <x:formula2>100</x:formula2>
    </x:dataValidation>
    <x:dataValidation type="list" errorStyle="stop" operator="between" allowBlank="1" showDropDown="0" showInputMessage="1" showErrorMessage="1" errorTitle="" error="" promptTitle="" prompt="" sqref="H37:H37">
      <x:formula1>'MasterData'!$B$1:$B$14</x:formula1>
      <x:formula2/>
    </x:dataValidation>
    <x:dataValidation type="list" errorStyle="stop" operator="between" allowBlank="1" showDropDown="0" showInputMessage="1" showErrorMessage="1" errorTitle="" error="" promptTitle="" prompt="" sqref="I37:I37">
      <x:formula1>'MasterData'!$E$161:$E$170</x:formula1>
      <x:formula2/>
    </x:dataValidation>
    <x:dataValidation type="decimal" errorStyle="stop" operator="greaterThanOrEqual" allowBlank="1" showDropDown="0" showInputMessage="1" showErrorMessage="1" errorTitle="" error="" promptTitle="" prompt="" sqref="K37:K37">
      <x:formula1>0</x:formula1>
      <x:formula2/>
    </x:dataValidation>
    <x:dataValidation type="decimal" errorStyle="stop" operator="between" allowBlank="1" showDropDown="0" showInputMessage="1" showErrorMessage="1" errorTitle="" error="" promptTitle="" prompt="" sqref="N37:N37">
      <x:formula1>0</x:formula1>
      <x:formula2>100</x:formula2>
    </x:dataValidation>
    <x:dataValidation type="decimal" errorStyle="stop" operator="between" allowBlank="1" showDropDown="0" showInputMessage="1" showErrorMessage="1" errorTitle="" error="" promptTitle="" prompt="" sqref="O37:O37">
      <x:formula1>0</x:formula1>
      <x:formula2>100</x:formula2>
    </x:dataValidation>
    <x:dataValidation type="list" errorStyle="stop" operator="between" allowBlank="1" showDropDown="0" showInputMessage="1" showErrorMessage="1" errorTitle="" error="" promptTitle="" prompt="" sqref="H38:H38">
      <x:formula1>'MasterData'!$B$1:$B$14</x:formula1>
      <x:formula2/>
    </x:dataValidation>
    <x:dataValidation type="list" errorStyle="stop" operator="between" allowBlank="1" showDropDown="0" showInputMessage="1" showErrorMessage="1" errorTitle="" error="" promptTitle="" prompt="" sqref="I38:I38">
      <x:formula1>'MasterData'!$E$171:$E$180</x:formula1>
      <x:formula2/>
    </x:dataValidation>
    <x:dataValidation type="decimal" errorStyle="stop" operator="greaterThanOrEqual" allowBlank="1" showDropDown="0" showInputMessage="1" showErrorMessage="1" errorTitle="" error="" promptTitle="" prompt="" sqref="K38:K38">
      <x:formula1>0</x:formula1>
      <x:formula2/>
    </x:dataValidation>
    <x:dataValidation type="decimal" errorStyle="stop" operator="between" allowBlank="1" showDropDown="0" showInputMessage="1" showErrorMessage="1" errorTitle="" error="" promptTitle="" prompt="" sqref="N38:N38">
      <x:formula1>0</x:formula1>
      <x:formula2>100</x:formula2>
    </x:dataValidation>
    <x:dataValidation type="decimal" errorStyle="stop" operator="between" allowBlank="1" showDropDown="0" showInputMessage="1" showErrorMessage="1" errorTitle="" error="" promptTitle="" prompt="" sqref="O38:O38">
      <x:formula1>0</x:formula1>
      <x:formula2>100</x:formula2>
    </x:dataValidation>
    <x:dataValidation type="list" errorStyle="stop" operator="between" allowBlank="1" showDropDown="0" showInputMessage="1" showErrorMessage="1" errorTitle="" error="" promptTitle="" prompt="" sqref="H39:H39">
      <x:formula1>'MasterData'!$B$1:$B$14</x:formula1>
      <x:formula2/>
    </x:dataValidation>
    <x:dataValidation type="list" errorStyle="stop" operator="between" allowBlank="1" showDropDown="0" showInputMessage="1" showErrorMessage="1" errorTitle="" error="" promptTitle="" prompt="" sqref="I39:I39">
      <x:formula1>'MasterData'!$E$181:$E$190</x:formula1>
      <x:formula2/>
    </x:dataValidation>
    <x:dataValidation type="decimal" errorStyle="stop" operator="greaterThanOrEqual" allowBlank="1" showDropDown="0" showInputMessage="1" showErrorMessage="1" errorTitle="" error="" promptTitle="" prompt="" sqref="K39:K39">
      <x:formula1>0</x:formula1>
      <x:formula2/>
    </x:dataValidation>
    <x:dataValidation type="decimal" errorStyle="stop" operator="between" allowBlank="1" showDropDown="0" showInputMessage="1" showErrorMessage="1" errorTitle="" error="" promptTitle="" prompt="" sqref="N39:N39">
      <x:formula1>0</x:formula1>
      <x:formula2>100</x:formula2>
    </x:dataValidation>
    <x:dataValidation type="decimal" errorStyle="stop" operator="between" allowBlank="1" showDropDown="0" showInputMessage="1" showErrorMessage="1" errorTitle="" error="" promptTitle="" prompt="" sqref="O39:O39">
      <x:formula1>0</x:formula1>
      <x:formula2>100</x:formula2>
    </x:dataValidation>
    <x:dataValidation type="list" errorStyle="stop" operator="between" allowBlank="1" showDropDown="0" showInputMessage="1" showErrorMessage="1" errorTitle="" error="" promptTitle="" prompt="" sqref="H40:H40">
      <x:formula1>'MasterData'!$B$1:$B$14</x:formula1>
      <x:formula2/>
    </x:dataValidation>
    <x:dataValidation type="list" errorStyle="stop" operator="between" allowBlank="1" showDropDown="0" showInputMessage="1" showErrorMessage="1" errorTitle="" error="" promptTitle="" prompt="" sqref="I40:I40">
      <x:formula1>'MasterData'!$E$191:$E$200</x:formula1>
      <x:formula2/>
    </x:dataValidation>
    <x:dataValidation type="decimal" errorStyle="stop" operator="greaterThanOrEqual" allowBlank="1" showDropDown="0" showInputMessage="1" showErrorMessage="1" errorTitle="" error="" promptTitle="" prompt="" sqref="K40:K40">
      <x:formula1>0</x:formula1>
      <x:formula2/>
    </x:dataValidation>
    <x:dataValidation type="decimal" errorStyle="stop" operator="between" allowBlank="1" showDropDown="0" showInputMessage="1" showErrorMessage="1" errorTitle="" error="" promptTitle="" prompt="" sqref="N40:N40">
      <x:formula1>0</x:formula1>
      <x:formula2>100</x:formula2>
    </x:dataValidation>
    <x:dataValidation type="decimal" errorStyle="stop" operator="between" allowBlank="1" showDropDown="0" showInputMessage="1" showErrorMessage="1" errorTitle="" error="" promptTitle="" prompt="" sqref="O40:O40">
      <x:formula1>0</x:formula1>
      <x:formula2>100</x:formula2>
    </x:dataValidation>
    <x:dataValidation type="list" errorStyle="stop" operator="between" allowBlank="1" showDropDown="0" showInputMessage="1" showErrorMessage="1" errorTitle="" error="" promptTitle="" prompt="" sqref="H41:H41">
      <x:formula1>'MasterData'!$B$1:$B$14</x:formula1>
      <x:formula2/>
    </x:dataValidation>
    <x:dataValidation type="list" errorStyle="stop" operator="between" allowBlank="1" showDropDown="0" showInputMessage="1" showErrorMessage="1" errorTitle="" error="" promptTitle="" prompt="" sqref="I41:I41">
      <x:formula1>'MasterData'!$E$201:$E$210</x:formula1>
      <x:formula2/>
    </x:dataValidation>
    <x:dataValidation type="decimal" errorStyle="stop" operator="greaterThanOrEqual" allowBlank="1" showDropDown="0" showInputMessage="1" showErrorMessage="1" errorTitle="" error="" promptTitle="" prompt="" sqref="K41:K41">
      <x:formula1>0</x:formula1>
      <x:formula2/>
    </x:dataValidation>
    <x:dataValidation type="decimal" errorStyle="stop" operator="between" allowBlank="1" showDropDown="0" showInputMessage="1" showErrorMessage="1" errorTitle="" error="" promptTitle="" prompt="" sqref="N41:N41">
      <x:formula1>0</x:formula1>
      <x:formula2>100</x:formula2>
    </x:dataValidation>
    <x:dataValidation type="decimal" errorStyle="stop" operator="between" allowBlank="1" showDropDown="0" showInputMessage="1" showErrorMessage="1" errorTitle="" error="" promptTitle="" prompt="" sqref="O41:O41">
      <x:formula1>0</x:formula1>
      <x:formula2>100</x:formula2>
    </x:dataValidation>
    <x:dataValidation type="list" errorStyle="stop" operator="between" allowBlank="1" showDropDown="0" showInputMessage="1" showErrorMessage="1" errorTitle="" error="" promptTitle="" prompt="" sqref="H42:H42">
      <x:formula1>'MasterData'!$B$1:$B$14</x:formula1>
      <x:formula2/>
    </x:dataValidation>
    <x:dataValidation type="list" errorStyle="stop" operator="between" allowBlank="1" showDropDown="0" showInputMessage="1" showErrorMessage="1" errorTitle="" error="" promptTitle="" prompt="" sqref="I42:I42">
      <x:formula1>'MasterData'!$E$211:$E$220</x:formula1>
      <x:formula2/>
    </x:dataValidation>
    <x:dataValidation type="decimal" errorStyle="stop" operator="greaterThanOrEqual" allowBlank="1" showDropDown="0" showInputMessage="1" showErrorMessage="1" errorTitle="" error="" promptTitle="" prompt="" sqref="K42:K42">
      <x:formula1>0</x:formula1>
      <x:formula2/>
    </x:dataValidation>
    <x:dataValidation type="decimal" errorStyle="stop" operator="between" allowBlank="1" showDropDown="0" showInputMessage="1" showErrorMessage="1" errorTitle="" error="" promptTitle="" prompt="" sqref="N42:N42">
      <x:formula1>0</x:formula1>
      <x:formula2>100</x:formula2>
    </x:dataValidation>
    <x:dataValidation type="decimal" errorStyle="stop" operator="between" allowBlank="1" showDropDown="0" showInputMessage="1" showErrorMessage="1" errorTitle="" error="" promptTitle="" prompt="" sqref="O42:O42">
      <x:formula1>0</x:formula1>
      <x:formula2>100</x:formula2>
    </x:dataValidation>
    <x:dataValidation type="list" errorStyle="stop" operator="between" allowBlank="1" showDropDown="0" showInputMessage="1" showErrorMessage="1" errorTitle="" error="" promptTitle="" prompt="" sqref="H43:H43">
      <x:formula1>'MasterData'!$B$1:$B$14</x:formula1>
      <x:formula2/>
    </x:dataValidation>
    <x:dataValidation type="list" errorStyle="stop" operator="between" allowBlank="1" showDropDown="0" showInputMessage="1" showErrorMessage="1" errorTitle="" error="" promptTitle="" prompt="" sqref="I43:I43">
      <x:formula1>'MasterData'!$E$221:$E$230</x:formula1>
      <x:formula2/>
    </x:dataValidation>
    <x:dataValidation type="decimal" errorStyle="stop" operator="greaterThanOrEqual" allowBlank="1" showDropDown="0" showInputMessage="1" showErrorMessage="1" errorTitle="" error="" promptTitle="" prompt="" sqref="K43:K43">
      <x:formula1>0</x:formula1>
      <x:formula2/>
    </x:dataValidation>
    <x:dataValidation type="decimal" errorStyle="stop" operator="between" allowBlank="1" showDropDown="0" showInputMessage="1" showErrorMessage="1" errorTitle="" error="" promptTitle="" prompt="" sqref="N43:N43">
      <x:formula1>0</x:formula1>
      <x:formula2>100</x:formula2>
    </x:dataValidation>
    <x:dataValidation type="decimal" errorStyle="stop" operator="between" allowBlank="1" showDropDown="0" showInputMessage="1" showErrorMessage="1" errorTitle="" error="" promptTitle="" prompt="" sqref="O43:O43">
      <x:formula1>0</x:formula1>
      <x:formula2>100</x:formula2>
    </x:dataValidation>
    <x:dataValidation type="list" errorStyle="stop" operator="between" allowBlank="1" showDropDown="0" showInputMessage="1" showErrorMessage="1" errorTitle="" error="" promptTitle="" prompt="" sqref="H44:H44">
      <x:formula1>'MasterData'!$B$1:$B$14</x:formula1>
      <x:formula2/>
    </x:dataValidation>
    <x:dataValidation type="list" errorStyle="stop" operator="between" allowBlank="1" showDropDown="0" showInputMessage="1" showErrorMessage="1" errorTitle="" error="" promptTitle="" prompt="" sqref="I44:I44">
      <x:formula1>'MasterData'!$E$231:$E$240</x:formula1>
      <x:formula2/>
    </x:dataValidation>
    <x:dataValidation type="decimal" errorStyle="stop" operator="greaterThanOrEqual" allowBlank="1" showDropDown="0" showInputMessage="1" showErrorMessage="1" errorTitle="" error="" promptTitle="" prompt="" sqref="K44:K44">
      <x:formula1>0</x:formula1>
      <x:formula2/>
    </x:dataValidation>
    <x:dataValidation type="decimal" errorStyle="stop" operator="between" allowBlank="1" showDropDown="0" showInputMessage="1" showErrorMessage="1" errorTitle="" error="" promptTitle="" prompt="" sqref="N44:N44">
      <x:formula1>0</x:formula1>
      <x:formula2>100</x:formula2>
    </x:dataValidation>
    <x:dataValidation type="decimal" errorStyle="stop" operator="between" allowBlank="1" showDropDown="0" showInputMessage="1" showErrorMessage="1" errorTitle="" error="" promptTitle="" prompt="" sqref="O44:O44">
      <x:formula1>0</x:formula1>
      <x:formula2>100</x:formula2>
    </x:dataValidation>
    <x:dataValidation type="list" errorStyle="stop" operator="between" allowBlank="1" showDropDown="0" showInputMessage="1" showErrorMessage="1" errorTitle="" error="" promptTitle="" prompt="" sqref="H45:H45">
      <x:formula1>'MasterData'!$B$1:$B$14</x:formula1>
      <x:formula2/>
    </x:dataValidation>
    <x:dataValidation type="list" errorStyle="stop" operator="between" allowBlank="1" showDropDown="0" showInputMessage="1" showErrorMessage="1" errorTitle="" error="" promptTitle="" prompt="" sqref="I45:I45">
      <x:formula1>'MasterData'!$E$241:$E$250</x:formula1>
      <x:formula2/>
    </x:dataValidation>
    <x:dataValidation type="decimal" errorStyle="stop" operator="greaterThanOrEqual" allowBlank="1" showDropDown="0" showInputMessage="1" showErrorMessage="1" errorTitle="" error="" promptTitle="" prompt="" sqref="K45:K45">
      <x:formula1>0</x:formula1>
      <x:formula2/>
    </x:dataValidation>
    <x:dataValidation type="decimal" errorStyle="stop" operator="between" allowBlank="1" showDropDown="0" showInputMessage="1" showErrorMessage="1" errorTitle="" error="" promptTitle="" prompt="" sqref="N45:N45">
      <x:formula1>0</x:formula1>
      <x:formula2>100</x:formula2>
    </x:dataValidation>
    <x:dataValidation type="decimal" errorStyle="stop" operator="between" allowBlank="1" showDropDown="0" showInputMessage="1" showErrorMessage="1" errorTitle="" error="" promptTitle="" prompt="" sqref="O45:O45">
      <x:formula1>0</x:formula1>
      <x:formula2>100</x:formula2>
    </x:dataValidation>
    <x:dataValidation type="list" errorStyle="stop" operator="between" allowBlank="1" showDropDown="0" showInputMessage="1" showErrorMessage="1" errorTitle="" error="" promptTitle="" prompt="" sqref="H46:H46">
      <x:formula1>'MasterData'!$B$1:$B$14</x:formula1>
      <x:formula2/>
    </x:dataValidation>
    <x:dataValidation type="list" errorStyle="stop" operator="between" allowBlank="1" showDropDown="0" showInputMessage="1" showErrorMessage="1" errorTitle="" error="" promptTitle="" prompt="" sqref="I46:I46">
      <x:formula1>'MasterData'!$E$251:$E$260</x:formula1>
      <x:formula2/>
    </x:dataValidation>
    <x:dataValidation type="decimal" errorStyle="stop" operator="greaterThanOrEqual" allowBlank="1" showDropDown="0" showInputMessage="1" showErrorMessage="1" errorTitle="" error="" promptTitle="" prompt="" sqref="K46:K46">
      <x:formula1>0</x:formula1>
      <x:formula2/>
    </x:dataValidation>
    <x:dataValidation type="decimal" errorStyle="stop" operator="between" allowBlank="1" showDropDown="0" showInputMessage="1" showErrorMessage="1" errorTitle="" error="" promptTitle="" prompt="" sqref="N46:N46">
      <x:formula1>0</x:formula1>
      <x:formula2>100</x:formula2>
    </x:dataValidation>
    <x:dataValidation type="decimal" errorStyle="stop" operator="between" allowBlank="1" showDropDown="0" showInputMessage="1" showErrorMessage="1" errorTitle="" error="" promptTitle="" prompt="" sqref="O46:O46">
      <x:formula1>0</x:formula1>
      <x:formula2>100</x:formula2>
    </x:dataValidation>
    <x:dataValidation type="list" errorStyle="stop" operator="between" allowBlank="1" showDropDown="0" showInputMessage="1" showErrorMessage="1" errorTitle="" error="" promptTitle="" prompt="" sqref="H47:H47">
      <x:formula1>'MasterData'!$B$1:$B$14</x:formula1>
      <x:formula2/>
    </x:dataValidation>
    <x:dataValidation type="list" errorStyle="stop" operator="between" allowBlank="1" showDropDown="0" showInputMessage="1" showErrorMessage="1" errorTitle="" error="" promptTitle="" prompt="" sqref="I47:I47">
      <x:formula1>'MasterData'!$E$261:$E$270</x:formula1>
      <x:formula2/>
    </x:dataValidation>
    <x:dataValidation type="decimal" errorStyle="stop" operator="greaterThanOrEqual" allowBlank="1" showDropDown="0" showInputMessage="1" showErrorMessage="1" errorTitle="" error="" promptTitle="" prompt="" sqref="K47:K47">
      <x:formula1>0</x:formula1>
      <x:formula2/>
    </x:dataValidation>
    <x:dataValidation type="decimal" errorStyle="stop" operator="between" allowBlank="1" showDropDown="0" showInputMessage="1" showErrorMessage="1" errorTitle="" error="" promptTitle="" prompt="" sqref="N47:N47">
      <x:formula1>0</x:formula1>
      <x:formula2>100</x:formula2>
    </x:dataValidation>
    <x:dataValidation type="decimal" errorStyle="stop" operator="between" allowBlank="1" showDropDown="0" showInputMessage="1" showErrorMessage="1" errorTitle="" error="" promptTitle="" prompt="" sqref="O47:O47">
      <x:formula1>0</x:formula1>
      <x:formula2>100</x:formula2>
    </x:dataValidation>
    <x:dataValidation type="list" errorStyle="stop" operator="between" allowBlank="1" showDropDown="0" showInputMessage="1" showErrorMessage="1" errorTitle="" error="" promptTitle="" prompt="" sqref="H48:H48">
      <x:formula1>'MasterData'!$B$1:$B$14</x:formula1>
      <x:formula2/>
    </x:dataValidation>
    <x:dataValidation type="list" errorStyle="stop" operator="between" allowBlank="1" showDropDown="0" showInputMessage="1" showErrorMessage="1" errorTitle="" error="" promptTitle="" prompt="" sqref="I48:I48">
      <x:formula1>'MasterData'!$E$271:$E$280</x:formula1>
      <x:formula2/>
    </x:dataValidation>
    <x:dataValidation type="decimal" errorStyle="stop" operator="greaterThanOrEqual" allowBlank="1" showDropDown="0" showInputMessage="1" showErrorMessage="1" errorTitle="" error="" promptTitle="" prompt="" sqref="K48:K48">
      <x:formula1>0</x:formula1>
      <x:formula2/>
    </x:dataValidation>
    <x:dataValidation type="decimal" errorStyle="stop" operator="between" allowBlank="1" showDropDown="0" showInputMessage="1" showErrorMessage="1" errorTitle="" error="" promptTitle="" prompt="" sqref="N48:N48">
      <x:formula1>0</x:formula1>
      <x:formula2>100</x:formula2>
    </x:dataValidation>
    <x:dataValidation type="decimal" errorStyle="stop" operator="between" allowBlank="1" showDropDown="0" showInputMessage="1" showErrorMessage="1" errorTitle="" error="" promptTitle="" prompt="" sqref="O48:O48">
      <x:formula1>0</x:formula1>
      <x:formula2>100</x:formula2>
    </x:dataValidation>
    <x:dataValidation type="list" errorStyle="stop" operator="between" allowBlank="1" showDropDown="0" showInputMessage="1" showErrorMessage="1" errorTitle="" error="" promptTitle="" prompt="" sqref="H49:H49">
      <x:formula1>'MasterData'!$B$1:$B$14</x:formula1>
      <x:formula2/>
    </x:dataValidation>
    <x:dataValidation type="list" errorStyle="stop" operator="between" allowBlank="1" showDropDown="0" showInputMessage="1" showErrorMessage="1" errorTitle="" error="" promptTitle="" prompt="" sqref="I49:I49">
      <x:formula1>'MasterData'!$E$281:$E$290</x:formula1>
      <x:formula2/>
    </x:dataValidation>
    <x:dataValidation type="decimal" errorStyle="stop" operator="greaterThanOrEqual" allowBlank="1" showDropDown="0" showInputMessage="1" showErrorMessage="1" errorTitle="" error="" promptTitle="" prompt="" sqref="K49:K49">
      <x:formula1>0</x:formula1>
      <x:formula2/>
    </x:dataValidation>
    <x:dataValidation type="decimal" errorStyle="stop" operator="between" allowBlank="1" showDropDown="0" showInputMessage="1" showErrorMessage="1" errorTitle="" error="" promptTitle="" prompt="" sqref="N49:N49">
      <x:formula1>0</x:formula1>
      <x:formula2>100</x:formula2>
    </x:dataValidation>
    <x:dataValidation type="decimal" errorStyle="stop" operator="between" allowBlank="1" showDropDown="0" showInputMessage="1" showErrorMessage="1" errorTitle="" error="" promptTitle="" prompt="" sqref="O49:O49">
      <x:formula1>0</x:formula1>
      <x:formula2>100</x:formula2>
    </x:dataValidation>
    <x:dataValidation type="list" errorStyle="stop" operator="between" allowBlank="1" showDropDown="0" showInputMessage="1" showErrorMessage="1" errorTitle="" error="" promptTitle="" prompt="" sqref="H50:H50">
      <x:formula1>'MasterData'!$B$1:$B$14</x:formula1>
      <x:formula2/>
    </x:dataValidation>
    <x:dataValidation type="list" errorStyle="stop" operator="between" allowBlank="1" showDropDown="0" showInputMessage="1" showErrorMessage="1" errorTitle="" error="" promptTitle="" prompt="" sqref="I50:I50">
      <x:formula1>'MasterData'!$E$291:$E$300</x:formula1>
      <x:formula2/>
    </x:dataValidation>
    <x:dataValidation type="decimal" errorStyle="stop" operator="greaterThanOrEqual" allowBlank="1" showDropDown="0" showInputMessage="1" showErrorMessage="1" errorTitle="" error="" promptTitle="" prompt="" sqref="K50:K50">
      <x:formula1>0</x:formula1>
      <x:formula2/>
    </x:dataValidation>
    <x:dataValidation type="decimal" errorStyle="stop" operator="between" allowBlank="1" showDropDown="0" showInputMessage="1" showErrorMessage="1" errorTitle="" error="" promptTitle="" prompt="" sqref="N50:N50">
      <x:formula1>0</x:formula1>
      <x:formula2>100</x:formula2>
    </x:dataValidation>
    <x:dataValidation type="decimal" errorStyle="stop" operator="between" allowBlank="1" showDropDown="0" showInputMessage="1" showErrorMessage="1" errorTitle="" error="" promptTitle="" prompt="" sqref="O50:O50">
      <x:formula1>0</x:formula1>
      <x:formula2>100</x:formula2>
    </x:dataValidation>
    <x:dataValidation type="list" errorStyle="stop" operator="between" allowBlank="1" showDropDown="0" showInputMessage="1" showErrorMessage="1" errorTitle="" error="" promptTitle="" prompt="" sqref="H51:H51">
      <x:formula1>'MasterData'!$B$1:$B$14</x:formula1>
      <x:formula2/>
    </x:dataValidation>
    <x:dataValidation type="list" errorStyle="stop" operator="between" allowBlank="1" showDropDown="0" showInputMessage="1" showErrorMessage="1" errorTitle="" error="" promptTitle="" prompt="" sqref="I51:I51">
      <x:formula1>'MasterData'!$E$301:$E$310</x:formula1>
      <x:formula2/>
    </x:dataValidation>
    <x:dataValidation type="decimal" errorStyle="stop" operator="greaterThanOrEqual" allowBlank="1" showDropDown="0" showInputMessage="1" showErrorMessage="1" errorTitle="" error="" promptTitle="" prompt="" sqref="K51:K51">
      <x:formula1>0</x:formula1>
      <x:formula2/>
    </x:dataValidation>
    <x:dataValidation type="decimal" errorStyle="stop" operator="between" allowBlank="1" showDropDown="0" showInputMessage="1" showErrorMessage="1" errorTitle="" error="" promptTitle="" prompt="" sqref="N51:N51">
      <x:formula1>0</x:formula1>
      <x:formula2>100</x:formula2>
    </x:dataValidation>
    <x:dataValidation type="decimal" errorStyle="stop" operator="between" allowBlank="1" showDropDown="0" showInputMessage="1" showErrorMessage="1" errorTitle="" error="" promptTitle="" prompt="" sqref="O51:O51">
      <x:formula1>0</x:formula1>
      <x:formula2>100</x:formula2>
    </x:dataValidation>
    <x:dataValidation type="list" errorStyle="stop" operator="between" allowBlank="1" showDropDown="0" showInputMessage="1" showErrorMessage="1" errorTitle="" error="" promptTitle="" prompt="" sqref="H52:H52">
      <x:formula1>'MasterData'!$B$1:$B$14</x:formula1>
      <x:formula2/>
    </x:dataValidation>
    <x:dataValidation type="list" errorStyle="stop" operator="between" allowBlank="1" showDropDown="0" showInputMessage="1" showErrorMessage="1" errorTitle="" error="" promptTitle="" prompt="" sqref="I52:I52">
      <x:formula1>'MasterData'!$E$311:$E$320</x:formula1>
      <x:formula2/>
    </x:dataValidation>
    <x:dataValidation type="decimal" errorStyle="stop" operator="greaterThanOrEqual" allowBlank="1" showDropDown="0" showInputMessage="1" showErrorMessage="1" errorTitle="" error="" promptTitle="" prompt="" sqref="K52:K52">
      <x:formula1>0</x:formula1>
      <x:formula2/>
    </x:dataValidation>
    <x:dataValidation type="decimal" errorStyle="stop" operator="between" allowBlank="1" showDropDown="0" showInputMessage="1" showErrorMessage="1" errorTitle="" error="" promptTitle="" prompt="" sqref="N52:N52">
      <x:formula1>0</x:formula1>
      <x:formula2>100</x:formula2>
    </x:dataValidation>
    <x:dataValidation type="decimal" errorStyle="stop" operator="between" allowBlank="1" showDropDown="0" showInputMessage="1" showErrorMessage="1" errorTitle="" error="" promptTitle="" prompt="" sqref="O52:O52">
      <x:formula1>0</x:formula1>
      <x:formula2>100</x:formula2>
    </x:dataValidation>
    <x:dataValidation type="list" errorStyle="stop" operator="between" allowBlank="1" showDropDown="0" showInputMessage="1" showErrorMessage="1" errorTitle="" error="" promptTitle="" prompt="" sqref="H53:H53">
      <x:formula1>'MasterData'!$B$1:$B$14</x:formula1>
      <x:formula2/>
    </x:dataValidation>
    <x:dataValidation type="list" errorStyle="stop" operator="between" allowBlank="1" showDropDown="0" showInputMessage="1" showErrorMessage="1" errorTitle="" error="" promptTitle="" prompt="" sqref="I53:I53">
      <x:formula1>'MasterData'!$E$321:$E$330</x:formula1>
      <x:formula2/>
    </x:dataValidation>
    <x:dataValidation type="decimal" errorStyle="stop" operator="greaterThanOrEqual" allowBlank="1" showDropDown="0" showInputMessage="1" showErrorMessage="1" errorTitle="" error="" promptTitle="" prompt="" sqref="K53:K53">
      <x:formula1>0</x:formula1>
      <x:formula2/>
    </x:dataValidation>
    <x:dataValidation type="decimal" errorStyle="stop" operator="between" allowBlank="1" showDropDown="0" showInputMessage="1" showErrorMessage="1" errorTitle="" error="" promptTitle="" prompt="" sqref="N53:N53">
      <x:formula1>0</x:formula1>
      <x:formula2>100</x:formula2>
    </x:dataValidation>
    <x:dataValidation type="decimal" errorStyle="stop" operator="between" allowBlank="1" showDropDown="0" showInputMessage="1" showErrorMessage="1" errorTitle="" error="" promptTitle="" prompt="" sqref="O53:O53">
      <x:formula1>0</x:formula1>
      <x:formula2>100</x:formula2>
    </x:dataValidation>
    <x:dataValidation type="list" errorStyle="stop" operator="between" allowBlank="1" showDropDown="0" showInputMessage="1" showErrorMessage="1" errorTitle="" error="" promptTitle="" prompt="" sqref="H54:H54">
      <x:formula1>'MasterData'!$B$1:$B$14</x:formula1>
      <x:formula2/>
    </x:dataValidation>
    <x:dataValidation type="list" errorStyle="stop" operator="between" allowBlank="1" showDropDown="0" showInputMessage="1" showErrorMessage="1" errorTitle="" error="" promptTitle="" prompt="" sqref="I54:I54">
      <x:formula1>'MasterData'!$E$331:$E$340</x:formula1>
      <x:formula2/>
    </x:dataValidation>
    <x:dataValidation type="decimal" errorStyle="stop" operator="greaterThanOrEqual" allowBlank="1" showDropDown="0" showInputMessage="1" showErrorMessage="1" errorTitle="" error="" promptTitle="" prompt="" sqref="K54:K54">
      <x:formula1>0</x:formula1>
      <x:formula2/>
    </x:dataValidation>
    <x:dataValidation type="decimal" errorStyle="stop" operator="between" allowBlank="1" showDropDown="0" showInputMessage="1" showErrorMessage="1" errorTitle="" error="" promptTitle="" prompt="" sqref="N54:N54">
      <x:formula1>0</x:formula1>
      <x:formula2>100</x:formula2>
    </x:dataValidation>
    <x:dataValidation type="decimal" errorStyle="stop" operator="between" allowBlank="1" showDropDown="0" showInputMessage="1" showErrorMessage="1" errorTitle="" error="" promptTitle="" prompt="" sqref="O54:O54">
      <x:formula1>0</x:formula1>
      <x:formula2>100</x:formula2>
    </x:dataValidation>
    <x:dataValidation type="list" errorStyle="stop" operator="between" allowBlank="1" showDropDown="0" showInputMessage="1" showErrorMessage="1" errorTitle="" error="" promptTitle="" prompt="" sqref="H55:H55">
      <x:formula1>'MasterData'!$B$1:$B$14</x:formula1>
      <x:formula2/>
    </x:dataValidation>
    <x:dataValidation type="list" errorStyle="stop" operator="between" allowBlank="1" showDropDown="0" showInputMessage="1" showErrorMessage="1" errorTitle="" error="" promptTitle="" prompt="" sqref="I55:I55">
      <x:formula1>'MasterData'!$E$341:$E$350</x:formula1>
      <x:formula2/>
    </x:dataValidation>
    <x:dataValidation type="decimal" errorStyle="stop" operator="greaterThanOrEqual" allowBlank="1" showDropDown="0" showInputMessage="1" showErrorMessage="1" errorTitle="" error="" promptTitle="" prompt="" sqref="K55:K55">
      <x:formula1>0</x:formula1>
      <x:formula2/>
    </x:dataValidation>
    <x:dataValidation type="decimal" errorStyle="stop" operator="between" allowBlank="1" showDropDown="0" showInputMessage="1" showErrorMessage="1" errorTitle="" error="" promptTitle="" prompt="" sqref="N55:N55">
      <x:formula1>0</x:formula1>
      <x:formula2>100</x:formula2>
    </x:dataValidation>
    <x:dataValidation type="decimal" errorStyle="stop" operator="between" allowBlank="1" showDropDown="0" showInputMessage="1" showErrorMessage="1" errorTitle="" error="" promptTitle="" prompt="" sqref="O55:O55">
      <x:formula1>0</x:formula1>
      <x:formula2>100</x:formula2>
    </x:dataValidation>
    <x:dataValidation type="list" errorStyle="stop" operator="between" allowBlank="1" showDropDown="0" showInputMessage="1" showErrorMessage="1" errorTitle="" error="" promptTitle="" prompt="" sqref="H56:H56">
      <x:formula1>'MasterData'!$B$1:$B$14</x:formula1>
      <x:formula2/>
    </x:dataValidation>
    <x:dataValidation type="list" errorStyle="stop" operator="between" allowBlank="1" showDropDown="0" showInputMessage="1" showErrorMessage="1" errorTitle="" error="" promptTitle="" prompt="" sqref="I56:I56">
      <x:formula1>'MasterData'!$E$351:$E$360</x:formula1>
      <x:formula2/>
    </x:dataValidation>
    <x:dataValidation type="decimal" errorStyle="stop" operator="greaterThanOrEqual" allowBlank="1" showDropDown="0" showInputMessage="1" showErrorMessage="1" errorTitle="" error="" promptTitle="" prompt="" sqref="K56:K56">
      <x:formula1>0</x:formula1>
      <x:formula2/>
    </x:dataValidation>
    <x:dataValidation type="decimal" errorStyle="stop" operator="between" allowBlank="1" showDropDown="0" showInputMessage="1" showErrorMessage="1" errorTitle="" error="" promptTitle="" prompt="" sqref="N56:N56">
      <x:formula1>0</x:formula1>
      <x:formula2>100</x:formula2>
    </x:dataValidation>
    <x:dataValidation type="decimal" errorStyle="stop" operator="between" allowBlank="1" showDropDown="0" showInputMessage="1" showErrorMessage="1" errorTitle="" error="" promptTitle="" prompt="" sqref="O56:O56">
      <x:formula1>0</x:formula1>
      <x:formula2>100</x:formula2>
    </x:dataValidation>
    <x:dataValidation type="list" errorStyle="stop" operator="between" allowBlank="1" showDropDown="0" showInputMessage="1" showErrorMessage="1" errorTitle="" error="" promptTitle="" prompt="" sqref="H57:H57">
      <x:formula1>'MasterData'!$B$1:$B$14</x:formula1>
      <x:formula2/>
    </x:dataValidation>
    <x:dataValidation type="list" errorStyle="stop" operator="between" allowBlank="1" showDropDown="0" showInputMessage="1" showErrorMessage="1" errorTitle="" error="" promptTitle="" prompt="" sqref="I57:I57">
      <x:formula1>'MasterData'!$E$361:$E$370</x:formula1>
      <x:formula2/>
    </x:dataValidation>
    <x:dataValidation type="decimal" errorStyle="stop" operator="greaterThanOrEqual" allowBlank="1" showDropDown="0" showInputMessage="1" showErrorMessage="1" errorTitle="" error="" promptTitle="" prompt="" sqref="K57:K57">
      <x:formula1>0</x:formula1>
      <x:formula2/>
    </x:dataValidation>
    <x:dataValidation type="decimal" errorStyle="stop" operator="between" allowBlank="1" showDropDown="0" showInputMessage="1" showErrorMessage="1" errorTitle="" error="" promptTitle="" prompt="" sqref="N57:N57">
      <x:formula1>0</x:formula1>
      <x:formula2>100</x:formula2>
    </x:dataValidation>
    <x:dataValidation type="decimal" errorStyle="stop" operator="between" allowBlank="1" showDropDown="0" showInputMessage="1" showErrorMessage="1" errorTitle="" error="" promptTitle="" prompt="" sqref="O57:O57">
      <x:formula1>0</x:formula1>
      <x:formula2>100</x:formula2>
    </x:dataValidation>
    <x:dataValidation type="list" errorStyle="stop" operator="between" allowBlank="1" showDropDown="0" showInputMessage="1" showErrorMessage="1" errorTitle="" error="" promptTitle="" prompt="" sqref="H58:H58">
      <x:formula1>'MasterData'!$B$1:$B$14</x:formula1>
      <x:formula2/>
    </x:dataValidation>
    <x:dataValidation type="list" errorStyle="stop" operator="between" allowBlank="1" showDropDown="0" showInputMessage="1" showErrorMessage="1" errorTitle="" error="" promptTitle="" prompt="" sqref="I58:I58">
      <x:formula1>'MasterData'!$E$371:$E$380</x:formula1>
      <x:formula2/>
    </x:dataValidation>
    <x:dataValidation type="decimal" errorStyle="stop" operator="greaterThanOrEqual" allowBlank="1" showDropDown="0" showInputMessage="1" showErrorMessage="1" errorTitle="" error="" promptTitle="" prompt="" sqref="K58:K58">
      <x:formula1>0</x:formula1>
      <x:formula2/>
    </x:dataValidation>
    <x:dataValidation type="decimal" errorStyle="stop" operator="between" allowBlank="1" showDropDown="0" showInputMessage="1" showErrorMessage="1" errorTitle="" error="" promptTitle="" prompt="" sqref="N58:N58">
      <x:formula1>0</x:formula1>
      <x:formula2>100</x:formula2>
    </x:dataValidation>
    <x:dataValidation type="decimal" errorStyle="stop" operator="between" allowBlank="1" showDropDown="0" showInputMessage="1" showErrorMessage="1" errorTitle="" error="" promptTitle="" prompt="" sqref="O58:O58">
      <x:formula1>0</x:formula1>
      <x:formula2>100</x:formula2>
    </x:dataValidation>
    <x:dataValidation type="list" errorStyle="stop" operator="between" allowBlank="1" showDropDown="0" showInputMessage="1" showErrorMessage="1" errorTitle="" error="" promptTitle="" prompt="" sqref="H59:H59">
      <x:formula1>'MasterData'!$B$1:$B$14</x:formula1>
      <x:formula2/>
    </x:dataValidation>
    <x:dataValidation type="list" errorStyle="stop" operator="between" allowBlank="1" showDropDown="0" showInputMessage="1" showErrorMessage="1" errorTitle="" error="" promptTitle="" prompt="" sqref="I59:I59">
      <x:formula1>'MasterData'!$E$381:$E$390</x:formula1>
      <x:formula2/>
    </x:dataValidation>
    <x:dataValidation type="decimal" errorStyle="stop" operator="greaterThanOrEqual" allowBlank="1" showDropDown="0" showInputMessage="1" showErrorMessage="1" errorTitle="" error="" promptTitle="" prompt="" sqref="K59:K59">
      <x:formula1>0</x:formula1>
      <x:formula2/>
    </x:dataValidation>
    <x:dataValidation type="decimal" errorStyle="stop" operator="between" allowBlank="1" showDropDown="0" showInputMessage="1" showErrorMessage="1" errorTitle="" error="" promptTitle="" prompt="" sqref="N59:N59">
      <x:formula1>0</x:formula1>
      <x:formula2>100</x:formula2>
    </x:dataValidation>
    <x:dataValidation type="decimal" errorStyle="stop" operator="between" allowBlank="1" showDropDown="0" showInputMessage="1" showErrorMessage="1" errorTitle="" error="" promptTitle="" prompt="" sqref="O59:O59">
      <x:formula1>0</x:formula1>
      <x:formula2>100</x:formula2>
    </x:dataValidation>
    <x:dataValidation type="list" errorStyle="stop" operator="between" allowBlank="1" showDropDown="0" showInputMessage="1" showErrorMessage="1" errorTitle="" error="" promptTitle="" prompt="" sqref="H60:H60">
      <x:formula1>'MasterData'!$B$1:$B$14</x:formula1>
      <x:formula2/>
    </x:dataValidation>
    <x:dataValidation type="list" errorStyle="stop" operator="between" allowBlank="1" showDropDown="0" showInputMessage="1" showErrorMessage="1" errorTitle="" error="" promptTitle="" prompt="" sqref="I60:I60">
      <x:formula1>'MasterData'!$E$391:$E$400</x:formula1>
      <x:formula2/>
    </x:dataValidation>
    <x:dataValidation type="decimal" errorStyle="stop" operator="greaterThanOrEqual" allowBlank="1" showDropDown="0" showInputMessage="1" showErrorMessage="1" errorTitle="" error="" promptTitle="" prompt="" sqref="K60:K60">
      <x:formula1>0</x:formula1>
      <x:formula2/>
    </x:dataValidation>
    <x:dataValidation type="decimal" errorStyle="stop" operator="between" allowBlank="1" showDropDown="0" showInputMessage="1" showErrorMessage="1" errorTitle="" error="" promptTitle="" prompt="" sqref="N60:N60">
      <x:formula1>0</x:formula1>
      <x:formula2>100</x:formula2>
    </x:dataValidation>
    <x:dataValidation type="decimal" errorStyle="stop" operator="between" allowBlank="1" showDropDown="0" showInputMessage="1" showErrorMessage="1" errorTitle="" error="" promptTitle="" prompt="" sqref="O60:O60">
      <x:formula1>0</x:formula1>
      <x:formula2>100</x:formula2>
    </x:dataValidation>
    <x:dataValidation type="list" errorStyle="stop" operator="between" allowBlank="1" showDropDown="0" showInputMessage="1" showErrorMessage="1" errorTitle="" error="" promptTitle="" prompt="" sqref="H61:H61">
      <x:formula1>'MasterData'!$B$1:$B$14</x:formula1>
      <x:formula2/>
    </x:dataValidation>
    <x:dataValidation type="list" errorStyle="stop" operator="between" allowBlank="1" showDropDown="0" showInputMessage="1" showErrorMessage="1" errorTitle="" error="" promptTitle="" prompt="" sqref="I61:I61">
      <x:formula1>'MasterData'!$E$401:$E$410</x:formula1>
      <x:formula2/>
    </x:dataValidation>
    <x:dataValidation type="decimal" errorStyle="stop" operator="greaterThanOrEqual" allowBlank="1" showDropDown="0" showInputMessage="1" showErrorMessage="1" errorTitle="" error="" promptTitle="" prompt="" sqref="K61:K61">
      <x:formula1>0</x:formula1>
      <x:formula2/>
    </x:dataValidation>
    <x:dataValidation type="decimal" errorStyle="stop" operator="between" allowBlank="1" showDropDown="0" showInputMessage="1" showErrorMessage="1" errorTitle="" error="" promptTitle="" prompt="" sqref="N61:N61">
      <x:formula1>0</x:formula1>
      <x:formula2>100</x:formula2>
    </x:dataValidation>
    <x:dataValidation type="decimal" errorStyle="stop" operator="between" allowBlank="1" showDropDown="0" showInputMessage="1" showErrorMessage="1" errorTitle="" error="" promptTitle="" prompt="" sqref="O61:O61">
      <x:formula1>0</x:formula1>
      <x:formula2>100</x:formula2>
    </x:dataValidation>
    <x:dataValidation type="list" errorStyle="stop" operator="between" allowBlank="1" showDropDown="0" showInputMessage="1" showErrorMessage="1" errorTitle="" error="" promptTitle="" prompt="" sqref="H62:H62">
      <x:formula1>'MasterData'!$B$1:$B$14</x:formula1>
      <x:formula2/>
    </x:dataValidation>
    <x:dataValidation type="list" errorStyle="stop" operator="between" allowBlank="1" showDropDown="0" showInputMessage="1" showErrorMessage="1" errorTitle="" error="" promptTitle="" prompt="" sqref="I62:I62">
      <x:formula1>'MasterData'!$E$411:$E$420</x:formula1>
      <x:formula2/>
    </x:dataValidation>
    <x:dataValidation type="decimal" errorStyle="stop" operator="greaterThanOrEqual" allowBlank="1" showDropDown="0" showInputMessage="1" showErrorMessage="1" errorTitle="" error="" promptTitle="" prompt="" sqref="K62:K62">
      <x:formula1>0</x:formula1>
      <x:formula2/>
    </x:dataValidation>
    <x:dataValidation type="decimal" errorStyle="stop" operator="between" allowBlank="1" showDropDown="0" showInputMessage="1" showErrorMessage="1" errorTitle="" error="" promptTitle="" prompt="" sqref="N62:N62">
      <x:formula1>0</x:formula1>
      <x:formula2>100</x:formula2>
    </x:dataValidation>
    <x:dataValidation type="decimal" errorStyle="stop" operator="between" allowBlank="1" showDropDown="0" showInputMessage="1" showErrorMessage="1" errorTitle="" error="" promptTitle="" prompt="" sqref="O62:O62">
      <x:formula1>0</x:formula1>
      <x:formula2>100</x:formula2>
    </x:dataValidation>
    <x:dataValidation type="list" errorStyle="stop" operator="between" allowBlank="1" showDropDown="0" showInputMessage="1" showErrorMessage="1" errorTitle="" error="" promptTitle="" prompt="" sqref="H63:H63">
      <x:formula1>'MasterData'!$B$1:$B$14</x:formula1>
      <x:formula2/>
    </x:dataValidation>
    <x:dataValidation type="list" errorStyle="stop" operator="between" allowBlank="1" showDropDown="0" showInputMessage="1" showErrorMessage="1" errorTitle="" error="" promptTitle="" prompt="" sqref="I63:I63">
      <x:formula1>'MasterData'!$E$421:$E$430</x:formula1>
      <x:formula2/>
    </x:dataValidation>
    <x:dataValidation type="decimal" errorStyle="stop" operator="greaterThanOrEqual" allowBlank="1" showDropDown="0" showInputMessage="1" showErrorMessage="1" errorTitle="" error="" promptTitle="" prompt="" sqref="K63:K63">
      <x:formula1>0</x:formula1>
      <x:formula2/>
    </x:dataValidation>
    <x:dataValidation type="decimal" errorStyle="stop" operator="between" allowBlank="1" showDropDown="0" showInputMessage="1" showErrorMessage="1" errorTitle="" error="" promptTitle="" prompt="" sqref="N63:N63">
      <x:formula1>0</x:formula1>
      <x:formula2>100</x:formula2>
    </x:dataValidation>
    <x:dataValidation type="decimal" errorStyle="stop" operator="between" allowBlank="1" showDropDown="0" showInputMessage="1" showErrorMessage="1" errorTitle="" error="" promptTitle="" prompt="" sqref="O63:O63">
      <x:formula1>0</x:formula1>
      <x:formula2>100</x:formula2>
    </x:dataValidation>
    <x:dataValidation type="list" errorStyle="stop" operator="between" allowBlank="1" showDropDown="0" showInputMessage="1" showErrorMessage="1" errorTitle="" error="" promptTitle="" prompt="" sqref="H64:H64">
      <x:formula1>'MasterData'!$B$1:$B$14</x:formula1>
      <x:formula2/>
    </x:dataValidation>
    <x:dataValidation type="list" errorStyle="stop" operator="between" allowBlank="1" showDropDown="0" showInputMessage="1" showErrorMessage="1" errorTitle="" error="" promptTitle="" prompt="" sqref="I64:I64">
      <x:formula1>'MasterData'!$E$431:$E$440</x:formula1>
      <x:formula2/>
    </x:dataValidation>
    <x:dataValidation type="decimal" errorStyle="stop" operator="greaterThanOrEqual" allowBlank="1" showDropDown="0" showInputMessage="1" showErrorMessage="1" errorTitle="" error="" promptTitle="" prompt="" sqref="K64:K64">
      <x:formula1>0</x:formula1>
      <x:formula2/>
    </x:dataValidation>
    <x:dataValidation type="decimal" errorStyle="stop" operator="between" allowBlank="1" showDropDown="0" showInputMessage="1" showErrorMessage="1" errorTitle="" error="" promptTitle="" prompt="" sqref="N64:N64">
      <x:formula1>0</x:formula1>
      <x:formula2>100</x:formula2>
    </x:dataValidation>
    <x:dataValidation type="decimal" errorStyle="stop" operator="between" allowBlank="1" showDropDown="0" showInputMessage="1" showErrorMessage="1" errorTitle="" error="" promptTitle="" prompt="" sqref="O64:O64">
      <x:formula1>0</x:formula1>
      <x:formula2>100</x:formula2>
    </x:dataValidation>
    <x:dataValidation type="list" errorStyle="stop" operator="between" allowBlank="1" showDropDown="0" showInputMessage="1" showErrorMessage="1" errorTitle="" error="" promptTitle="" prompt="" sqref="H65:H65">
      <x:formula1>'MasterData'!$B$1:$B$14</x:formula1>
      <x:formula2/>
    </x:dataValidation>
    <x:dataValidation type="list" errorStyle="stop" operator="between" allowBlank="1" showDropDown="0" showInputMessage="1" showErrorMessage="1" errorTitle="" error="" promptTitle="" prompt="" sqref="I65:I65">
      <x:formula1>'MasterData'!$E$441:$E$450</x:formula1>
      <x:formula2/>
    </x:dataValidation>
    <x:dataValidation type="decimal" errorStyle="stop" operator="greaterThanOrEqual" allowBlank="1" showDropDown="0" showInputMessage="1" showErrorMessage="1" errorTitle="" error="" promptTitle="" prompt="" sqref="K65:K65">
      <x:formula1>0</x:formula1>
      <x:formula2/>
    </x:dataValidation>
    <x:dataValidation type="decimal" errorStyle="stop" operator="between" allowBlank="1" showDropDown="0" showInputMessage="1" showErrorMessage="1" errorTitle="" error="" promptTitle="" prompt="" sqref="N65:N65">
      <x:formula1>0</x:formula1>
      <x:formula2>100</x:formula2>
    </x:dataValidation>
    <x:dataValidation type="decimal" errorStyle="stop" operator="between" allowBlank="1" showDropDown="0" showInputMessage="1" showErrorMessage="1" errorTitle="" error="" promptTitle="" prompt="" sqref="O65:O65">
      <x:formula1>0</x:formula1>
      <x:formula2>100</x:formula2>
    </x:dataValidation>
    <x:dataValidation type="list" errorStyle="stop" operator="between" allowBlank="1" showDropDown="0" showInputMessage="1" showErrorMessage="1" errorTitle="" error="" promptTitle="" prompt="" sqref="H66:H66">
      <x:formula1>'MasterData'!$B$1:$B$14</x:formula1>
      <x:formula2/>
    </x:dataValidation>
    <x:dataValidation type="list" errorStyle="stop" operator="between" allowBlank="1" showDropDown="0" showInputMessage="1" showErrorMessage="1" errorTitle="" error="" promptTitle="" prompt="" sqref="I66:I66">
      <x:formula1>'MasterData'!$E$451:$E$460</x:formula1>
      <x:formula2/>
    </x:dataValidation>
    <x:dataValidation type="decimal" errorStyle="stop" operator="greaterThanOrEqual" allowBlank="1" showDropDown="0" showInputMessage="1" showErrorMessage="1" errorTitle="" error="" promptTitle="" prompt="" sqref="K66:K66">
      <x:formula1>0</x:formula1>
      <x:formula2/>
    </x:dataValidation>
    <x:dataValidation type="decimal" errorStyle="stop" operator="between" allowBlank="1" showDropDown="0" showInputMessage="1" showErrorMessage="1" errorTitle="" error="" promptTitle="" prompt="" sqref="N66:N66">
      <x:formula1>0</x:formula1>
      <x:formula2>100</x:formula2>
    </x:dataValidation>
    <x:dataValidation type="decimal" errorStyle="stop" operator="between" allowBlank="1" showDropDown="0" showInputMessage="1" showErrorMessage="1" errorTitle="" error="" promptTitle="" prompt="" sqref="O66:O66">
      <x:formula1>0</x:formula1>
      <x:formula2>100</x:formula2>
    </x:dataValidation>
    <x:dataValidation type="list" errorStyle="stop" operator="between" allowBlank="1" showDropDown="0" showInputMessage="1" showErrorMessage="1" errorTitle="" error="" promptTitle="" prompt="" sqref="H67:H67">
      <x:formula1>'MasterData'!$B$1:$B$14</x:formula1>
      <x:formula2/>
    </x:dataValidation>
    <x:dataValidation type="list" errorStyle="stop" operator="between" allowBlank="1" showDropDown="0" showInputMessage="1" showErrorMessage="1" errorTitle="" error="" promptTitle="" prompt="" sqref="I67:I67">
      <x:formula1>'MasterData'!$E$461:$E$470</x:formula1>
      <x:formula2/>
    </x:dataValidation>
    <x:dataValidation type="decimal" errorStyle="stop" operator="greaterThanOrEqual" allowBlank="1" showDropDown="0" showInputMessage="1" showErrorMessage="1" errorTitle="" error="" promptTitle="" prompt="" sqref="K67:K67">
      <x:formula1>0</x:formula1>
      <x:formula2/>
    </x:dataValidation>
    <x:dataValidation type="decimal" errorStyle="stop" operator="between" allowBlank="1" showDropDown="0" showInputMessage="1" showErrorMessage="1" errorTitle="" error="" promptTitle="" prompt="" sqref="N67:N67">
      <x:formula1>0</x:formula1>
      <x:formula2>100</x:formula2>
    </x:dataValidation>
    <x:dataValidation type="decimal" errorStyle="stop" operator="between" allowBlank="1" showDropDown="0" showInputMessage="1" showErrorMessage="1" errorTitle="" error="" promptTitle="" prompt="" sqref="O67:O67">
      <x:formula1>0</x:formula1>
      <x:formula2>100</x:formula2>
    </x:dataValidation>
    <x:dataValidation type="list" errorStyle="stop" operator="between" allowBlank="1" showDropDown="0" showInputMessage="1" showErrorMessage="1" errorTitle="" error="" promptTitle="" prompt="" sqref="H68:H68">
      <x:formula1>'MasterData'!$B$1:$B$14</x:formula1>
      <x:formula2/>
    </x:dataValidation>
    <x:dataValidation type="list" errorStyle="stop" operator="between" allowBlank="1" showDropDown="0" showInputMessage="1" showErrorMessage="1" errorTitle="" error="" promptTitle="" prompt="" sqref="I68:I68">
      <x:formula1>'MasterData'!$E$471:$E$480</x:formula1>
      <x:formula2/>
    </x:dataValidation>
    <x:dataValidation type="decimal" errorStyle="stop" operator="greaterThanOrEqual" allowBlank="1" showDropDown="0" showInputMessage="1" showErrorMessage="1" errorTitle="" error="" promptTitle="" prompt="" sqref="K68:K68">
      <x:formula1>0</x:formula1>
      <x:formula2/>
    </x:dataValidation>
    <x:dataValidation type="decimal" errorStyle="stop" operator="between" allowBlank="1" showDropDown="0" showInputMessage="1" showErrorMessage="1" errorTitle="" error="" promptTitle="" prompt="" sqref="N68:N68">
      <x:formula1>0</x:formula1>
      <x:formula2>100</x:formula2>
    </x:dataValidation>
    <x:dataValidation type="decimal" errorStyle="stop" operator="between" allowBlank="1" showDropDown="0" showInputMessage="1" showErrorMessage="1" errorTitle="" error="" promptTitle="" prompt="" sqref="O68:O68">
      <x:formula1>0</x:formula1>
      <x:formula2>100</x:formula2>
    </x:dataValidation>
    <x:dataValidation type="list" errorStyle="stop" operator="between" allowBlank="1" showDropDown="0" showInputMessage="1" showErrorMessage="1" errorTitle="" error="" promptTitle="" prompt="" sqref="H69:H69">
      <x:formula1>'MasterData'!$B$1:$B$14</x:formula1>
      <x:formula2/>
    </x:dataValidation>
    <x:dataValidation type="list" errorStyle="stop" operator="between" allowBlank="1" showDropDown="0" showInputMessage="1" showErrorMessage="1" errorTitle="" error="" promptTitle="" prompt="" sqref="I69:I69">
      <x:formula1>'MasterData'!$E$481:$E$490</x:formula1>
      <x:formula2/>
    </x:dataValidation>
    <x:dataValidation type="decimal" errorStyle="stop" operator="greaterThanOrEqual" allowBlank="1" showDropDown="0" showInputMessage="1" showErrorMessage="1" errorTitle="" error="" promptTitle="" prompt="" sqref="K69:K69">
      <x:formula1>0</x:formula1>
      <x:formula2/>
    </x:dataValidation>
    <x:dataValidation type="decimal" errorStyle="stop" operator="between" allowBlank="1" showDropDown="0" showInputMessage="1" showErrorMessage="1" errorTitle="" error="" promptTitle="" prompt="" sqref="N69:N69">
      <x:formula1>0</x:formula1>
      <x:formula2>100</x:formula2>
    </x:dataValidation>
    <x:dataValidation type="decimal" errorStyle="stop" operator="between" allowBlank="1" showDropDown="0" showInputMessage="1" showErrorMessage="1" errorTitle="" error="" promptTitle="" prompt="" sqref="O69:O69">
      <x:formula1>0</x:formula1>
      <x:formula2>100</x:formula2>
    </x:dataValidation>
    <x:dataValidation type="list" errorStyle="stop" operator="between" allowBlank="1" showDropDown="0" showInputMessage="1" showErrorMessage="1" errorTitle="" error="" promptTitle="" prompt="" sqref="H70:H70">
      <x:formula1>'MasterData'!$B$1:$B$14</x:formula1>
      <x:formula2/>
    </x:dataValidation>
    <x:dataValidation type="list" errorStyle="stop" operator="between" allowBlank="1" showDropDown="0" showInputMessage="1" showErrorMessage="1" errorTitle="" error="" promptTitle="" prompt="" sqref="I70:I70">
      <x:formula1>'MasterData'!$E$491:$E$500</x:formula1>
      <x:formula2/>
    </x:dataValidation>
    <x:dataValidation type="decimal" errorStyle="stop" operator="greaterThanOrEqual" allowBlank="1" showDropDown="0" showInputMessage="1" showErrorMessage="1" errorTitle="" error="" promptTitle="" prompt="" sqref="K70:K70">
      <x:formula1>0</x:formula1>
      <x:formula2/>
    </x:dataValidation>
    <x:dataValidation type="decimal" errorStyle="stop" operator="between" allowBlank="1" showDropDown="0" showInputMessage="1" showErrorMessage="1" errorTitle="" error="" promptTitle="" prompt="" sqref="N70:N70">
      <x:formula1>0</x:formula1>
      <x:formula2>100</x:formula2>
    </x:dataValidation>
    <x:dataValidation type="decimal" errorStyle="stop" operator="between" allowBlank="1" showDropDown="0" showInputMessage="1" showErrorMessage="1" errorTitle="" error="" promptTitle="" prompt="" sqref="O70:O70">
      <x:formula1>0</x:formula1>
      <x:formula2>100</x:formula2>
    </x:dataValidation>
    <x:dataValidation type="list" errorStyle="stop" operator="between" allowBlank="1" showDropDown="0" showInputMessage="1" showErrorMessage="1" errorTitle="" error="" promptTitle="" prompt="" sqref="H71:H71">
      <x:formula1>'MasterData'!$B$1:$B$14</x:formula1>
      <x:formula2/>
    </x:dataValidation>
    <x:dataValidation type="list" errorStyle="stop" operator="between" allowBlank="1" showDropDown="0" showInputMessage="1" showErrorMessage="1" errorTitle="" error="" promptTitle="" prompt="" sqref="I71:I71">
      <x:formula1>'MasterData'!$E$501:$E$510</x:formula1>
      <x:formula2/>
    </x:dataValidation>
    <x:dataValidation type="decimal" errorStyle="stop" operator="greaterThanOrEqual" allowBlank="1" showDropDown="0" showInputMessage="1" showErrorMessage="1" errorTitle="" error="" promptTitle="" prompt="" sqref="K71:K71">
      <x:formula1>0</x:formula1>
      <x:formula2/>
    </x:dataValidation>
    <x:dataValidation type="decimal" errorStyle="stop" operator="between" allowBlank="1" showDropDown="0" showInputMessage="1" showErrorMessage="1" errorTitle="" error="" promptTitle="" prompt="" sqref="N71:N71">
      <x:formula1>0</x:formula1>
      <x:formula2>100</x:formula2>
    </x:dataValidation>
    <x:dataValidation type="decimal" errorStyle="stop" operator="between" allowBlank="1" showDropDown="0" showInputMessage="1" showErrorMessage="1" errorTitle="" error="" promptTitle="" prompt="" sqref="O71:O71">
      <x:formula1>0</x:formula1>
      <x:formula2>100</x:formula2>
    </x:dataValidation>
    <x:dataValidation type="list" errorStyle="stop" operator="between" allowBlank="1" showDropDown="0" showInputMessage="1" showErrorMessage="1" errorTitle="" error="" promptTitle="" prompt="" sqref="H72:H72">
      <x:formula1>'MasterData'!$B$1:$B$14</x:formula1>
      <x:formula2/>
    </x:dataValidation>
    <x:dataValidation type="list" errorStyle="stop" operator="between" allowBlank="1" showDropDown="0" showInputMessage="1" showErrorMessage="1" errorTitle="" error="" promptTitle="" prompt="" sqref="I72:I72">
      <x:formula1>'MasterData'!$E$511:$E$520</x:formula1>
      <x:formula2/>
    </x:dataValidation>
    <x:dataValidation type="decimal" errorStyle="stop" operator="greaterThanOrEqual" allowBlank="1" showDropDown="0" showInputMessage="1" showErrorMessage="1" errorTitle="" error="" promptTitle="" prompt="" sqref="K72:K72">
      <x:formula1>0</x:formula1>
      <x:formula2/>
    </x:dataValidation>
    <x:dataValidation type="decimal" errorStyle="stop" operator="between" allowBlank="1" showDropDown="0" showInputMessage="1" showErrorMessage="1" errorTitle="" error="" promptTitle="" prompt="" sqref="N72:N72">
      <x:formula1>0</x:formula1>
      <x:formula2>100</x:formula2>
    </x:dataValidation>
    <x:dataValidation type="decimal" errorStyle="stop" operator="between" allowBlank="1" showDropDown="0" showInputMessage="1" showErrorMessage="1" errorTitle="" error="" promptTitle="" prompt="" sqref="O72:O72">
      <x:formula1>0</x:formula1>
      <x:formula2>100</x:formula2>
    </x:dataValidation>
    <x:dataValidation type="list" errorStyle="stop" operator="between" allowBlank="1" showDropDown="0" showInputMessage="1" showErrorMessage="1" errorTitle="" error="" promptTitle="" prompt="" sqref="H73:H73">
      <x:formula1>'MasterData'!$B$1:$B$14</x:formula1>
      <x:formula2/>
    </x:dataValidation>
    <x:dataValidation type="list" errorStyle="stop" operator="between" allowBlank="1" showDropDown="0" showInputMessage="1" showErrorMessage="1" errorTitle="" error="" promptTitle="" prompt="" sqref="I73:I73">
      <x:formula1>'MasterData'!$E$521:$E$530</x:formula1>
      <x:formula2/>
    </x:dataValidation>
    <x:dataValidation type="decimal" errorStyle="stop" operator="greaterThanOrEqual" allowBlank="1" showDropDown="0" showInputMessage="1" showErrorMessage="1" errorTitle="" error="" promptTitle="" prompt="" sqref="K73:K73">
      <x:formula1>0</x:formula1>
      <x:formula2/>
    </x:dataValidation>
    <x:dataValidation type="decimal" errorStyle="stop" operator="between" allowBlank="1" showDropDown="0" showInputMessage="1" showErrorMessage="1" errorTitle="" error="" promptTitle="" prompt="" sqref="N73:N73">
      <x:formula1>0</x:formula1>
      <x:formula2>100</x:formula2>
    </x:dataValidation>
    <x:dataValidation type="decimal" errorStyle="stop" operator="between" allowBlank="1" showDropDown="0" showInputMessage="1" showErrorMessage="1" errorTitle="" error="" promptTitle="" prompt="" sqref="O73:O73">
      <x:formula1>0</x:formula1>
      <x:formula2>100</x:formula2>
    </x:dataValidation>
    <x:dataValidation type="list" errorStyle="stop" operator="between" allowBlank="1" showDropDown="0" showInputMessage="1" showErrorMessage="1" errorTitle="" error="" promptTitle="" prompt="" sqref="H74:H74">
      <x:formula1>'MasterData'!$B$1:$B$14</x:formula1>
      <x:formula2/>
    </x:dataValidation>
    <x:dataValidation type="list" errorStyle="stop" operator="between" allowBlank="1" showDropDown="0" showInputMessage="1" showErrorMessage="1" errorTitle="" error="" promptTitle="" prompt="" sqref="I74:I74">
      <x:formula1>'MasterData'!$E$531:$E$540</x:formula1>
      <x:formula2/>
    </x:dataValidation>
    <x:dataValidation type="decimal" errorStyle="stop" operator="greaterThanOrEqual" allowBlank="1" showDropDown="0" showInputMessage="1" showErrorMessage="1" errorTitle="" error="" promptTitle="" prompt="" sqref="K74:K74">
      <x:formula1>0</x:formula1>
      <x:formula2/>
    </x:dataValidation>
    <x:dataValidation type="decimal" errorStyle="stop" operator="between" allowBlank="1" showDropDown="0" showInputMessage="1" showErrorMessage="1" errorTitle="" error="" promptTitle="" prompt="" sqref="N74:N74">
      <x:formula1>0</x:formula1>
      <x:formula2>100</x:formula2>
    </x:dataValidation>
    <x:dataValidation type="decimal" errorStyle="stop" operator="between" allowBlank="1" showDropDown="0" showInputMessage="1" showErrorMessage="1" errorTitle="" error="" promptTitle="" prompt="" sqref="O74:O74">
      <x:formula1>0</x:formula1>
      <x:formula2>100</x:formula2>
    </x:dataValidation>
    <x:dataValidation type="list" errorStyle="stop" operator="between" allowBlank="1" showDropDown="0" showInputMessage="1" showErrorMessage="1" errorTitle="" error="" promptTitle="" prompt="" sqref="H75:H75">
      <x:formula1>'MasterData'!$B$1:$B$14</x:formula1>
      <x:formula2/>
    </x:dataValidation>
    <x:dataValidation type="list" errorStyle="stop" operator="between" allowBlank="1" showDropDown="0" showInputMessage="1" showErrorMessage="1" errorTitle="" error="" promptTitle="" prompt="" sqref="I75:I75">
      <x:formula1>'MasterData'!$E$541:$E$550</x:formula1>
      <x:formula2/>
    </x:dataValidation>
    <x:dataValidation type="decimal" errorStyle="stop" operator="greaterThanOrEqual" allowBlank="1" showDropDown="0" showInputMessage="1" showErrorMessage="1" errorTitle="" error="" promptTitle="" prompt="" sqref="K75:K75">
      <x:formula1>0</x:formula1>
      <x:formula2/>
    </x:dataValidation>
    <x:dataValidation type="decimal" errorStyle="stop" operator="between" allowBlank="1" showDropDown="0" showInputMessage="1" showErrorMessage="1" errorTitle="" error="" promptTitle="" prompt="" sqref="N75:N75">
      <x:formula1>0</x:formula1>
      <x:formula2>100</x:formula2>
    </x:dataValidation>
    <x:dataValidation type="decimal" errorStyle="stop" operator="between" allowBlank="1" showDropDown="0" showInputMessage="1" showErrorMessage="1" errorTitle="" error="" promptTitle="" prompt="" sqref="O75:O75">
      <x:formula1>0</x:formula1>
      <x:formula2>100</x:formula2>
    </x:dataValidation>
    <x:dataValidation type="list" errorStyle="stop" operator="between" allowBlank="1" showDropDown="0" showInputMessage="1" showErrorMessage="1" errorTitle="" error="" promptTitle="" prompt="" sqref="H76:H76">
      <x:formula1>'MasterData'!$B$1:$B$14</x:formula1>
      <x:formula2/>
    </x:dataValidation>
    <x:dataValidation type="list" errorStyle="stop" operator="between" allowBlank="1" showDropDown="0" showInputMessage="1" showErrorMessage="1" errorTitle="" error="" promptTitle="" prompt="" sqref="I76:I76">
      <x:formula1>'MasterData'!$E$551:$E$560</x:formula1>
      <x:formula2/>
    </x:dataValidation>
    <x:dataValidation type="decimal" errorStyle="stop" operator="greaterThanOrEqual" allowBlank="1" showDropDown="0" showInputMessage="1" showErrorMessage="1" errorTitle="" error="" promptTitle="" prompt="" sqref="K76:K76">
      <x:formula1>0</x:formula1>
      <x:formula2/>
    </x:dataValidation>
    <x:dataValidation type="decimal" errorStyle="stop" operator="between" allowBlank="1" showDropDown="0" showInputMessage="1" showErrorMessage="1" errorTitle="" error="" promptTitle="" prompt="" sqref="N76:N76">
      <x:formula1>0</x:formula1>
      <x:formula2>100</x:formula2>
    </x:dataValidation>
    <x:dataValidation type="decimal" errorStyle="stop" operator="between" allowBlank="1" showDropDown="0" showInputMessage="1" showErrorMessage="1" errorTitle="" error="" promptTitle="" prompt="" sqref="O76:O76">
      <x:formula1>0</x:formula1>
      <x:formula2>100</x:formula2>
    </x:dataValidation>
    <x:dataValidation type="list" errorStyle="stop" operator="between" allowBlank="1" showDropDown="0" showInputMessage="1" showErrorMessage="1" errorTitle="" error="" promptTitle="" prompt="" sqref="H77:H77">
      <x:formula1>'MasterData'!$B$1:$B$14</x:formula1>
      <x:formula2/>
    </x:dataValidation>
    <x:dataValidation type="list" errorStyle="stop" operator="between" allowBlank="1" showDropDown="0" showInputMessage="1" showErrorMessage="1" errorTitle="" error="" promptTitle="" prompt="" sqref="I77:I77">
      <x:formula1>'MasterData'!$E$561:$E$570</x:formula1>
      <x:formula2/>
    </x:dataValidation>
    <x:dataValidation type="decimal" errorStyle="stop" operator="greaterThanOrEqual" allowBlank="1" showDropDown="0" showInputMessage="1" showErrorMessage="1" errorTitle="" error="" promptTitle="" prompt="" sqref="K77:K77">
      <x:formula1>0</x:formula1>
      <x:formula2/>
    </x:dataValidation>
    <x:dataValidation type="decimal" errorStyle="stop" operator="between" allowBlank="1" showDropDown="0" showInputMessage="1" showErrorMessage="1" errorTitle="" error="" promptTitle="" prompt="" sqref="N77:N77">
      <x:formula1>0</x:formula1>
      <x:formula2>100</x:formula2>
    </x:dataValidation>
    <x:dataValidation type="decimal" errorStyle="stop" operator="between" allowBlank="1" showDropDown="0" showInputMessage="1" showErrorMessage="1" errorTitle="" error="" promptTitle="" prompt="" sqref="O77:O77">
      <x:formula1>0</x:formula1>
      <x:formula2>100</x:formula2>
    </x:dataValidation>
    <x:dataValidation type="list" errorStyle="stop" operator="between" allowBlank="1" showDropDown="0" showInputMessage="1" showErrorMessage="1" errorTitle="" error="" promptTitle="" prompt="" sqref="H78:H78">
      <x:formula1>'MasterData'!$B$1:$B$14</x:formula1>
      <x:formula2/>
    </x:dataValidation>
    <x:dataValidation type="list" errorStyle="stop" operator="between" allowBlank="1" showDropDown="0" showInputMessage="1" showErrorMessage="1" errorTitle="" error="" promptTitle="" prompt="" sqref="I78:I78">
      <x:formula1>'MasterData'!$E$571:$E$580</x:formula1>
      <x:formula2/>
    </x:dataValidation>
    <x:dataValidation type="decimal" errorStyle="stop" operator="greaterThanOrEqual" allowBlank="1" showDropDown="0" showInputMessage="1" showErrorMessage="1" errorTitle="" error="" promptTitle="" prompt="" sqref="K78:K78">
      <x:formula1>0</x:formula1>
      <x:formula2/>
    </x:dataValidation>
    <x:dataValidation type="decimal" errorStyle="stop" operator="between" allowBlank="1" showDropDown="0" showInputMessage="1" showErrorMessage="1" errorTitle="" error="" promptTitle="" prompt="" sqref="N78:N78">
      <x:formula1>0</x:formula1>
      <x:formula2>100</x:formula2>
    </x:dataValidation>
    <x:dataValidation type="decimal" errorStyle="stop" operator="between" allowBlank="1" showDropDown="0" showInputMessage="1" showErrorMessage="1" errorTitle="" error="" promptTitle="" prompt="" sqref="O78:O78">
      <x:formula1>0</x:formula1>
      <x:formula2>100</x:formula2>
    </x:dataValidation>
    <x:dataValidation type="list" errorStyle="stop" operator="between" allowBlank="1" showDropDown="0" showInputMessage="1" showErrorMessage="1" errorTitle="" error="" promptTitle="" prompt="" sqref="H79:H79">
      <x:formula1>'MasterData'!$B$1:$B$14</x:formula1>
      <x:formula2/>
    </x:dataValidation>
    <x:dataValidation type="list" errorStyle="stop" operator="between" allowBlank="1" showDropDown="0" showInputMessage="1" showErrorMessage="1" errorTitle="" error="" promptTitle="" prompt="" sqref="I79:I79">
      <x:formula1>'MasterData'!$E$581:$E$590</x:formula1>
      <x:formula2/>
    </x:dataValidation>
    <x:dataValidation type="decimal" errorStyle="stop" operator="greaterThanOrEqual" allowBlank="1" showDropDown="0" showInputMessage="1" showErrorMessage="1" errorTitle="" error="" promptTitle="" prompt="" sqref="K79:K79">
      <x:formula1>0</x:formula1>
      <x:formula2/>
    </x:dataValidation>
    <x:dataValidation type="decimal" errorStyle="stop" operator="between" allowBlank="1" showDropDown="0" showInputMessage="1" showErrorMessage="1" errorTitle="" error="" promptTitle="" prompt="" sqref="N79:N79">
      <x:formula1>0</x:formula1>
      <x:formula2>100</x:formula2>
    </x:dataValidation>
    <x:dataValidation type="decimal" errorStyle="stop" operator="between" allowBlank="1" showDropDown="0" showInputMessage="1" showErrorMessage="1" errorTitle="" error="" promptTitle="" prompt="" sqref="O79:O79">
      <x:formula1>0</x:formula1>
      <x:formula2>100</x:formula2>
    </x:dataValidation>
    <x:dataValidation type="list" errorStyle="stop" operator="between" allowBlank="1" showDropDown="0" showInputMessage="1" showErrorMessage="1" errorTitle="" error="" promptTitle="" prompt="" sqref="H80:H80">
      <x:formula1>'MasterData'!$B$1:$B$14</x:formula1>
      <x:formula2/>
    </x:dataValidation>
    <x:dataValidation type="list" errorStyle="stop" operator="between" allowBlank="1" showDropDown="0" showInputMessage="1" showErrorMessage="1" errorTitle="" error="" promptTitle="" prompt="" sqref="I80:I80">
      <x:formula1>'MasterData'!$E$591:$E$600</x:formula1>
      <x:formula2/>
    </x:dataValidation>
    <x:dataValidation type="decimal" errorStyle="stop" operator="greaterThanOrEqual" allowBlank="1" showDropDown="0" showInputMessage="1" showErrorMessage="1" errorTitle="" error="" promptTitle="" prompt="" sqref="K80:K80">
      <x:formula1>0</x:formula1>
      <x:formula2/>
    </x:dataValidation>
    <x:dataValidation type="decimal" errorStyle="stop" operator="between" allowBlank="1" showDropDown="0" showInputMessage="1" showErrorMessage="1" errorTitle="" error="" promptTitle="" prompt="" sqref="N80:N80">
      <x:formula1>0</x:formula1>
      <x:formula2>100</x:formula2>
    </x:dataValidation>
    <x:dataValidation type="decimal" errorStyle="stop" operator="between" allowBlank="1" showDropDown="0" showInputMessage="1" showErrorMessage="1" errorTitle="" error="" promptTitle="" prompt="" sqref="O80:O80">
      <x:formula1>0</x:formula1>
      <x:formula2>100</x:formula2>
    </x:dataValidation>
    <x:dataValidation type="list" errorStyle="stop" operator="between" allowBlank="1" showDropDown="0" showInputMessage="1" showErrorMessage="1" errorTitle="" error="" promptTitle="" prompt="" sqref="H81:H81">
      <x:formula1>'MasterData'!$B$1:$B$14</x:formula1>
      <x:formula2/>
    </x:dataValidation>
    <x:dataValidation type="list" errorStyle="stop" operator="between" allowBlank="1" showDropDown="0" showInputMessage="1" showErrorMessage="1" errorTitle="" error="" promptTitle="" prompt="" sqref="I81:I81">
      <x:formula1>'MasterData'!$E$601:$E$610</x:formula1>
      <x:formula2/>
    </x:dataValidation>
    <x:dataValidation type="decimal" errorStyle="stop" operator="greaterThanOrEqual" allowBlank="1" showDropDown="0" showInputMessage="1" showErrorMessage="1" errorTitle="" error="" promptTitle="" prompt="" sqref="K81:K81">
      <x:formula1>0</x:formula1>
      <x:formula2/>
    </x:dataValidation>
    <x:dataValidation type="decimal" errorStyle="stop" operator="between" allowBlank="1" showDropDown="0" showInputMessage="1" showErrorMessage="1" errorTitle="" error="" promptTitle="" prompt="" sqref="N81:N81">
      <x:formula1>0</x:formula1>
      <x:formula2>100</x:formula2>
    </x:dataValidation>
    <x:dataValidation type="decimal" errorStyle="stop" operator="between" allowBlank="1" showDropDown="0" showInputMessage="1" showErrorMessage="1" errorTitle="" error="" promptTitle="" prompt="" sqref="O81:O81">
      <x:formula1>0</x:formula1>
      <x:formula2>100</x:formula2>
    </x:dataValidation>
    <x:dataValidation type="list" errorStyle="stop" operator="between" allowBlank="1" showDropDown="0" showInputMessage="1" showErrorMessage="1" errorTitle="" error="" promptTitle="" prompt="" sqref="H82:H82">
      <x:formula1>'MasterData'!$B$1:$B$14</x:formula1>
      <x:formula2/>
    </x:dataValidation>
    <x:dataValidation type="list" errorStyle="stop" operator="between" allowBlank="1" showDropDown="0" showInputMessage="1" showErrorMessage="1" errorTitle="" error="" promptTitle="" prompt="" sqref="I82:I82">
      <x:formula1>'MasterData'!$E$611:$E$620</x:formula1>
      <x:formula2/>
    </x:dataValidation>
    <x:dataValidation type="decimal" errorStyle="stop" operator="greaterThanOrEqual" allowBlank="1" showDropDown="0" showInputMessage="1" showErrorMessage="1" errorTitle="" error="" promptTitle="" prompt="" sqref="K82:K82">
      <x:formula1>0</x:formula1>
      <x:formula2/>
    </x:dataValidation>
    <x:dataValidation type="decimal" errorStyle="stop" operator="between" allowBlank="1" showDropDown="0" showInputMessage="1" showErrorMessage="1" errorTitle="" error="" promptTitle="" prompt="" sqref="N82:N82">
      <x:formula1>0</x:formula1>
      <x:formula2>100</x:formula2>
    </x:dataValidation>
    <x:dataValidation type="decimal" errorStyle="stop" operator="between" allowBlank="1" showDropDown="0" showInputMessage="1" showErrorMessage="1" errorTitle="" error="" promptTitle="" prompt="" sqref="O82:O82">
      <x:formula1>0</x:formula1>
      <x:formula2>100</x:formula2>
    </x:dataValidation>
    <x:dataValidation type="list" errorStyle="stop" operator="between" allowBlank="1" showDropDown="0" showInputMessage="1" showErrorMessage="1" errorTitle="" error="" promptTitle="" prompt="" sqref="H83:H83">
      <x:formula1>'MasterData'!$B$1:$B$14</x:formula1>
      <x:formula2/>
    </x:dataValidation>
    <x:dataValidation type="list" errorStyle="stop" operator="between" allowBlank="1" showDropDown="0" showInputMessage="1" showErrorMessage="1" errorTitle="" error="" promptTitle="" prompt="" sqref="I83:I83">
      <x:formula1>'MasterData'!$E$621:$E$630</x:formula1>
      <x:formula2/>
    </x:dataValidation>
    <x:dataValidation type="decimal" errorStyle="stop" operator="greaterThanOrEqual" allowBlank="1" showDropDown="0" showInputMessage="1" showErrorMessage="1" errorTitle="" error="" promptTitle="" prompt="" sqref="K83:K83">
      <x:formula1>0</x:formula1>
      <x:formula2/>
    </x:dataValidation>
    <x:dataValidation type="decimal" errorStyle="stop" operator="between" allowBlank="1" showDropDown="0" showInputMessage="1" showErrorMessage="1" errorTitle="" error="" promptTitle="" prompt="" sqref="N83:N83">
      <x:formula1>0</x:formula1>
      <x:formula2>100</x:formula2>
    </x:dataValidation>
    <x:dataValidation type="decimal" errorStyle="stop" operator="between" allowBlank="1" showDropDown="0" showInputMessage="1" showErrorMessage="1" errorTitle="" error="" promptTitle="" prompt="" sqref="O83:O83">
      <x:formula1>0</x:formula1>
      <x:formula2>100</x:formula2>
    </x:dataValidation>
    <x:dataValidation type="list" errorStyle="stop" operator="between" allowBlank="1" showDropDown="0" showInputMessage="1" showErrorMessage="1" errorTitle="" error="" promptTitle="" prompt="" sqref="H84:H84">
      <x:formula1>'MasterData'!$B$1:$B$14</x:formula1>
      <x:formula2/>
    </x:dataValidation>
    <x:dataValidation type="list" errorStyle="stop" operator="between" allowBlank="1" showDropDown="0" showInputMessage="1" showErrorMessage="1" errorTitle="" error="" promptTitle="" prompt="" sqref="I84:I84">
      <x:formula1>'MasterData'!$E$631:$E$640</x:formula1>
      <x:formula2/>
    </x:dataValidation>
    <x:dataValidation type="decimal" errorStyle="stop" operator="greaterThanOrEqual" allowBlank="1" showDropDown="0" showInputMessage="1" showErrorMessage="1" errorTitle="" error="" promptTitle="" prompt="" sqref="K84:K84">
      <x:formula1>0</x:formula1>
      <x:formula2/>
    </x:dataValidation>
    <x:dataValidation type="decimal" errorStyle="stop" operator="between" allowBlank="1" showDropDown="0" showInputMessage="1" showErrorMessage="1" errorTitle="" error="" promptTitle="" prompt="" sqref="N84:N84">
      <x:formula1>0</x:formula1>
      <x:formula2>100</x:formula2>
    </x:dataValidation>
    <x:dataValidation type="decimal" errorStyle="stop" operator="between" allowBlank="1" showDropDown="0" showInputMessage="1" showErrorMessage="1" errorTitle="" error="" promptTitle="" prompt="" sqref="O84:O84">
      <x:formula1>0</x:formula1>
      <x:formula2>100</x:formula2>
    </x:dataValidation>
    <x:dataValidation type="list" errorStyle="stop" operator="between" allowBlank="1" showDropDown="0" showInputMessage="1" showErrorMessage="1" errorTitle="" error="" promptTitle="" prompt="" sqref="H85:H85">
      <x:formula1>'MasterData'!$B$1:$B$14</x:formula1>
      <x:formula2/>
    </x:dataValidation>
    <x:dataValidation type="list" errorStyle="stop" operator="between" allowBlank="1" showDropDown="0" showInputMessage="1" showErrorMessage="1" errorTitle="" error="" promptTitle="" prompt="" sqref="I85:I85">
      <x:formula1>'MasterData'!$E$641:$E$650</x:formula1>
      <x:formula2/>
    </x:dataValidation>
    <x:dataValidation type="decimal" errorStyle="stop" operator="greaterThanOrEqual" allowBlank="1" showDropDown="0" showInputMessage="1" showErrorMessage="1" errorTitle="" error="" promptTitle="" prompt="" sqref="K85:K85">
      <x:formula1>0</x:formula1>
      <x:formula2/>
    </x:dataValidation>
    <x:dataValidation type="decimal" errorStyle="stop" operator="between" allowBlank="1" showDropDown="0" showInputMessage="1" showErrorMessage="1" errorTitle="" error="" promptTitle="" prompt="" sqref="N85:N85">
      <x:formula1>0</x:formula1>
      <x:formula2>100</x:formula2>
    </x:dataValidation>
    <x:dataValidation type="decimal" errorStyle="stop" operator="between" allowBlank="1" showDropDown="0" showInputMessage="1" showErrorMessage="1" errorTitle="" error="" promptTitle="" prompt="" sqref="O85:O85">
      <x:formula1>0</x:formula1>
      <x:formula2>100</x:formula2>
    </x:dataValidation>
    <x:dataValidation type="list" errorStyle="stop" operator="between" allowBlank="1" showDropDown="0" showInputMessage="1" showErrorMessage="1" errorTitle="" error="" promptTitle="" prompt="" sqref="H86:H86">
      <x:formula1>'MasterData'!$B$1:$B$14</x:formula1>
      <x:formula2/>
    </x:dataValidation>
    <x:dataValidation type="list" errorStyle="stop" operator="between" allowBlank="1" showDropDown="0" showInputMessage="1" showErrorMessage="1" errorTitle="" error="" promptTitle="" prompt="" sqref="I86:I86">
      <x:formula1>'MasterData'!$E$651:$E$660</x:formula1>
      <x:formula2/>
    </x:dataValidation>
    <x:dataValidation type="decimal" errorStyle="stop" operator="greaterThanOrEqual" allowBlank="1" showDropDown="0" showInputMessage="1" showErrorMessage="1" errorTitle="" error="" promptTitle="" prompt="" sqref="K86:K86">
      <x:formula1>0</x:formula1>
      <x:formula2/>
    </x:dataValidation>
    <x:dataValidation type="decimal" errorStyle="stop" operator="between" allowBlank="1" showDropDown="0" showInputMessage="1" showErrorMessage="1" errorTitle="" error="" promptTitle="" prompt="" sqref="N86:N86">
      <x:formula1>0</x:formula1>
      <x:formula2>100</x:formula2>
    </x:dataValidation>
    <x:dataValidation type="decimal" errorStyle="stop" operator="between" allowBlank="1" showDropDown="0" showInputMessage="1" showErrorMessage="1" errorTitle="" error="" promptTitle="" prompt="" sqref="O86:O86">
      <x:formula1>0</x:formula1>
      <x:formula2>100</x:formula2>
    </x:dataValidation>
    <x:dataValidation type="list" errorStyle="stop" operator="between" allowBlank="1" showDropDown="0" showInputMessage="1" showErrorMessage="1" errorTitle="" error="" promptTitle="" prompt="" sqref="H87:H87">
      <x:formula1>'MasterData'!$B$1:$B$14</x:formula1>
      <x:formula2/>
    </x:dataValidation>
    <x:dataValidation type="list" errorStyle="stop" operator="between" allowBlank="1" showDropDown="0" showInputMessage="1" showErrorMessage="1" errorTitle="" error="" promptTitle="" prompt="" sqref="I87:I87">
      <x:formula1>'MasterData'!$E$661:$E$670</x:formula1>
      <x:formula2/>
    </x:dataValidation>
    <x:dataValidation type="decimal" errorStyle="stop" operator="greaterThanOrEqual" allowBlank="1" showDropDown="0" showInputMessage="1" showErrorMessage="1" errorTitle="" error="" promptTitle="" prompt="" sqref="K87:K87">
      <x:formula1>0</x:formula1>
      <x:formula2/>
    </x:dataValidation>
    <x:dataValidation type="decimal" errorStyle="stop" operator="between" allowBlank="1" showDropDown="0" showInputMessage="1" showErrorMessage="1" errorTitle="" error="" promptTitle="" prompt="" sqref="N87:N87">
      <x:formula1>0</x:formula1>
      <x:formula2>100</x:formula2>
    </x:dataValidation>
    <x:dataValidation type="decimal" errorStyle="stop" operator="between" allowBlank="1" showDropDown="0" showInputMessage="1" showErrorMessage="1" errorTitle="" error="" promptTitle="" prompt="" sqref="O87:O87">
      <x:formula1>0</x:formula1>
      <x:formula2>100</x:formula2>
    </x:dataValidation>
    <x:dataValidation type="list" errorStyle="stop" operator="between" allowBlank="1" showDropDown="0" showInputMessage="1" showErrorMessage="1" errorTitle="" error="" promptTitle="" prompt="" sqref="H88:H88">
      <x:formula1>'MasterData'!$B$1:$B$14</x:formula1>
      <x:formula2/>
    </x:dataValidation>
    <x:dataValidation type="list" errorStyle="stop" operator="between" allowBlank="1" showDropDown="0" showInputMessage="1" showErrorMessage="1" errorTitle="" error="" promptTitle="" prompt="" sqref="I88:I88">
      <x:formula1>'MasterData'!$E$671:$E$680</x:formula1>
      <x:formula2/>
    </x:dataValidation>
    <x:dataValidation type="decimal" errorStyle="stop" operator="greaterThanOrEqual" allowBlank="1" showDropDown="0" showInputMessage="1" showErrorMessage="1" errorTitle="" error="" promptTitle="" prompt="" sqref="K88:K88">
      <x:formula1>0</x:formula1>
      <x:formula2/>
    </x:dataValidation>
    <x:dataValidation type="decimal" errorStyle="stop" operator="between" allowBlank="1" showDropDown="0" showInputMessage="1" showErrorMessage="1" errorTitle="" error="" promptTitle="" prompt="" sqref="N88:N88">
      <x:formula1>0</x:formula1>
      <x:formula2>100</x:formula2>
    </x:dataValidation>
    <x:dataValidation type="decimal" errorStyle="stop" operator="between" allowBlank="1" showDropDown="0" showInputMessage="1" showErrorMessage="1" errorTitle="" error="" promptTitle="" prompt="" sqref="O88:O88">
      <x:formula1>0</x:formula1>
      <x:formula2>100</x:formula2>
    </x:dataValidation>
    <x:dataValidation type="list" errorStyle="stop" operator="between" allowBlank="1" showDropDown="0" showInputMessage="1" showErrorMessage="1" errorTitle="" error="" promptTitle="" prompt="" sqref="H89:H89">
      <x:formula1>'MasterData'!$B$1:$B$14</x:formula1>
      <x:formula2/>
    </x:dataValidation>
    <x:dataValidation type="list" errorStyle="stop" operator="between" allowBlank="1" showDropDown="0" showInputMessage="1" showErrorMessage="1" errorTitle="" error="" promptTitle="" prompt="" sqref="I89:I89">
      <x:formula1>'MasterData'!$E$681:$E$690</x:formula1>
      <x:formula2/>
    </x:dataValidation>
    <x:dataValidation type="decimal" errorStyle="stop" operator="greaterThanOrEqual" allowBlank="1" showDropDown="0" showInputMessage="1" showErrorMessage="1" errorTitle="" error="" promptTitle="" prompt="" sqref="K89:K89">
      <x:formula1>0</x:formula1>
      <x:formula2/>
    </x:dataValidation>
    <x:dataValidation type="decimal" errorStyle="stop" operator="between" allowBlank="1" showDropDown="0" showInputMessage="1" showErrorMessage="1" errorTitle="" error="" promptTitle="" prompt="" sqref="N89:N89">
      <x:formula1>0</x:formula1>
      <x:formula2>100</x:formula2>
    </x:dataValidation>
    <x:dataValidation type="decimal" errorStyle="stop" operator="between" allowBlank="1" showDropDown="0" showInputMessage="1" showErrorMessage="1" errorTitle="" error="" promptTitle="" prompt="" sqref="O89:O89">
      <x:formula1>0</x:formula1>
      <x:formula2>100</x:formula2>
    </x:dataValidation>
    <x:dataValidation type="list" errorStyle="stop" operator="between" allowBlank="1" showDropDown="0" showInputMessage="1" showErrorMessage="1" errorTitle="" error="" promptTitle="" prompt="" sqref="H90:H90">
      <x:formula1>'MasterData'!$B$1:$B$14</x:formula1>
      <x:formula2/>
    </x:dataValidation>
    <x:dataValidation type="list" errorStyle="stop" operator="between" allowBlank="1" showDropDown="0" showInputMessage="1" showErrorMessage="1" errorTitle="" error="" promptTitle="" prompt="" sqref="I90:I90">
      <x:formula1>'MasterData'!$E$691:$E$700</x:formula1>
      <x:formula2/>
    </x:dataValidation>
    <x:dataValidation type="decimal" errorStyle="stop" operator="greaterThanOrEqual" allowBlank="1" showDropDown="0" showInputMessage="1" showErrorMessage="1" errorTitle="" error="" promptTitle="" prompt="" sqref="K90:K90">
      <x:formula1>0</x:formula1>
      <x:formula2/>
    </x:dataValidation>
    <x:dataValidation type="decimal" errorStyle="stop" operator="between" allowBlank="1" showDropDown="0" showInputMessage="1" showErrorMessage="1" errorTitle="" error="" promptTitle="" prompt="" sqref="N90:N90">
      <x:formula1>0</x:formula1>
      <x:formula2>100</x:formula2>
    </x:dataValidation>
    <x:dataValidation type="decimal" errorStyle="stop" operator="between" allowBlank="1" showDropDown="0" showInputMessage="1" showErrorMessage="1" errorTitle="" error="" promptTitle="" prompt="" sqref="O90:O90">
      <x:formula1>0</x:formula1>
      <x:formula2>100</x:formula2>
    </x:dataValidation>
    <x:dataValidation type="list" errorStyle="stop" operator="between" allowBlank="1" showDropDown="0" showInputMessage="1" showErrorMessage="1" errorTitle="" error="" promptTitle="" prompt="" sqref="H91:H91">
      <x:formula1>'MasterData'!$B$1:$B$14</x:formula1>
      <x:formula2/>
    </x:dataValidation>
    <x:dataValidation type="list" errorStyle="stop" operator="between" allowBlank="1" showDropDown="0" showInputMessage="1" showErrorMessage="1" errorTitle="" error="" promptTitle="" prompt="" sqref="I91:I91">
      <x:formula1>'MasterData'!$E$701:$E$710</x:formula1>
      <x:formula2/>
    </x:dataValidation>
    <x:dataValidation type="decimal" errorStyle="stop" operator="greaterThanOrEqual" allowBlank="1" showDropDown="0" showInputMessage="1" showErrorMessage="1" errorTitle="" error="" promptTitle="" prompt="" sqref="K91:K91">
      <x:formula1>0</x:formula1>
      <x:formula2/>
    </x:dataValidation>
    <x:dataValidation type="decimal" errorStyle="stop" operator="between" allowBlank="1" showDropDown="0" showInputMessage="1" showErrorMessage="1" errorTitle="" error="" promptTitle="" prompt="" sqref="N91:N91">
      <x:formula1>0</x:formula1>
      <x:formula2>100</x:formula2>
    </x:dataValidation>
    <x:dataValidation type="decimal" errorStyle="stop" operator="between" allowBlank="1" showDropDown="0" showInputMessage="1" showErrorMessage="1" errorTitle="" error="" promptTitle="" prompt="" sqref="O91:O91">
      <x:formula1>0</x:formula1>
      <x:formula2>100</x:formula2>
    </x:dataValidation>
    <x:dataValidation type="list" errorStyle="stop" operator="between" allowBlank="1" showDropDown="0" showInputMessage="1" showErrorMessage="1" errorTitle="" error="" promptTitle="" prompt="" sqref="H92:H92">
      <x:formula1>'MasterData'!$B$1:$B$14</x:formula1>
      <x:formula2/>
    </x:dataValidation>
    <x:dataValidation type="list" errorStyle="stop" operator="between" allowBlank="1" showDropDown="0" showInputMessage="1" showErrorMessage="1" errorTitle="" error="" promptTitle="" prompt="" sqref="I92:I92">
      <x:formula1>'MasterData'!$E$711:$E$720</x:formula1>
      <x:formula2/>
    </x:dataValidation>
    <x:dataValidation type="decimal" errorStyle="stop" operator="greaterThanOrEqual" allowBlank="1" showDropDown="0" showInputMessage="1" showErrorMessage="1" errorTitle="" error="" promptTitle="" prompt="" sqref="K92:K92">
      <x:formula1>0</x:formula1>
      <x:formula2/>
    </x:dataValidation>
    <x:dataValidation type="decimal" errorStyle="stop" operator="between" allowBlank="1" showDropDown="0" showInputMessage="1" showErrorMessage="1" errorTitle="" error="" promptTitle="" prompt="" sqref="N92:N92">
      <x:formula1>0</x:formula1>
      <x:formula2>100</x:formula2>
    </x:dataValidation>
    <x:dataValidation type="decimal" errorStyle="stop" operator="between" allowBlank="1" showDropDown="0" showInputMessage="1" showErrorMessage="1" errorTitle="" error="" promptTitle="" prompt="" sqref="O92:O92">
      <x:formula1>0</x:formula1>
      <x:formula2>100</x:formula2>
    </x:dataValidation>
    <x:dataValidation type="list" errorStyle="stop" operator="between" allowBlank="1" showDropDown="0" showInputMessage="1" showErrorMessage="1" errorTitle="" error="" promptTitle="" prompt="" sqref="H93:H93">
      <x:formula1>'MasterData'!$B$1:$B$14</x:formula1>
      <x:formula2/>
    </x:dataValidation>
    <x:dataValidation type="list" errorStyle="stop" operator="between" allowBlank="1" showDropDown="0" showInputMessage="1" showErrorMessage="1" errorTitle="" error="" promptTitle="" prompt="" sqref="I93:I93">
      <x:formula1>'MasterData'!$E$721:$E$730</x:formula1>
      <x:formula2/>
    </x:dataValidation>
    <x:dataValidation type="decimal" errorStyle="stop" operator="greaterThanOrEqual" allowBlank="1" showDropDown="0" showInputMessage="1" showErrorMessage="1" errorTitle="" error="" promptTitle="" prompt="" sqref="K93:K93">
      <x:formula1>0</x:formula1>
      <x:formula2/>
    </x:dataValidation>
    <x:dataValidation type="decimal" errorStyle="stop" operator="between" allowBlank="1" showDropDown="0" showInputMessage="1" showErrorMessage="1" errorTitle="" error="" promptTitle="" prompt="" sqref="N93:N93">
      <x:formula1>0</x:formula1>
      <x:formula2>100</x:formula2>
    </x:dataValidation>
    <x:dataValidation type="decimal" errorStyle="stop" operator="between" allowBlank="1" showDropDown="0" showInputMessage="1" showErrorMessage="1" errorTitle="" error="" promptTitle="" prompt="" sqref="O93:O93">
      <x:formula1>0</x:formula1>
      <x:formula2>100</x:formula2>
    </x:dataValidation>
    <x:dataValidation type="list" errorStyle="stop" operator="between" allowBlank="1" showDropDown="0" showInputMessage="1" showErrorMessage="1" errorTitle="" error="" promptTitle="" prompt="" sqref="H94:H94">
      <x:formula1>'MasterData'!$B$1:$B$14</x:formula1>
      <x:formula2/>
    </x:dataValidation>
    <x:dataValidation type="list" errorStyle="stop" operator="between" allowBlank="1" showDropDown="0" showInputMessage="1" showErrorMessage="1" errorTitle="" error="" promptTitle="" prompt="" sqref="I94:I94">
      <x:formula1>'MasterData'!$E$731:$E$740</x:formula1>
      <x:formula2/>
    </x:dataValidation>
    <x:dataValidation type="decimal" errorStyle="stop" operator="greaterThanOrEqual" allowBlank="1" showDropDown="0" showInputMessage="1" showErrorMessage="1" errorTitle="" error="" promptTitle="" prompt="" sqref="K94:K94">
      <x:formula1>0</x:formula1>
      <x:formula2/>
    </x:dataValidation>
    <x:dataValidation type="decimal" errorStyle="stop" operator="between" allowBlank="1" showDropDown="0" showInputMessage="1" showErrorMessage="1" errorTitle="" error="" promptTitle="" prompt="" sqref="N94:N94">
      <x:formula1>0</x:formula1>
      <x:formula2>100</x:formula2>
    </x:dataValidation>
    <x:dataValidation type="decimal" errorStyle="stop" operator="between" allowBlank="1" showDropDown="0" showInputMessage="1" showErrorMessage="1" errorTitle="" error="" promptTitle="" prompt="" sqref="O94:O94">
      <x:formula1>0</x:formula1>
      <x:formula2>100</x:formula2>
    </x:dataValidation>
    <x:dataValidation type="list" errorStyle="stop" operator="between" allowBlank="1" showDropDown="0" showInputMessage="1" showErrorMessage="1" errorTitle="" error="" promptTitle="" prompt="" sqref="H95:H95">
      <x:formula1>'MasterData'!$B$1:$B$14</x:formula1>
      <x:formula2/>
    </x:dataValidation>
    <x:dataValidation type="list" errorStyle="stop" operator="between" allowBlank="1" showDropDown="0" showInputMessage="1" showErrorMessage="1" errorTitle="" error="" promptTitle="" prompt="" sqref="I95:I95">
      <x:formula1>'MasterData'!$E$741:$E$750</x:formula1>
      <x:formula2/>
    </x:dataValidation>
    <x:dataValidation type="decimal" errorStyle="stop" operator="greaterThanOrEqual" allowBlank="1" showDropDown="0" showInputMessage="1" showErrorMessage="1" errorTitle="" error="" promptTitle="" prompt="" sqref="K95:K95">
      <x:formula1>0</x:formula1>
      <x:formula2/>
    </x:dataValidation>
    <x:dataValidation type="decimal" errorStyle="stop" operator="between" allowBlank="1" showDropDown="0" showInputMessage="1" showErrorMessage="1" errorTitle="" error="" promptTitle="" prompt="" sqref="N95:N95">
      <x:formula1>0</x:formula1>
      <x:formula2>100</x:formula2>
    </x:dataValidation>
    <x:dataValidation type="decimal" errorStyle="stop" operator="between" allowBlank="1" showDropDown="0" showInputMessage="1" showErrorMessage="1" errorTitle="" error="" promptTitle="" prompt="" sqref="O95:O95">
      <x:formula1>0</x:formula1>
      <x:formula2>100</x:formula2>
    </x:dataValidation>
    <x:dataValidation type="list" errorStyle="stop" operator="between" allowBlank="1" showDropDown="0" showInputMessage="1" showErrorMessage="1" errorTitle="" error="" promptTitle="" prompt="" sqref="H96:H96">
      <x:formula1>'MasterData'!$B$1:$B$14</x:formula1>
      <x:formula2/>
    </x:dataValidation>
    <x:dataValidation type="list" errorStyle="stop" operator="between" allowBlank="1" showDropDown="0" showInputMessage="1" showErrorMessage="1" errorTitle="" error="" promptTitle="" prompt="" sqref="I96:I96">
      <x:formula1>'MasterData'!$E$751:$E$760</x:formula1>
      <x:formula2/>
    </x:dataValidation>
    <x:dataValidation type="decimal" errorStyle="stop" operator="greaterThanOrEqual" allowBlank="1" showDropDown="0" showInputMessage="1" showErrorMessage="1" errorTitle="" error="" promptTitle="" prompt="" sqref="K96:K96">
      <x:formula1>0</x:formula1>
      <x:formula2/>
    </x:dataValidation>
    <x:dataValidation type="decimal" errorStyle="stop" operator="between" allowBlank="1" showDropDown="0" showInputMessage="1" showErrorMessage="1" errorTitle="" error="" promptTitle="" prompt="" sqref="N96:N96">
      <x:formula1>0</x:formula1>
      <x:formula2>100</x:formula2>
    </x:dataValidation>
    <x:dataValidation type="decimal" errorStyle="stop" operator="between" allowBlank="1" showDropDown="0" showInputMessage="1" showErrorMessage="1" errorTitle="" error="" promptTitle="" prompt="" sqref="O96:O96">
      <x:formula1>0</x:formula1>
      <x:formula2>100</x:formula2>
    </x:dataValidation>
    <x:dataValidation type="list" errorStyle="stop" operator="between" allowBlank="1" showDropDown="0" showInputMessage="1" showErrorMessage="1" errorTitle="" error="" promptTitle="" prompt="" sqref="H97:H97">
      <x:formula1>'MasterData'!$B$1:$B$14</x:formula1>
      <x:formula2/>
    </x:dataValidation>
    <x:dataValidation type="list" errorStyle="stop" operator="between" allowBlank="1" showDropDown="0" showInputMessage="1" showErrorMessage="1" errorTitle="" error="" promptTitle="" prompt="" sqref="I97:I97">
      <x:formula1>'MasterData'!$E$761:$E$770</x:formula1>
      <x:formula2/>
    </x:dataValidation>
    <x:dataValidation type="decimal" errorStyle="stop" operator="greaterThanOrEqual" allowBlank="1" showDropDown="0" showInputMessage="1" showErrorMessage="1" errorTitle="" error="" promptTitle="" prompt="" sqref="K97:K97">
      <x:formula1>0</x:formula1>
      <x:formula2/>
    </x:dataValidation>
    <x:dataValidation type="decimal" errorStyle="stop" operator="between" allowBlank="1" showDropDown="0" showInputMessage="1" showErrorMessage="1" errorTitle="" error="" promptTitle="" prompt="" sqref="N97:N97">
      <x:formula1>0</x:formula1>
      <x:formula2>100</x:formula2>
    </x:dataValidation>
    <x:dataValidation type="decimal" errorStyle="stop" operator="between" allowBlank="1" showDropDown="0" showInputMessage="1" showErrorMessage="1" errorTitle="" error="" promptTitle="" prompt="" sqref="O97:O97">
      <x:formula1>0</x:formula1>
      <x:formula2>100</x:formula2>
    </x:dataValidation>
    <x:dataValidation type="list" errorStyle="stop" operator="between" allowBlank="1" showDropDown="0" showInputMessage="1" showErrorMessage="1" errorTitle="" error="" promptTitle="" prompt="" sqref="H98:H98">
      <x:formula1>'MasterData'!$B$1:$B$14</x:formula1>
      <x:formula2/>
    </x:dataValidation>
    <x:dataValidation type="list" errorStyle="stop" operator="between" allowBlank="1" showDropDown="0" showInputMessage="1" showErrorMessage="1" errorTitle="" error="" promptTitle="" prompt="" sqref="I98:I98">
      <x:formula1>'MasterData'!$E$771:$E$780</x:formula1>
      <x:formula2/>
    </x:dataValidation>
    <x:dataValidation type="decimal" errorStyle="stop" operator="greaterThanOrEqual" allowBlank="1" showDropDown="0" showInputMessage="1" showErrorMessage="1" errorTitle="" error="" promptTitle="" prompt="" sqref="K98:K98">
      <x:formula1>0</x:formula1>
      <x:formula2/>
    </x:dataValidation>
    <x:dataValidation type="decimal" errorStyle="stop" operator="between" allowBlank="1" showDropDown="0" showInputMessage="1" showErrorMessage="1" errorTitle="" error="" promptTitle="" prompt="" sqref="N98:N98">
      <x:formula1>0</x:formula1>
      <x:formula2>100</x:formula2>
    </x:dataValidation>
    <x:dataValidation type="decimal" errorStyle="stop" operator="between" allowBlank="1" showDropDown="0" showInputMessage="1" showErrorMessage="1" errorTitle="" error="" promptTitle="" prompt="" sqref="O98:O98">
      <x:formula1>0</x:formula1>
      <x:formula2>100</x:formula2>
    </x:dataValidation>
    <x:dataValidation type="list" errorStyle="stop" operator="between" allowBlank="1" showDropDown="0" showInputMessage="1" showErrorMessage="1" errorTitle="" error="" promptTitle="" prompt="" sqref="H99:H99">
      <x:formula1>'MasterData'!$B$1:$B$14</x:formula1>
      <x:formula2/>
    </x:dataValidation>
    <x:dataValidation type="list" errorStyle="stop" operator="between" allowBlank="1" showDropDown="0" showInputMessage="1" showErrorMessage="1" errorTitle="" error="" promptTitle="" prompt="" sqref="I99:I99">
      <x:formula1>'MasterData'!$E$781:$E$790</x:formula1>
      <x:formula2/>
    </x:dataValidation>
    <x:dataValidation type="decimal" errorStyle="stop" operator="greaterThanOrEqual" allowBlank="1" showDropDown="0" showInputMessage="1" showErrorMessage="1" errorTitle="" error="" promptTitle="" prompt="" sqref="K99:K99">
      <x:formula1>0</x:formula1>
      <x:formula2/>
    </x:dataValidation>
    <x:dataValidation type="decimal" errorStyle="stop" operator="between" allowBlank="1" showDropDown="0" showInputMessage="1" showErrorMessage="1" errorTitle="" error="" promptTitle="" prompt="" sqref="N99:N99">
      <x:formula1>0</x:formula1>
      <x:formula2>100</x:formula2>
    </x:dataValidation>
    <x:dataValidation type="decimal" errorStyle="stop" operator="between" allowBlank="1" showDropDown="0" showInputMessage="1" showErrorMessage="1" errorTitle="" error="" promptTitle="" prompt="" sqref="O99:O99">
      <x:formula1>0</x:formula1>
      <x:formula2>100</x:formula2>
    </x:dataValidation>
    <x:dataValidation type="list" errorStyle="stop" operator="between" allowBlank="1" showDropDown="0" showInputMessage="1" showErrorMessage="1" errorTitle="" error="" promptTitle="" prompt="" sqref="H100:H100">
      <x:formula1>'MasterData'!$B$1:$B$14</x:formula1>
      <x:formula2/>
    </x:dataValidation>
    <x:dataValidation type="list" errorStyle="stop" operator="between" allowBlank="1" showDropDown="0" showInputMessage="1" showErrorMessage="1" errorTitle="" error="" promptTitle="" prompt="" sqref="I100:I100">
      <x:formula1>'MasterData'!$E$791:$E$800</x:formula1>
      <x:formula2/>
    </x:dataValidation>
    <x:dataValidation type="decimal" errorStyle="stop" operator="greaterThanOrEqual" allowBlank="1" showDropDown="0" showInputMessage="1" showErrorMessage="1" errorTitle="" error="" promptTitle="" prompt="" sqref="K100:K100">
      <x:formula1>0</x:formula1>
      <x:formula2/>
    </x:dataValidation>
    <x:dataValidation type="decimal" errorStyle="stop" operator="between" allowBlank="1" showDropDown="0" showInputMessage="1" showErrorMessage="1" errorTitle="" error="" promptTitle="" prompt="" sqref="N100:N100">
      <x:formula1>0</x:formula1>
      <x:formula2>100</x:formula2>
    </x:dataValidation>
    <x:dataValidation type="decimal" errorStyle="stop" operator="between" allowBlank="1" showDropDown="0" showInputMessage="1" showErrorMessage="1" errorTitle="" error="" promptTitle="" prompt="" sqref="O100:O100">
      <x:formula1>0</x:formula1>
      <x:formula2>100</x:formula2>
    </x:dataValidation>
    <x:dataValidation type="list" errorStyle="stop" operator="between" allowBlank="1" showDropDown="0" showInputMessage="1" showErrorMessage="1" errorTitle="" error="" promptTitle="" prompt="" sqref="H101:H101">
      <x:formula1>'MasterData'!$B$1:$B$14</x:formula1>
      <x:formula2/>
    </x:dataValidation>
    <x:dataValidation type="list" errorStyle="stop" operator="between" allowBlank="1" showDropDown="0" showInputMessage="1" showErrorMessage="1" errorTitle="" error="" promptTitle="" prompt="" sqref="I101:I101">
      <x:formula1>'MasterData'!$E$801:$E$810</x:formula1>
      <x:formula2/>
    </x:dataValidation>
    <x:dataValidation type="decimal" errorStyle="stop" operator="greaterThanOrEqual" allowBlank="1" showDropDown="0" showInputMessage="1" showErrorMessage="1" errorTitle="" error="" promptTitle="" prompt="" sqref="K101:K101">
      <x:formula1>0</x:formula1>
      <x:formula2/>
    </x:dataValidation>
    <x:dataValidation type="decimal" errorStyle="stop" operator="between" allowBlank="1" showDropDown="0" showInputMessage="1" showErrorMessage="1" errorTitle="" error="" promptTitle="" prompt="" sqref="N101:N101">
      <x:formula1>0</x:formula1>
      <x:formula2>100</x:formula2>
    </x:dataValidation>
    <x:dataValidation type="decimal" errorStyle="stop" operator="between" allowBlank="1" showDropDown="0" showInputMessage="1" showErrorMessage="1" errorTitle="" error="" promptTitle="" prompt="" sqref="O101:O101">
      <x:formula1>0</x:formula1>
      <x:formula2>100</x:formula2>
    </x:dataValidation>
    <x:dataValidation type="list" errorStyle="stop" operator="between" allowBlank="1" showDropDown="0" showInputMessage="1" showErrorMessage="1" errorTitle="" error="" promptTitle="" prompt="" sqref="H102:H102">
      <x:formula1>'MasterData'!$B$1:$B$14</x:formula1>
      <x:formula2/>
    </x:dataValidation>
    <x:dataValidation type="list" errorStyle="stop" operator="between" allowBlank="1" showDropDown="0" showInputMessage="1" showErrorMessage="1" errorTitle="" error="" promptTitle="" prompt="" sqref="I102:I102">
      <x:formula1>'MasterData'!$E$811:$E$820</x:formula1>
      <x:formula2/>
    </x:dataValidation>
    <x:dataValidation type="decimal" errorStyle="stop" operator="greaterThanOrEqual" allowBlank="1" showDropDown="0" showInputMessage="1" showErrorMessage="1" errorTitle="" error="" promptTitle="" prompt="" sqref="K102:K102">
      <x:formula1>0</x:formula1>
      <x:formula2/>
    </x:dataValidation>
    <x:dataValidation type="decimal" errorStyle="stop" operator="between" allowBlank="1" showDropDown="0" showInputMessage="1" showErrorMessage="1" errorTitle="" error="" promptTitle="" prompt="" sqref="N102:N102">
      <x:formula1>0</x:formula1>
      <x:formula2>100</x:formula2>
    </x:dataValidation>
    <x:dataValidation type="decimal" errorStyle="stop" operator="between" allowBlank="1" showDropDown="0" showInputMessage="1" showErrorMessage="1" errorTitle="" error="" promptTitle="" prompt="" sqref="O102:O102">
      <x:formula1>0</x:formula1>
      <x:formula2>100</x:formula2>
    </x:dataValidation>
    <x:dataValidation type="list" errorStyle="stop" operator="between" allowBlank="1" showDropDown="0" showInputMessage="1" showErrorMessage="1" errorTitle="" error="" promptTitle="" prompt="" sqref="H103:H103">
      <x:formula1>'MasterData'!$B$1:$B$14</x:formula1>
      <x:formula2/>
    </x:dataValidation>
    <x:dataValidation type="list" errorStyle="stop" operator="between" allowBlank="1" showDropDown="0" showInputMessage="1" showErrorMessage="1" errorTitle="" error="" promptTitle="" prompt="" sqref="I103:I103">
      <x:formula1>'MasterData'!$E$821:$E$830</x:formula1>
      <x:formula2/>
    </x:dataValidation>
    <x:dataValidation type="decimal" errorStyle="stop" operator="greaterThanOrEqual" allowBlank="1" showDropDown="0" showInputMessage="1" showErrorMessage="1" errorTitle="" error="" promptTitle="" prompt="" sqref="K103:K103">
      <x:formula1>0</x:formula1>
      <x:formula2/>
    </x:dataValidation>
    <x:dataValidation type="decimal" errorStyle="stop" operator="between" allowBlank="1" showDropDown="0" showInputMessage="1" showErrorMessage="1" errorTitle="" error="" promptTitle="" prompt="" sqref="N103:N103">
      <x:formula1>0</x:formula1>
      <x:formula2>100</x:formula2>
    </x:dataValidation>
    <x:dataValidation type="decimal" errorStyle="stop" operator="between" allowBlank="1" showDropDown="0" showInputMessage="1" showErrorMessage="1" errorTitle="" error="" promptTitle="" prompt="" sqref="O103:O103">
      <x:formula1>0</x:formula1>
      <x:formula2>100</x:formula2>
    </x:dataValidation>
    <x:dataValidation type="list" errorStyle="stop" operator="between" allowBlank="1" showDropDown="0" showInputMessage="1" showErrorMessage="1" errorTitle="" error="" promptTitle="" prompt="" sqref="H104:H104">
      <x:formula1>'MasterData'!$B$1:$B$14</x:formula1>
      <x:formula2/>
    </x:dataValidation>
    <x:dataValidation type="list" errorStyle="stop" operator="between" allowBlank="1" showDropDown="0" showInputMessage="1" showErrorMessage="1" errorTitle="" error="" promptTitle="" prompt="" sqref="I104:I104">
      <x:formula1>'MasterData'!$E$831:$E$840</x:formula1>
      <x:formula2/>
    </x:dataValidation>
    <x:dataValidation type="decimal" errorStyle="stop" operator="greaterThanOrEqual" allowBlank="1" showDropDown="0" showInputMessage="1" showErrorMessage="1" errorTitle="" error="" promptTitle="" prompt="" sqref="K104:K104">
      <x:formula1>0</x:formula1>
      <x:formula2/>
    </x:dataValidation>
    <x:dataValidation type="decimal" errorStyle="stop" operator="between" allowBlank="1" showDropDown="0" showInputMessage="1" showErrorMessage="1" errorTitle="" error="" promptTitle="" prompt="" sqref="N104:N104">
      <x:formula1>0</x:formula1>
      <x:formula2>100</x:formula2>
    </x:dataValidation>
    <x:dataValidation type="decimal" errorStyle="stop" operator="between" allowBlank="1" showDropDown="0" showInputMessage="1" showErrorMessage="1" errorTitle="" error="" promptTitle="" prompt="" sqref="O104:O104">
      <x:formula1>0</x:formula1>
      <x:formula2>100</x:formula2>
    </x:dataValidation>
    <x:dataValidation type="list" errorStyle="stop" operator="between" allowBlank="1" showDropDown="0" showInputMessage="1" showErrorMessage="1" errorTitle="" error="" promptTitle="" prompt="" sqref="H105:H105">
      <x:formula1>'MasterData'!$B$1:$B$14</x:formula1>
      <x:formula2/>
    </x:dataValidation>
    <x:dataValidation type="list" errorStyle="stop" operator="between" allowBlank="1" showDropDown="0" showInputMessage="1" showErrorMessage="1" errorTitle="" error="" promptTitle="" prompt="" sqref="I105:I105">
      <x:formula1>'MasterData'!$E$841:$E$850</x:formula1>
      <x:formula2/>
    </x:dataValidation>
    <x:dataValidation type="decimal" errorStyle="stop" operator="greaterThanOrEqual" allowBlank="1" showDropDown="0" showInputMessage="1" showErrorMessage="1" errorTitle="" error="" promptTitle="" prompt="" sqref="K105:K105">
      <x:formula1>0</x:formula1>
      <x:formula2/>
    </x:dataValidation>
    <x:dataValidation type="decimal" errorStyle="stop" operator="between" allowBlank="1" showDropDown="0" showInputMessage="1" showErrorMessage="1" errorTitle="" error="" promptTitle="" prompt="" sqref="N105:N105">
      <x:formula1>0</x:formula1>
      <x:formula2>100</x:formula2>
    </x:dataValidation>
    <x:dataValidation type="decimal" errorStyle="stop" operator="between" allowBlank="1" showDropDown="0" showInputMessage="1" showErrorMessage="1" errorTitle="" error="" promptTitle="" prompt="" sqref="O105:O105">
      <x:formula1>0</x:formula1>
      <x:formula2>100</x:formula2>
    </x:dataValidation>
    <x:dataValidation type="list" errorStyle="stop" operator="between" allowBlank="1" showDropDown="0" showInputMessage="1" showErrorMessage="1" errorTitle="" error="" promptTitle="" prompt="" sqref="H106:H106">
      <x:formula1>'MasterData'!$B$1:$B$14</x:formula1>
      <x:formula2/>
    </x:dataValidation>
    <x:dataValidation type="list" errorStyle="stop" operator="between" allowBlank="1" showDropDown="0" showInputMessage="1" showErrorMessage="1" errorTitle="" error="" promptTitle="" prompt="" sqref="I106:I106">
      <x:formula1>'MasterData'!$E$851:$E$860</x:formula1>
      <x:formula2/>
    </x:dataValidation>
    <x:dataValidation type="decimal" errorStyle="stop" operator="greaterThanOrEqual" allowBlank="1" showDropDown="0" showInputMessage="1" showErrorMessage="1" errorTitle="" error="" promptTitle="" prompt="" sqref="K106:K106">
      <x:formula1>0</x:formula1>
      <x:formula2/>
    </x:dataValidation>
    <x:dataValidation type="decimal" errorStyle="stop" operator="between" allowBlank="1" showDropDown="0" showInputMessage="1" showErrorMessage="1" errorTitle="" error="" promptTitle="" prompt="" sqref="N106:N106">
      <x:formula1>0</x:formula1>
      <x:formula2>100</x:formula2>
    </x:dataValidation>
    <x:dataValidation type="decimal" errorStyle="stop" operator="between" allowBlank="1" showDropDown="0" showInputMessage="1" showErrorMessage="1" errorTitle="" error="" promptTitle="" prompt="" sqref="O106:O106">
      <x:formula1>0</x:formula1>
      <x:formula2>100</x:formula2>
    </x:dataValidation>
    <x:dataValidation type="list" errorStyle="stop" operator="between" allowBlank="1" showDropDown="0" showInputMessage="1" showErrorMessage="1" errorTitle="" error="" promptTitle="" prompt="" sqref="H107:H107">
      <x:formula1>'MasterData'!$B$1:$B$14</x:formula1>
      <x:formula2/>
    </x:dataValidation>
    <x:dataValidation type="list" errorStyle="stop" operator="between" allowBlank="1" showDropDown="0" showInputMessage="1" showErrorMessage="1" errorTitle="" error="" promptTitle="" prompt="" sqref="I107:I107">
      <x:formula1>'MasterData'!$E$861:$E$870</x:formula1>
      <x:formula2/>
    </x:dataValidation>
    <x:dataValidation type="decimal" errorStyle="stop" operator="greaterThanOrEqual" allowBlank="1" showDropDown="0" showInputMessage="1" showErrorMessage="1" errorTitle="" error="" promptTitle="" prompt="" sqref="K107:K107">
      <x:formula1>0</x:formula1>
      <x:formula2/>
    </x:dataValidation>
    <x:dataValidation type="decimal" errorStyle="stop" operator="between" allowBlank="1" showDropDown="0" showInputMessage="1" showErrorMessage="1" errorTitle="" error="" promptTitle="" prompt="" sqref="N107:N107">
      <x:formula1>0</x:formula1>
      <x:formula2>100</x:formula2>
    </x:dataValidation>
    <x:dataValidation type="decimal" errorStyle="stop" operator="between" allowBlank="1" showDropDown="0" showInputMessage="1" showErrorMessage="1" errorTitle="" error="" promptTitle="" prompt="" sqref="O107:O107">
      <x:formula1>0</x:formula1>
      <x:formula2>100</x:formula2>
    </x:dataValidation>
    <x:dataValidation type="list" errorStyle="stop" operator="between" allowBlank="1" showDropDown="0" showInputMessage="1" showErrorMessage="1" errorTitle="" error="" promptTitle="" prompt="" sqref="H108:H108">
      <x:formula1>'MasterData'!$B$1:$B$14</x:formula1>
      <x:formula2/>
    </x:dataValidation>
    <x:dataValidation type="list" errorStyle="stop" operator="between" allowBlank="1" showDropDown="0" showInputMessage="1" showErrorMessage="1" errorTitle="" error="" promptTitle="" prompt="" sqref="I108:I108">
      <x:formula1>'MasterData'!$E$871:$E$880</x:formula1>
      <x:formula2/>
    </x:dataValidation>
    <x:dataValidation type="decimal" errorStyle="stop" operator="greaterThanOrEqual" allowBlank="1" showDropDown="0" showInputMessage="1" showErrorMessage="1" errorTitle="" error="" promptTitle="" prompt="" sqref="K108:K108">
      <x:formula1>0</x:formula1>
      <x:formula2/>
    </x:dataValidation>
    <x:dataValidation type="decimal" errorStyle="stop" operator="between" allowBlank="1" showDropDown="0" showInputMessage="1" showErrorMessage="1" errorTitle="" error="" promptTitle="" prompt="" sqref="N108:N108">
      <x:formula1>0</x:formula1>
      <x:formula2>100</x:formula2>
    </x:dataValidation>
    <x:dataValidation type="decimal" errorStyle="stop" operator="between" allowBlank="1" showDropDown="0" showInputMessage="1" showErrorMessage="1" errorTitle="" error="" promptTitle="" prompt="" sqref="O108:O108">
      <x:formula1>0</x:formula1>
      <x:formula2>100</x:formula2>
    </x:dataValidation>
    <x:dataValidation type="list" errorStyle="stop" operator="between" allowBlank="1" showDropDown="0" showInputMessage="1" showErrorMessage="1" errorTitle="" error="" promptTitle="" prompt="" sqref="H109:H109">
      <x:formula1>'MasterData'!$B$1:$B$14</x:formula1>
      <x:formula2/>
    </x:dataValidation>
    <x:dataValidation type="list" errorStyle="stop" operator="between" allowBlank="1" showDropDown="0" showInputMessage="1" showErrorMessage="1" errorTitle="" error="" promptTitle="" prompt="" sqref="I109:I109">
      <x:formula1>'MasterData'!$E$881:$E$890</x:formula1>
      <x:formula2/>
    </x:dataValidation>
    <x:dataValidation type="decimal" errorStyle="stop" operator="greaterThanOrEqual" allowBlank="1" showDropDown="0" showInputMessage="1" showErrorMessage="1" errorTitle="" error="" promptTitle="" prompt="" sqref="K109:K109">
      <x:formula1>0</x:formula1>
      <x:formula2/>
    </x:dataValidation>
    <x:dataValidation type="decimal" errorStyle="stop" operator="between" allowBlank="1" showDropDown="0" showInputMessage="1" showErrorMessage="1" errorTitle="" error="" promptTitle="" prompt="" sqref="N109:N109">
      <x:formula1>0</x:formula1>
      <x:formula2>100</x:formula2>
    </x:dataValidation>
    <x:dataValidation type="decimal" errorStyle="stop" operator="between" allowBlank="1" showDropDown="0" showInputMessage="1" showErrorMessage="1" errorTitle="" error="" promptTitle="" prompt="" sqref="O109:O109">
      <x:formula1>0</x:formula1>
      <x:formula2>100</x:formula2>
    </x:dataValidation>
    <x:dataValidation type="list" errorStyle="stop" operator="between" allowBlank="1" showDropDown="0" showInputMessage="1" showErrorMessage="1" errorTitle="" error="" promptTitle="" prompt="" sqref="H110:H110">
      <x:formula1>'MasterData'!$B$1:$B$14</x:formula1>
      <x:formula2/>
    </x:dataValidation>
    <x:dataValidation type="list" errorStyle="stop" operator="between" allowBlank="1" showDropDown="0" showInputMessage="1" showErrorMessage="1" errorTitle="" error="" promptTitle="" prompt="" sqref="I110:I110">
      <x:formula1>'MasterData'!$E$891:$E$900</x:formula1>
      <x:formula2/>
    </x:dataValidation>
    <x:dataValidation type="decimal" errorStyle="stop" operator="greaterThanOrEqual" allowBlank="1" showDropDown="0" showInputMessage="1" showErrorMessage="1" errorTitle="" error="" promptTitle="" prompt="" sqref="K110:K110">
      <x:formula1>0</x:formula1>
      <x:formula2/>
    </x:dataValidation>
    <x:dataValidation type="decimal" errorStyle="stop" operator="between" allowBlank="1" showDropDown="0" showInputMessage="1" showErrorMessage="1" errorTitle="" error="" promptTitle="" prompt="" sqref="N110:N110">
      <x:formula1>0</x:formula1>
      <x:formula2>100</x:formula2>
    </x:dataValidation>
    <x:dataValidation type="decimal" errorStyle="stop" operator="between" allowBlank="1" showDropDown="0" showInputMessage="1" showErrorMessage="1" errorTitle="" error="" promptTitle="" prompt="" sqref="O110:O110">
      <x:formula1>0</x:formula1>
      <x:formula2>100</x:formula2>
    </x:dataValidation>
    <x:dataValidation type="list" errorStyle="stop" operator="between" allowBlank="1" showDropDown="0" showInputMessage="1" showErrorMessage="1" errorTitle="" error="" promptTitle="" prompt="" sqref="H111:H111">
      <x:formula1>'MasterData'!$B$1:$B$14</x:formula1>
      <x:formula2/>
    </x:dataValidation>
    <x:dataValidation type="list" errorStyle="stop" operator="between" allowBlank="1" showDropDown="0" showInputMessage="1" showErrorMessage="1" errorTitle="" error="" promptTitle="" prompt="" sqref="I111:I111">
      <x:formula1>'MasterData'!$E$901:$E$910</x:formula1>
      <x:formula2/>
    </x:dataValidation>
    <x:dataValidation type="decimal" errorStyle="stop" operator="greaterThanOrEqual" allowBlank="1" showDropDown="0" showInputMessage="1" showErrorMessage="1" errorTitle="" error="" promptTitle="" prompt="" sqref="K111:K111">
      <x:formula1>0</x:formula1>
      <x:formula2/>
    </x:dataValidation>
    <x:dataValidation type="decimal" errorStyle="stop" operator="between" allowBlank="1" showDropDown="0" showInputMessage="1" showErrorMessage="1" errorTitle="" error="" promptTitle="" prompt="" sqref="N111:N111">
      <x:formula1>0</x:formula1>
      <x:formula2>100</x:formula2>
    </x:dataValidation>
    <x:dataValidation type="decimal" errorStyle="stop" operator="between" allowBlank="1" showDropDown="0" showInputMessage="1" showErrorMessage="1" errorTitle="" error="" promptTitle="" prompt="" sqref="O111:O111">
      <x:formula1>0</x:formula1>
      <x:formula2>100</x:formula2>
    </x:dataValidation>
    <x:dataValidation type="list" errorStyle="stop" operator="between" allowBlank="1" showDropDown="0" showInputMessage="1" showErrorMessage="1" errorTitle="" error="" promptTitle="" prompt="" sqref="H112:H112">
      <x:formula1>'MasterData'!$B$1:$B$14</x:formula1>
      <x:formula2/>
    </x:dataValidation>
    <x:dataValidation type="list" errorStyle="stop" operator="between" allowBlank="1" showDropDown="0" showInputMessage="1" showErrorMessage="1" errorTitle="" error="" promptTitle="" prompt="" sqref="I112:I112">
      <x:formula1>'MasterData'!$E$911:$E$920</x:formula1>
      <x:formula2/>
    </x:dataValidation>
    <x:dataValidation type="decimal" errorStyle="stop" operator="greaterThanOrEqual" allowBlank="1" showDropDown="0" showInputMessage="1" showErrorMessage="1" errorTitle="" error="" promptTitle="" prompt="" sqref="K112:K112">
      <x:formula1>0</x:formula1>
      <x:formula2/>
    </x:dataValidation>
    <x:dataValidation type="decimal" errorStyle="stop" operator="between" allowBlank="1" showDropDown="0" showInputMessage="1" showErrorMessage="1" errorTitle="" error="" promptTitle="" prompt="" sqref="N112:N112">
      <x:formula1>0</x:formula1>
      <x:formula2>100</x:formula2>
    </x:dataValidation>
    <x:dataValidation type="decimal" errorStyle="stop" operator="between" allowBlank="1" showDropDown="0" showInputMessage="1" showErrorMessage="1" errorTitle="" error="" promptTitle="" prompt="" sqref="O112:O112">
      <x:formula1>0</x:formula1>
      <x:formula2>100</x:formula2>
    </x:dataValidation>
    <x:dataValidation type="list" errorStyle="stop" operator="between" allowBlank="1" showDropDown="0" showInputMessage="1" showErrorMessage="1" errorTitle="" error="" promptTitle="" prompt="" sqref="H113:H113">
      <x:formula1>'MasterData'!$B$1:$B$14</x:formula1>
      <x:formula2/>
    </x:dataValidation>
    <x:dataValidation type="list" errorStyle="stop" operator="between" allowBlank="1" showDropDown="0" showInputMessage="1" showErrorMessage="1" errorTitle="" error="" promptTitle="" prompt="" sqref="I113:I113">
      <x:formula1>'MasterData'!$E$921:$E$930</x:formula1>
      <x:formula2/>
    </x:dataValidation>
    <x:dataValidation type="decimal" errorStyle="stop" operator="greaterThanOrEqual" allowBlank="1" showDropDown="0" showInputMessage="1" showErrorMessage="1" errorTitle="" error="" promptTitle="" prompt="" sqref="K113:K113">
      <x:formula1>0</x:formula1>
      <x:formula2/>
    </x:dataValidation>
    <x:dataValidation type="decimal" errorStyle="stop" operator="between" allowBlank="1" showDropDown="0" showInputMessage="1" showErrorMessage="1" errorTitle="" error="" promptTitle="" prompt="" sqref="N113:N113">
      <x:formula1>0</x:formula1>
      <x:formula2>100</x:formula2>
    </x:dataValidation>
    <x:dataValidation type="decimal" errorStyle="stop" operator="between" allowBlank="1" showDropDown="0" showInputMessage="1" showErrorMessage="1" errorTitle="" error="" promptTitle="" prompt="" sqref="O113:O113">
      <x:formula1>0</x:formula1>
      <x:formula2>100</x:formula2>
    </x:dataValidation>
    <x:dataValidation type="list" errorStyle="stop" operator="between" allowBlank="1" showDropDown="0" showInputMessage="1" showErrorMessage="1" errorTitle="" error="" promptTitle="" prompt="" sqref="H114:H114">
      <x:formula1>'MasterData'!$B$1:$B$14</x:formula1>
      <x:formula2/>
    </x:dataValidation>
    <x:dataValidation type="list" errorStyle="stop" operator="between" allowBlank="1" showDropDown="0" showInputMessage="1" showErrorMessage="1" errorTitle="" error="" promptTitle="" prompt="" sqref="I114:I114">
      <x:formula1>'MasterData'!$E$931:$E$940</x:formula1>
      <x:formula2/>
    </x:dataValidation>
    <x:dataValidation type="decimal" errorStyle="stop" operator="greaterThanOrEqual" allowBlank="1" showDropDown="0" showInputMessage="1" showErrorMessage="1" errorTitle="" error="" promptTitle="" prompt="" sqref="K114:K114">
      <x:formula1>0</x:formula1>
      <x:formula2/>
    </x:dataValidation>
    <x:dataValidation type="decimal" errorStyle="stop" operator="between" allowBlank="1" showDropDown="0" showInputMessage="1" showErrorMessage="1" errorTitle="" error="" promptTitle="" prompt="" sqref="N114:N114">
      <x:formula1>0</x:formula1>
      <x:formula2>100</x:formula2>
    </x:dataValidation>
    <x:dataValidation type="decimal" errorStyle="stop" operator="between" allowBlank="1" showDropDown="0" showInputMessage="1" showErrorMessage="1" errorTitle="" error="" promptTitle="" prompt="" sqref="O114:O114">
      <x:formula1>0</x:formula1>
      <x:formula2>100</x:formula2>
    </x:dataValidation>
    <x:dataValidation type="list" errorStyle="stop" operator="between" allowBlank="1" showDropDown="0" showInputMessage="1" showErrorMessage="1" errorTitle="" error="" promptTitle="" prompt="" sqref="H115:H115">
      <x:formula1>'MasterData'!$B$1:$B$14</x:formula1>
      <x:formula2/>
    </x:dataValidation>
    <x:dataValidation type="list" errorStyle="stop" operator="between" allowBlank="1" showDropDown="0" showInputMessage="1" showErrorMessage="1" errorTitle="" error="" promptTitle="" prompt="" sqref="I115:I115">
      <x:formula1>'MasterData'!$E$941:$E$950</x:formula1>
      <x:formula2/>
    </x:dataValidation>
    <x:dataValidation type="decimal" errorStyle="stop" operator="greaterThanOrEqual" allowBlank="1" showDropDown="0" showInputMessage="1" showErrorMessage="1" errorTitle="" error="" promptTitle="" prompt="" sqref="K115:K115">
      <x:formula1>0</x:formula1>
      <x:formula2/>
    </x:dataValidation>
    <x:dataValidation type="decimal" errorStyle="stop" operator="between" allowBlank="1" showDropDown="0" showInputMessage="1" showErrorMessage="1" errorTitle="" error="" promptTitle="" prompt="" sqref="N115:N115">
      <x:formula1>0</x:formula1>
      <x:formula2>100</x:formula2>
    </x:dataValidation>
    <x:dataValidation type="decimal" errorStyle="stop" operator="between" allowBlank="1" showDropDown="0" showInputMessage="1" showErrorMessage="1" errorTitle="" error="" promptTitle="" prompt="" sqref="O115:O115">
      <x:formula1>0</x:formula1>
      <x:formula2>100</x:formula2>
    </x:dataValidation>
    <x:dataValidation type="list" errorStyle="stop" operator="between" allowBlank="1" showDropDown="0" showInputMessage="1" showErrorMessage="1" errorTitle="" error="" promptTitle="" prompt="" sqref="H116:H116">
      <x:formula1>'MasterData'!$B$1:$B$14</x:formula1>
      <x:formula2/>
    </x:dataValidation>
    <x:dataValidation type="list" errorStyle="stop" operator="between" allowBlank="1" showDropDown="0" showInputMessage="1" showErrorMessage="1" errorTitle="" error="" promptTitle="" prompt="" sqref="I116:I116">
      <x:formula1>'MasterData'!$E$951:$E$960</x:formula1>
      <x:formula2/>
    </x:dataValidation>
    <x:dataValidation type="decimal" errorStyle="stop" operator="greaterThanOrEqual" allowBlank="1" showDropDown="0" showInputMessage="1" showErrorMessage="1" errorTitle="" error="" promptTitle="" prompt="" sqref="K116:K116">
      <x:formula1>0</x:formula1>
      <x:formula2/>
    </x:dataValidation>
    <x:dataValidation type="decimal" errorStyle="stop" operator="between" allowBlank="1" showDropDown="0" showInputMessage="1" showErrorMessage="1" errorTitle="" error="" promptTitle="" prompt="" sqref="N116:N116">
      <x:formula1>0</x:formula1>
      <x:formula2>100</x:formula2>
    </x:dataValidation>
    <x:dataValidation type="decimal" errorStyle="stop" operator="between" allowBlank="1" showDropDown="0" showInputMessage="1" showErrorMessage="1" errorTitle="" error="" promptTitle="" prompt="" sqref="O116:O116">
      <x:formula1>0</x:formula1>
      <x:formula2>100</x:formula2>
    </x:dataValidation>
    <x:dataValidation type="list" errorStyle="stop" operator="between" allowBlank="1" showDropDown="0" showInputMessage="1" showErrorMessage="1" errorTitle="" error="" promptTitle="" prompt="" sqref="H117:H117">
      <x:formula1>'MasterData'!$B$1:$B$14</x:formula1>
      <x:formula2/>
    </x:dataValidation>
    <x:dataValidation type="list" errorStyle="stop" operator="between" allowBlank="1" showDropDown="0" showInputMessage="1" showErrorMessage="1" errorTitle="" error="" promptTitle="" prompt="" sqref="I117:I117">
      <x:formula1>'MasterData'!$E$961:$E$970</x:formula1>
      <x:formula2/>
    </x:dataValidation>
    <x:dataValidation type="decimal" errorStyle="stop" operator="greaterThanOrEqual" allowBlank="1" showDropDown="0" showInputMessage="1" showErrorMessage="1" errorTitle="" error="" promptTitle="" prompt="" sqref="K117:K117">
      <x:formula1>0</x:formula1>
      <x:formula2/>
    </x:dataValidation>
    <x:dataValidation type="decimal" errorStyle="stop" operator="between" allowBlank="1" showDropDown="0" showInputMessage="1" showErrorMessage="1" errorTitle="" error="" promptTitle="" prompt="" sqref="N117:N117">
      <x:formula1>0</x:formula1>
      <x:formula2>100</x:formula2>
    </x:dataValidation>
    <x:dataValidation type="decimal" errorStyle="stop" operator="between" allowBlank="1" showDropDown="0" showInputMessage="1" showErrorMessage="1" errorTitle="" error="" promptTitle="" prompt="" sqref="O117:O117">
      <x:formula1>0</x:formula1>
      <x:formula2>100</x:formula2>
    </x:dataValidation>
    <x:dataValidation type="list" errorStyle="stop" operator="between" allowBlank="1" showDropDown="0" showInputMessage="1" showErrorMessage="1" errorTitle="" error="" promptTitle="" prompt="" sqref="H118:H118">
      <x:formula1>'MasterData'!$B$1:$B$14</x:formula1>
      <x:formula2/>
    </x:dataValidation>
    <x:dataValidation type="list" errorStyle="stop" operator="between" allowBlank="1" showDropDown="0" showInputMessage="1" showErrorMessage="1" errorTitle="" error="" promptTitle="" prompt="" sqref="I118:I118">
      <x:formula1>'MasterData'!$E$971:$E$980</x:formula1>
      <x:formula2/>
    </x:dataValidation>
    <x:dataValidation type="decimal" errorStyle="stop" operator="greaterThanOrEqual" allowBlank="1" showDropDown="0" showInputMessage="1" showErrorMessage="1" errorTitle="" error="" promptTitle="" prompt="" sqref="K118:K118">
      <x:formula1>0</x:formula1>
      <x:formula2/>
    </x:dataValidation>
    <x:dataValidation type="decimal" errorStyle="stop" operator="between" allowBlank="1" showDropDown="0" showInputMessage="1" showErrorMessage="1" errorTitle="" error="" promptTitle="" prompt="" sqref="N118:N118">
      <x:formula1>0</x:formula1>
      <x:formula2>100</x:formula2>
    </x:dataValidation>
    <x:dataValidation type="decimal" errorStyle="stop" operator="between" allowBlank="1" showDropDown="0" showInputMessage="1" showErrorMessage="1" errorTitle="" error="" promptTitle="" prompt="" sqref="O118:O118">
      <x:formula1>0</x:formula1>
      <x:formula2>100</x:formula2>
    </x:dataValidation>
    <x:dataValidation type="list" errorStyle="stop" operator="between" allowBlank="1" showDropDown="0" showInputMessage="1" showErrorMessage="1" errorTitle="" error="" promptTitle="" prompt="" sqref="H119:H119">
      <x:formula1>'MasterData'!$B$1:$B$14</x:formula1>
      <x:formula2/>
    </x:dataValidation>
    <x:dataValidation type="list" errorStyle="stop" operator="between" allowBlank="1" showDropDown="0" showInputMessage="1" showErrorMessage="1" errorTitle="" error="" promptTitle="" prompt="" sqref="I119:I119">
      <x:formula1>'MasterData'!$E$981:$E$990</x:formula1>
      <x:formula2/>
    </x:dataValidation>
    <x:dataValidation type="decimal" errorStyle="stop" operator="greaterThanOrEqual" allowBlank="1" showDropDown="0" showInputMessage="1" showErrorMessage="1" errorTitle="" error="" promptTitle="" prompt="" sqref="K119:K119">
      <x:formula1>0</x:formula1>
      <x:formula2/>
    </x:dataValidation>
    <x:dataValidation type="decimal" errorStyle="stop" operator="between" allowBlank="1" showDropDown="0" showInputMessage="1" showErrorMessage="1" errorTitle="" error="" promptTitle="" prompt="" sqref="N119:N119">
      <x:formula1>0</x:formula1>
      <x:formula2>100</x:formula2>
    </x:dataValidation>
    <x:dataValidation type="decimal" errorStyle="stop" operator="between" allowBlank="1" showDropDown="0" showInputMessage="1" showErrorMessage="1" errorTitle="" error="" promptTitle="" prompt="" sqref="O119:O119">
      <x:formula1>0</x:formula1>
      <x:formula2>100</x:formula2>
    </x:dataValidation>
    <x:dataValidation type="list" errorStyle="stop" operator="between" allowBlank="1" showDropDown="0" showInputMessage="1" showErrorMessage="1" errorTitle="" error="" promptTitle="" prompt="" sqref="H120:H120">
      <x:formula1>'MasterData'!$B$1:$B$14</x:formula1>
      <x:formula2/>
    </x:dataValidation>
    <x:dataValidation type="list" errorStyle="stop" operator="between" allowBlank="1" showDropDown="0" showInputMessage="1" showErrorMessage="1" errorTitle="" error="" promptTitle="" prompt="" sqref="I120:I120">
      <x:formula1>'MasterData'!$E$991:$E$1000</x:formula1>
      <x:formula2/>
    </x:dataValidation>
    <x:dataValidation type="decimal" errorStyle="stop" operator="greaterThanOrEqual" allowBlank="1" showDropDown="0" showInputMessage="1" showErrorMessage="1" errorTitle="" error="" promptTitle="" prompt="" sqref="K120:K120">
      <x:formula1>0</x:formula1>
      <x:formula2/>
    </x:dataValidation>
    <x:dataValidation type="decimal" errorStyle="stop" operator="between" allowBlank="1" showDropDown="0" showInputMessage="1" showErrorMessage="1" errorTitle="" error="" promptTitle="" prompt="" sqref="N120:N120">
      <x:formula1>0</x:formula1>
      <x:formula2>100</x:formula2>
    </x:dataValidation>
    <x:dataValidation type="decimal" errorStyle="stop" operator="between" allowBlank="1" showDropDown="0" showInputMessage="1" showErrorMessage="1" errorTitle="" error="" promptTitle="" prompt="" sqref="O120:O120">
      <x:formula1>0</x:formula1>
      <x:formula2>100</x:formula2>
    </x:dataValidation>
    <x:dataValidation type="list" errorStyle="stop" operator="between" allowBlank="1" showDropDown="0" showInputMessage="1" showErrorMessage="1" errorTitle="" error="" promptTitle="" prompt="" sqref="H121:H121">
      <x:formula1>'MasterData'!$B$1:$B$14</x:formula1>
      <x:formula2/>
    </x:dataValidation>
    <x:dataValidation type="list" errorStyle="stop" operator="between" allowBlank="1" showDropDown="0" showInputMessage="1" showErrorMessage="1" errorTitle="" error="" promptTitle="" prompt="" sqref="I121:I121">
      <x:formula1>'MasterData'!$E$1001:$E$1010</x:formula1>
      <x:formula2/>
    </x:dataValidation>
    <x:dataValidation type="decimal" errorStyle="stop" operator="greaterThanOrEqual" allowBlank="1" showDropDown="0" showInputMessage="1" showErrorMessage="1" errorTitle="" error="" promptTitle="" prompt="" sqref="K121:K121">
      <x:formula1>0</x:formula1>
      <x:formula2/>
    </x:dataValidation>
    <x:dataValidation type="decimal" errorStyle="stop" operator="between" allowBlank="1" showDropDown="0" showInputMessage="1" showErrorMessage="1" errorTitle="" error="" promptTitle="" prompt="" sqref="N121:N121">
      <x:formula1>0</x:formula1>
      <x:formula2>100</x:formula2>
    </x:dataValidation>
    <x:dataValidation type="decimal" errorStyle="stop" operator="between" allowBlank="1" showDropDown="0" showInputMessage="1" showErrorMessage="1" errorTitle="" error="" promptTitle="" prompt="" sqref="O121:O121">
      <x:formula1>0</x:formula1>
      <x:formula2>100</x:formula2>
    </x:dataValidation>
    <x:dataValidation type="list" errorStyle="stop" operator="between" allowBlank="1" showDropDown="0" showInputMessage="1" showErrorMessage="1" errorTitle="" error="" promptTitle="" prompt="" sqref="H122:H122">
      <x:formula1>'MasterData'!$B$1:$B$14</x:formula1>
      <x:formula2/>
    </x:dataValidation>
    <x:dataValidation type="list" errorStyle="stop" operator="between" allowBlank="1" showDropDown="0" showInputMessage="1" showErrorMessage="1" errorTitle="" error="" promptTitle="" prompt="" sqref="I122:I122">
      <x:formula1>'MasterData'!$E$1011:$E$1020</x:formula1>
      <x:formula2/>
    </x:dataValidation>
    <x:dataValidation type="decimal" errorStyle="stop" operator="greaterThanOrEqual" allowBlank="1" showDropDown="0" showInputMessage="1" showErrorMessage="1" errorTitle="" error="" promptTitle="" prompt="" sqref="K122:K122">
      <x:formula1>0</x:formula1>
      <x:formula2/>
    </x:dataValidation>
    <x:dataValidation type="decimal" errorStyle="stop" operator="between" allowBlank="1" showDropDown="0" showInputMessage="1" showErrorMessage="1" errorTitle="" error="" promptTitle="" prompt="" sqref="N122:N122">
      <x:formula1>0</x:formula1>
      <x:formula2>100</x:formula2>
    </x:dataValidation>
    <x:dataValidation type="decimal" errorStyle="stop" operator="between" allowBlank="1" showDropDown="0" showInputMessage="1" showErrorMessage="1" errorTitle="" error="" promptTitle="" prompt="" sqref="O122:O122">
      <x:formula1>0</x:formula1>
      <x:formula2>100</x:formula2>
    </x:dataValidation>
    <x:dataValidation type="list" errorStyle="stop" operator="between" allowBlank="1" showDropDown="0" showInputMessage="1" showErrorMessage="1" errorTitle="" error="" promptTitle="" prompt="" sqref="H123:H123">
      <x:formula1>'MasterData'!$B$1:$B$14</x:formula1>
      <x:formula2/>
    </x:dataValidation>
    <x:dataValidation type="list" errorStyle="stop" operator="between" allowBlank="1" showDropDown="0" showInputMessage="1" showErrorMessage="1" errorTitle="" error="" promptTitle="" prompt="" sqref="I123:I123">
      <x:formula1>'MasterData'!$E$1021:$E$1030</x:formula1>
      <x:formula2/>
    </x:dataValidation>
    <x:dataValidation type="decimal" errorStyle="stop" operator="greaterThanOrEqual" allowBlank="1" showDropDown="0" showInputMessage="1" showErrorMessage="1" errorTitle="" error="" promptTitle="" prompt="" sqref="K123:K123">
      <x:formula1>0</x:formula1>
      <x:formula2/>
    </x:dataValidation>
    <x:dataValidation type="decimal" errorStyle="stop" operator="between" allowBlank="1" showDropDown="0" showInputMessage="1" showErrorMessage="1" errorTitle="" error="" promptTitle="" prompt="" sqref="N123:N123">
      <x:formula1>0</x:formula1>
      <x:formula2>100</x:formula2>
    </x:dataValidation>
    <x:dataValidation type="decimal" errorStyle="stop" operator="between" allowBlank="1" showDropDown="0" showInputMessage="1" showErrorMessage="1" errorTitle="" error="" promptTitle="" prompt="" sqref="O123:O123">
      <x:formula1>0</x:formula1>
      <x:formula2>100</x:formula2>
    </x:dataValidation>
    <x:dataValidation type="list" errorStyle="stop" operator="between" allowBlank="1" showDropDown="0" showInputMessage="1" showErrorMessage="1" errorTitle="" error="" promptTitle="" prompt="" sqref="H124:H124">
      <x:formula1>'MasterData'!$B$1:$B$14</x:formula1>
      <x:formula2/>
    </x:dataValidation>
    <x:dataValidation type="list" errorStyle="stop" operator="between" allowBlank="1" showDropDown="0" showInputMessage="1" showErrorMessage="1" errorTitle="" error="" promptTitle="" prompt="" sqref="I124:I124">
      <x:formula1>'MasterData'!$E$1031:$E$1040</x:formula1>
      <x:formula2/>
    </x:dataValidation>
    <x:dataValidation type="decimal" errorStyle="stop" operator="greaterThanOrEqual" allowBlank="1" showDropDown="0" showInputMessage="1" showErrorMessage="1" errorTitle="" error="" promptTitle="" prompt="" sqref="K124:K124">
      <x:formula1>0</x:formula1>
      <x:formula2/>
    </x:dataValidation>
    <x:dataValidation type="decimal" errorStyle="stop" operator="between" allowBlank="1" showDropDown="0" showInputMessage="1" showErrorMessage="1" errorTitle="" error="" promptTitle="" prompt="" sqref="N124:N124">
      <x:formula1>0</x:formula1>
      <x:formula2>100</x:formula2>
    </x:dataValidation>
    <x:dataValidation type="decimal" errorStyle="stop" operator="between" allowBlank="1" showDropDown="0" showInputMessage="1" showErrorMessage="1" errorTitle="" error="" promptTitle="" prompt="" sqref="O124:O124">
      <x:formula1>0</x:formula1>
      <x:formula2>100</x:formula2>
    </x:dataValidation>
    <x:dataValidation type="list" errorStyle="stop" operator="between" allowBlank="1" showDropDown="0" showInputMessage="1" showErrorMessage="1" errorTitle="" error="" promptTitle="" prompt="" sqref="H125:H125">
      <x:formula1>'MasterData'!$B$1:$B$14</x:formula1>
      <x:formula2/>
    </x:dataValidation>
    <x:dataValidation type="list" errorStyle="stop" operator="between" allowBlank="1" showDropDown="0" showInputMessage="1" showErrorMessage="1" errorTitle="" error="" promptTitle="" prompt="" sqref="I125:I125">
      <x:formula1>'MasterData'!$E$1041:$E$1050</x:formula1>
      <x:formula2/>
    </x:dataValidation>
    <x:dataValidation type="decimal" errorStyle="stop" operator="greaterThanOrEqual" allowBlank="1" showDropDown="0" showInputMessage="1" showErrorMessage="1" errorTitle="" error="" promptTitle="" prompt="" sqref="K125:K125">
      <x:formula1>0</x:formula1>
      <x:formula2/>
    </x:dataValidation>
    <x:dataValidation type="decimal" errorStyle="stop" operator="between" allowBlank="1" showDropDown="0" showInputMessage="1" showErrorMessage="1" errorTitle="" error="" promptTitle="" prompt="" sqref="N125:N125">
      <x:formula1>0</x:formula1>
      <x:formula2>100</x:formula2>
    </x:dataValidation>
    <x:dataValidation type="decimal" errorStyle="stop" operator="between" allowBlank="1" showDropDown="0" showInputMessage="1" showErrorMessage="1" errorTitle="" error="" promptTitle="" prompt="" sqref="O125:O125">
      <x:formula1>0</x:formula1>
      <x:formula2>100</x:formula2>
    </x:dataValidation>
    <x:dataValidation type="list" errorStyle="stop" operator="between" allowBlank="1" showDropDown="0" showInputMessage="1" showErrorMessage="1" errorTitle="" error="" promptTitle="" prompt="" sqref="H126:H126">
      <x:formula1>'MasterData'!$B$1:$B$14</x:formula1>
      <x:formula2/>
    </x:dataValidation>
    <x:dataValidation type="list" errorStyle="stop" operator="between" allowBlank="1" showDropDown="0" showInputMessage="1" showErrorMessage="1" errorTitle="" error="" promptTitle="" prompt="" sqref="I126:I126">
      <x:formula1>'MasterData'!$E$1051:$E$1060</x:formula1>
      <x:formula2/>
    </x:dataValidation>
    <x:dataValidation type="decimal" errorStyle="stop" operator="greaterThanOrEqual" allowBlank="1" showDropDown="0" showInputMessage="1" showErrorMessage="1" errorTitle="" error="" promptTitle="" prompt="" sqref="K126:K126">
      <x:formula1>0</x:formula1>
      <x:formula2/>
    </x:dataValidation>
    <x:dataValidation type="decimal" errorStyle="stop" operator="between" allowBlank="1" showDropDown="0" showInputMessage="1" showErrorMessage="1" errorTitle="" error="" promptTitle="" prompt="" sqref="N126:N126">
      <x:formula1>0</x:formula1>
      <x:formula2>100</x:formula2>
    </x:dataValidation>
    <x:dataValidation type="decimal" errorStyle="stop" operator="between" allowBlank="1" showDropDown="0" showInputMessage="1" showErrorMessage="1" errorTitle="" error="" promptTitle="" prompt="" sqref="O126:O126">
      <x:formula1>0</x:formula1>
      <x:formula2>100</x:formula2>
    </x:dataValidation>
    <x:dataValidation type="list" errorStyle="stop" operator="between" allowBlank="1" showDropDown="0" showInputMessage="1" showErrorMessage="1" errorTitle="" error="" promptTitle="" prompt="" sqref="H127:H127">
      <x:formula1>'MasterData'!$B$1:$B$14</x:formula1>
      <x:formula2/>
    </x:dataValidation>
    <x:dataValidation type="list" errorStyle="stop" operator="between" allowBlank="1" showDropDown="0" showInputMessage="1" showErrorMessage="1" errorTitle="" error="" promptTitle="" prompt="" sqref="I127:I127">
      <x:formula1>'MasterData'!$E$1061:$E$1070</x:formula1>
      <x:formula2/>
    </x:dataValidation>
    <x:dataValidation type="decimal" errorStyle="stop" operator="greaterThanOrEqual" allowBlank="1" showDropDown="0" showInputMessage="1" showErrorMessage="1" errorTitle="" error="" promptTitle="" prompt="" sqref="K127:K127">
      <x:formula1>0</x:formula1>
      <x:formula2/>
    </x:dataValidation>
    <x:dataValidation type="decimal" errorStyle="stop" operator="between" allowBlank="1" showDropDown="0" showInputMessage="1" showErrorMessage="1" errorTitle="" error="" promptTitle="" prompt="" sqref="N127:N127">
      <x:formula1>0</x:formula1>
      <x:formula2>100</x:formula2>
    </x:dataValidation>
    <x:dataValidation type="decimal" errorStyle="stop" operator="between" allowBlank="1" showDropDown="0" showInputMessage="1" showErrorMessage="1" errorTitle="" error="" promptTitle="" prompt="" sqref="O127:O127">
      <x:formula1>0</x:formula1>
      <x:formula2>100</x:formula2>
    </x:dataValidation>
    <x:dataValidation type="list" errorStyle="stop" operator="between" allowBlank="1" showDropDown="0" showInputMessage="1" showErrorMessage="1" errorTitle="" error="" promptTitle="" prompt="" sqref="H128:H128">
      <x:formula1>'MasterData'!$B$1:$B$14</x:formula1>
      <x:formula2/>
    </x:dataValidation>
    <x:dataValidation type="list" errorStyle="stop" operator="between" allowBlank="1" showDropDown="0" showInputMessage="1" showErrorMessage="1" errorTitle="" error="" promptTitle="" prompt="" sqref="I128:I128">
      <x:formula1>'MasterData'!$E$1071:$E$1080</x:formula1>
      <x:formula2/>
    </x:dataValidation>
    <x:dataValidation type="decimal" errorStyle="stop" operator="greaterThanOrEqual" allowBlank="1" showDropDown="0" showInputMessage="1" showErrorMessage="1" errorTitle="" error="" promptTitle="" prompt="" sqref="K128:K128">
      <x:formula1>0</x:formula1>
      <x:formula2/>
    </x:dataValidation>
    <x:dataValidation type="decimal" errorStyle="stop" operator="between" allowBlank="1" showDropDown="0" showInputMessage="1" showErrorMessage="1" errorTitle="" error="" promptTitle="" prompt="" sqref="N128:N128">
      <x:formula1>0</x:formula1>
      <x:formula2>100</x:formula2>
    </x:dataValidation>
    <x:dataValidation type="decimal" errorStyle="stop" operator="between" allowBlank="1" showDropDown="0" showInputMessage="1" showErrorMessage="1" errorTitle="" error="" promptTitle="" prompt="" sqref="O128:O128">
      <x:formula1>0</x:formula1>
      <x:formula2>100</x:formula2>
    </x:dataValidation>
    <x:dataValidation type="list" errorStyle="stop" operator="between" allowBlank="1" showDropDown="0" showInputMessage="1" showErrorMessage="1" errorTitle="" error="" promptTitle="" prompt="" sqref="H129:H129">
      <x:formula1>'MasterData'!$B$1:$B$14</x:formula1>
      <x:formula2/>
    </x:dataValidation>
    <x:dataValidation type="list" errorStyle="stop" operator="between" allowBlank="1" showDropDown="0" showInputMessage="1" showErrorMessage="1" errorTitle="" error="" promptTitle="" prompt="" sqref="I129:I129">
      <x:formula1>'MasterData'!$E$1081:$E$1090</x:formula1>
      <x:formula2/>
    </x:dataValidation>
    <x:dataValidation type="decimal" errorStyle="stop" operator="greaterThanOrEqual" allowBlank="1" showDropDown="0" showInputMessage="1" showErrorMessage="1" errorTitle="" error="" promptTitle="" prompt="" sqref="K129:K129">
      <x:formula1>0</x:formula1>
      <x:formula2/>
    </x:dataValidation>
    <x:dataValidation type="decimal" errorStyle="stop" operator="between" allowBlank="1" showDropDown="0" showInputMessage="1" showErrorMessage="1" errorTitle="" error="" promptTitle="" prompt="" sqref="N129:N129">
      <x:formula1>0</x:formula1>
      <x:formula2>100</x:formula2>
    </x:dataValidation>
    <x:dataValidation type="decimal" errorStyle="stop" operator="between" allowBlank="1" showDropDown="0" showInputMessage="1" showErrorMessage="1" errorTitle="" error="" promptTitle="" prompt="" sqref="O129:O129">
      <x:formula1>0</x:formula1>
      <x:formula2>100</x:formula2>
    </x:dataValidation>
    <x:dataValidation type="list" errorStyle="stop" operator="between" allowBlank="1" showDropDown="0" showInputMessage="1" showErrorMessage="1" errorTitle="" error="" promptTitle="" prompt="" sqref="H130:H130">
      <x:formula1>'MasterData'!$B$1:$B$14</x:formula1>
      <x:formula2/>
    </x:dataValidation>
    <x:dataValidation type="list" errorStyle="stop" operator="between" allowBlank="1" showDropDown="0" showInputMessage="1" showErrorMessage="1" errorTitle="" error="" promptTitle="" prompt="" sqref="I130:I130">
      <x:formula1>'MasterData'!$E$1091:$E$1100</x:formula1>
      <x:formula2/>
    </x:dataValidation>
    <x:dataValidation type="decimal" errorStyle="stop" operator="greaterThanOrEqual" allowBlank="1" showDropDown="0" showInputMessage="1" showErrorMessage="1" errorTitle="" error="" promptTitle="" prompt="" sqref="K130:K130">
      <x:formula1>0</x:formula1>
      <x:formula2/>
    </x:dataValidation>
    <x:dataValidation type="decimal" errorStyle="stop" operator="between" allowBlank="1" showDropDown="0" showInputMessage="1" showErrorMessage="1" errorTitle="" error="" promptTitle="" prompt="" sqref="N130:N130">
      <x:formula1>0</x:formula1>
      <x:formula2>100</x:formula2>
    </x:dataValidation>
    <x:dataValidation type="decimal" errorStyle="stop" operator="between" allowBlank="1" showDropDown="0" showInputMessage="1" showErrorMessage="1" errorTitle="" error="" promptTitle="" prompt="" sqref="O130:O130">
      <x:formula1>0</x:formula1>
      <x:formula2>100</x:formula2>
    </x:dataValidation>
    <x:dataValidation type="list" errorStyle="stop" operator="between" allowBlank="1" showDropDown="0" showInputMessage="1" showErrorMessage="1" errorTitle="" error="" promptTitle="" prompt="" sqref="H131:H131">
      <x:formula1>'MasterData'!$B$1:$B$14</x:formula1>
      <x:formula2/>
    </x:dataValidation>
    <x:dataValidation type="list" errorStyle="stop" operator="between" allowBlank="1" showDropDown="0" showInputMessage="1" showErrorMessage="1" errorTitle="" error="" promptTitle="" prompt="" sqref="I131:I131">
      <x:formula1>'MasterData'!$E$1101:$E$1110</x:formula1>
      <x:formula2/>
    </x:dataValidation>
    <x:dataValidation type="decimal" errorStyle="stop" operator="greaterThanOrEqual" allowBlank="1" showDropDown="0" showInputMessage="1" showErrorMessage="1" errorTitle="" error="" promptTitle="" prompt="" sqref="K131:K131">
      <x:formula1>0</x:formula1>
      <x:formula2/>
    </x:dataValidation>
    <x:dataValidation type="decimal" errorStyle="stop" operator="between" allowBlank="1" showDropDown="0" showInputMessage="1" showErrorMessage="1" errorTitle="" error="" promptTitle="" prompt="" sqref="N131:N131">
      <x:formula1>0</x:formula1>
      <x:formula2>100</x:formula2>
    </x:dataValidation>
    <x:dataValidation type="decimal" errorStyle="stop" operator="between" allowBlank="1" showDropDown="0" showInputMessage="1" showErrorMessage="1" errorTitle="" error="" promptTitle="" prompt="" sqref="O131:O131">
      <x:formula1>0</x:formula1>
      <x:formula2>100</x:formula2>
    </x:dataValidation>
    <x:dataValidation type="list" errorStyle="stop" operator="between" allowBlank="1" showDropDown="0" showInputMessage="1" showErrorMessage="1" errorTitle="" error="" promptTitle="" prompt="" sqref="H132:H132">
      <x:formula1>'MasterData'!$B$1:$B$14</x:formula1>
      <x:formula2/>
    </x:dataValidation>
    <x:dataValidation type="list" errorStyle="stop" operator="between" allowBlank="1" showDropDown="0" showInputMessage="1" showErrorMessage="1" errorTitle="" error="" promptTitle="" prompt="" sqref="I132:I132">
      <x:formula1>'MasterData'!$E$1111:$E$1120</x:formula1>
      <x:formula2/>
    </x:dataValidation>
    <x:dataValidation type="decimal" errorStyle="stop" operator="greaterThanOrEqual" allowBlank="1" showDropDown="0" showInputMessage="1" showErrorMessage="1" errorTitle="" error="" promptTitle="" prompt="" sqref="K132:K132">
      <x:formula1>0</x:formula1>
      <x:formula2/>
    </x:dataValidation>
    <x:dataValidation type="decimal" errorStyle="stop" operator="between" allowBlank="1" showDropDown="0" showInputMessage="1" showErrorMessage="1" errorTitle="" error="" promptTitle="" prompt="" sqref="N132:N132">
      <x:formula1>0</x:formula1>
      <x:formula2>100</x:formula2>
    </x:dataValidation>
    <x:dataValidation type="decimal" errorStyle="stop" operator="between" allowBlank="1" showDropDown="0" showInputMessage="1" showErrorMessage="1" errorTitle="" error="" promptTitle="" prompt="" sqref="O132:O132">
      <x:formula1>0</x:formula1>
      <x:formula2>100</x:formula2>
    </x:dataValidation>
    <x:dataValidation type="list" errorStyle="stop" operator="between" allowBlank="1" showDropDown="0" showInputMessage="1" showErrorMessage="1" errorTitle="" error="" promptTitle="" prompt="" sqref="H133:H133">
      <x:formula1>'MasterData'!$B$1:$B$14</x:formula1>
      <x:formula2/>
    </x:dataValidation>
    <x:dataValidation type="list" errorStyle="stop" operator="between" allowBlank="1" showDropDown="0" showInputMessage="1" showErrorMessage="1" errorTitle="" error="" promptTitle="" prompt="" sqref="I133:I133">
      <x:formula1>'MasterData'!$E$1121:$E$1130</x:formula1>
      <x:formula2/>
    </x:dataValidation>
    <x:dataValidation type="decimal" errorStyle="stop" operator="greaterThanOrEqual" allowBlank="1" showDropDown="0" showInputMessage="1" showErrorMessage="1" errorTitle="" error="" promptTitle="" prompt="" sqref="K133:K133">
      <x:formula1>0</x:formula1>
      <x:formula2/>
    </x:dataValidation>
    <x:dataValidation type="decimal" errorStyle="stop" operator="between" allowBlank="1" showDropDown="0" showInputMessage="1" showErrorMessage="1" errorTitle="" error="" promptTitle="" prompt="" sqref="N133:N133">
      <x:formula1>0</x:formula1>
      <x:formula2>100</x:formula2>
    </x:dataValidation>
    <x:dataValidation type="decimal" errorStyle="stop" operator="between" allowBlank="1" showDropDown="0" showInputMessage="1" showErrorMessage="1" errorTitle="" error="" promptTitle="" prompt="" sqref="O133:O133">
      <x:formula1>0</x:formula1>
      <x:formula2>100</x:formula2>
    </x:dataValidation>
    <x:dataValidation type="list" errorStyle="stop" operator="between" allowBlank="1" showDropDown="0" showInputMessage="1" showErrorMessage="1" errorTitle="" error="" promptTitle="" prompt="" sqref="H134:H134">
      <x:formula1>'MasterData'!$B$1:$B$14</x:formula1>
      <x:formula2/>
    </x:dataValidation>
    <x:dataValidation type="list" errorStyle="stop" operator="between" allowBlank="1" showDropDown="0" showInputMessage="1" showErrorMessage="1" errorTitle="" error="" promptTitle="" prompt="" sqref="I134:I134">
      <x:formula1>'MasterData'!$E$1131:$E$1140</x:formula1>
      <x:formula2/>
    </x:dataValidation>
    <x:dataValidation type="decimal" errorStyle="stop" operator="greaterThanOrEqual" allowBlank="1" showDropDown="0" showInputMessage="1" showErrorMessage="1" errorTitle="" error="" promptTitle="" prompt="" sqref="K134:K134">
      <x:formula1>0</x:formula1>
      <x:formula2/>
    </x:dataValidation>
    <x:dataValidation type="decimal" errorStyle="stop" operator="between" allowBlank="1" showDropDown="0" showInputMessage="1" showErrorMessage="1" errorTitle="" error="" promptTitle="" prompt="" sqref="N134:N134">
      <x:formula1>0</x:formula1>
      <x:formula2>100</x:formula2>
    </x:dataValidation>
    <x:dataValidation type="decimal" errorStyle="stop" operator="between" allowBlank="1" showDropDown="0" showInputMessage="1" showErrorMessage="1" errorTitle="" error="" promptTitle="" prompt="" sqref="O134:O134">
      <x:formula1>0</x:formula1>
      <x:formula2>100</x:formula2>
    </x:dataValidation>
    <x:dataValidation type="list" errorStyle="stop" operator="between" allowBlank="1" showDropDown="0" showInputMessage="1" showErrorMessage="1" errorTitle="" error="" promptTitle="" prompt="" sqref="H135:H135">
      <x:formula1>'MasterData'!$B$1:$B$14</x:formula1>
      <x:formula2/>
    </x:dataValidation>
    <x:dataValidation type="list" errorStyle="stop" operator="between" allowBlank="1" showDropDown="0" showInputMessage="1" showErrorMessage="1" errorTitle="" error="" promptTitle="" prompt="" sqref="I135:I135">
      <x:formula1>'MasterData'!$E$1141:$E$1150</x:formula1>
      <x:formula2/>
    </x:dataValidation>
    <x:dataValidation type="decimal" errorStyle="stop" operator="greaterThanOrEqual" allowBlank="1" showDropDown="0" showInputMessage="1" showErrorMessage="1" errorTitle="" error="" promptTitle="" prompt="" sqref="K135:K135">
      <x:formula1>0</x:formula1>
      <x:formula2/>
    </x:dataValidation>
    <x:dataValidation type="decimal" errorStyle="stop" operator="between" allowBlank="1" showDropDown="0" showInputMessage="1" showErrorMessage="1" errorTitle="" error="" promptTitle="" prompt="" sqref="N135:N135">
      <x:formula1>0</x:formula1>
      <x:formula2>100</x:formula2>
    </x:dataValidation>
    <x:dataValidation type="decimal" errorStyle="stop" operator="between" allowBlank="1" showDropDown="0" showInputMessage="1" showErrorMessage="1" errorTitle="" error="" promptTitle="" prompt="" sqref="O135:O135">
      <x:formula1>0</x:formula1>
      <x:formula2>100</x:formula2>
    </x:dataValidation>
    <x:dataValidation type="list" errorStyle="stop" operator="between" allowBlank="1" showDropDown="0" showInputMessage="1" showErrorMessage="1" errorTitle="" error="" promptTitle="" prompt="" sqref="H136:H136">
      <x:formula1>'MasterData'!$B$1:$B$14</x:formula1>
      <x:formula2/>
    </x:dataValidation>
    <x:dataValidation type="list" errorStyle="stop" operator="between" allowBlank="1" showDropDown="0" showInputMessage="1" showErrorMessage="1" errorTitle="" error="" promptTitle="" prompt="" sqref="I136:I136">
      <x:formula1>'MasterData'!$E$1151:$E$1160</x:formula1>
      <x:formula2/>
    </x:dataValidation>
    <x:dataValidation type="decimal" errorStyle="stop" operator="greaterThanOrEqual" allowBlank="1" showDropDown="0" showInputMessage="1" showErrorMessage="1" errorTitle="" error="" promptTitle="" prompt="" sqref="K136:K136">
      <x:formula1>0</x:formula1>
      <x:formula2/>
    </x:dataValidation>
    <x:dataValidation type="decimal" errorStyle="stop" operator="between" allowBlank="1" showDropDown="0" showInputMessage="1" showErrorMessage="1" errorTitle="" error="" promptTitle="" prompt="" sqref="N136:N136">
      <x:formula1>0</x:formula1>
      <x:formula2>100</x:formula2>
    </x:dataValidation>
    <x:dataValidation type="decimal" errorStyle="stop" operator="between" allowBlank="1" showDropDown="0" showInputMessage="1" showErrorMessage="1" errorTitle="" error="" promptTitle="" prompt="" sqref="O136:O136">
      <x:formula1>0</x:formula1>
      <x:formula2>100</x:formula2>
    </x:dataValidation>
    <x:dataValidation type="list" errorStyle="stop" operator="between" allowBlank="1" showDropDown="0" showInputMessage="1" showErrorMessage="1" errorTitle="" error="" promptTitle="" prompt="" sqref="H137:H137">
      <x:formula1>'MasterData'!$B$1:$B$14</x:formula1>
      <x:formula2/>
    </x:dataValidation>
    <x:dataValidation type="list" errorStyle="stop" operator="between" allowBlank="1" showDropDown="0" showInputMessage="1" showErrorMessage="1" errorTitle="" error="" promptTitle="" prompt="" sqref="I137:I137">
      <x:formula1>'MasterData'!$E$1161:$E$1170</x:formula1>
      <x:formula2/>
    </x:dataValidation>
    <x:dataValidation type="decimal" errorStyle="stop" operator="greaterThanOrEqual" allowBlank="1" showDropDown="0" showInputMessage="1" showErrorMessage="1" errorTitle="" error="" promptTitle="" prompt="" sqref="K137:K137">
      <x:formula1>0</x:formula1>
      <x:formula2/>
    </x:dataValidation>
    <x:dataValidation type="decimal" errorStyle="stop" operator="between" allowBlank="1" showDropDown="0" showInputMessage="1" showErrorMessage="1" errorTitle="" error="" promptTitle="" prompt="" sqref="N137:N137">
      <x:formula1>0</x:formula1>
      <x:formula2>100</x:formula2>
    </x:dataValidation>
    <x:dataValidation type="decimal" errorStyle="stop" operator="between" allowBlank="1" showDropDown="0" showInputMessage="1" showErrorMessage="1" errorTitle="" error="" promptTitle="" prompt="" sqref="O137:O137">
      <x:formula1>0</x:formula1>
      <x:formula2>100</x:formula2>
    </x:dataValidation>
    <x:dataValidation type="list" errorStyle="stop" operator="between" allowBlank="1" showDropDown="0" showInputMessage="1" showErrorMessage="1" errorTitle="" error="" promptTitle="" prompt="" sqref="H138:H138">
      <x:formula1>'MasterData'!$B$1:$B$14</x:formula1>
      <x:formula2/>
    </x:dataValidation>
    <x:dataValidation type="list" errorStyle="stop" operator="between" allowBlank="1" showDropDown="0" showInputMessage="1" showErrorMessage="1" errorTitle="" error="" promptTitle="" prompt="" sqref="I138:I138">
      <x:formula1>'MasterData'!$E$1171:$E$1180</x:formula1>
      <x:formula2/>
    </x:dataValidation>
    <x:dataValidation type="decimal" errorStyle="stop" operator="greaterThanOrEqual" allowBlank="1" showDropDown="0" showInputMessage="1" showErrorMessage="1" errorTitle="" error="" promptTitle="" prompt="" sqref="K138:K138">
      <x:formula1>0</x:formula1>
      <x:formula2/>
    </x:dataValidation>
    <x:dataValidation type="decimal" errorStyle="stop" operator="between" allowBlank="1" showDropDown="0" showInputMessage="1" showErrorMessage="1" errorTitle="" error="" promptTitle="" prompt="" sqref="N138:N138">
      <x:formula1>0</x:formula1>
      <x:formula2>100</x:formula2>
    </x:dataValidation>
    <x:dataValidation type="decimal" errorStyle="stop" operator="between" allowBlank="1" showDropDown="0" showInputMessage="1" showErrorMessage="1" errorTitle="" error="" promptTitle="" prompt="" sqref="O138:O138">
      <x:formula1>0</x:formula1>
      <x:formula2>100</x:formula2>
    </x:dataValidation>
    <x:dataValidation type="list" errorStyle="stop" operator="between" allowBlank="1" showDropDown="0" showInputMessage="1" showErrorMessage="1" errorTitle="" error="" promptTitle="" prompt="" sqref="H139:H139">
      <x:formula1>'MasterData'!$B$1:$B$14</x:formula1>
      <x:formula2/>
    </x:dataValidation>
    <x:dataValidation type="list" errorStyle="stop" operator="between" allowBlank="1" showDropDown="0" showInputMessage="1" showErrorMessage="1" errorTitle="" error="" promptTitle="" prompt="" sqref="I139:I139">
      <x:formula1>'MasterData'!$E$1181:$E$1190</x:formula1>
      <x:formula2/>
    </x:dataValidation>
    <x:dataValidation type="decimal" errorStyle="stop" operator="greaterThanOrEqual" allowBlank="1" showDropDown="0" showInputMessage="1" showErrorMessage="1" errorTitle="" error="" promptTitle="" prompt="" sqref="K139:K139">
      <x:formula1>0</x:formula1>
      <x:formula2/>
    </x:dataValidation>
    <x:dataValidation type="decimal" errorStyle="stop" operator="between" allowBlank="1" showDropDown="0" showInputMessage="1" showErrorMessage="1" errorTitle="" error="" promptTitle="" prompt="" sqref="N139:N139">
      <x:formula1>0</x:formula1>
      <x:formula2>100</x:formula2>
    </x:dataValidation>
    <x:dataValidation type="decimal" errorStyle="stop" operator="between" allowBlank="1" showDropDown="0" showInputMessage="1" showErrorMessage="1" errorTitle="" error="" promptTitle="" prompt="" sqref="O139:O139">
      <x:formula1>0</x:formula1>
      <x:formula2>100</x:formula2>
    </x:dataValidation>
    <x:dataValidation type="list" errorStyle="stop" operator="between" allowBlank="1" showDropDown="0" showInputMessage="1" showErrorMessage="1" errorTitle="" error="" promptTitle="" prompt="" sqref="H140:H140">
      <x:formula1>'MasterData'!$B$1:$B$14</x:formula1>
      <x:formula2/>
    </x:dataValidation>
    <x:dataValidation type="list" errorStyle="stop" operator="between" allowBlank="1" showDropDown="0" showInputMessage="1" showErrorMessage="1" errorTitle="" error="" promptTitle="" prompt="" sqref="I140:I140">
      <x:formula1>'MasterData'!$E$1191:$E$1200</x:formula1>
      <x:formula2/>
    </x:dataValidation>
    <x:dataValidation type="decimal" errorStyle="stop" operator="greaterThanOrEqual" allowBlank="1" showDropDown="0" showInputMessage="1" showErrorMessage="1" errorTitle="" error="" promptTitle="" prompt="" sqref="K140:K140">
      <x:formula1>0</x:formula1>
      <x:formula2/>
    </x:dataValidation>
    <x:dataValidation type="decimal" errorStyle="stop" operator="between" allowBlank="1" showDropDown="0" showInputMessage="1" showErrorMessage="1" errorTitle="" error="" promptTitle="" prompt="" sqref="N140:N140">
      <x:formula1>0</x:formula1>
      <x:formula2>100</x:formula2>
    </x:dataValidation>
    <x:dataValidation type="decimal" errorStyle="stop" operator="between" allowBlank="1" showDropDown="0" showInputMessage="1" showErrorMessage="1" errorTitle="" error="" promptTitle="" prompt="" sqref="O140:O140">
      <x:formula1>0</x:formula1>
      <x:formula2>100</x:formula2>
    </x:dataValidation>
    <x:dataValidation type="list" errorStyle="stop" operator="between" allowBlank="1" showDropDown="0" showInputMessage="1" showErrorMessage="1" errorTitle="" error="" promptTitle="" prompt="" sqref="H141:H141">
      <x:formula1>'MasterData'!$B$1:$B$14</x:formula1>
      <x:formula2/>
    </x:dataValidation>
    <x:dataValidation type="list" errorStyle="stop" operator="between" allowBlank="1" showDropDown="0" showInputMessage="1" showErrorMessage="1" errorTitle="" error="" promptTitle="" prompt="" sqref="I141:I141">
      <x:formula1>'MasterData'!$E$1201:$E$1210</x:formula1>
      <x:formula2/>
    </x:dataValidation>
    <x:dataValidation type="decimal" errorStyle="stop" operator="greaterThanOrEqual" allowBlank="1" showDropDown="0" showInputMessage="1" showErrorMessage="1" errorTitle="" error="" promptTitle="" prompt="" sqref="K141:K141">
      <x:formula1>0</x:formula1>
      <x:formula2/>
    </x:dataValidation>
    <x:dataValidation type="decimal" errorStyle="stop" operator="between" allowBlank="1" showDropDown="0" showInputMessage="1" showErrorMessage="1" errorTitle="" error="" promptTitle="" prompt="" sqref="N141:N141">
      <x:formula1>0</x:formula1>
      <x:formula2>100</x:formula2>
    </x:dataValidation>
    <x:dataValidation type="decimal" errorStyle="stop" operator="between" allowBlank="1" showDropDown="0" showInputMessage="1" showErrorMessage="1" errorTitle="" error="" promptTitle="" prompt="" sqref="O141:O141">
      <x:formula1>0</x:formula1>
      <x:formula2>100</x:formula2>
    </x:dataValidation>
    <x:dataValidation type="list" errorStyle="stop" operator="between" allowBlank="1" showDropDown="0" showInputMessage="1" showErrorMessage="1" errorTitle="" error="" promptTitle="" prompt="" sqref="H142:H142">
      <x:formula1>'MasterData'!$B$1:$B$14</x:formula1>
      <x:formula2/>
    </x:dataValidation>
    <x:dataValidation type="list" errorStyle="stop" operator="between" allowBlank="1" showDropDown="0" showInputMessage="1" showErrorMessage="1" errorTitle="" error="" promptTitle="" prompt="" sqref="I142:I142">
      <x:formula1>'MasterData'!$E$1211:$E$1220</x:formula1>
      <x:formula2/>
    </x:dataValidation>
    <x:dataValidation type="decimal" errorStyle="stop" operator="greaterThanOrEqual" allowBlank="1" showDropDown="0" showInputMessage="1" showErrorMessage="1" errorTitle="" error="" promptTitle="" prompt="" sqref="K142:K142">
      <x:formula1>0</x:formula1>
      <x:formula2/>
    </x:dataValidation>
    <x:dataValidation type="decimal" errorStyle="stop" operator="between" allowBlank="1" showDropDown="0" showInputMessage="1" showErrorMessage="1" errorTitle="" error="" promptTitle="" prompt="" sqref="N142:N142">
      <x:formula1>0</x:formula1>
      <x:formula2>100</x:formula2>
    </x:dataValidation>
    <x:dataValidation type="decimal" errorStyle="stop" operator="between" allowBlank="1" showDropDown="0" showInputMessage="1" showErrorMessage="1" errorTitle="" error="" promptTitle="" prompt="" sqref="O142:O142">
      <x:formula1>0</x:formula1>
      <x:formula2>100</x:formula2>
    </x:dataValidation>
    <x:dataValidation type="list" errorStyle="stop" operator="between" allowBlank="1" showDropDown="0" showInputMessage="1" showErrorMessage="1" errorTitle="" error="" promptTitle="" prompt="" sqref="H143:H143">
      <x:formula1>'MasterData'!$B$1:$B$14</x:formula1>
      <x:formula2/>
    </x:dataValidation>
    <x:dataValidation type="list" errorStyle="stop" operator="between" allowBlank="1" showDropDown="0" showInputMessage="1" showErrorMessage="1" errorTitle="" error="" promptTitle="" prompt="" sqref="I143:I143">
      <x:formula1>'MasterData'!$E$1221:$E$1230</x:formula1>
      <x:formula2/>
    </x:dataValidation>
    <x:dataValidation type="decimal" errorStyle="stop" operator="greaterThanOrEqual" allowBlank="1" showDropDown="0" showInputMessage="1" showErrorMessage="1" errorTitle="" error="" promptTitle="" prompt="" sqref="K143:K143">
      <x:formula1>0</x:formula1>
      <x:formula2/>
    </x:dataValidation>
    <x:dataValidation type="decimal" errorStyle="stop" operator="between" allowBlank="1" showDropDown="0" showInputMessage="1" showErrorMessage="1" errorTitle="" error="" promptTitle="" prompt="" sqref="N143:N143">
      <x:formula1>0</x:formula1>
      <x:formula2>100</x:formula2>
    </x:dataValidation>
    <x:dataValidation type="decimal" errorStyle="stop" operator="between" allowBlank="1" showDropDown="0" showInputMessage="1" showErrorMessage="1" errorTitle="" error="" promptTitle="" prompt="" sqref="O143:O143">
      <x:formula1>0</x:formula1>
      <x:formula2>100</x:formula2>
    </x:dataValidation>
    <x:dataValidation type="list" errorStyle="stop" operator="between" allowBlank="1" showDropDown="0" showInputMessage="1" showErrorMessage="1" errorTitle="" error="" promptTitle="" prompt="" sqref="H144:H144">
      <x:formula1>'MasterData'!$B$1:$B$14</x:formula1>
      <x:formula2/>
    </x:dataValidation>
    <x:dataValidation type="list" errorStyle="stop" operator="between" allowBlank="1" showDropDown="0" showInputMessage="1" showErrorMessage="1" errorTitle="" error="" promptTitle="" prompt="" sqref="I144:I144">
      <x:formula1>'MasterData'!$E$1231:$E$1240</x:formula1>
      <x:formula2/>
    </x:dataValidation>
    <x:dataValidation type="decimal" errorStyle="stop" operator="greaterThanOrEqual" allowBlank="1" showDropDown="0" showInputMessage="1" showErrorMessage="1" errorTitle="" error="" promptTitle="" prompt="" sqref="K144:K144">
      <x:formula1>0</x:formula1>
      <x:formula2/>
    </x:dataValidation>
    <x:dataValidation type="decimal" errorStyle="stop" operator="between" allowBlank="1" showDropDown="0" showInputMessage="1" showErrorMessage="1" errorTitle="" error="" promptTitle="" prompt="" sqref="N144:N144">
      <x:formula1>0</x:formula1>
      <x:formula2>100</x:formula2>
    </x:dataValidation>
    <x:dataValidation type="decimal" errorStyle="stop" operator="between" allowBlank="1" showDropDown="0" showInputMessage="1" showErrorMessage="1" errorTitle="" error="" promptTitle="" prompt="" sqref="O144:O144">
      <x:formula1>0</x:formula1>
      <x:formula2>100</x:formula2>
    </x:dataValidation>
    <x:dataValidation type="list" errorStyle="stop" operator="between" allowBlank="1" showDropDown="0" showInputMessage="1" showErrorMessage="1" errorTitle="" error="" promptTitle="" prompt="" sqref="H145:H145">
      <x:formula1>'MasterData'!$B$1:$B$14</x:formula1>
      <x:formula2/>
    </x:dataValidation>
    <x:dataValidation type="list" errorStyle="stop" operator="between" allowBlank="1" showDropDown="0" showInputMessage="1" showErrorMessage="1" errorTitle="" error="" promptTitle="" prompt="" sqref="I145:I145">
      <x:formula1>'MasterData'!$E$1241:$E$1250</x:formula1>
      <x:formula2/>
    </x:dataValidation>
    <x:dataValidation type="decimal" errorStyle="stop" operator="greaterThanOrEqual" allowBlank="1" showDropDown="0" showInputMessage="1" showErrorMessage="1" errorTitle="" error="" promptTitle="" prompt="" sqref="K145:K145">
      <x:formula1>0</x:formula1>
      <x:formula2/>
    </x:dataValidation>
    <x:dataValidation type="decimal" errorStyle="stop" operator="between" allowBlank="1" showDropDown="0" showInputMessage="1" showErrorMessage="1" errorTitle="" error="" promptTitle="" prompt="" sqref="N145:N145">
      <x:formula1>0</x:formula1>
      <x:formula2>100</x:formula2>
    </x:dataValidation>
    <x:dataValidation type="decimal" errorStyle="stop" operator="between" allowBlank="1" showDropDown="0" showInputMessage="1" showErrorMessage="1" errorTitle="" error="" promptTitle="" prompt="" sqref="O145:O145">
      <x:formula1>0</x:formula1>
      <x:formula2>100</x:formula2>
    </x:dataValidation>
    <x:dataValidation type="list" errorStyle="stop" operator="between" allowBlank="1" showDropDown="0" showInputMessage="1" showErrorMessage="1" errorTitle="" error="" promptTitle="" prompt="" sqref="H146:H146">
      <x:formula1>'MasterData'!$B$1:$B$14</x:formula1>
      <x:formula2/>
    </x:dataValidation>
    <x:dataValidation type="list" errorStyle="stop" operator="between" allowBlank="1" showDropDown="0" showInputMessage="1" showErrorMessage="1" errorTitle="" error="" promptTitle="" prompt="" sqref="I146:I146">
      <x:formula1>'MasterData'!$E$1251:$E$1260</x:formula1>
      <x:formula2/>
    </x:dataValidation>
    <x:dataValidation type="decimal" errorStyle="stop" operator="greaterThanOrEqual" allowBlank="1" showDropDown="0" showInputMessage="1" showErrorMessage="1" errorTitle="" error="" promptTitle="" prompt="" sqref="K146:K146">
      <x:formula1>0</x:formula1>
      <x:formula2/>
    </x:dataValidation>
    <x:dataValidation type="decimal" errorStyle="stop" operator="between" allowBlank="1" showDropDown="0" showInputMessage="1" showErrorMessage="1" errorTitle="" error="" promptTitle="" prompt="" sqref="N146:N146">
      <x:formula1>0</x:formula1>
      <x:formula2>100</x:formula2>
    </x:dataValidation>
    <x:dataValidation type="decimal" errorStyle="stop" operator="between" allowBlank="1" showDropDown="0" showInputMessage="1" showErrorMessage="1" errorTitle="" error="" promptTitle="" prompt="" sqref="O146:O146">
      <x:formula1>0</x:formula1>
      <x:formula2>100</x:formula2>
    </x:dataValidation>
    <x:dataValidation type="list" errorStyle="stop" operator="between" allowBlank="1" showDropDown="0" showInputMessage="1" showErrorMessage="1" errorTitle="" error="" promptTitle="" prompt="" sqref="H147:H147">
      <x:formula1>'MasterData'!$B$1:$B$14</x:formula1>
      <x:formula2/>
    </x:dataValidation>
    <x:dataValidation type="list" errorStyle="stop" operator="between" allowBlank="1" showDropDown="0" showInputMessage="1" showErrorMessage="1" errorTitle="" error="" promptTitle="" prompt="" sqref="I147:I147">
      <x:formula1>'MasterData'!$E$1261:$E$1270</x:formula1>
      <x:formula2/>
    </x:dataValidation>
    <x:dataValidation type="decimal" errorStyle="stop" operator="greaterThanOrEqual" allowBlank="1" showDropDown="0" showInputMessage="1" showErrorMessage="1" errorTitle="" error="" promptTitle="" prompt="" sqref="K147:K147">
      <x:formula1>0</x:formula1>
      <x:formula2/>
    </x:dataValidation>
    <x:dataValidation type="decimal" errorStyle="stop" operator="between" allowBlank="1" showDropDown="0" showInputMessage="1" showErrorMessage="1" errorTitle="" error="" promptTitle="" prompt="" sqref="N147:N147">
      <x:formula1>0</x:formula1>
      <x:formula2>100</x:formula2>
    </x:dataValidation>
    <x:dataValidation type="decimal" errorStyle="stop" operator="between" allowBlank="1" showDropDown="0" showInputMessage="1" showErrorMessage="1" errorTitle="" error="" promptTitle="" prompt="" sqref="O147:O147">
      <x:formula1>0</x:formula1>
      <x:formula2>100</x:formula2>
    </x:dataValidation>
    <x:dataValidation type="list" errorStyle="stop" operator="between" allowBlank="1" showDropDown="0" showInputMessage="1" showErrorMessage="1" errorTitle="" error="" promptTitle="" prompt="" sqref="H148:H148">
      <x:formula1>'MasterData'!$B$1:$B$14</x:formula1>
      <x:formula2/>
    </x:dataValidation>
    <x:dataValidation type="list" errorStyle="stop" operator="between" allowBlank="1" showDropDown="0" showInputMessage="1" showErrorMessage="1" errorTitle="" error="" promptTitle="" prompt="" sqref="I148:I148">
      <x:formula1>'MasterData'!$E$1271:$E$1280</x:formula1>
      <x:formula2/>
    </x:dataValidation>
    <x:dataValidation type="decimal" errorStyle="stop" operator="greaterThanOrEqual" allowBlank="1" showDropDown="0" showInputMessage="1" showErrorMessage="1" errorTitle="" error="" promptTitle="" prompt="" sqref="K148:K148">
      <x:formula1>0</x:formula1>
      <x:formula2/>
    </x:dataValidation>
    <x:dataValidation type="decimal" errorStyle="stop" operator="between" allowBlank="1" showDropDown="0" showInputMessage="1" showErrorMessage="1" errorTitle="" error="" promptTitle="" prompt="" sqref="N148:N148">
      <x:formula1>0</x:formula1>
      <x:formula2>100</x:formula2>
    </x:dataValidation>
    <x:dataValidation type="decimal" errorStyle="stop" operator="between" allowBlank="1" showDropDown="0" showInputMessage="1" showErrorMessage="1" errorTitle="" error="" promptTitle="" prompt="" sqref="O148:O148">
      <x:formula1>0</x:formula1>
      <x:formula2>100</x:formula2>
    </x:dataValidation>
    <x:dataValidation type="list" errorStyle="stop" operator="between" allowBlank="1" showDropDown="0" showInputMessage="1" showErrorMessage="1" errorTitle="" error="" promptTitle="" prompt="" sqref="H149:H149">
      <x:formula1>'MasterData'!$B$1:$B$14</x:formula1>
      <x:formula2/>
    </x:dataValidation>
    <x:dataValidation type="list" errorStyle="stop" operator="between" allowBlank="1" showDropDown="0" showInputMessage="1" showErrorMessage="1" errorTitle="" error="" promptTitle="" prompt="" sqref="I149:I149">
      <x:formula1>'MasterData'!$E$1281:$E$1290</x:formula1>
      <x:formula2/>
    </x:dataValidation>
    <x:dataValidation type="decimal" errorStyle="stop" operator="greaterThanOrEqual" allowBlank="1" showDropDown="0" showInputMessage="1" showErrorMessage="1" errorTitle="" error="" promptTitle="" prompt="" sqref="K149:K149">
      <x:formula1>0</x:formula1>
      <x:formula2/>
    </x:dataValidation>
    <x:dataValidation type="decimal" errorStyle="stop" operator="between" allowBlank="1" showDropDown="0" showInputMessage="1" showErrorMessage="1" errorTitle="" error="" promptTitle="" prompt="" sqref="N149:N149">
      <x:formula1>0</x:formula1>
      <x:formula2>100</x:formula2>
    </x:dataValidation>
    <x:dataValidation type="decimal" errorStyle="stop" operator="between" allowBlank="1" showDropDown="0" showInputMessage="1" showErrorMessage="1" errorTitle="" error="" promptTitle="" prompt="" sqref="O149:O149">
      <x:formula1>0</x:formula1>
      <x:formula2>100</x:formula2>
    </x:dataValidation>
    <x:dataValidation type="list" errorStyle="stop" operator="between" allowBlank="1" showDropDown="0" showInputMessage="1" showErrorMessage="1" errorTitle="" error="" promptTitle="" prompt="" sqref="H150:H150">
      <x:formula1>'MasterData'!$B$1:$B$14</x:formula1>
      <x:formula2/>
    </x:dataValidation>
    <x:dataValidation type="list" errorStyle="stop" operator="between" allowBlank="1" showDropDown="0" showInputMessage="1" showErrorMessage="1" errorTitle="" error="" promptTitle="" prompt="" sqref="I150:I150">
      <x:formula1>'MasterData'!$E$1291:$E$1300</x:formula1>
      <x:formula2/>
    </x:dataValidation>
    <x:dataValidation type="decimal" errorStyle="stop" operator="greaterThanOrEqual" allowBlank="1" showDropDown="0" showInputMessage="1" showErrorMessage="1" errorTitle="" error="" promptTitle="" prompt="" sqref="K150:K150">
      <x:formula1>0</x:formula1>
      <x:formula2/>
    </x:dataValidation>
    <x:dataValidation type="decimal" errorStyle="stop" operator="between" allowBlank="1" showDropDown="0" showInputMessage="1" showErrorMessage="1" errorTitle="" error="" promptTitle="" prompt="" sqref="N150:N150">
      <x:formula1>0</x:formula1>
      <x:formula2>100</x:formula2>
    </x:dataValidation>
    <x:dataValidation type="decimal" errorStyle="stop" operator="between" allowBlank="1" showDropDown="0" showInputMessage="1" showErrorMessage="1" errorTitle="" error="" promptTitle="" prompt="" sqref="O150:O150">
      <x:formula1>0</x:formula1>
      <x:formula2>100</x:formula2>
    </x:dataValidation>
    <x:dataValidation type="list" errorStyle="stop" operator="between" allowBlank="1" showDropDown="0" showInputMessage="1" showErrorMessage="1" errorTitle="" error="" promptTitle="" prompt="" sqref="H151:H151">
      <x:formula1>'MasterData'!$B$1:$B$14</x:formula1>
      <x:formula2/>
    </x:dataValidation>
    <x:dataValidation type="list" errorStyle="stop" operator="between" allowBlank="1" showDropDown="0" showInputMessage="1" showErrorMessage="1" errorTitle="" error="" promptTitle="" prompt="" sqref="I151:I151">
      <x:formula1>'MasterData'!$E$1301:$E$1310</x:formula1>
      <x:formula2/>
    </x:dataValidation>
    <x:dataValidation type="decimal" errorStyle="stop" operator="greaterThanOrEqual" allowBlank="1" showDropDown="0" showInputMessage="1" showErrorMessage="1" errorTitle="" error="" promptTitle="" prompt="" sqref="K151:K151">
      <x:formula1>0</x:formula1>
      <x:formula2/>
    </x:dataValidation>
    <x:dataValidation type="decimal" errorStyle="stop" operator="between" allowBlank="1" showDropDown="0" showInputMessage="1" showErrorMessage="1" errorTitle="" error="" promptTitle="" prompt="" sqref="N151:N151">
      <x:formula1>0</x:formula1>
      <x:formula2>100</x:formula2>
    </x:dataValidation>
    <x:dataValidation type="decimal" errorStyle="stop" operator="between" allowBlank="1" showDropDown="0" showInputMessage="1" showErrorMessage="1" errorTitle="" error="" promptTitle="" prompt="" sqref="O151:O151">
      <x:formula1>0</x:formula1>
      <x:formula2>100</x:formula2>
    </x:dataValidation>
    <x:dataValidation type="list" errorStyle="stop" operator="between" allowBlank="1" showDropDown="0" showInputMessage="1" showErrorMessage="1" errorTitle="" error="" promptTitle="" prompt="" sqref="H152:H152">
      <x:formula1>'MasterData'!$B$1:$B$14</x:formula1>
      <x:formula2/>
    </x:dataValidation>
    <x:dataValidation type="list" errorStyle="stop" operator="between" allowBlank="1" showDropDown="0" showInputMessage="1" showErrorMessage="1" errorTitle="" error="" promptTitle="" prompt="" sqref="I152:I152">
      <x:formula1>'MasterData'!$E$1311:$E$1320</x:formula1>
      <x:formula2/>
    </x:dataValidation>
    <x:dataValidation type="decimal" errorStyle="stop" operator="greaterThanOrEqual" allowBlank="1" showDropDown="0" showInputMessage="1" showErrorMessage="1" errorTitle="" error="" promptTitle="" prompt="" sqref="K152:K152">
      <x:formula1>0</x:formula1>
      <x:formula2/>
    </x:dataValidation>
    <x:dataValidation type="decimal" errorStyle="stop" operator="between" allowBlank="1" showDropDown="0" showInputMessage="1" showErrorMessage="1" errorTitle="" error="" promptTitle="" prompt="" sqref="N152:N152">
      <x:formula1>0</x:formula1>
      <x:formula2>100</x:formula2>
    </x:dataValidation>
    <x:dataValidation type="decimal" errorStyle="stop" operator="between" allowBlank="1" showDropDown="0" showInputMessage="1" showErrorMessage="1" errorTitle="" error="" promptTitle="" prompt="" sqref="O152:O152">
      <x:formula1>0</x:formula1>
      <x:formula2>100</x:formula2>
    </x:dataValidation>
    <x:dataValidation type="list" errorStyle="stop" operator="between" allowBlank="1" showDropDown="0" showInputMessage="1" showErrorMessage="1" errorTitle="" error="" promptTitle="" prompt="" sqref="H153:H153">
      <x:formula1>'MasterData'!$B$1:$B$14</x:formula1>
      <x:formula2/>
    </x:dataValidation>
    <x:dataValidation type="list" errorStyle="stop" operator="between" allowBlank="1" showDropDown="0" showInputMessage="1" showErrorMessage="1" errorTitle="" error="" promptTitle="" prompt="" sqref="I153:I153">
      <x:formula1>'MasterData'!$E$1321:$E$1330</x:formula1>
      <x:formula2/>
    </x:dataValidation>
    <x:dataValidation type="decimal" errorStyle="stop" operator="greaterThanOrEqual" allowBlank="1" showDropDown="0" showInputMessage="1" showErrorMessage="1" errorTitle="" error="" promptTitle="" prompt="" sqref="K153:K153">
      <x:formula1>0</x:formula1>
      <x:formula2/>
    </x:dataValidation>
    <x:dataValidation type="decimal" errorStyle="stop" operator="between" allowBlank="1" showDropDown="0" showInputMessage="1" showErrorMessage="1" errorTitle="" error="" promptTitle="" prompt="" sqref="N153:N153">
      <x:formula1>0</x:formula1>
      <x:formula2>100</x:formula2>
    </x:dataValidation>
    <x:dataValidation type="decimal" errorStyle="stop" operator="between" allowBlank="1" showDropDown="0" showInputMessage="1" showErrorMessage="1" errorTitle="" error="" promptTitle="" prompt="" sqref="O153:O153">
      <x:formula1>0</x:formula1>
      <x:formula2>100</x:formula2>
    </x:dataValidation>
    <x:dataValidation type="list" errorStyle="stop" operator="between" allowBlank="1" showDropDown="0" showInputMessage="1" showErrorMessage="1" errorTitle="" error="" promptTitle="" prompt="" sqref="H154:H154">
      <x:formula1>'MasterData'!$B$1:$B$14</x:formula1>
      <x:formula2/>
    </x:dataValidation>
    <x:dataValidation type="list" errorStyle="stop" operator="between" allowBlank="1" showDropDown="0" showInputMessage="1" showErrorMessage="1" errorTitle="" error="" promptTitle="" prompt="" sqref="I154:I154">
      <x:formula1>'MasterData'!$E$1331:$E$1340</x:formula1>
      <x:formula2/>
    </x:dataValidation>
    <x:dataValidation type="decimal" errorStyle="stop" operator="greaterThanOrEqual" allowBlank="1" showDropDown="0" showInputMessage="1" showErrorMessage="1" errorTitle="" error="" promptTitle="" prompt="" sqref="K154:K154">
      <x:formula1>0</x:formula1>
      <x:formula2/>
    </x:dataValidation>
    <x:dataValidation type="decimal" errorStyle="stop" operator="between" allowBlank="1" showDropDown="0" showInputMessage="1" showErrorMessage="1" errorTitle="" error="" promptTitle="" prompt="" sqref="N154:N154">
      <x:formula1>0</x:formula1>
      <x:formula2>100</x:formula2>
    </x:dataValidation>
    <x:dataValidation type="decimal" errorStyle="stop" operator="between" allowBlank="1" showDropDown="0" showInputMessage="1" showErrorMessage="1" errorTitle="" error="" promptTitle="" prompt="" sqref="O154:O154">
      <x:formula1>0</x:formula1>
      <x:formula2>100</x:formula2>
    </x:dataValidation>
    <x:dataValidation type="list" errorStyle="stop" operator="between" allowBlank="1" showDropDown="0" showInputMessage="1" showErrorMessage="1" errorTitle="" error="" promptTitle="" prompt="" sqref="H155:H155">
      <x:formula1>'MasterData'!$B$1:$B$14</x:formula1>
      <x:formula2/>
    </x:dataValidation>
    <x:dataValidation type="list" errorStyle="stop" operator="between" allowBlank="1" showDropDown="0" showInputMessage="1" showErrorMessage="1" errorTitle="" error="" promptTitle="" prompt="" sqref="I155:I155">
      <x:formula1>'MasterData'!$E$1341:$E$1350</x:formula1>
      <x:formula2/>
    </x:dataValidation>
    <x:dataValidation type="decimal" errorStyle="stop" operator="greaterThanOrEqual" allowBlank="1" showDropDown="0" showInputMessage="1" showErrorMessage="1" errorTitle="" error="" promptTitle="" prompt="" sqref="K155:K155">
      <x:formula1>0</x:formula1>
      <x:formula2/>
    </x:dataValidation>
    <x:dataValidation type="decimal" errorStyle="stop" operator="between" allowBlank="1" showDropDown="0" showInputMessage="1" showErrorMessage="1" errorTitle="" error="" promptTitle="" prompt="" sqref="N155:N155">
      <x:formula1>0</x:formula1>
      <x:formula2>100</x:formula2>
    </x:dataValidation>
    <x:dataValidation type="decimal" errorStyle="stop" operator="between" allowBlank="1" showDropDown="0" showInputMessage="1" showErrorMessage="1" errorTitle="" error="" promptTitle="" prompt="" sqref="O155:O155">
      <x:formula1>0</x:formula1>
      <x:formula2>100</x:formula2>
    </x:dataValidation>
    <x:dataValidation type="list" errorStyle="stop" operator="between" allowBlank="1" showDropDown="0" showInputMessage="1" showErrorMessage="1" errorTitle="" error="" promptTitle="" prompt="" sqref="H156:H156">
      <x:formula1>'MasterData'!$B$1:$B$14</x:formula1>
      <x:formula2/>
    </x:dataValidation>
    <x:dataValidation type="list" errorStyle="stop" operator="between" allowBlank="1" showDropDown="0" showInputMessage="1" showErrorMessage="1" errorTitle="" error="" promptTitle="" prompt="" sqref="I156:I156">
      <x:formula1>'MasterData'!$E$1351:$E$1360</x:formula1>
      <x:formula2/>
    </x:dataValidation>
    <x:dataValidation type="decimal" errorStyle="stop" operator="greaterThanOrEqual" allowBlank="1" showDropDown="0" showInputMessage="1" showErrorMessage="1" errorTitle="" error="" promptTitle="" prompt="" sqref="K156:K156">
      <x:formula1>0</x:formula1>
      <x:formula2/>
    </x:dataValidation>
    <x:dataValidation type="decimal" errorStyle="stop" operator="between" allowBlank="1" showDropDown="0" showInputMessage="1" showErrorMessage="1" errorTitle="" error="" promptTitle="" prompt="" sqref="N156:N156">
      <x:formula1>0</x:formula1>
      <x:formula2>100</x:formula2>
    </x:dataValidation>
    <x:dataValidation type="decimal" errorStyle="stop" operator="between" allowBlank="1" showDropDown="0" showInputMessage="1" showErrorMessage="1" errorTitle="" error="" promptTitle="" prompt="" sqref="O156:O156">
      <x:formula1>0</x:formula1>
      <x:formula2>100</x:formula2>
    </x:dataValidation>
    <x:dataValidation type="list" errorStyle="stop" operator="between" allowBlank="1" showDropDown="0" showInputMessage="1" showErrorMessage="1" errorTitle="" error="" promptTitle="" prompt="" sqref="H157:H157">
      <x:formula1>'MasterData'!$B$1:$B$14</x:formula1>
      <x:formula2/>
    </x:dataValidation>
    <x:dataValidation type="list" errorStyle="stop" operator="between" allowBlank="1" showDropDown="0" showInputMessage="1" showErrorMessage="1" errorTitle="" error="" promptTitle="" prompt="" sqref="I157:I157">
      <x:formula1>'MasterData'!$E$1361:$E$1370</x:formula1>
      <x:formula2/>
    </x:dataValidation>
    <x:dataValidation type="decimal" errorStyle="stop" operator="greaterThanOrEqual" allowBlank="1" showDropDown="0" showInputMessage="1" showErrorMessage="1" errorTitle="" error="" promptTitle="" prompt="" sqref="K157:K157">
      <x:formula1>0</x:formula1>
      <x:formula2/>
    </x:dataValidation>
    <x:dataValidation type="decimal" errorStyle="stop" operator="between" allowBlank="1" showDropDown="0" showInputMessage="1" showErrorMessage="1" errorTitle="" error="" promptTitle="" prompt="" sqref="N157:N157">
      <x:formula1>0</x:formula1>
      <x:formula2>100</x:formula2>
    </x:dataValidation>
    <x:dataValidation type="decimal" errorStyle="stop" operator="between" allowBlank="1" showDropDown="0" showInputMessage="1" showErrorMessage="1" errorTitle="" error="" promptTitle="" prompt="" sqref="O157:O157">
      <x:formula1>0</x:formula1>
      <x:formula2>100</x:formula2>
    </x:dataValidation>
    <x:dataValidation type="list" errorStyle="stop" operator="between" allowBlank="1" showDropDown="0" showInputMessage="1" showErrorMessage="1" errorTitle="" error="" promptTitle="" prompt="" sqref="H158:H158">
      <x:formula1>'MasterData'!$B$1:$B$14</x:formula1>
      <x:formula2/>
    </x:dataValidation>
    <x:dataValidation type="list" errorStyle="stop" operator="between" allowBlank="1" showDropDown="0" showInputMessage="1" showErrorMessage="1" errorTitle="" error="" promptTitle="" prompt="" sqref="I158:I158">
      <x:formula1>'MasterData'!$E$1371:$E$1380</x:formula1>
      <x:formula2/>
    </x:dataValidation>
    <x:dataValidation type="decimal" errorStyle="stop" operator="greaterThanOrEqual" allowBlank="1" showDropDown="0" showInputMessage="1" showErrorMessage="1" errorTitle="" error="" promptTitle="" prompt="" sqref="K158:K158">
      <x:formula1>0</x:formula1>
      <x:formula2/>
    </x:dataValidation>
    <x:dataValidation type="decimal" errorStyle="stop" operator="between" allowBlank="1" showDropDown="0" showInputMessage="1" showErrorMessage="1" errorTitle="" error="" promptTitle="" prompt="" sqref="N158:N158">
      <x:formula1>0</x:formula1>
      <x:formula2>100</x:formula2>
    </x:dataValidation>
    <x:dataValidation type="decimal" errorStyle="stop" operator="between" allowBlank="1" showDropDown="0" showInputMessage="1" showErrorMessage="1" errorTitle="" error="" promptTitle="" prompt="" sqref="O158:O158">
      <x:formula1>0</x:formula1>
      <x:formula2>100</x:formula2>
    </x:dataValidation>
    <x:dataValidation type="list" errorStyle="stop" operator="between" allowBlank="1" showDropDown="0" showInputMessage="1" showErrorMessage="1" errorTitle="" error="" promptTitle="" prompt="" sqref="H159:H159">
      <x:formula1>'MasterData'!$B$1:$B$14</x:formula1>
      <x:formula2/>
    </x:dataValidation>
    <x:dataValidation type="list" errorStyle="stop" operator="between" allowBlank="1" showDropDown="0" showInputMessage="1" showErrorMessage="1" errorTitle="" error="" promptTitle="" prompt="" sqref="I159:I159">
      <x:formula1>'MasterData'!$E$1381:$E$1390</x:formula1>
      <x:formula2/>
    </x:dataValidation>
    <x:dataValidation type="decimal" errorStyle="stop" operator="greaterThanOrEqual" allowBlank="1" showDropDown="0" showInputMessage="1" showErrorMessage="1" errorTitle="" error="" promptTitle="" prompt="" sqref="K159:K159">
      <x:formula1>0</x:formula1>
      <x:formula2/>
    </x:dataValidation>
    <x:dataValidation type="decimal" errorStyle="stop" operator="between" allowBlank="1" showDropDown="0" showInputMessage="1" showErrorMessage="1" errorTitle="" error="" promptTitle="" prompt="" sqref="N159:N159">
      <x:formula1>0</x:formula1>
      <x:formula2>100</x:formula2>
    </x:dataValidation>
    <x:dataValidation type="decimal" errorStyle="stop" operator="between" allowBlank="1" showDropDown="0" showInputMessage="1" showErrorMessage="1" errorTitle="" error="" promptTitle="" prompt="" sqref="O159:O159">
      <x:formula1>0</x:formula1>
      <x:formula2>100</x:formula2>
    </x:dataValidation>
    <x:dataValidation type="list" errorStyle="stop" operator="between" allowBlank="1" showDropDown="0" showInputMessage="1" showErrorMessage="1" errorTitle="" error="" promptTitle="" prompt="" sqref="H160:H160">
      <x:formula1>'MasterData'!$B$1:$B$14</x:formula1>
      <x:formula2/>
    </x:dataValidation>
    <x:dataValidation type="list" errorStyle="stop" operator="between" allowBlank="1" showDropDown="0" showInputMessage="1" showErrorMessage="1" errorTitle="" error="" promptTitle="" prompt="" sqref="I160:I160">
      <x:formula1>'MasterData'!$E$1391:$E$1400</x:formula1>
      <x:formula2/>
    </x:dataValidation>
    <x:dataValidation type="decimal" errorStyle="stop" operator="greaterThanOrEqual" allowBlank="1" showDropDown="0" showInputMessage="1" showErrorMessage="1" errorTitle="" error="" promptTitle="" prompt="" sqref="K160:K160">
      <x:formula1>0</x:formula1>
      <x:formula2/>
    </x:dataValidation>
    <x:dataValidation type="decimal" errorStyle="stop" operator="between" allowBlank="1" showDropDown="0" showInputMessage="1" showErrorMessage="1" errorTitle="" error="" promptTitle="" prompt="" sqref="N160:N160">
      <x:formula1>0</x:formula1>
      <x:formula2>100</x:formula2>
    </x:dataValidation>
    <x:dataValidation type="decimal" errorStyle="stop" operator="between" allowBlank="1" showDropDown="0" showInputMessage="1" showErrorMessage="1" errorTitle="" error="" promptTitle="" prompt="" sqref="O160:O160">
      <x:formula1>0</x:formula1>
      <x:formula2>100</x:formula2>
    </x:dataValidation>
    <x:dataValidation type="list" errorStyle="stop" operator="between" allowBlank="1" showDropDown="0" showInputMessage="1" showErrorMessage="1" errorTitle="" error="" promptTitle="" prompt="" sqref="H161:H161">
      <x:formula1>'MasterData'!$B$1:$B$14</x:formula1>
      <x:formula2/>
    </x:dataValidation>
    <x:dataValidation type="list" errorStyle="stop" operator="between" allowBlank="1" showDropDown="0" showInputMessage="1" showErrorMessage="1" errorTitle="" error="" promptTitle="" prompt="" sqref="I161:I161">
      <x:formula1>'MasterData'!$E$1401:$E$1410</x:formula1>
      <x:formula2/>
    </x:dataValidation>
    <x:dataValidation type="decimal" errorStyle="stop" operator="greaterThanOrEqual" allowBlank="1" showDropDown="0" showInputMessage="1" showErrorMessage="1" errorTitle="" error="" promptTitle="" prompt="" sqref="K161:K161">
      <x:formula1>0</x:formula1>
      <x:formula2/>
    </x:dataValidation>
    <x:dataValidation type="decimal" errorStyle="stop" operator="between" allowBlank="1" showDropDown="0" showInputMessage="1" showErrorMessage="1" errorTitle="" error="" promptTitle="" prompt="" sqref="N161:N161">
      <x:formula1>0</x:formula1>
      <x:formula2>100</x:formula2>
    </x:dataValidation>
    <x:dataValidation type="decimal" errorStyle="stop" operator="between" allowBlank="1" showDropDown="0" showInputMessage="1" showErrorMessage="1" errorTitle="" error="" promptTitle="" prompt="" sqref="O161:O161">
      <x:formula1>0</x:formula1>
      <x:formula2>100</x:formula2>
    </x:dataValidation>
    <x:dataValidation type="list" errorStyle="stop" operator="between" allowBlank="1" showDropDown="0" showInputMessage="1" showErrorMessage="1" errorTitle="" error="" promptTitle="" prompt="" sqref="H162:H162">
      <x:formula1>'MasterData'!$B$1:$B$14</x:formula1>
      <x:formula2/>
    </x:dataValidation>
    <x:dataValidation type="list" errorStyle="stop" operator="between" allowBlank="1" showDropDown="0" showInputMessage="1" showErrorMessage="1" errorTitle="" error="" promptTitle="" prompt="" sqref="I162:I162">
      <x:formula1>'MasterData'!$E$1411:$E$1420</x:formula1>
      <x:formula2/>
    </x:dataValidation>
    <x:dataValidation type="decimal" errorStyle="stop" operator="greaterThanOrEqual" allowBlank="1" showDropDown="0" showInputMessage="1" showErrorMessage="1" errorTitle="" error="" promptTitle="" prompt="" sqref="K162:K162">
      <x:formula1>0</x:formula1>
      <x:formula2/>
    </x:dataValidation>
    <x:dataValidation type="decimal" errorStyle="stop" operator="between" allowBlank="1" showDropDown="0" showInputMessage="1" showErrorMessage="1" errorTitle="" error="" promptTitle="" prompt="" sqref="N162:N162">
      <x:formula1>0</x:formula1>
      <x:formula2>100</x:formula2>
    </x:dataValidation>
    <x:dataValidation type="decimal" errorStyle="stop" operator="between" allowBlank="1" showDropDown="0" showInputMessage="1" showErrorMessage="1" errorTitle="" error="" promptTitle="" prompt="" sqref="O162:O162">
      <x:formula1>0</x:formula1>
      <x:formula2>100</x:formula2>
    </x:dataValidation>
    <x:dataValidation type="list" errorStyle="stop" operator="between" allowBlank="1" showDropDown="0" showInputMessage="1" showErrorMessage="1" errorTitle="" error="" promptTitle="" prompt="" sqref="H163:H163">
      <x:formula1>'MasterData'!$B$1:$B$14</x:formula1>
      <x:formula2/>
    </x:dataValidation>
    <x:dataValidation type="list" errorStyle="stop" operator="between" allowBlank="1" showDropDown="0" showInputMessage="1" showErrorMessage="1" errorTitle="" error="" promptTitle="" prompt="" sqref="I163:I163">
      <x:formula1>'MasterData'!$E$1421:$E$1430</x:formula1>
      <x:formula2/>
    </x:dataValidation>
    <x:dataValidation type="decimal" errorStyle="stop" operator="greaterThanOrEqual" allowBlank="1" showDropDown="0" showInputMessage="1" showErrorMessage="1" errorTitle="" error="" promptTitle="" prompt="" sqref="K163:K163">
      <x:formula1>0</x:formula1>
      <x:formula2/>
    </x:dataValidation>
    <x:dataValidation type="decimal" errorStyle="stop" operator="between" allowBlank="1" showDropDown="0" showInputMessage="1" showErrorMessage="1" errorTitle="" error="" promptTitle="" prompt="" sqref="N163:N163">
      <x:formula1>0</x:formula1>
      <x:formula2>100</x:formula2>
    </x:dataValidation>
    <x:dataValidation type="decimal" errorStyle="stop" operator="between" allowBlank="1" showDropDown="0" showInputMessage="1" showErrorMessage="1" errorTitle="" error="" promptTitle="" prompt="" sqref="O163:O163">
      <x:formula1>0</x:formula1>
      <x:formula2>100</x:formula2>
    </x:dataValidation>
    <x:dataValidation type="list" errorStyle="stop" operator="between" allowBlank="1" showDropDown="0" showInputMessage="1" showErrorMessage="1" errorTitle="" error="" promptTitle="" prompt="" sqref="H164:H164">
      <x:formula1>'MasterData'!$B$1:$B$14</x:formula1>
      <x:formula2/>
    </x:dataValidation>
    <x:dataValidation type="list" errorStyle="stop" operator="between" allowBlank="1" showDropDown="0" showInputMessage="1" showErrorMessage="1" errorTitle="" error="" promptTitle="" prompt="" sqref="I164:I164">
      <x:formula1>'MasterData'!$E$1431:$E$1440</x:formula1>
      <x:formula2/>
    </x:dataValidation>
    <x:dataValidation type="decimal" errorStyle="stop" operator="greaterThanOrEqual" allowBlank="1" showDropDown="0" showInputMessage="1" showErrorMessage="1" errorTitle="" error="" promptTitle="" prompt="" sqref="K164:K164">
      <x:formula1>0</x:formula1>
      <x:formula2/>
    </x:dataValidation>
    <x:dataValidation type="decimal" errorStyle="stop" operator="between" allowBlank="1" showDropDown="0" showInputMessage="1" showErrorMessage="1" errorTitle="" error="" promptTitle="" prompt="" sqref="N164:N164">
      <x:formula1>0</x:formula1>
      <x:formula2>100</x:formula2>
    </x:dataValidation>
    <x:dataValidation type="decimal" errorStyle="stop" operator="between" allowBlank="1" showDropDown="0" showInputMessage="1" showErrorMessage="1" errorTitle="" error="" promptTitle="" prompt="" sqref="O164:O164">
      <x:formula1>0</x:formula1>
      <x:formula2>100</x:formula2>
    </x:dataValidation>
    <x:dataValidation type="none" errorStyle="stop" operator="between" allowBlank="1" showDropDown="0" showInputMessage="1" showErrorMessage="1" errorTitle="" error="" promptTitle="" prompt="" sqref="P168:P168">
      <x:formula1/>
      <x:formula2/>
    </x:dataValidation>
    <x:dataValidation type="decimal" errorStyle="stop" operator="greaterThanOrEqual" allowBlank="1" showDropDown="0" showInputMessage="1" showErrorMessage="1" errorTitle="" error="" promptTitle="" prompt="" sqref="P169:P169">
      <x:formula1>0</x:formula1>
      <x:formula2/>
    </x:dataValidation>
    <x:dataValidation type="decimal" errorStyle="stop" operator="greaterThanOrEqual" allowBlank="1" showDropDown="0" showInputMessage="1" showErrorMessage="1" errorTitle="" error="" promptTitle="" prompt="" sqref="P170:P170">
      <x:formula1>0</x:formula1>
      <x:formula2/>
    </x:dataValidation>
    <x:dataValidation type="decimal" errorStyle="stop" operator="greaterThanOrEqual" allowBlank="1" showDropDown="0" showInputMessage="1" showErrorMessage="1" errorTitle="" error="" promptTitle="" prompt="" sqref="P171:P171">
      <x:formula1>0</x:formula1>
      <x:formula2/>
    </x:dataValidation>
    <x:dataValidation type="decimal" errorStyle="stop" operator="greaterThanOrEqual" allowBlank="1" showDropDown="0" showInputMessage="1" showErrorMessage="1" errorTitle="" error="" promptTitle="" prompt="" sqref="P172:P172">
      <x:formula1>0</x:formula1>
      <x:formula2/>
    </x:dataValidation>
    <x:dataValidation type="list" errorStyle="stop" operator="between" allowBlank="1" showDropDown="0" showInputMessage="1" showErrorMessage="1" errorTitle="" error="" promptTitle="" prompt="" sqref="C169:K169">
      <x:formula1>'MasterData'!$H$1:$H$20</x:formula1>
      <x:formula2/>
    </x:dataValidation>
    <x:dataValidation type="list" errorStyle="stop" operator="between" allowBlank="1" showDropDown="0" showInputMessage="1" showErrorMessage="1" errorTitle="" error="" promptTitle="" prompt="" sqref="C170:K170">
      <x:formula1>'MasterData'!$H$1:$H$20</x:formula1>
      <x:formula2/>
    </x:dataValidation>
    <x:dataValidation type="list" errorStyle="stop" operator="between" allowBlank="1" showDropDown="0" showInputMessage="1" showErrorMessage="1" errorTitle="" error="" promptTitle="" prompt="" sqref="C171:K171">
      <x:formula1>'MasterData'!$H$1:$H$20</x:formula1>
      <x:formula2/>
    </x:dataValidation>
    <x:dataValidation type="list" errorStyle="stop" operator="between" allowBlank="1" showDropDown="0" showInputMessage="1" showErrorMessage="1" errorTitle="" error="" promptTitle="" prompt="" sqref="C172:K172">
      <x:formula1>'MasterData'!$H$1:$H$20</x:formula1>
      <x:formula2/>
    </x:dataValidation>
  </x:dataValidations>
  <x:hyperlinks>
    <x:hyperlink ref="C10" r:id="rId8"/>
  </x:hyperlinks>
  <x:printOptions horizontalCentered="0" verticalCentered="0" headings="0" gridLines="0"/>
  <x:pageMargins left="0.7" right="0.7" top="0.75" bottom="0.75" header="0.3" footer="0.3"/>
  <x:pageSetup paperSize="1" scale="49" pageOrder="downThenOver" orientation="portrait" blackAndWhite="0" draft="0" cellComments="none" errors="displayed" r:id="rId2"/>
  <x:headerFooter/>
  <x:drawing r:id="rId3"/>
  <x:tableParts count="0"/>
  <x:extLst>
    <x:ext xmlns:x14="http://schemas.microsoft.com/office/spreadsheetml/2009/9/main" uri="{CCE6A557-97BC-4b89-ADB6-D9C93CAAB3DF}">
      <x14:dataValidations xmlns:xm="http://schemas.microsoft.com/office/excel/2006/main" disablePrompts="1" count="1">
        <x14:dataValidation type="list" allowBlank="1" showInputMessage="1" showErrorMessage="1">
          <x14:formula1>
            <xm:f>MasterData!$O$1:$O$70</xm:f>
          </x14:formula1>
          <xm:sqref>O14</xm:sqref>
        </x14:dataValidation>
      </x14:dataValidations>
    </x:ext>
  </x:extLst>
</x:worksheet>
</file>

<file path=xl/worksheets/sheet2.xml><?xml version="1.0" encoding="utf-8"?>
<x:worksheet xmlns:r="http://schemas.openxmlformats.org/officeDocument/2006/relationships" xmlns:mc="http://schemas.openxmlformats.org/markup-compatibility/2006" xmlns:x14ac="http://schemas.microsoft.com/office/spreadsheetml/2009/9/ac" xmlns:x="http://schemas.openxmlformats.org/spreadsheetml/2006/main" mc:Ignorable="x14ac">
  <x:sheetPr>
    <x:outlinePr summaryBelow="1" summaryRight="1"/>
  </x:sheetPr>
  <x:dimension ref="M1:Q70"/>
  <x:sheetViews>
    <x:sheetView topLeftCell="A46" workbookViewId="0">
      <x:selection activeCell="F68" sqref="F68 F68:F68"/>
    </x:sheetView>
  </x:sheetViews>
  <x:sheetFormatPr defaultRowHeight="15" x14ac:dyDescent="0.25"/>
  <x:cols>
    <x:col min="1" max="12" width="9.140625" style="147" customWidth="1"/>
    <x:col min="13" max="13" width="18.855469" style="269" bestFit="1" customWidth="1"/>
    <x:col min="14" max="14" width="35.285156" style="147" customWidth="1"/>
    <x:col min="15" max="16" width="9.140625" style="147" customWidth="1"/>
    <x:col min="17" max="17" width="9.140625" style="271" customWidth="1"/>
  </x:cols>
  <x:sheetData>
    <x:row r="1" spans="1:17" x14ac:dyDescent="0.25">
      <x:c r="A1" s="147" t="n">
        <x:v>400000</x:v>
      </x:c>
      <x:c r="B1" s="147" t="s">
        <x:v>363</x:v>
      </x:c>
      <x:c r="D1" s="147" t="n">
        <x:v>10128579</x:v>
      </x:c>
      <x:c r="E1" s="147" t="s">
        <x:v>364</x:v>
      </x:c>
      <x:c r="G1" s="147" t="n">
        <x:v>1001307</x:v>
      </x:c>
      <x:c r="H1" s="147" t="s">
        <x:v>337</x:v>
      </x:c>
      <x:c r="M1" s="269" t="s">
        <x:v>365</x:v>
      </x:c>
      <x:c r="N1" s="270" t="s">
        <x:v>366</x:v>
      </x:c>
      <x:c r="O1" s="147" t="s">
        <x:v>367</x:v>
      </x:c>
    </x:row>
    <x:row r="2" spans="1:17" x14ac:dyDescent="0.25">
      <x:c r="A2" s="147" t="n">
        <x:v>400001</x:v>
      </x:c>
      <x:c r="B2" s="147" t="s">
        <x:v>364</x:v>
      </x:c>
      <x:c r="D2" s="147" t="n">
        <x:v>10128580</x:v>
      </x:c>
      <x:c r="E2" s="147" t="s">
        <x:v>368</x:v>
      </x:c>
      <x:c r="G2" s="147" t="n">
        <x:v>1001310</x:v>
      </x:c>
      <x:c r="H2" s="147" t="s">
        <x:v>338</x:v>
      </x:c>
      <x:c r="M2" s="269" t="s">
        <x:v>369</x:v>
      </x:c>
      <x:c r="N2" s="270" t="n">
        <x:v>1020662513</x:v>
      </x:c>
      <x:c r="O2" s="147" t="s">
        <x:v>370</x:v>
      </x:c>
    </x:row>
    <x:row r="3" spans="1:17" x14ac:dyDescent="0.25">
      <x:c r="A3" s="147" t="n">
        <x:v>400002</x:v>
      </x:c>
      <x:c r="B3" s="147" t="s">
        <x:v>371</x:v>
      </x:c>
      <x:c r="D3" s="147" t="n">
        <x:v>10128581</x:v>
      </x:c>
      <x:c r="E3" s="147" t="s">
        <x:v>368</x:v>
      </x:c>
      <x:c r="G3" s="147" t="n">
        <x:v>1001352</x:v>
      </x:c>
      <x:c r="H3" s="147" t="s">
        <x:v>334</x:v>
      </x:c>
      <x:c r="M3" s="269" t="s">
        <x:v>372</x:v>
      </x:c>
      <x:c r="N3" s="270" t="n">
        <x:v>99990000416019</x:v>
      </x:c>
      <x:c r="O3" s="147" t="s">
        <x:v>373</x:v>
      </x:c>
    </x:row>
    <x:row r="4" spans="1:17" x14ac:dyDescent="0.25">
      <x:c r="A4" s="147" t="n">
        <x:v>400003</x:v>
      </x:c>
      <x:c r="B4" s="147" t="s">
        <x:v>368</x:v>
      </x:c>
      <x:c r="D4" s="147" t="n">
        <x:v>10128582</x:v>
      </x:c>
      <x:c r="E4" s="147" t="s">
        <x:v>371</x:v>
      </x:c>
      <x:c r="G4" s="147" t="n">
        <x:v>1012729</x:v>
      </x:c>
      <x:c r="H4" s="147" t="s">
        <x:v>374</x:v>
      </x:c>
      <x:c r="M4" s="269" t="s">
        <x:v>375</x:v>
      </x:c>
      <x:c r="N4" s="270" t="n">
        <x:v>1021681862</x:v>
      </x:c>
      <x:c r="O4" s="147" t="s">
        <x:v>376</x:v>
      </x:c>
    </x:row>
    <x:row r="5" spans="1:17" x14ac:dyDescent="0.25">
      <x:c r="A5" s="147" t="n">
        <x:v>400004</x:v>
      </x:c>
      <x:c r="B5" s="147" t="s">
        <x:v>377</x:v>
      </x:c>
      <x:c r="D5" s="147" t="n">
        <x:v>10128595</x:v>
      </x:c>
      <x:c r="E5" s="147" t="s">
        <x:v>371</x:v>
      </x:c>
      <x:c r="G5" s="147" t="n">
        <x:v>1012730</x:v>
      </x:c>
      <x:c r="H5" s="147" t="s">
        <x:v>378</x:v>
      </x:c>
      <x:c r="M5" s="269" t="s">
        <x:v>379</x:v>
      </x:c>
      <x:c r="N5" s="270" t="s"/>
      <x:c r="O5" s="147" t="s">
        <x:v>380</x:v>
      </x:c>
    </x:row>
    <x:row r="6" spans="1:17" x14ac:dyDescent="0.25">
      <x:c r="A6" s="147" t="n">
        <x:v>400005</x:v>
      </x:c>
      <x:c r="B6" s="147" t="s">
        <x:v>381</x:v>
      </x:c>
      <x:c r="D6" s="147" t="n">
        <x:v>10128596</x:v>
      </x:c>
      <x:c r="E6" s="147" t="s">
        <x:v>363</x:v>
      </x:c>
      <x:c r="G6" s="147" t="n">
        <x:v>1012731</x:v>
      </x:c>
      <x:c r="H6" s="147" t="s">
        <x:v>382</x:v>
      </x:c>
      <x:c r="M6" s="269" t="s">
        <x:v>383</x:v>
      </x:c>
      <x:c r="N6" s="270" t="s">
        <x:v>384</x:v>
      </x:c>
      <x:c r="O6" s="147" t="s">
        <x:v>385</x:v>
      </x:c>
    </x:row>
    <x:row r="7" spans="1:17" x14ac:dyDescent="0.25">
      <x:c r="A7" s="147" t="n">
        <x:v>400017</x:v>
      </x:c>
      <x:c r="B7" s="147" t="s">
        <x:v>386</x:v>
      </x:c>
      <x:c r="D7" s="147" t="n">
        <x:v>10128597</x:v>
      </x:c>
      <x:c r="E7" s="147" t="s">
        <x:v>368</x:v>
      </x:c>
      <x:c r="G7" s="147" t="n">
        <x:v>1012732</x:v>
      </x:c>
      <x:c r="H7" s="147" t="s">
        <x:v>387</x:v>
      </x:c>
      <x:c r="M7" s="269" t="s">
        <x:v>388</x:v>
      </x:c>
      <x:c r="N7" s="270" t="n">
        <x:v>0</x:v>
      </x:c>
      <x:c r="O7" s="147" t="s">
        <x:v>389</x:v>
      </x:c>
    </x:row>
    <x:row r="8" spans="1:17" x14ac:dyDescent="0.25">
      <x:c r="A8" s="147" t="n">
        <x:v>900009</x:v>
      </x:c>
      <x:c r="B8" s="147" t="s">
        <x:v>390</x:v>
      </x:c>
      <x:c r="D8" s="147" t="n">
        <x:v>10128598</x:v>
      </x:c>
      <x:c r="E8" s="147" t="s">
        <x:v>371</x:v>
      </x:c>
      <x:c r="G8" s="147" t="n">
        <x:v>1012733</x:v>
      </x:c>
      <x:c r="H8" s="147" t="s">
        <x:v>391</x:v>
      </x:c>
      <x:c r="O8" s="147" t="s">
        <x:v>392</x:v>
      </x:c>
    </x:row>
    <x:row r="9" spans="1:17" x14ac:dyDescent="0.25">
      <x:c r="A9" s="147" t="n">
        <x:v>900010</x:v>
      </x:c>
      <x:c r="B9" s="147" t="s">
        <x:v>393</x:v>
      </x:c>
      <x:c r="D9" s="147" t="n">
        <x:v>10128599</x:v>
      </x:c>
      <x:c r="E9" s="147" t="s">
        <x:v>364</x:v>
      </x:c>
      <x:c r="G9" s="147" t="n">
        <x:v>1012735</x:v>
      </x:c>
      <x:c r="H9" s="147" t="s">
        <x:v>394</x:v>
      </x:c>
      <x:c r="O9" s="147" t="s">
        <x:v>395</x:v>
      </x:c>
    </x:row>
    <x:row r="10" spans="1:17" x14ac:dyDescent="0.25">
      <x:c r="A10" s="147" t="n">
        <x:v>900011</x:v>
      </x:c>
      <x:c r="B10" s="147" t="s">
        <x:v>396</x:v>
      </x:c>
      <x:c r="D10" s="147" t="n">
        <x:v>10128600</x:v>
      </x:c>
      <x:c r="E10" s="147" t="s">
        <x:v>368</x:v>
      </x:c>
      <x:c r="G10" s="147" t="n">
        <x:v>1012736</x:v>
      </x:c>
      <x:c r="H10" s="147" t="s">
        <x:v>397</x:v>
      </x:c>
      <x:c r="O10" s="147" t="s">
        <x:v>398</x:v>
      </x:c>
    </x:row>
    <x:row r="11" spans="1:17" x14ac:dyDescent="0.25">
      <x:c r="A11" s="147" t="n">
        <x:v>900012</x:v>
      </x:c>
      <x:c r="B11" s="147" t="s">
        <x:v>399</x:v>
      </x:c>
      <x:c r="D11" s="147" t="n">
        <x:v>10128579</x:v>
      </x:c>
      <x:c r="E11" s="147" t="s">
        <x:v>364</x:v>
      </x:c>
      <x:c r="G11" s="147" t="n">
        <x:v>1012737</x:v>
      </x:c>
      <x:c r="H11" s="147" t="s">
        <x:v>400</x:v>
      </x:c>
      <x:c r="O11" s="147" t="s">
        <x:v>401</x:v>
      </x:c>
    </x:row>
    <x:row r="12" spans="1:17" x14ac:dyDescent="0.25">
      <x:c r="A12" s="147" t="n">
        <x:v>900013</x:v>
      </x:c>
      <x:c r="B12" s="147" t="s">
        <x:v>402</x:v>
      </x:c>
      <x:c r="D12" s="147" t="n">
        <x:v>10128580</x:v>
      </x:c>
      <x:c r="E12" s="147" t="s">
        <x:v>368</x:v>
      </x:c>
      <x:c r="G12" s="147" t="n">
        <x:v>1012738</x:v>
      </x:c>
      <x:c r="H12" s="147" t="s">
        <x:v>403</x:v>
      </x:c>
      <x:c r="O12" s="147" t="s">
        <x:v>404</x:v>
      </x:c>
    </x:row>
    <x:row r="13" spans="1:17" x14ac:dyDescent="0.25">
      <x:c r="A13" s="147" t="n">
        <x:v>900014</x:v>
      </x:c>
      <x:c r="B13" s="147" t="s">
        <x:v>405</x:v>
      </x:c>
      <x:c r="D13" s="147" t="n">
        <x:v>10128581</x:v>
      </x:c>
      <x:c r="E13" s="147" t="s">
        <x:v>368</x:v>
      </x:c>
      <x:c r="G13" s="147" t="n">
        <x:v>1012739</x:v>
      </x:c>
      <x:c r="H13" s="147" t="s">
        <x:v>406</x:v>
      </x:c>
      <x:c r="O13" s="147" t="s">
        <x:v>407</x:v>
      </x:c>
    </x:row>
    <x:row r="14" spans="1:17" x14ac:dyDescent="0.25">
      <x:c r="A14" s="147" t="n">
        <x:v>900073</x:v>
      </x:c>
      <x:c r="B14" s="147" t="s">
        <x:v>408</x:v>
      </x:c>
      <x:c r="D14" s="147" t="n">
        <x:v>10128582</x:v>
      </x:c>
      <x:c r="E14" s="147" t="s">
        <x:v>371</x:v>
      </x:c>
      <x:c r="G14" s="147" t="n">
        <x:v>1012740</x:v>
      </x:c>
      <x:c r="H14" s="147" t="s">
        <x:v>409</x:v>
      </x:c>
      <x:c r="O14" s="147" t="s">
        <x:v>410</x:v>
      </x:c>
    </x:row>
    <x:row r="15" spans="1:17" x14ac:dyDescent="0.25">
      <x:c r="D15" s="147" t="n">
        <x:v>10128595</x:v>
      </x:c>
      <x:c r="E15" s="147" t="s">
        <x:v>371</x:v>
      </x:c>
      <x:c r="G15" s="147" t="n">
        <x:v>1012741</x:v>
      </x:c>
      <x:c r="H15" s="147" t="s">
        <x:v>411</x:v>
      </x:c>
      <x:c r="O15" s="147" t="s">
        <x:v>412</x:v>
      </x:c>
    </x:row>
    <x:row r="16" spans="1:17" x14ac:dyDescent="0.25">
      <x:c r="D16" s="147" t="n">
        <x:v>10128596</x:v>
      </x:c>
      <x:c r="E16" s="147" t="s">
        <x:v>363</x:v>
      </x:c>
      <x:c r="G16" s="147" t="n">
        <x:v>1012742</x:v>
      </x:c>
      <x:c r="H16" s="147" t="s">
        <x:v>413</x:v>
      </x:c>
      <x:c r="O16" s="147" t="s">
        <x:v>414</x:v>
      </x:c>
    </x:row>
    <x:row r="17" spans="1:17" x14ac:dyDescent="0.25">
      <x:c r="D17" s="147" t="n">
        <x:v>10128597</x:v>
      </x:c>
      <x:c r="E17" s="147" t="s">
        <x:v>368</x:v>
      </x:c>
      <x:c r="G17" s="147" t="n">
        <x:v>1012743</x:v>
      </x:c>
      <x:c r="H17" s="147" t="s">
        <x:v>415</x:v>
      </x:c>
      <x:c r="O17" s="147" t="s">
        <x:v>416</x:v>
      </x:c>
    </x:row>
    <x:row r="18" spans="1:17" x14ac:dyDescent="0.25">
      <x:c r="D18" s="147" t="n">
        <x:v>10128598</x:v>
      </x:c>
      <x:c r="E18" s="147" t="s">
        <x:v>371</x:v>
      </x:c>
      <x:c r="G18" s="147" t="n">
        <x:v>1012744</x:v>
      </x:c>
      <x:c r="H18" s="147" t="s">
        <x:v>417</x:v>
      </x:c>
      <x:c r="O18" s="147" t="s">
        <x:v>418</x:v>
      </x:c>
    </x:row>
    <x:row r="19" spans="1:17" x14ac:dyDescent="0.25">
      <x:c r="D19" s="147" t="n">
        <x:v>10128599</x:v>
      </x:c>
      <x:c r="E19" s="147" t="s">
        <x:v>364</x:v>
      </x:c>
      <x:c r="G19" s="147" t="n">
        <x:v>1020032</x:v>
      </x:c>
      <x:c r="H19" s="147" t="s">
        <x:v>419</x:v>
      </x:c>
      <x:c r="O19" s="147" t="s">
        <x:v>420</x:v>
      </x:c>
    </x:row>
    <x:row r="20" spans="1:17" x14ac:dyDescent="0.25">
      <x:c r="D20" s="147" t="n">
        <x:v>10128600</x:v>
      </x:c>
      <x:c r="E20" s="147" t="s">
        <x:v>368</x:v>
      </x:c>
      <x:c r="G20" s="147" t="n">
        <x:v>1020033</x:v>
      </x:c>
      <x:c r="H20" s="147" t="s">
        <x:v>421</x:v>
      </x:c>
      <x:c r="O20" s="147" t="s">
        <x:v>422</x:v>
      </x:c>
    </x:row>
    <x:row r="21" spans="1:17" x14ac:dyDescent="0.25">
      <x:c r="D21" s="147" t="n">
        <x:v>10128579</x:v>
      </x:c>
      <x:c r="E21" s="147" t="s">
        <x:v>364</x:v>
      </x:c>
      <x:c r="O21" s="147" t="s">
        <x:v>423</x:v>
      </x:c>
    </x:row>
    <x:row r="22" spans="1:17" x14ac:dyDescent="0.25">
      <x:c r="D22" s="147" t="n">
        <x:v>10128580</x:v>
      </x:c>
      <x:c r="E22" s="147" t="s">
        <x:v>368</x:v>
      </x:c>
      <x:c r="O22" s="147" t="s">
        <x:v>424</x:v>
      </x:c>
    </x:row>
    <x:row r="23" spans="1:17" x14ac:dyDescent="0.25">
      <x:c r="D23" s="147" t="n">
        <x:v>10128581</x:v>
      </x:c>
      <x:c r="E23" s="147" t="s">
        <x:v>368</x:v>
      </x:c>
      <x:c r="O23" s="147" t="s">
        <x:v>425</x:v>
      </x:c>
    </x:row>
    <x:row r="24" spans="1:17" x14ac:dyDescent="0.25">
      <x:c r="D24" s="147" t="n">
        <x:v>10128582</x:v>
      </x:c>
      <x:c r="E24" s="147" t="s">
        <x:v>371</x:v>
      </x:c>
      <x:c r="O24" s="147" t="s">
        <x:v>426</x:v>
      </x:c>
    </x:row>
    <x:row r="25" spans="1:17" x14ac:dyDescent="0.25">
      <x:c r="D25" s="147" t="n">
        <x:v>10128595</x:v>
      </x:c>
      <x:c r="E25" s="147" t="s">
        <x:v>371</x:v>
      </x:c>
      <x:c r="O25" s="147" t="s">
        <x:v>427</x:v>
      </x:c>
    </x:row>
    <x:row r="26" spans="1:17" x14ac:dyDescent="0.25">
      <x:c r="D26" s="147" t="n">
        <x:v>10128596</x:v>
      </x:c>
      <x:c r="E26" s="147" t="s">
        <x:v>363</x:v>
      </x:c>
      <x:c r="O26" s="147" t="s">
        <x:v>428</x:v>
      </x:c>
    </x:row>
    <x:row r="27" spans="1:17" x14ac:dyDescent="0.25">
      <x:c r="D27" s="147" t="n">
        <x:v>10128597</x:v>
      </x:c>
      <x:c r="E27" s="147" t="s">
        <x:v>368</x:v>
      </x:c>
      <x:c r="O27" s="147" t="s">
        <x:v>429</x:v>
      </x:c>
    </x:row>
    <x:row r="28" spans="1:17" x14ac:dyDescent="0.25">
      <x:c r="D28" s="147" t="n">
        <x:v>10128598</x:v>
      </x:c>
      <x:c r="E28" s="147" t="s">
        <x:v>371</x:v>
      </x:c>
      <x:c r="O28" s="147" t="s">
        <x:v>430</x:v>
      </x:c>
    </x:row>
    <x:row r="29" spans="1:17" x14ac:dyDescent="0.25">
      <x:c r="D29" s="147" t="n">
        <x:v>10128599</x:v>
      </x:c>
      <x:c r="E29" s="147" t="s">
        <x:v>364</x:v>
      </x:c>
      <x:c r="O29" s="147" t="s">
        <x:v>431</x:v>
      </x:c>
    </x:row>
    <x:row r="30" spans="1:17" x14ac:dyDescent="0.25">
      <x:c r="D30" s="147" t="n">
        <x:v>10128600</x:v>
      </x:c>
      <x:c r="E30" s="147" t="s">
        <x:v>368</x:v>
      </x:c>
      <x:c r="O30" s="147" t="s">
        <x:v>432</x:v>
      </x:c>
    </x:row>
    <x:row r="31" spans="1:17" x14ac:dyDescent="0.25">
      <x:c r="D31" s="147" t="n">
        <x:v>10128579</x:v>
      </x:c>
      <x:c r="E31" s="147" t="s">
        <x:v>364</x:v>
      </x:c>
      <x:c r="O31" s="147" t="s">
        <x:v>433</x:v>
      </x:c>
    </x:row>
    <x:row r="32" spans="1:17" x14ac:dyDescent="0.25">
      <x:c r="D32" s="147" t="n">
        <x:v>10128580</x:v>
      </x:c>
      <x:c r="E32" s="147" t="s">
        <x:v>368</x:v>
      </x:c>
      <x:c r="O32" s="147" t="s">
        <x:v>434</x:v>
      </x:c>
    </x:row>
    <x:row r="33" spans="1:17" x14ac:dyDescent="0.25">
      <x:c r="D33" s="147" t="n">
        <x:v>10128581</x:v>
      </x:c>
      <x:c r="E33" s="147" t="s">
        <x:v>368</x:v>
      </x:c>
      <x:c r="O33" s="147" t="s">
        <x:v>435</x:v>
      </x:c>
    </x:row>
    <x:row r="34" spans="1:17" x14ac:dyDescent="0.25">
      <x:c r="D34" s="147" t="n">
        <x:v>10128582</x:v>
      </x:c>
      <x:c r="E34" s="147" t="s">
        <x:v>371</x:v>
      </x:c>
      <x:c r="O34" s="147" t="s">
        <x:v>436</x:v>
      </x:c>
    </x:row>
    <x:row r="35" spans="1:17" x14ac:dyDescent="0.25">
      <x:c r="D35" s="147" t="n">
        <x:v>10128595</x:v>
      </x:c>
      <x:c r="E35" s="147" t="s">
        <x:v>371</x:v>
      </x:c>
      <x:c r="O35" s="147" t="s">
        <x:v>437</x:v>
      </x:c>
    </x:row>
    <x:row r="36" spans="1:17" x14ac:dyDescent="0.25">
      <x:c r="D36" s="147" t="n">
        <x:v>10128596</x:v>
      </x:c>
      <x:c r="E36" s="147" t="s">
        <x:v>363</x:v>
      </x:c>
      <x:c r="O36" s="147" t="s">
        <x:v>438</x:v>
      </x:c>
    </x:row>
    <x:row r="37" spans="1:17" x14ac:dyDescent="0.25">
      <x:c r="D37" s="147" t="n">
        <x:v>10128597</x:v>
      </x:c>
      <x:c r="E37" s="147" t="s">
        <x:v>368</x:v>
      </x:c>
      <x:c r="O37" s="147" t="s">
        <x:v>439</x:v>
      </x:c>
    </x:row>
    <x:row r="38" spans="1:17" x14ac:dyDescent="0.25">
      <x:c r="D38" s="147" t="n">
        <x:v>10128598</x:v>
      </x:c>
      <x:c r="E38" s="147" t="s">
        <x:v>371</x:v>
      </x:c>
      <x:c r="O38" s="147" t="s">
        <x:v>440</x:v>
      </x:c>
    </x:row>
    <x:row r="39" spans="1:17" x14ac:dyDescent="0.25">
      <x:c r="D39" s="147" t="n">
        <x:v>10128599</x:v>
      </x:c>
      <x:c r="E39" s="147" t="s">
        <x:v>364</x:v>
      </x:c>
      <x:c r="O39" s="147" t="s">
        <x:v>441</x:v>
      </x:c>
    </x:row>
    <x:row r="40" spans="1:17" x14ac:dyDescent="0.25">
      <x:c r="D40" s="147" t="n">
        <x:v>10128600</x:v>
      </x:c>
      <x:c r="E40" s="147" t="s">
        <x:v>368</x:v>
      </x:c>
      <x:c r="O40" s="147" t="s">
        <x:v>442</x:v>
      </x:c>
    </x:row>
    <x:row r="41" spans="1:17" x14ac:dyDescent="0.25">
      <x:c r="D41" s="147" t="n">
        <x:v>10128579</x:v>
      </x:c>
      <x:c r="E41" s="147" t="s">
        <x:v>364</x:v>
      </x:c>
      <x:c r="O41" s="147" t="s">
        <x:v>443</x:v>
      </x:c>
    </x:row>
    <x:row r="42" spans="1:17" x14ac:dyDescent="0.25">
      <x:c r="D42" s="147" t="n">
        <x:v>10128580</x:v>
      </x:c>
      <x:c r="E42" s="147" t="s">
        <x:v>368</x:v>
      </x:c>
      <x:c r="O42" s="147" t="s">
        <x:v>444</x:v>
      </x:c>
    </x:row>
    <x:row r="43" spans="1:17" x14ac:dyDescent="0.25">
      <x:c r="D43" s="147" t="n">
        <x:v>10128581</x:v>
      </x:c>
      <x:c r="E43" s="147" t="s">
        <x:v>368</x:v>
      </x:c>
      <x:c r="O43" s="147" t="s">
        <x:v>445</x:v>
      </x:c>
    </x:row>
    <x:row r="44" spans="1:17" x14ac:dyDescent="0.25">
      <x:c r="D44" s="147" t="n">
        <x:v>10128582</x:v>
      </x:c>
      <x:c r="E44" s="147" t="s">
        <x:v>371</x:v>
      </x:c>
      <x:c r="O44" s="147" t="s">
        <x:v>446</x:v>
      </x:c>
    </x:row>
    <x:row r="45" spans="1:17" x14ac:dyDescent="0.25">
      <x:c r="D45" s="147" t="n">
        <x:v>10128595</x:v>
      </x:c>
      <x:c r="E45" s="147" t="s">
        <x:v>371</x:v>
      </x:c>
      <x:c r="O45" s="147" t="s">
        <x:v>447</x:v>
      </x:c>
    </x:row>
    <x:row r="46" spans="1:17" x14ac:dyDescent="0.25">
      <x:c r="D46" s="147" t="n">
        <x:v>10128596</x:v>
      </x:c>
      <x:c r="E46" s="147" t="s">
        <x:v>363</x:v>
      </x:c>
      <x:c r="O46" s="147" t="s">
        <x:v>448</x:v>
      </x:c>
    </x:row>
    <x:row r="47" spans="1:17" x14ac:dyDescent="0.25">
      <x:c r="D47" s="147" t="n">
        <x:v>10128597</x:v>
      </x:c>
      <x:c r="E47" s="147" t="s">
        <x:v>368</x:v>
      </x:c>
      <x:c r="O47" s="147" t="s">
        <x:v>449</x:v>
      </x:c>
    </x:row>
    <x:row r="48" spans="1:17" x14ac:dyDescent="0.25">
      <x:c r="D48" s="147" t="n">
        <x:v>10128598</x:v>
      </x:c>
      <x:c r="E48" s="147" t="s">
        <x:v>371</x:v>
      </x:c>
      <x:c r="O48" s="147" t="s">
        <x:v>450</x:v>
      </x:c>
    </x:row>
    <x:row r="49" spans="1:17" x14ac:dyDescent="0.25">
      <x:c r="D49" s="147" t="n">
        <x:v>10128599</x:v>
      </x:c>
      <x:c r="E49" s="147" t="s">
        <x:v>364</x:v>
      </x:c>
      <x:c r="O49" s="147" t="s">
        <x:v>451</x:v>
      </x:c>
    </x:row>
    <x:row r="50" spans="1:17" x14ac:dyDescent="0.25">
      <x:c r="D50" s="147" t="n">
        <x:v>10128600</x:v>
      </x:c>
      <x:c r="E50" s="147" t="s">
        <x:v>368</x:v>
      </x:c>
      <x:c r="O50" s="147" t="s">
        <x:v>452</x:v>
      </x:c>
    </x:row>
    <x:row r="51" spans="1:17" x14ac:dyDescent="0.25">
      <x:c r="D51" s="147" t="n">
        <x:v>10128579</x:v>
      </x:c>
      <x:c r="E51" s="147" t="s">
        <x:v>364</x:v>
      </x:c>
      <x:c r="O51" s="147" t="s">
        <x:v>453</x:v>
      </x:c>
    </x:row>
    <x:row r="52" spans="1:17" x14ac:dyDescent="0.25">
      <x:c r="D52" s="147" t="n">
        <x:v>10128580</x:v>
      </x:c>
      <x:c r="E52" s="147" t="s">
        <x:v>368</x:v>
      </x:c>
      <x:c r="O52" s="147" t="s">
        <x:v>454</x:v>
      </x:c>
    </x:row>
    <x:row r="53" spans="1:17" x14ac:dyDescent="0.25">
      <x:c r="D53" s="147" t="n">
        <x:v>10128581</x:v>
      </x:c>
      <x:c r="E53" s="147" t="s">
        <x:v>368</x:v>
      </x:c>
      <x:c r="O53" s="147" t="s">
        <x:v>455</x:v>
      </x:c>
    </x:row>
    <x:row r="54" spans="1:17" x14ac:dyDescent="0.25">
      <x:c r="D54" s="147" t="n">
        <x:v>10128582</x:v>
      </x:c>
      <x:c r="E54" s="147" t="s">
        <x:v>371</x:v>
      </x:c>
      <x:c r="O54" s="147" t="s">
        <x:v>456</x:v>
      </x:c>
    </x:row>
    <x:row r="55" spans="1:17" x14ac:dyDescent="0.25">
      <x:c r="D55" s="147" t="n">
        <x:v>10128595</x:v>
      </x:c>
      <x:c r="E55" s="147" t="s">
        <x:v>371</x:v>
      </x:c>
      <x:c r="O55" s="147" t="s">
        <x:v>31</x:v>
      </x:c>
    </x:row>
    <x:row r="56" spans="1:17" x14ac:dyDescent="0.25">
      <x:c r="D56" s="147" t="n">
        <x:v>10128596</x:v>
      </x:c>
      <x:c r="E56" s="147" t="s">
        <x:v>363</x:v>
      </x:c>
      <x:c r="O56" s="147" t="s">
        <x:v>457</x:v>
      </x:c>
    </x:row>
    <x:row r="57" spans="1:17" x14ac:dyDescent="0.25">
      <x:c r="D57" s="147" t="n">
        <x:v>10128597</x:v>
      </x:c>
      <x:c r="E57" s="147" t="s">
        <x:v>368</x:v>
      </x:c>
      <x:c r="O57" s="147" t="s">
        <x:v>458</x:v>
      </x:c>
    </x:row>
    <x:row r="58" spans="1:17" x14ac:dyDescent="0.25">
      <x:c r="D58" s="147" t="n">
        <x:v>10128598</x:v>
      </x:c>
      <x:c r="E58" s="147" t="s">
        <x:v>371</x:v>
      </x:c>
      <x:c r="O58" s="147" t="s">
        <x:v>459</x:v>
      </x:c>
    </x:row>
    <x:row r="59" spans="1:17" x14ac:dyDescent="0.25">
      <x:c r="D59" s="147" t="n">
        <x:v>10128599</x:v>
      </x:c>
      <x:c r="E59" s="147" t="s">
        <x:v>364</x:v>
      </x:c>
      <x:c r="O59" s="147" t="s">
        <x:v>460</x:v>
      </x:c>
    </x:row>
    <x:row r="60" spans="1:17" x14ac:dyDescent="0.25">
      <x:c r="D60" s="147" t="n">
        <x:v>10128600</x:v>
      </x:c>
      <x:c r="E60" s="147" t="s">
        <x:v>368</x:v>
      </x:c>
      <x:c r="O60" s="147" t="s">
        <x:v>461</x:v>
      </x:c>
    </x:row>
    <x:row r="61" spans="1:17" x14ac:dyDescent="0.25">
      <x:c r="D61" s="147" t="n">
        <x:v>10128579</x:v>
      </x:c>
      <x:c r="E61" s="147" t="s">
        <x:v>364</x:v>
      </x:c>
      <x:c r="O61" s="147" t="s">
        <x:v>462</x:v>
      </x:c>
    </x:row>
    <x:row r="62" spans="1:17" x14ac:dyDescent="0.25">
      <x:c r="D62" s="147" t="n">
        <x:v>10128580</x:v>
      </x:c>
      <x:c r="E62" s="147" t="s">
        <x:v>368</x:v>
      </x:c>
      <x:c r="O62" s="147" t="s">
        <x:v>463</x:v>
      </x:c>
    </x:row>
    <x:row r="63" spans="1:17" x14ac:dyDescent="0.25">
      <x:c r="D63" s="147" t="n">
        <x:v>10128581</x:v>
      </x:c>
      <x:c r="E63" s="147" t="s">
        <x:v>368</x:v>
      </x:c>
      <x:c r="O63" s="147" t="s">
        <x:v>464</x:v>
      </x:c>
    </x:row>
    <x:row r="64" spans="1:17" x14ac:dyDescent="0.25">
      <x:c r="D64" s="147" t="n">
        <x:v>10128582</x:v>
      </x:c>
      <x:c r="E64" s="147" t="s">
        <x:v>371</x:v>
      </x:c>
      <x:c r="O64" s="147" t="s">
        <x:v>465</x:v>
      </x:c>
    </x:row>
    <x:row r="65" spans="1:17" x14ac:dyDescent="0.25">
      <x:c r="D65" s="147" t="n">
        <x:v>10128595</x:v>
      </x:c>
      <x:c r="E65" s="147" t="s">
        <x:v>371</x:v>
      </x:c>
      <x:c r="O65" s="147" t="s">
        <x:v>466</x:v>
      </x:c>
    </x:row>
    <x:row r="66" spans="1:17" x14ac:dyDescent="0.25">
      <x:c r="D66" s="147" t="n">
        <x:v>10128596</x:v>
      </x:c>
      <x:c r="E66" s="147" t="s">
        <x:v>363</x:v>
      </x:c>
      <x:c r="O66" s="147" t="s">
        <x:v>467</x:v>
      </x:c>
    </x:row>
    <x:row r="67" spans="1:17" x14ac:dyDescent="0.25">
      <x:c r="D67" s="147" t="n">
        <x:v>10128597</x:v>
      </x:c>
      <x:c r="E67" s="147" t="s">
        <x:v>368</x:v>
      </x:c>
      <x:c r="O67" s="147" t="s">
        <x:v>468</x:v>
      </x:c>
    </x:row>
    <x:row r="68" spans="1:17" x14ac:dyDescent="0.25">
      <x:c r="D68" s="147" t="n">
        <x:v>10128598</x:v>
      </x:c>
      <x:c r="E68" s="147" t="s">
        <x:v>371</x:v>
      </x:c>
      <x:c r="O68" s="147" t="s">
        <x:v>469</x:v>
      </x:c>
    </x:row>
    <x:row r="69" spans="1:17" x14ac:dyDescent="0.25">
      <x:c r="D69" s="147" t="n">
        <x:v>10128599</x:v>
      </x:c>
      <x:c r="E69" s="147" t="s">
        <x:v>364</x:v>
      </x:c>
      <x:c r="O69" s="147" t="s">
        <x:v>470</x:v>
      </x:c>
    </x:row>
    <x:row r="70" spans="1:17" x14ac:dyDescent="0.25">
      <x:c r="D70" s="147" t="n">
        <x:v>10128600</x:v>
      </x:c>
      <x:c r="E70" s="147" t="s">
        <x:v>368</x:v>
      </x:c>
      <x:c r="O70" s="147" t="s">
        <x:v>471</x:v>
      </x:c>
    </x:row>
    <x:row r="71" spans="1:17">
      <x:c r="D71" s="147" t="n">
        <x:v>10128579</x:v>
      </x:c>
      <x:c r="E71" s="147" t="s">
        <x:v>364</x:v>
      </x:c>
    </x:row>
    <x:row r="72" spans="1:17">
      <x:c r="D72" s="147" t="n">
        <x:v>10128580</x:v>
      </x:c>
      <x:c r="E72" s="147" t="s">
        <x:v>368</x:v>
      </x:c>
    </x:row>
    <x:row r="73" spans="1:17">
      <x:c r="D73" s="147" t="n">
        <x:v>10128581</x:v>
      </x:c>
      <x:c r="E73" s="147" t="s">
        <x:v>368</x:v>
      </x:c>
    </x:row>
    <x:row r="74" spans="1:17">
      <x:c r="D74" s="147" t="n">
        <x:v>10128582</x:v>
      </x:c>
      <x:c r="E74" s="147" t="s">
        <x:v>371</x:v>
      </x:c>
    </x:row>
    <x:row r="75" spans="1:17">
      <x:c r="D75" s="147" t="n">
        <x:v>10128595</x:v>
      </x:c>
      <x:c r="E75" s="147" t="s">
        <x:v>371</x:v>
      </x:c>
    </x:row>
    <x:row r="76" spans="1:17">
      <x:c r="D76" s="147" t="n">
        <x:v>10128596</x:v>
      </x:c>
      <x:c r="E76" s="147" t="s">
        <x:v>363</x:v>
      </x:c>
    </x:row>
    <x:row r="77" spans="1:17">
      <x:c r="D77" s="147" t="n">
        <x:v>10128597</x:v>
      </x:c>
      <x:c r="E77" s="147" t="s">
        <x:v>368</x:v>
      </x:c>
    </x:row>
    <x:row r="78" spans="1:17">
      <x:c r="D78" s="147" t="n">
        <x:v>10128598</x:v>
      </x:c>
      <x:c r="E78" s="147" t="s">
        <x:v>371</x:v>
      </x:c>
    </x:row>
    <x:row r="79" spans="1:17">
      <x:c r="D79" s="147" t="n">
        <x:v>10128599</x:v>
      </x:c>
      <x:c r="E79" s="147" t="s">
        <x:v>364</x:v>
      </x:c>
    </x:row>
    <x:row r="80" spans="1:17">
      <x:c r="D80" s="147" t="n">
        <x:v>10128600</x:v>
      </x:c>
      <x:c r="E80" s="147" t="s">
        <x:v>368</x:v>
      </x:c>
    </x:row>
    <x:row r="81" spans="1:17">
      <x:c r="D81" s="147" t="n">
        <x:v>10128579</x:v>
      </x:c>
      <x:c r="E81" s="147" t="s">
        <x:v>364</x:v>
      </x:c>
    </x:row>
    <x:row r="82" spans="1:17">
      <x:c r="D82" s="147" t="n">
        <x:v>10128580</x:v>
      </x:c>
      <x:c r="E82" s="147" t="s">
        <x:v>368</x:v>
      </x:c>
    </x:row>
    <x:row r="83" spans="1:17">
      <x:c r="D83" s="147" t="n">
        <x:v>10128581</x:v>
      </x:c>
      <x:c r="E83" s="147" t="s">
        <x:v>368</x:v>
      </x:c>
    </x:row>
    <x:row r="84" spans="1:17">
      <x:c r="D84" s="147" t="n">
        <x:v>10128582</x:v>
      </x:c>
      <x:c r="E84" s="147" t="s">
        <x:v>371</x:v>
      </x:c>
    </x:row>
    <x:row r="85" spans="1:17">
      <x:c r="D85" s="147" t="n">
        <x:v>10128595</x:v>
      </x:c>
      <x:c r="E85" s="147" t="s">
        <x:v>371</x:v>
      </x:c>
    </x:row>
    <x:row r="86" spans="1:17">
      <x:c r="D86" s="147" t="n">
        <x:v>10128596</x:v>
      </x:c>
      <x:c r="E86" s="147" t="s">
        <x:v>363</x:v>
      </x:c>
    </x:row>
    <x:row r="87" spans="1:17">
      <x:c r="D87" s="147" t="n">
        <x:v>10128597</x:v>
      </x:c>
      <x:c r="E87" s="147" t="s">
        <x:v>368</x:v>
      </x:c>
    </x:row>
    <x:row r="88" spans="1:17">
      <x:c r="D88" s="147" t="n">
        <x:v>10128598</x:v>
      </x:c>
      <x:c r="E88" s="147" t="s">
        <x:v>371</x:v>
      </x:c>
    </x:row>
    <x:row r="89" spans="1:17">
      <x:c r="D89" s="147" t="n">
        <x:v>10128599</x:v>
      </x:c>
      <x:c r="E89" s="147" t="s">
        <x:v>364</x:v>
      </x:c>
    </x:row>
    <x:row r="90" spans="1:17">
      <x:c r="D90" s="147" t="n">
        <x:v>10128600</x:v>
      </x:c>
      <x:c r="E90" s="147" t="s">
        <x:v>368</x:v>
      </x:c>
    </x:row>
    <x:row r="91" spans="1:17">
      <x:c r="D91" s="147" t="n">
        <x:v>10128579</x:v>
      </x:c>
      <x:c r="E91" s="147" t="s">
        <x:v>364</x:v>
      </x:c>
    </x:row>
    <x:row r="92" spans="1:17">
      <x:c r="D92" s="147" t="n">
        <x:v>10128580</x:v>
      </x:c>
      <x:c r="E92" s="147" t="s">
        <x:v>368</x:v>
      </x:c>
    </x:row>
    <x:row r="93" spans="1:17">
      <x:c r="D93" s="147" t="n">
        <x:v>10128581</x:v>
      </x:c>
      <x:c r="E93" s="147" t="s">
        <x:v>368</x:v>
      </x:c>
    </x:row>
    <x:row r="94" spans="1:17">
      <x:c r="D94" s="147" t="n">
        <x:v>10128582</x:v>
      </x:c>
      <x:c r="E94" s="147" t="s">
        <x:v>371</x:v>
      </x:c>
    </x:row>
    <x:row r="95" spans="1:17">
      <x:c r="D95" s="147" t="n">
        <x:v>10128595</x:v>
      </x:c>
      <x:c r="E95" s="147" t="s">
        <x:v>371</x:v>
      </x:c>
    </x:row>
    <x:row r="96" spans="1:17">
      <x:c r="D96" s="147" t="n">
        <x:v>10128596</x:v>
      </x:c>
      <x:c r="E96" s="147" t="s">
        <x:v>363</x:v>
      </x:c>
    </x:row>
    <x:row r="97" spans="1:17">
      <x:c r="D97" s="147" t="n">
        <x:v>10128597</x:v>
      </x:c>
      <x:c r="E97" s="147" t="s">
        <x:v>368</x:v>
      </x:c>
    </x:row>
    <x:row r="98" spans="1:17">
      <x:c r="D98" s="147" t="n">
        <x:v>10128598</x:v>
      </x:c>
      <x:c r="E98" s="147" t="s">
        <x:v>371</x:v>
      </x:c>
    </x:row>
    <x:row r="99" spans="1:17">
      <x:c r="D99" s="147" t="n">
        <x:v>10128599</x:v>
      </x:c>
      <x:c r="E99" s="147" t="s">
        <x:v>364</x:v>
      </x:c>
    </x:row>
    <x:row r="100" spans="1:17">
      <x:c r="D100" s="147" t="n">
        <x:v>10128600</x:v>
      </x:c>
      <x:c r="E100" s="147" t="s">
        <x:v>368</x:v>
      </x:c>
    </x:row>
    <x:row r="101" spans="1:17">
      <x:c r="D101" s="147" t="n">
        <x:v>10128579</x:v>
      </x:c>
      <x:c r="E101" s="147" t="s">
        <x:v>364</x:v>
      </x:c>
    </x:row>
    <x:row r="102" spans="1:17">
      <x:c r="D102" s="147" t="n">
        <x:v>10128580</x:v>
      </x:c>
      <x:c r="E102" s="147" t="s">
        <x:v>368</x:v>
      </x:c>
    </x:row>
    <x:row r="103" spans="1:17">
      <x:c r="D103" s="147" t="n">
        <x:v>10128581</x:v>
      </x:c>
      <x:c r="E103" s="147" t="s">
        <x:v>368</x:v>
      </x:c>
    </x:row>
    <x:row r="104" spans="1:17">
      <x:c r="D104" s="147" t="n">
        <x:v>10128582</x:v>
      </x:c>
      <x:c r="E104" s="147" t="s">
        <x:v>371</x:v>
      </x:c>
    </x:row>
    <x:row r="105" spans="1:17">
      <x:c r="D105" s="147" t="n">
        <x:v>10128595</x:v>
      </x:c>
      <x:c r="E105" s="147" t="s">
        <x:v>371</x:v>
      </x:c>
    </x:row>
    <x:row r="106" spans="1:17">
      <x:c r="D106" s="147" t="n">
        <x:v>10128596</x:v>
      </x:c>
      <x:c r="E106" s="147" t="s">
        <x:v>363</x:v>
      </x:c>
    </x:row>
    <x:row r="107" spans="1:17">
      <x:c r="D107" s="147" t="n">
        <x:v>10128597</x:v>
      </x:c>
      <x:c r="E107" s="147" t="s">
        <x:v>368</x:v>
      </x:c>
    </x:row>
    <x:row r="108" spans="1:17">
      <x:c r="D108" s="147" t="n">
        <x:v>10128598</x:v>
      </x:c>
      <x:c r="E108" s="147" t="s">
        <x:v>371</x:v>
      </x:c>
    </x:row>
    <x:row r="109" spans="1:17">
      <x:c r="D109" s="147" t="n">
        <x:v>10128599</x:v>
      </x:c>
      <x:c r="E109" s="147" t="s">
        <x:v>364</x:v>
      </x:c>
    </x:row>
    <x:row r="110" spans="1:17">
      <x:c r="D110" s="147" t="n">
        <x:v>10128600</x:v>
      </x:c>
      <x:c r="E110" s="147" t="s">
        <x:v>368</x:v>
      </x:c>
    </x:row>
    <x:row r="111" spans="1:17">
      <x:c r="D111" s="147" t="n">
        <x:v>10128579</x:v>
      </x:c>
      <x:c r="E111" s="147" t="s">
        <x:v>364</x:v>
      </x:c>
    </x:row>
    <x:row r="112" spans="1:17">
      <x:c r="D112" s="147" t="n">
        <x:v>10128580</x:v>
      </x:c>
      <x:c r="E112" s="147" t="s">
        <x:v>368</x:v>
      </x:c>
    </x:row>
    <x:row r="113" spans="1:17">
      <x:c r="D113" s="147" t="n">
        <x:v>10128581</x:v>
      </x:c>
      <x:c r="E113" s="147" t="s">
        <x:v>368</x:v>
      </x:c>
    </x:row>
    <x:row r="114" spans="1:17">
      <x:c r="D114" s="147" t="n">
        <x:v>10128582</x:v>
      </x:c>
      <x:c r="E114" s="147" t="s">
        <x:v>371</x:v>
      </x:c>
    </x:row>
    <x:row r="115" spans="1:17">
      <x:c r="D115" s="147" t="n">
        <x:v>10128595</x:v>
      </x:c>
      <x:c r="E115" s="147" t="s">
        <x:v>371</x:v>
      </x:c>
    </x:row>
    <x:row r="116" spans="1:17">
      <x:c r="D116" s="147" t="n">
        <x:v>10128596</x:v>
      </x:c>
      <x:c r="E116" s="147" t="s">
        <x:v>363</x:v>
      </x:c>
    </x:row>
    <x:row r="117" spans="1:17">
      <x:c r="D117" s="147" t="n">
        <x:v>10128597</x:v>
      </x:c>
      <x:c r="E117" s="147" t="s">
        <x:v>368</x:v>
      </x:c>
    </x:row>
    <x:row r="118" spans="1:17">
      <x:c r="D118" s="147" t="n">
        <x:v>10128598</x:v>
      </x:c>
      <x:c r="E118" s="147" t="s">
        <x:v>371</x:v>
      </x:c>
    </x:row>
    <x:row r="119" spans="1:17">
      <x:c r="D119" s="147" t="n">
        <x:v>10128599</x:v>
      </x:c>
      <x:c r="E119" s="147" t="s">
        <x:v>364</x:v>
      </x:c>
    </x:row>
    <x:row r="120" spans="1:17">
      <x:c r="D120" s="147" t="n">
        <x:v>10128600</x:v>
      </x:c>
      <x:c r="E120" s="147" t="s">
        <x:v>368</x:v>
      </x:c>
    </x:row>
    <x:row r="121" spans="1:17">
      <x:c r="D121" s="147" t="n">
        <x:v>10128579</x:v>
      </x:c>
      <x:c r="E121" s="147" t="s">
        <x:v>364</x:v>
      </x:c>
    </x:row>
    <x:row r="122" spans="1:17">
      <x:c r="D122" s="147" t="n">
        <x:v>10128580</x:v>
      </x:c>
      <x:c r="E122" s="147" t="s">
        <x:v>368</x:v>
      </x:c>
    </x:row>
    <x:row r="123" spans="1:17">
      <x:c r="D123" s="147" t="n">
        <x:v>10128581</x:v>
      </x:c>
      <x:c r="E123" s="147" t="s">
        <x:v>368</x:v>
      </x:c>
    </x:row>
    <x:row r="124" spans="1:17">
      <x:c r="D124" s="147" t="n">
        <x:v>10128582</x:v>
      </x:c>
      <x:c r="E124" s="147" t="s">
        <x:v>371</x:v>
      </x:c>
    </x:row>
    <x:row r="125" spans="1:17">
      <x:c r="D125" s="147" t="n">
        <x:v>10128595</x:v>
      </x:c>
      <x:c r="E125" s="147" t="s">
        <x:v>371</x:v>
      </x:c>
    </x:row>
    <x:row r="126" spans="1:17">
      <x:c r="D126" s="147" t="n">
        <x:v>10128596</x:v>
      </x:c>
      <x:c r="E126" s="147" t="s">
        <x:v>363</x:v>
      </x:c>
    </x:row>
    <x:row r="127" spans="1:17">
      <x:c r="D127" s="147" t="n">
        <x:v>10128597</x:v>
      </x:c>
      <x:c r="E127" s="147" t="s">
        <x:v>368</x:v>
      </x:c>
    </x:row>
    <x:row r="128" spans="1:17">
      <x:c r="D128" s="147" t="n">
        <x:v>10128598</x:v>
      </x:c>
      <x:c r="E128" s="147" t="s">
        <x:v>371</x:v>
      </x:c>
    </x:row>
    <x:row r="129" spans="1:17">
      <x:c r="D129" s="147" t="n">
        <x:v>10128599</x:v>
      </x:c>
      <x:c r="E129" s="147" t="s">
        <x:v>364</x:v>
      </x:c>
    </x:row>
    <x:row r="130" spans="1:17">
      <x:c r="D130" s="147" t="n">
        <x:v>10128600</x:v>
      </x:c>
      <x:c r="E130" s="147" t="s">
        <x:v>368</x:v>
      </x:c>
    </x:row>
    <x:row r="131" spans="1:17">
      <x:c r="D131" s="147" t="n">
        <x:v>10128579</x:v>
      </x:c>
      <x:c r="E131" s="147" t="s">
        <x:v>364</x:v>
      </x:c>
    </x:row>
    <x:row r="132" spans="1:17">
      <x:c r="D132" s="147" t="n">
        <x:v>10128580</x:v>
      </x:c>
      <x:c r="E132" s="147" t="s">
        <x:v>368</x:v>
      </x:c>
    </x:row>
    <x:row r="133" spans="1:17">
      <x:c r="D133" s="147" t="n">
        <x:v>10128581</x:v>
      </x:c>
      <x:c r="E133" s="147" t="s">
        <x:v>368</x:v>
      </x:c>
    </x:row>
    <x:row r="134" spans="1:17">
      <x:c r="D134" s="147" t="n">
        <x:v>10128582</x:v>
      </x:c>
      <x:c r="E134" s="147" t="s">
        <x:v>371</x:v>
      </x:c>
    </x:row>
    <x:row r="135" spans="1:17">
      <x:c r="D135" s="147" t="n">
        <x:v>10128595</x:v>
      </x:c>
      <x:c r="E135" s="147" t="s">
        <x:v>371</x:v>
      </x:c>
    </x:row>
    <x:row r="136" spans="1:17">
      <x:c r="D136" s="147" t="n">
        <x:v>10128596</x:v>
      </x:c>
      <x:c r="E136" s="147" t="s">
        <x:v>363</x:v>
      </x:c>
    </x:row>
    <x:row r="137" spans="1:17">
      <x:c r="D137" s="147" t="n">
        <x:v>10128597</x:v>
      </x:c>
      <x:c r="E137" s="147" t="s">
        <x:v>368</x:v>
      </x:c>
    </x:row>
    <x:row r="138" spans="1:17">
      <x:c r="D138" s="147" t="n">
        <x:v>10128598</x:v>
      </x:c>
      <x:c r="E138" s="147" t="s">
        <x:v>371</x:v>
      </x:c>
    </x:row>
    <x:row r="139" spans="1:17">
      <x:c r="D139" s="147" t="n">
        <x:v>10128599</x:v>
      </x:c>
      <x:c r="E139" s="147" t="s">
        <x:v>364</x:v>
      </x:c>
    </x:row>
    <x:row r="140" spans="1:17">
      <x:c r="D140" s="147" t="n">
        <x:v>10128600</x:v>
      </x:c>
      <x:c r="E140" s="147" t="s">
        <x:v>368</x:v>
      </x:c>
    </x:row>
    <x:row r="141" spans="1:17">
      <x:c r="D141" s="147" t="n">
        <x:v>10128579</x:v>
      </x:c>
      <x:c r="E141" s="147" t="s">
        <x:v>364</x:v>
      </x:c>
    </x:row>
    <x:row r="142" spans="1:17">
      <x:c r="D142" s="147" t="n">
        <x:v>10128580</x:v>
      </x:c>
      <x:c r="E142" s="147" t="s">
        <x:v>368</x:v>
      </x:c>
    </x:row>
    <x:row r="143" spans="1:17">
      <x:c r="D143" s="147" t="n">
        <x:v>10128581</x:v>
      </x:c>
      <x:c r="E143" s="147" t="s">
        <x:v>368</x:v>
      </x:c>
    </x:row>
    <x:row r="144" spans="1:17">
      <x:c r="D144" s="147" t="n">
        <x:v>10128582</x:v>
      </x:c>
      <x:c r="E144" s="147" t="s">
        <x:v>371</x:v>
      </x:c>
    </x:row>
    <x:row r="145" spans="1:17">
      <x:c r="D145" s="147" t="n">
        <x:v>10128595</x:v>
      </x:c>
      <x:c r="E145" s="147" t="s">
        <x:v>371</x:v>
      </x:c>
    </x:row>
    <x:row r="146" spans="1:17">
      <x:c r="D146" s="147" t="n">
        <x:v>10128596</x:v>
      </x:c>
      <x:c r="E146" s="147" t="s">
        <x:v>363</x:v>
      </x:c>
    </x:row>
    <x:row r="147" spans="1:17">
      <x:c r="D147" s="147" t="n">
        <x:v>10128597</x:v>
      </x:c>
      <x:c r="E147" s="147" t="s">
        <x:v>368</x:v>
      </x:c>
    </x:row>
    <x:row r="148" spans="1:17">
      <x:c r="D148" s="147" t="n">
        <x:v>10128598</x:v>
      </x:c>
      <x:c r="E148" s="147" t="s">
        <x:v>371</x:v>
      </x:c>
    </x:row>
    <x:row r="149" spans="1:17">
      <x:c r="D149" s="147" t="n">
        <x:v>10128599</x:v>
      </x:c>
      <x:c r="E149" s="147" t="s">
        <x:v>364</x:v>
      </x:c>
    </x:row>
    <x:row r="150" spans="1:17">
      <x:c r="D150" s="147" t="n">
        <x:v>10128600</x:v>
      </x:c>
      <x:c r="E150" s="147" t="s">
        <x:v>368</x:v>
      </x:c>
    </x:row>
    <x:row r="151" spans="1:17">
      <x:c r="D151" s="147" t="n">
        <x:v>10128579</x:v>
      </x:c>
      <x:c r="E151" s="147" t="s">
        <x:v>364</x:v>
      </x:c>
    </x:row>
    <x:row r="152" spans="1:17">
      <x:c r="D152" s="147" t="n">
        <x:v>10128580</x:v>
      </x:c>
      <x:c r="E152" s="147" t="s">
        <x:v>368</x:v>
      </x:c>
    </x:row>
    <x:row r="153" spans="1:17">
      <x:c r="D153" s="147" t="n">
        <x:v>10128581</x:v>
      </x:c>
      <x:c r="E153" s="147" t="s">
        <x:v>368</x:v>
      </x:c>
    </x:row>
    <x:row r="154" spans="1:17">
      <x:c r="D154" s="147" t="n">
        <x:v>10128582</x:v>
      </x:c>
      <x:c r="E154" s="147" t="s">
        <x:v>371</x:v>
      </x:c>
    </x:row>
    <x:row r="155" spans="1:17">
      <x:c r="D155" s="147" t="n">
        <x:v>10128595</x:v>
      </x:c>
      <x:c r="E155" s="147" t="s">
        <x:v>371</x:v>
      </x:c>
    </x:row>
    <x:row r="156" spans="1:17">
      <x:c r="D156" s="147" t="n">
        <x:v>10128596</x:v>
      </x:c>
      <x:c r="E156" s="147" t="s">
        <x:v>363</x:v>
      </x:c>
    </x:row>
    <x:row r="157" spans="1:17">
      <x:c r="D157" s="147" t="n">
        <x:v>10128597</x:v>
      </x:c>
      <x:c r="E157" s="147" t="s">
        <x:v>368</x:v>
      </x:c>
    </x:row>
    <x:row r="158" spans="1:17">
      <x:c r="D158" s="147" t="n">
        <x:v>10128598</x:v>
      </x:c>
      <x:c r="E158" s="147" t="s">
        <x:v>371</x:v>
      </x:c>
    </x:row>
    <x:row r="159" spans="1:17">
      <x:c r="D159" s="147" t="n">
        <x:v>10128599</x:v>
      </x:c>
      <x:c r="E159" s="147" t="s">
        <x:v>364</x:v>
      </x:c>
    </x:row>
    <x:row r="160" spans="1:17">
      <x:c r="D160" s="147" t="n">
        <x:v>10128600</x:v>
      </x:c>
      <x:c r="E160" s="147" t="s">
        <x:v>368</x:v>
      </x:c>
    </x:row>
    <x:row r="161" spans="1:17">
      <x:c r="D161" s="147" t="n">
        <x:v>10128579</x:v>
      </x:c>
      <x:c r="E161" s="147" t="s">
        <x:v>364</x:v>
      </x:c>
    </x:row>
    <x:row r="162" spans="1:17">
      <x:c r="D162" s="147" t="n">
        <x:v>10128580</x:v>
      </x:c>
      <x:c r="E162" s="147" t="s">
        <x:v>368</x:v>
      </x:c>
    </x:row>
    <x:row r="163" spans="1:17">
      <x:c r="D163" s="147" t="n">
        <x:v>10128581</x:v>
      </x:c>
      <x:c r="E163" s="147" t="s">
        <x:v>368</x:v>
      </x:c>
    </x:row>
    <x:row r="164" spans="1:17">
      <x:c r="D164" s="147" t="n">
        <x:v>10128582</x:v>
      </x:c>
      <x:c r="E164" s="147" t="s">
        <x:v>371</x:v>
      </x:c>
    </x:row>
    <x:row r="165" spans="1:17">
      <x:c r="D165" s="147" t="n">
        <x:v>10128595</x:v>
      </x:c>
      <x:c r="E165" s="147" t="s">
        <x:v>371</x:v>
      </x:c>
    </x:row>
    <x:row r="166" spans="1:17">
      <x:c r="D166" s="147" t="n">
        <x:v>10128596</x:v>
      </x:c>
      <x:c r="E166" s="147" t="s">
        <x:v>363</x:v>
      </x:c>
    </x:row>
    <x:row r="167" spans="1:17">
      <x:c r="D167" s="147" t="n">
        <x:v>10128597</x:v>
      </x:c>
      <x:c r="E167" s="147" t="s">
        <x:v>368</x:v>
      </x:c>
    </x:row>
    <x:row r="168" spans="1:17">
      <x:c r="D168" s="147" t="n">
        <x:v>10128598</x:v>
      </x:c>
      <x:c r="E168" s="147" t="s">
        <x:v>371</x:v>
      </x:c>
    </x:row>
    <x:row r="169" spans="1:17">
      <x:c r="D169" s="147" t="n">
        <x:v>10128599</x:v>
      </x:c>
      <x:c r="E169" s="147" t="s">
        <x:v>364</x:v>
      </x:c>
    </x:row>
    <x:row r="170" spans="1:17">
      <x:c r="D170" s="147" t="n">
        <x:v>10128600</x:v>
      </x:c>
      <x:c r="E170" s="147" t="s">
        <x:v>368</x:v>
      </x:c>
    </x:row>
    <x:row r="171" spans="1:17">
      <x:c r="D171" s="147" t="n">
        <x:v>10128579</x:v>
      </x:c>
      <x:c r="E171" s="147" t="s">
        <x:v>364</x:v>
      </x:c>
    </x:row>
    <x:row r="172" spans="1:17">
      <x:c r="D172" s="147" t="n">
        <x:v>10128580</x:v>
      </x:c>
      <x:c r="E172" s="147" t="s">
        <x:v>368</x:v>
      </x:c>
    </x:row>
    <x:row r="173" spans="1:17">
      <x:c r="D173" s="147" t="n">
        <x:v>10128581</x:v>
      </x:c>
      <x:c r="E173" s="147" t="s">
        <x:v>368</x:v>
      </x:c>
    </x:row>
    <x:row r="174" spans="1:17">
      <x:c r="D174" s="147" t="n">
        <x:v>10128582</x:v>
      </x:c>
      <x:c r="E174" s="147" t="s">
        <x:v>371</x:v>
      </x:c>
    </x:row>
    <x:row r="175" spans="1:17">
      <x:c r="D175" s="147" t="n">
        <x:v>10128595</x:v>
      </x:c>
      <x:c r="E175" s="147" t="s">
        <x:v>371</x:v>
      </x:c>
    </x:row>
    <x:row r="176" spans="1:17">
      <x:c r="D176" s="147" t="n">
        <x:v>10128596</x:v>
      </x:c>
      <x:c r="E176" s="147" t="s">
        <x:v>363</x:v>
      </x:c>
    </x:row>
    <x:row r="177" spans="1:17">
      <x:c r="D177" s="147" t="n">
        <x:v>10128597</x:v>
      </x:c>
      <x:c r="E177" s="147" t="s">
        <x:v>368</x:v>
      </x:c>
    </x:row>
    <x:row r="178" spans="1:17">
      <x:c r="D178" s="147" t="n">
        <x:v>10128598</x:v>
      </x:c>
      <x:c r="E178" s="147" t="s">
        <x:v>371</x:v>
      </x:c>
    </x:row>
    <x:row r="179" spans="1:17">
      <x:c r="D179" s="147" t="n">
        <x:v>10128599</x:v>
      </x:c>
      <x:c r="E179" s="147" t="s">
        <x:v>364</x:v>
      </x:c>
    </x:row>
    <x:row r="180" spans="1:17">
      <x:c r="D180" s="147" t="n">
        <x:v>10128600</x:v>
      </x:c>
      <x:c r="E180" s="147" t="s">
        <x:v>368</x:v>
      </x:c>
    </x:row>
    <x:row r="181" spans="1:17">
      <x:c r="D181" s="147" t="n">
        <x:v>10128579</x:v>
      </x:c>
      <x:c r="E181" s="147" t="s">
        <x:v>364</x:v>
      </x:c>
    </x:row>
    <x:row r="182" spans="1:17">
      <x:c r="D182" s="147" t="n">
        <x:v>10128580</x:v>
      </x:c>
      <x:c r="E182" s="147" t="s">
        <x:v>368</x:v>
      </x:c>
    </x:row>
    <x:row r="183" spans="1:17">
      <x:c r="D183" s="147" t="n">
        <x:v>10128581</x:v>
      </x:c>
      <x:c r="E183" s="147" t="s">
        <x:v>368</x:v>
      </x:c>
    </x:row>
    <x:row r="184" spans="1:17">
      <x:c r="D184" s="147" t="n">
        <x:v>10128582</x:v>
      </x:c>
      <x:c r="E184" s="147" t="s">
        <x:v>371</x:v>
      </x:c>
    </x:row>
    <x:row r="185" spans="1:17">
      <x:c r="D185" s="147" t="n">
        <x:v>10128595</x:v>
      </x:c>
      <x:c r="E185" s="147" t="s">
        <x:v>371</x:v>
      </x:c>
    </x:row>
    <x:row r="186" spans="1:17">
      <x:c r="D186" s="147" t="n">
        <x:v>10128596</x:v>
      </x:c>
      <x:c r="E186" s="147" t="s">
        <x:v>363</x:v>
      </x:c>
    </x:row>
    <x:row r="187" spans="1:17">
      <x:c r="D187" s="147" t="n">
        <x:v>10128597</x:v>
      </x:c>
      <x:c r="E187" s="147" t="s">
        <x:v>368</x:v>
      </x:c>
    </x:row>
    <x:row r="188" spans="1:17">
      <x:c r="D188" s="147" t="n">
        <x:v>10128598</x:v>
      </x:c>
      <x:c r="E188" s="147" t="s">
        <x:v>371</x:v>
      </x:c>
    </x:row>
    <x:row r="189" spans="1:17">
      <x:c r="D189" s="147" t="n">
        <x:v>10128599</x:v>
      </x:c>
      <x:c r="E189" s="147" t="s">
        <x:v>364</x:v>
      </x:c>
    </x:row>
    <x:row r="190" spans="1:17">
      <x:c r="D190" s="147" t="n">
        <x:v>10128600</x:v>
      </x:c>
      <x:c r="E190" s="147" t="s">
        <x:v>368</x:v>
      </x:c>
    </x:row>
    <x:row r="191" spans="1:17">
      <x:c r="D191" s="147" t="n">
        <x:v>10128579</x:v>
      </x:c>
      <x:c r="E191" s="147" t="s">
        <x:v>364</x:v>
      </x:c>
    </x:row>
    <x:row r="192" spans="1:17">
      <x:c r="D192" s="147" t="n">
        <x:v>10128580</x:v>
      </x:c>
      <x:c r="E192" s="147" t="s">
        <x:v>368</x:v>
      </x:c>
    </x:row>
    <x:row r="193" spans="1:17">
      <x:c r="D193" s="147" t="n">
        <x:v>10128581</x:v>
      </x:c>
      <x:c r="E193" s="147" t="s">
        <x:v>368</x:v>
      </x:c>
    </x:row>
    <x:row r="194" spans="1:17">
      <x:c r="D194" s="147" t="n">
        <x:v>10128582</x:v>
      </x:c>
      <x:c r="E194" s="147" t="s">
        <x:v>371</x:v>
      </x:c>
    </x:row>
    <x:row r="195" spans="1:17">
      <x:c r="D195" s="147" t="n">
        <x:v>10128595</x:v>
      </x:c>
      <x:c r="E195" s="147" t="s">
        <x:v>371</x:v>
      </x:c>
    </x:row>
    <x:row r="196" spans="1:17">
      <x:c r="D196" s="147" t="n">
        <x:v>10128596</x:v>
      </x:c>
      <x:c r="E196" s="147" t="s">
        <x:v>363</x:v>
      </x:c>
    </x:row>
    <x:row r="197" spans="1:17">
      <x:c r="D197" s="147" t="n">
        <x:v>10128597</x:v>
      </x:c>
      <x:c r="E197" s="147" t="s">
        <x:v>368</x:v>
      </x:c>
    </x:row>
    <x:row r="198" spans="1:17">
      <x:c r="D198" s="147" t="n">
        <x:v>10128598</x:v>
      </x:c>
      <x:c r="E198" s="147" t="s">
        <x:v>371</x:v>
      </x:c>
    </x:row>
    <x:row r="199" spans="1:17">
      <x:c r="D199" s="147" t="n">
        <x:v>10128599</x:v>
      </x:c>
      <x:c r="E199" s="147" t="s">
        <x:v>364</x:v>
      </x:c>
    </x:row>
    <x:row r="200" spans="1:17">
      <x:c r="D200" s="147" t="n">
        <x:v>10128600</x:v>
      </x:c>
      <x:c r="E200" s="147" t="s">
        <x:v>368</x:v>
      </x:c>
    </x:row>
    <x:row r="201" spans="1:17">
      <x:c r="D201" s="147" t="n">
        <x:v>10128579</x:v>
      </x:c>
      <x:c r="E201" s="147" t="s">
        <x:v>364</x:v>
      </x:c>
    </x:row>
    <x:row r="202" spans="1:17">
      <x:c r="D202" s="147" t="n">
        <x:v>10128580</x:v>
      </x:c>
      <x:c r="E202" s="147" t="s">
        <x:v>368</x:v>
      </x:c>
    </x:row>
    <x:row r="203" spans="1:17">
      <x:c r="D203" s="147" t="n">
        <x:v>10128581</x:v>
      </x:c>
      <x:c r="E203" s="147" t="s">
        <x:v>368</x:v>
      </x:c>
    </x:row>
    <x:row r="204" spans="1:17">
      <x:c r="D204" s="147" t="n">
        <x:v>10128582</x:v>
      </x:c>
      <x:c r="E204" s="147" t="s">
        <x:v>371</x:v>
      </x:c>
    </x:row>
    <x:row r="205" spans="1:17">
      <x:c r="D205" s="147" t="n">
        <x:v>10128595</x:v>
      </x:c>
      <x:c r="E205" s="147" t="s">
        <x:v>371</x:v>
      </x:c>
    </x:row>
    <x:row r="206" spans="1:17">
      <x:c r="D206" s="147" t="n">
        <x:v>10128596</x:v>
      </x:c>
      <x:c r="E206" s="147" t="s">
        <x:v>363</x:v>
      </x:c>
    </x:row>
    <x:row r="207" spans="1:17">
      <x:c r="D207" s="147" t="n">
        <x:v>10128597</x:v>
      </x:c>
      <x:c r="E207" s="147" t="s">
        <x:v>368</x:v>
      </x:c>
    </x:row>
    <x:row r="208" spans="1:17">
      <x:c r="D208" s="147" t="n">
        <x:v>10128598</x:v>
      </x:c>
      <x:c r="E208" s="147" t="s">
        <x:v>371</x:v>
      </x:c>
    </x:row>
    <x:row r="209" spans="1:17">
      <x:c r="D209" s="147" t="n">
        <x:v>10128599</x:v>
      </x:c>
      <x:c r="E209" s="147" t="s">
        <x:v>364</x:v>
      </x:c>
    </x:row>
    <x:row r="210" spans="1:17">
      <x:c r="D210" s="147" t="n">
        <x:v>10128600</x:v>
      </x:c>
      <x:c r="E210" s="147" t="s">
        <x:v>368</x:v>
      </x:c>
    </x:row>
    <x:row r="211" spans="1:17">
      <x:c r="D211" s="147" t="n">
        <x:v>10128579</x:v>
      </x:c>
      <x:c r="E211" s="147" t="s">
        <x:v>364</x:v>
      </x:c>
    </x:row>
    <x:row r="212" spans="1:17">
      <x:c r="D212" s="147" t="n">
        <x:v>10128580</x:v>
      </x:c>
      <x:c r="E212" s="147" t="s">
        <x:v>368</x:v>
      </x:c>
    </x:row>
    <x:row r="213" spans="1:17">
      <x:c r="D213" s="147" t="n">
        <x:v>10128581</x:v>
      </x:c>
      <x:c r="E213" s="147" t="s">
        <x:v>368</x:v>
      </x:c>
    </x:row>
    <x:row r="214" spans="1:17">
      <x:c r="D214" s="147" t="n">
        <x:v>10128582</x:v>
      </x:c>
      <x:c r="E214" s="147" t="s">
        <x:v>371</x:v>
      </x:c>
    </x:row>
    <x:row r="215" spans="1:17">
      <x:c r="D215" s="147" t="n">
        <x:v>10128595</x:v>
      </x:c>
      <x:c r="E215" s="147" t="s">
        <x:v>371</x:v>
      </x:c>
    </x:row>
    <x:row r="216" spans="1:17">
      <x:c r="D216" s="147" t="n">
        <x:v>10128596</x:v>
      </x:c>
      <x:c r="E216" s="147" t="s">
        <x:v>363</x:v>
      </x:c>
    </x:row>
    <x:row r="217" spans="1:17">
      <x:c r="D217" s="147" t="n">
        <x:v>10128597</x:v>
      </x:c>
      <x:c r="E217" s="147" t="s">
        <x:v>368</x:v>
      </x:c>
    </x:row>
    <x:row r="218" spans="1:17">
      <x:c r="D218" s="147" t="n">
        <x:v>10128598</x:v>
      </x:c>
      <x:c r="E218" s="147" t="s">
        <x:v>371</x:v>
      </x:c>
    </x:row>
    <x:row r="219" spans="1:17">
      <x:c r="D219" s="147" t="n">
        <x:v>10128599</x:v>
      </x:c>
      <x:c r="E219" s="147" t="s">
        <x:v>364</x:v>
      </x:c>
    </x:row>
    <x:row r="220" spans="1:17">
      <x:c r="D220" s="147" t="n">
        <x:v>10128600</x:v>
      </x:c>
      <x:c r="E220" s="147" t="s">
        <x:v>368</x:v>
      </x:c>
    </x:row>
    <x:row r="221" spans="1:17">
      <x:c r="D221" s="147" t="n">
        <x:v>10128579</x:v>
      </x:c>
      <x:c r="E221" s="147" t="s">
        <x:v>364</x:v>
      </x:c>
    </x:row>
    <x:row r="222" spans="1:17">
      <x:c r="D222" s="147" t="n">
        <x:v>10128580</x:v>
      </x:c>
      <x:c r="E222" s="147" t="s">
        <x:v>368</x:v>
      </x:c>
    </x:row>
    <x:row r="223" spans="1:17">
      <x:c r="D223" s="147" t="n">
        <x:v>10128581</x:v>
      </x:c>
      <x:c r="E223" s="147" t="s">
        <x:v>368</x:v>
      </x:c>
    </x:row>
    <x:row r="224" spans="1:17">
      <x:c r="D224" s="147" t="n">
        <x:v>10128582</x:v>
      </x:c>
      <x:c r="E224" s="147" t="s">
        <x:v>371</x:v>
      </x:c>
    </x:row>
    <x:row r="225" spans="1:17">
      <x:c r="D225" s="147" t="n">
        <x:v>10128595</x:v>
      </x:c>
      <x:c r="E225" s="147" t="s">
        <x:v>371</x:v>
      </x:c>
    </x:row>
    <x:row r="226" spans="1:17">
      <x:c r="D226" s="147" t="n">
        <x:v>10128596</x:v>
      </x:c>
      <x:c r="E226" s="147" t="s">
        <x:v>363</x:v>
      </x:c>
    </x:row>
    <x:row r="227" spans="1:17">
      <x:c r="D227" s="147" t="n">
        <x:v>10128597</x:v>
      </x:c>
      <x:c r="E227" s="147" t="s">
        <x:v>368</x:v>
      </x:c>
    </x:row>
    <x:row r="228" spans="1:17">
      <x:c r="D228" s="147" t="n">
        <x:v>10128598</x:v>
      </x:c>
      <x:c r="E228" s="147" t="s">
        <x:v>371</x:v>
      </x:c>
    </x:row>
    <x:row r="229" spans="1:17">
      <x:c r="D229" s="147" t="n">
        <x:v>10128599</x:v>
      </x:c>
      <x:c r="E229" s="147" t="s">
        <x:v>364</x:v>
      </x:c>
    </x:row>
    <x:row r="230" spans="1:17">
      <x:c r="D230" s="147" t="n">
        <x:v>10128600</x:v>
      </x:c>
      <x:c r="E230" s="147" t="s">
        <x:v>368</x:v>
      </x:c>
    </x:row>
    <x:row r="231" spans="1:17">
      <x:c r="D231" s="147" t="n">
        <x:v>10128579</x:v>
      </x:c>
      <x:c r="E231" s="147" t="s">
        <x:v>364</x:v>
      </x:c>
    </x:row>
    <x:row r="232" spans="1:17">
      <x:c r="D232" s="147" t="n">
        <x:v>10128580</x:v>
      </x:c>
      <x:c r="E232" s="147" t="s">
        <x:v>368</x:v>
      </x:c>
    </x:row>
    <x:row r="233" spans="1:17">
      <x:c r="D233" s="147" t="n">
        <x:v>10128581</x:v>
      </x:c>
      <x:c r="E233" s="147" t="s">
        <x:v>368</x:v>
      </x:c>
    </x:row>
    <x:row r="234" spans="1:17">
      <x:c r="D234" s="147" t="n">
        <x:v>10128582</x:v>
      </x:c>
      <x:c r="E234" s="147" t="s">
        <x:v>371</x:v>
      </x:c>
    </x:row>
    <x:row r="235" spans="1:17">
      <x:c r="D235" s="147" t="n">
        <x:v>10128595</x:v>
      </x:c>
      <x:c r="E235" s="147" t="s">
        <x:v>371</x:v>
      </x:c>
    </x:row>
    <x:row r="236" spans="1:17">
      <x:c r="D236" s="147" t="n">
        <x:v>10128596</x:v>
      </x:c>
      <x:c r="E236" s="147" t="s">
        <x:v>363</x:v>
      </x:c>
    </x:row>
    <x:row r="237" spans="1:17">
      <x:c r="D237" s="147" t="n">
        <x:v>10128597</x:v>
      </x:c>
      <x:c r="E237" s="147" t="s">
        <x:v>368</x:v>
      </x:c>
    </x:row>
    <x:row r="238" spans="1:17">
      <x:c r="D238" s="147" t="n">
        <x:v>10128598</x:v>
      </x:c>
      <x:c r="E238" s="147" t="s">
        <x:v>371</x:v>
      </x:c>
    </x:row>
    <x:row r="239" spans="1:17">
      <x:c r="D239" s="147" t="n">
        <x:v>10128599</x:v>
      </x:c>
      <x:c r="E239" s="147" t="s">
        <x:v>364</x:v>
      </x:c>
    </x:row>
    <x:row r="240" spans="1:17">
      <x:c r="D240" s="147" t="n">
        <x:v>10128600</x:v>
      </x:c>
      <x:c r="E240" s="147" t="s">
        <x:v>368</x:v>
      </x:c>
    </x:row>
    <x:row r="241" spans="1:17">
      <x:c r="D241" s="147" t="n">
        <x:v>10128579</x:v>
      </x:c>
      <x:c r="E241" s="147" t="s">
        <x:v>364</x:v>
      </x:c>
    </x:row>
    <x:row r="242" spans="1:17">
      <x:c r="D242" s="147" t="n">
        <x:v>10128580</x:v>
      </x:c>
      <x:c r="E242" s="147" t="s">
        <x:v>368</x:v>
      </x:c>
    </x:row>
    <x:row r="243" spans="1:17">
      <x:c r="D243" s="147" t="n">
        <x:v>10128581</x:v>
      </x:c>
      <x:c r="E243" s="147" t="s">
        <x:v>368</x:v>
      </x:c>
    </x:row>
    <x:row r="244" spans="1:17">
      <x:c r="D244" s="147" t="n">
        <x:v>10128582</x:v>
      </x:c>
      <x:c r="E244" s="147" t="s">
        <x:v>371</x:v>
      </x:c>
    </x:row>
    <x:row r="245" spans="1:17">
      <x:c r="D245" s="147" t="n">
        <x:v>10128595</x:v>
      </x:c>
      <x:c r="E245" s="147" t="s">
        <x:v>371</x:v>
      </x:c>
    </x:row>
    <x:row r="246" spans="1:17">
      <x:c r="D246" s="147" t="n">
        <x:v>10128596</x:v>
      </x:c>
      <x:c r="E246" s="147" t="s">
        <x:v>363</x:v>
      </x:c>
    </x:row>
    <x:row r="247" spans="1:17">
      <x:c r="D247" s="147" t="n">
        <x:v>10128597</x:v>
      </x:c>
      <x:c r="E247" s="147" t="s">
        <x:v>368</x:v>
      </x:c>
    </x:row>
    <x:row r="248" spans="1:17">
      <x:c r="D248" s="147" t="n">
        <x:v>10128598</x:v>
      </x:c>
      <x:c r="E248" s="147" t="s">
        <x:v>371</x:v>
      </x:c>
    </x:row>
    <x:row r="249" spans="1:17">
      <x:c r="D249" s="147" t="n">
        <x:v>10128599</x:v>
      </x:c>
      <x:c r="E249" s="147" t="s">
        <x:v>364</x:v>
      </x:c>
    </x:row>
    <x:row r="250" spans="1:17">
      <x:c r="D250" s="147" t="n">
        <x:v>10128600</x:v>
      </x:c>
      <x:c r="E250" s="147" t="s">
        <x:v>368</x:v>
      </x:c>
    </x:row>
    <x:row r="251" spans="1:17">
      <x:c r="D251" s="147" t="n">
        <x:v>10128579</x:v>
      </x:c>
      <x:c r="E251" s="147" t="s">
        <x:v>364</x:v>
      </x:c>
    </x:row>
    <x:row r="252" spans="1:17">
      <x:c r="D252" s="147" t="n">
        <x:v>10128580</x:v>
      </x:c>
      <x:c r="E252" s="147" t="s">
        <x:v>368</x:v>
      </x:c>
    </x:row>
    <x:row r="253" spans="1:17">
      <x:c r="D253" s="147" t="n">
        <x:v>10128581</x:v>
      </x:c>
      <x:c r="E253" s="147" t="s">
        <x:v>368</x:v>
      </x:c>
    </x:row>
    <x:row r="254" spans="1:17">
      <x:c r="D254" s="147" t="n">
        <x:v>10128582</x:v>
      </x:c>
      <x:c r="E254" s="147" t="s">
        <x:v>371</x:v>
      </x:c>
    </x:row>
    <x:row r="255" spans="1:17">
      <x:c r="D255" s="147" t="n">
        <x:v>10128595</x:v>
      </x:c>
      <x:c r="E255" s="147" t="s">
        <x:v>371</x:v>
      </x:c>
    </x:row>
    <x:row r="256" spans="1:17">
      <x:c r="D256" s="147" t="n">
        <x:v>10128596</x:v>
      </x:c>
      <x:c r="E256" s="147" t="s">
        <x:v>363</x:v>
      </x:c>
    </x:row>
    <x:row r="257" spans="1:17">
      <x:c r="D257" s="147" t="n">
        <x:v>10128597</x:v>
      </x:c>
      <x:c r="E257" s="147" t="s">
        <x:v>368</x:v>
      </x:c>
    </x:row>
    <x:row r="258" spans="1:17">
      <x:c r="D258" s="147" t="n">
        <x:v>10128598</x:v>
      </x:c>
      <x:c r="E258" s="147" t="s">
        <x:v>371</x:v>
      </x:c>
    </x:row>
    <x:row r="259" spans="1:17">
      <x:c r="D259" s="147" t="n">
        <x:v>10128599</x:v>
      </x:c>
      <x:c r="E259" s="147" t="s">
        <x:v>364</x:v>
      </x:c>
    </x:row>
    <x:row r="260" spans="1:17">
      <x:c r="D260" s="147" t="n">
        <x:v>10128600</x:v>
      </x:c>
      <x:c r="E260" s="147" t="s">
        <x:v>368</x:v>
      </x:c>
    </x:row>
    <x:row r="261" spans="1:17">
      <x:c r="D261" s="147" t="n">
        <x:v>10128579</x:v>
      </x:c>
      <x:c r="E261" s="147" t="s">
        <x:v>364</x:v>
      </x:c>
    </x:row>
    <x:row r="262" spans="1:17">
      <x:c r="D262" s="147" t="n">
        <x:v>10128580</x:v>
      </x:c>
      <x:c r="E262" s="147" t="s">
        <x:v>368</x:v>
      </x:c>
    </x:row>
    <x:row r="263" spans="1:17">
      <x:c r="D263" s="147" t="n">
        <x:v>10128581</x:v>
      </x:c>
      <x:c r="E263" s="147" t="s">
        <x:v>368</x:v>
      </x:c>
    </x:row>
    <x:row r="264" spans="1:17">
      <x:c r="D264" s="147" t="n">
        <x:v>10128582</x:v>
      </x:c>
      <x:c r="E264" s="147" t="s">
        <x:v>371</x:v>
      </x:c>
    </x:row>
    <x:row r="265" spans="1:17">
      <x:c r="D265" s="147" t="n">
        <x:v>10128595</x:v>
      </x:c>
      <x:c r="E265" s="147" t="s">
        <x:v>371</x:v>
      </x:c>
    </x:row>
    <x:row r="266" spans="1:17">
      <x:c r="D266" s="147" t="n">
        <x:v>10128596</x:v>
      </x:c>
      <x:c r="E266" s="147" t="s">
        <x:v>363</x:v>
      </x:c>
    </x:row>
    <x:row r="267" spans="1:17">
      <x:c r="D267" s="147" t="n">
        <x:v>10128597</x:v>
      </x:c>
      <x:c r="E267" s="147" t="s">
        <x:v>368</x:v>
      </x:c>
    </x:row>
    <x:row r="268" spans="1:17">
      <x:c r="D268" s="147" t="n">
        <x:v>10128598</x:v>
      </x:c>
      <x:c r="E268" s="147" t="s">
        <x:v>371</x:v>
      </x:c>
    </x:row>
    <x:row r="269" spans="1:17">
      <x:c r="D269" s="147" t="n">
        <x:v>10128599</x:v>
      </x:c>
      <x:c r="E269" s="147" t="s">
        <x:v>364</x:v>
      </x:c>
    </x:row>
    <x:row r="270" spans="1:17">
      <x:c r="D270" s="147" t="n">
        <x:v>10128600</x:v>
      </x:c>
      <x:c r="E270" s="147" t="s">
        <x:v>368</x:v>
      </x:c>
    </x:row>
    <x:row r="271" spans="1:17">
      <x:c r="D271" s="147" t="n">
        <x:v>10128579</x:v>
      </x:c>
      <x:c r="E271" s="147" t="s">
        <x:v>364</x:v>
      </x:c>
    </x:row>
    <x:row r="272" spans="1:17">
      <x:c r="D272" s="147" t="n">
        <x:v>10128580</x:v>
      </x:c>
      <x:c r="E272" s="147" t="s">
        <x:v>368</x:v>
      </x:c>
    </x:row>
    <x:row r="273" spans="1:17">
      <x:c r="D273" s="147" t="n">
        <x:v>10128581</x:v>
      </x:c>
      <x:c r="E273" s="147" t="s">
        <x:v>368</x:v>
      </x:c>
    </x:row>
    <x:row r="274" spans="1:17">
      <x:c r="D274" s="147" t="n">
        <x:v>10128582</x:v>
      </x:c>
      <x:c r="E274" s="147" t="s">
        <x:v>371</x:v>
      </x:c>
    </x:row>
    <x:row r="275" spans="1:17">
      <x:c r="D275" s="147" t="n">
        <x:v>10128595</x:v>
      </x:c>
      <x:c r="E275" s="147" t="s">
        <x:v>371</x:v>
      </x:c>
    </x:row>
    <x:row r="276" spans="1:17">
      <x:c r="D276" s="147" t="n">
        <x:v>10128596</x:v>
      </x:c>
      <x:c r="E276" s="147" t="s">
        <x:v>363</x:v>
      </x:c>
    </x:row>
    <x:row r="277" spans="1:17">
      <x:c r="D277" s="147" t="n">
        <x:v>10128597</x:v>
      </x:c>
      <x:c r="E277" s="147" t="s">
        <x:v>368</x:v>
      </x:c>
    </x:row>
    <x:row r="278" spans="1:17">
      <x:c r="D278" s="147" t="n">
        <x:v>10128598</x:v>
      </x:c>
      <x:c r="E278" s="147" t="s">
        <x:v>371</x:v>
      </x:c>
    </x:row>
    <x:row r="279" spans="1:17">
      <x:c r="D279" s="147" t="n">
        <x:v>10128599</x:v>
      </x:c>
      <x:c r="E279" s="147" t="s">
        <x:v>364</x:v>
      </x:c>
    </x:row>
    <x:row r="280" spans="1:17">
      <x:c r="D280" s="147" t="n">
        <x:v>10128600</x:v>
      </x:c>
      <x:c r="E280" s="147" t="s">
        <x:v>368</x:v>
      </x:c>
    </x:row>
    <x:row r="281" spans="1:17">
      <x:c r="D281" s="147" t="n">
        <x:v>10128579</x:v>
      </x:c>
      <x:c r="E281" s="147" t="s">
        <x:v>364</x:v>
      </x:c>
    </x:row>
    <x:row r="282" spans="1:17">
      <x:c r="D282" s="147" t="n">
        <x:v>10128580</x:v>
      </x:c>
      <x:c r="E282" s="147" t="s">
        <x:v>368</x:v>
      </x:c>
    </x:row>
    <x:row r="283" spans="1:17">
      <x:c r="D283" s="147" t="n">
        <x:v>10128581</x:v>
      </x:c>
      <x:c r="E283" s="147" t="s">
        <x:v>368</x:v>
      </x:c>
    </x:row>
    <x:row r="284" spans="1:17">
      <x:c r="D284" s="147" t="n">
        <x:v>10128582</x:v>
      </x:c>
      <x:c r="E284" s="147" t="s">
        <x:v>371</x:v>
      </x:c>
    </x:row>
    <x:row r="285" spans="1:17">
      <x:c r="D285" s="147" t="n">
        <x:v>10128595</x:v>
      </x:c>
      <x:c r="E285" s="147" t="s">
        <x:v>371</x:v>
      </x:c>
    </x:row>
    <x:row r="286" spans="1:17">
      <x:c r="D286" s="147" t="n">
        <x:v>10128596</x:v>
      </x:c>
      <x:c r="E286" s="147" t="s">
        <x:v>363</x:v>
      </x:c>
    </x:row>
    <x:row r="287" spans="1:17">
      <x:c r="D287" s="147" t="n">
        <x:v>10128597</x:v>
      </x:c>
      <x:c r="E287" s="147" t="s">
        <x:v>368</x:v>
      </x:c>
    </x:row>
    <x:row r="288" spans="1:17">
      <x:c r="D288" s="147" t="n">
        <x:v>10128598</x:v>
      </x:c>
      <x:c r="E288" s="147" t="s">
        <x:v>371</x:v>
      </x:c>
    </x:row>
    <x:row r="289" spans="1:17">
      <x:c r="D289" s="147" t="n">
        <x:v>10128599</x:v>
      </x:c>
      <x:c r="E289" s="147" t="s">
        <x:v>364</x:v>
      </x:c>
    </x:row>
    <x:row r="290" spans="1:17">
      <x:c r="D290" s="147" t="n">
        <x:v>10128600</x:v>
      </x:c>
      <x:c r="E290" s="147" t="s">
        <x:v>368</x:v>
      </x:c>
    </x:row>
    <x:row r="291" spans="1:17">
      <x:c r="D291" s="147" t="n">
        <x:v>10128579</x:v>
      </x:c>
      <x:c r="E291" s="147" t="s">
        <x:v>364</x:v>
      </x:c>
    </x:row>
    <x:row r="292" spans="1:17">
      <x:c r="D292" s="147" t="n">
        <x:v>10128580</x:v>
      </x:c>
      <x:c r="E292" s="147" t="s">
        <x:v>368</x:v>
      </x:c>
    </x:row>
    <x:row r="293" spans="1:17">
      <x:c r="D293" s="147" t="n">
        <x:v>10128581</x:v>
      </x:c>
      <x:c r="E293" s="147" t="s">
        <x:v>368</x:v>
      </x:c>
    </x:row>
    <x:row r="294" spans="1:17">
      <x:c r="D294" s="147" t="n">
        <x:v>10128582</x:v>
      </x:c>
      <x:c r="E294" s="147" t="s">
        <x:v>371</x:v>
      </x:c>
    </x:row>
    <x:row r="295" spans="1:17">
      <x:c r="D295" s="147" t="n">
        <x:v>10128595</x:v>
      </x:c>
      <x:c r="E295" s="147" t="s">
        <x:v>371</x:v>
      </x:c>
    </x:row>
    <x:row r="296" spans="1:17">
      <x:c r="D296" s="147" t="n">
        <x:v>10128596</x:v>
      </x:c>
      <x:c r="E296" s="147" t="s">
        <x:v>363</x:v>
      </x:c>
    </x:row>
    <x:row r="297" spans="1:17">
      <x:c r="D297" s="147" t="n">
        <x:v>10128597</x:v>
      </x:c>
      <x:c r="E297" s="147" t="s">
        <x:v>368</x:v>
      </x:c>
    </x:row>
    <x:row r="298" spans="1:17">
      <x:c r="D298" s="147" t="n">
        <x:v>10128598</x:v>
      </x:c>
      <x:c r="E298" s="147" t="s">
        <x:v>371</x:v>
      </x:c>
    </x:row>
    <x:row r="299" spans="1:17">
      <x:c r="D299" s="147" t="n">
        <x:v>10128599</x:v>
      </x:c>
      <x:c r="E299" s="147" t="s">
        <x:v>364</x:v>
      </x:c>
    </x:row>
    <x:row r="300" spans="1:17">
      <x:c r="D300" s="147" t="n">
        <x:v>10128600</x:v>
      </x:c>
      <x:c r="E300" s="147" t="s">
        <x:v>368</x:v>
      </x:c>
    </x:row>
    <x:row r="301" spans="1:17">
      <x:c r="D301" s="147" t="n">
        <x:v>10128579</x:v>
      </x:c>
      <x:c r="E301" s="147" t="s">
        <x:v>364</x:v>
      </x:c>
    </x:row>
    <x:row r="302" spans="1:17">
      <x:c r="D302" s="147" t="n">
        <x:v>10128580</x:v>
      </x:c>
      <x:c r="E302" s="147" t="s">
        <x:v>368</x:v>
      </x:c>
    </x:row>
    <x:row r="303" spans="1:17">
      <x:c r="D303" s="147" t="n">
        <x:v>10128581</x:v>
      </x:c>
      <x:c r="E303" s="147" t="s">
        <x:v>368</x:v>
      </x:c>
    </x:row>
    <x:row r="304" spans="1:17">
      <x:c r="D304" s="147" t="n">
        <x:v>10128582</x:v>
      </x:c>
      <x:c r="E304" s="147" t="s">
        <x:v>371</x:v>
      </x:c>
    </x:row>
    <x:row r="305" spans="1:17">
      <x:c r="D305" s="147" t="n">
        <x:v>10128595</x:v>
      </x:c>
      <x:c r="E305" s="147" t="s">
        <x:v>371</x:v>
      </x:c>
    </x:row>
    <x:row r="306" spans="1:17">
      <x:c r="D306" s="147" t="n">
        <x:v>10128596</x:v>
      </x:c>
      <x:c r="E306" s="147" t="s">
        <x:v>363</x:v>
      </x:c>
    </x:row>
    <x:row r="307" spans="1:17">
      <x:c r="D307" s="147" t="n">
        <x:v>10128597</x:v>
      </x:c>
      <x:c r="E307" s="147" t="s">
        <x:v>368</x:v>
      </x:c>
    </x:row>
    <x:row r="308" spans="1:17">
      <x:c r="D308" s="147" t="n">
        <x:v>10128598</x:v>
      </x:c>
      <x:c r="E308" s="147" t="s">
        <x:v>371</x:v>
      </x:c>
    </x:row>
    <x:row r="309" spans="1:17">
      <x:c r="D309" s="147" t="n">
        <x:v>10128599</x:v>
      </x:c>
      <x:c r="E309" s="147" t="s">
        <x:v>364</x:v>
      </x:c>
    </x:row>
    <x:row r="310" spans="1:17">
      <x:c r="D310" s="147" t="n">
        <x:v>10128600</x:v>
      </x:c>
      <x:c r="E310" s="147" t="s">
        <x:v>368</x:v>
      </x:c>
    </x:row>
    <x:row r="311" spans="1:17">
      <x:c r="D311" s="147" t="n">
        <x:v>10128579</x:v>
      </x:c>
      <x:c r="E311" s="147" t="s">
        <x:v>364</x:v>
      </x:c>
    </x:row>
    <x:row r="312" spans="1:17">
      <x:c r="D312" s="147" t="n">
        <x:v>10128580</x:v>
      </x:c>
      <x:c r="E312" s="147" t="s">
        <x:v>368</x:v>
      </x:c>
    </x:row>
    <x:row r="313" spans="1:17">
      <x:c r="D313" s="147" t="n">
        <x:v>10128581</x:v>
      </x:c>
      <x:c r="E313" s="147" t="s">
        <x:v>368</x:v>
      </x:c>
    </x:row>
    <x:row r="314" spans="1:17">
      <x:c r="D314" s="147" t="n">
        <x:v>10128582</x:v>
      </x:c>
      <x:c r="E314" s="147" t="s">
        <x:v>371</x:v>
      </x:c>
    </x:row>
    <x:row r="315" spans="1:17">
      <x:c r="D315" s="147" t="n">
        <x:v>10128595</x:v>
      </x:c>
      <x:c r="E315" s="147" t="s">
        <x:v>371</x:v>
      </x:c>
    </x:row>
    <x:row r="316" spans="1:17">
      <x:c r="D316" s="147" t="n">
        <x:v>10128596</x:v>
      </x:c>
      <x:c r="E316" s="147" t="s">
        <x:v>363</x:v>
      </x:c>
    </x:row>
    <x:row r="317" spans="1:17">
      <x:c r="D317" s="147" t="n">
        <x:v>10128597</x:v>
      </x:c>
      <x:c r="E317" s="147" t="s">
        <x:v>368</x:v>
      </x:c>
    </x:row>
    <x:row r="318" spans="1:17">
      <x:c r="D318" s="147" t="n">
        <x:v>10128598</x:v>
      </x:c>
      <x:c r="E318" s="147" t="s">
        <x:v>371</x:v>
      </x:c>
    </x:row>
    <x:row r="319" spans="1:17">
      <x:c r="D319" s="147" t="n">
        <x:v>10128599</x:v>
      </x:c>
      <x:c r="E319" s="147" t="s">
        <x:v>364</x:v>
      </x:c>
    </x:row>
    <x:row r="320" spans="1:17">
      <x:c r="D320" s="147" t="n">
        <x:v>10128600</x:v>
      </x:c>
      <x:c r="E320" s="147" t="s">
        <x:v>368</x:v>
      </x:c>
    </x:row>
    <x:row r="321" spans="1:17">
      <x:c r="D321" s="147" t="n">
        <x:v>10128579</x:v>
      </x:c>
      <x:c r="E321" s="147" t="s">
        <x:v>364</x:v>
      </x:c>
    </x:row>
    <x:row r="322" spans="1:17">
      <x:c r="D322" s="147" t="n">
        <x:v>10128580</x:v>
      </x:c>
      <x:c r="E322" s="147" t="s">
        <x:v>368</x:v>
      </x:c>
    </x:row>
    <x:row r="323" spans="1:17">
      <x:c r="D323" s="147" t="n">
        <x:v>10128581</x:v>
      </x:c>
      <x:c r="E323" s="147" t="s">
        <x:v>368</x:v>
      </x:c>
    </x:row>
    <x:row r="324" spans="1:17">
      <x:c r="D324" s="147" t="n">
        <x:v>10128582</x:v>
      </x:c>
      <x:c r="E324" s="147" t="s">
        <x:v>371</x:v>
      </x:c>
    </x:row>
    <x:row r="325" spans="1:17">
      <x:c r="D325" s="147" t="n">
        <x:v>10128595</x:v>
      </x:c>
      <x:c r="E325" s="147" t="s">
        <x:v>371</x:v>
      </x:c>
    </x:row>
    <x:row r="326" spans="1:17">
      <x:c r="D326" s="147" t="n">
        <x:v>10128596</x:v>
      </x:c>
      <x:c r="E326" s="147" t="s">
        <x:v>363</x:v>
      </x:c>
    </x:row>
    <x:row r="327" spans="1:17">
      <x:c r="D327" s="147" t="n">
        <x:v>10128597</x:v>
      </x:c>
      <x:c r="E327" s="147" t="s">
        <x:v>368</x:v>
      </x:c>
    </x:row>
    <x:row r="328" spans="1:17">
      <x:c r="D328" s="147" t="n">
        <x:v>10128598</x:v>
      </x:c>
      <x:c r="E328" s="147" t="s">
        <x:v>371</x:v>
      </x:c>
    </x:row>
    <x:row r="329" spans="1:17">
      <x:c r="D329" s="147" t="n">
        <x:v>10128599</x:v>
      </x:c>
      <x:c r="E329" s="147" t="s">
        <x:v>364</x:v>
      </x:c>
    </x:row>
    <x:row r="330" spans="1:17">
      <x:c r="D330" s="147" t="n">
        <x:v>10128600</x:v>
      </x:c>
      <x:c r="E330" s="147" t="s">
        <x:v>368</x:v>
      </x:c>
    </x:row>
    <x:row r="331" spans="1:17">
      <x:c r="D331" s="147" t="n">
        <x:v>10128579</x:v>
      </x:c>
      <x:c r="E331" s="147" t="s">
        <x:v>364</x:v>
      </x:c>
    </x:row>
    <x:row r="332" spans="1:17">
      <x:c r="D332" s="147" t="n">
        <x:v>10128580</x:v>
      </x:c>
      <x:c r="E332" s="147" t="s">
        <x:v>368</x:v>
      </x:c>
    </x:row>
    <x:row r="333" spans="1:17">
      <x:c r="D333" s="147" t="n">
        <x:v>10128581</x:v>
      </x:c>
      <x:c r="E333" s="147" t="s">
        <x:v>368</x:v>
      </x:c>
    </x:row>
    <x:row r="334" spans="1:17">
      <x:c r="D334" s="147" t="n">
        <x:v>10128582</x:v>
      </x:c>
      <x:c r="E334" s="147" t="s">
        <x:v>371</x:v>
      </x:c>
    </x:row>
    <x:row r="335" spans="1:17">
      <x:c r="D335" s="147" t="n">
        <x:v>10128595</x:v>
      </x:c>
      <x:c r="E335" s="147" t="s">
        <x:v>371</x:v>
      </x:c>
    </x:row>
    <x:row r="336" spans="1:17">
      <x:c r="D336" s="147" t="n">
        <x:v>10128596</x:v>
      </x:c>
      <x:c r="E336" s="147" t="s">
        <x:v>363</x:v>
      </x:c>
    </x:row>
    <x:row r="337" spans="1:17">
      <x:c r="D337" s="147" t="n">
        <x:v>10128597</x:v>
      </x:c>
      <x:c r="E337" s="147" t="s">
        <x:v>368</x:v>
      </x:c>
    </x:row>
    <x:row r="338" spans="1:17">
      <x:c r="D338" s="147" t="n">
        <x:v>10128598</x:v>
      </x:c>
      <x:c r="E338" s="147" t="s">
        <x:v>371</x:v>
      </x:c>
    </x:row>
    <x:row r="339" spans="1:17">
      <x:c r="D339" s="147" t="n">
        <x:v>10128599</x:v>
      </x:c>
      <x:c r="E339" s="147" t="s">
        <x:v>364</x:v>
      </x:c>
    </x:row>
    <x:row r="340" spans="1:17">
      <x:c r="D340" s="147" t="n">
        <x:v>10128600</x:v>
      </x:c>
      <x:c r="E340" s="147" t="s">
        <x:v>368</x:v>
      </x:c>
    </x:row>
    <x:row r="341" spans="1:17">
      <x:c r="D341" s="147" t="n">
        <x:v>10128579</x:v>
      </x:c>
      <x:c r="E341" s="147" t="s">
        <x:v>364</x:v>
      </x:c>
    </x:row>
    <x:row r="342" spans="1:17">
      <x:c r="D342" s="147" t="n">
        <x:v>10128580</x:v>
      </x:c>
      <x:c r="E342" s="147" t="s">
        <x:v>368</x:v>
      </x:c>
    </x:row>
    <x:row r="343" spans="1:17">
      <x:c r="D343" s="147" t="n">
        <x:v>10128581</x:v>
      </x:c>
      <x:c r="E343" s="147" t="s">
        <x:v>368</x:v>
      </x:c>
    </x:row>
    <x:row r="344" spans="1:17">
      <x:c r="D344" s="147" t="n">
        <x:v>10128582</x:v>
      </x:c>
      <x:c r="E344" s="147" t="s">
        <x:v>371</x:v>
      </x:c>
    </x:row>
    <x:row r="345" spans="1:17">
      <x:c r="D345" s="147" t="n">
        <x:v>10128595</x:v>
      </x:c>
      <x:c r="E345" s="147" t="s">
        <x:v>371</x:v>
      </x:c>
    </x:row>
    <x:row r="346" spans="1:17">
      <x:c r="D346" s="147" t="n">
        <x:v>10128596</x:v>
      </x:c>
      <x:c r="E346" s="147" t="s">
        <x:v>363</x:v>
      </x:c>
    </x:row>
    <x:row r="347" spans="1:17">
      <x:c r="D347" s="147" t="n">
        <x:v>10128597</x:v>
      </x:c>
      <x:c r="E347" s="147" t="s">
        <x:v>368</x:v>
      </x:c>
    </x:row>
    <x:row r="348" spans="1:17">
      <x:c r="D348" s="147" t="n">
        <x:v>10128598</x:v>
      </x:c>
      <x:c r="E348" s="147" t="s">
        <x:v>371</x:v>
      </x:c>
    </x:row>
    <x:row r="349" spans="1:17">
      <x:c r="D349" s="147" t="n">
        <x:v>10128599</x:v>
      </x:c>
      <x:c r="E349" s="147" t="s">
        <x:v>364</x:v>
      </x:c>
    </x:row>
    <x:row r="350" spans="1:17">
      <x:c r="D350" s="147" t="n">
        <x:v>10128600</x:v>
      </x:c>
      <x:c r="E350" s="147" t="s">
        <x:v>368</x:v>
      </x:c>
    </x:row>
    <x:row r="351" spans="1:17">
      <x:c r="D351" s="147" t="n">
        <x:v>10128579</x:v>
      </x:c>
      <x:c r="E351" s="147" t="s">
        <x:v>364</x:v>
      </x:c>
    </x:row>
    <x:row r="352" spans="1:17">
      <x:c r="D352" s="147" t="n">
        <x:v>10128580</x:v>
      </x:c>
      <x:c r="E352" s="147" t="s">
        <x:v>368</x:v>
      </x:c>
    </x:row>
    <x:row r="353" spans="1:17">
      <x:c r="D353" s="147" t="n">
        <x:v>10128581</x:v>
      </x:c>
      <x:c r="E353" s="147" t="s">
        <x:v>368</x:v>
      </x:c>
    </x:row>
    <x:row r="354" spans="1:17">
      <x:c r="D354" s="147" t="n">
        <x:v>10128582</x:v>
      </x:c>
      <x:c r="E354" s="147" t="s">
        <x:v>371</x:v>
      </x:c>
    </x:row>
    <x:row r="355" spans="1:17">
      <x:c r="D355" s="147" t="n">
        <x:v>10128595</x:v>
      </x:c>
      <x:c r="E355" s="147" t="s">
        <x:v>371</x:v>
      </x:c>
    </x:row>
    <x:row r="356" spans="1:17">
      <x:c r="D356" s="147" t="n">
        <x:v>10128596</x:v>
      </x:c>
      <x:c r="E356" s="147" t="s">
        <x:v>363</x:v>
      </x:c>
    </x:row>
    <x:row r="357" spans="1:17">
      <x:c r="D357" s="147" t="n">
        <x:v>10128597</x:v>
      </x:c>
      <x:c r="E357" s="147" t="s">
        <x:v>368</x:v>
      </x:c>
    </x:row>
    <x:row r="358" spans="1:17">
      <x:c r="D358" s="147" t="n">
        <x:v>10128598</x:v>
      </x:c>
      <x:c r="E358" s="147" t="s">
        <x:v>371</x:v>
      </x:c>
    </x:row>
    <x:row r="359" spans="1:17">
      <x:c r="D359" s="147" t="n">
        <x:v>10128599</x:v>
      </x:c>
      <x:c r="E359" s="147" t="s">
        <x:v>364</x:v>
      </x:c>
    </x:row>
    <x:row r="360" spans="1:17">
      <x:c r="D360" s="147" t="n">
        <x:v>10128600</x:v>
      </x:c>
      <x:c r="E360" s="147" t="s">
        <x:v>368</x:v>
      </x:c>
    </x:row>
    <x:row r="361" spans="1:17">
      <x:c r="D361" s="147" t="n">
        <x:v>10128579</x:v>
      </x:c>
      <x:c r="E361" s="147" t="s">
        <x:v>364</x:v>
      </x:c>
    </x:row>
    <x:row r="362" spans="1:17">
      <x:c r="D362" s="147" t="n">
        <x:v>10128580</x:v>
      </x:c>
      <x:c r="E362" s="147" t="s">
        <x:v>368</x:v>
      </x:c>
    </x:row>
    <x:row r="363" spans="1:17">
      <x:c r="D363" s="147" t="n">
        <x:v>10128581</x:v>
      </x:c>
      <x:c r="E363" s="147" t="s">
        <x:v>368</x:v>
      </x:c>
    </x:row>
    <x:row r="364" spans="1:17">
      <x:c r="D364" s="147" t="n">
        <x:v>10128582</x:v>
      </x:c>
      <x:c r="E364" s="147" t="s">
        <x:v>371</x:v>
      </x:c>
    </x:row>
    <x:row r="365" spans="1:17">
      <x:c r="D365" s="147" t="n">
        <x:v>10128595</x:v>
      </x:c>
      <x:c r="E365" s="147" t="s">
        <x:v>371</x:v>
      </x:c>
    </x:row>
    <x:row r="366" spans="1:17">
      <x:c r="D366" s="147" t="n">
        <x:v>10128596</x:v>
      </x:c>
      <x:c r="E366" s="147" t="s">
        <x:v>363</x:v>
      </x:c>
    </x:row>
    <x:row r="367" spans="1:17">
      <x:c r="D367" s="147" t="n">
        <x:v>10128597</x:v>
      </x:c>
      <x:c r="E367" s="147" t="s">
        <x:v>368</x:v>
      </x:c>
    </x:row>
    <x:row r="368" spans="1:17">
      <x:c r="D368" s="147" t="n">
        <x:v>10128598</x:v>
      </x:c>
      <x:c r="E368" s="147" t="s">
        <x:v>371</x:v>
      </x:c>
    </x:row>
    <x:row r="369" spans="1:17">
      <x:c r="D369" s="147" t="n">
        <x:v>10128599</x:v>
      </x:c>
      <x:c r="E369" s="147" t="s">
        <x:v>364</x:v>
      </x:c>
    </x:row>
    <x:row r="370" spans="1:17">
      <x:c r="D370" s="147" t="n">
        <x:v>10128600</x:v>
      </x:c>
      <x:c r="E370" s="147" t="s">
        <x:v>368</x:v>
      </x:c>
    </x:row>
    <x:row r="371" spans="1:17">
      <x:c r="D371" s="147" t="n">
        <x:v>10128579</x:v>
      </x:c>
      <x:c r="E371" s="147" t="s">
        <x:v>364</x:v>
      </x:c>
    </x:row>
    <x:row r="372" spans="1:17">
      <x:c r="D372" s="147" t="n">
        <x:v>10128580</x:v>
      </x:c>
      <x:c r="E372" s="147" t="s">
        <x:v>368</x:v>
      </x:c>
    </x:row>
    <x:row r="373" spans="1:17">
      <x:c r="D373" s="147" t="n">
        <x:v>10128581</x:v>
      </x:c>
      <x:c r="E373" s="147" t="s">
        <x:v>368</x:v>
      </x:c>
    </x:row>
    <x:row r="374" spans="1:17">
      <x:c r="D374" s="147" t="n">
        <x:v>10128582</x:v>
      </x:c>
      <x:c r="E374" s="147" t="s">
        <x:v>371</x:v>
      </x:c>
    </x:row>
    <x:row r="375" spans="1:17">
      <x:c r="D375" s="147" t="n">
        <x:v>10128595</x:v>
      </x:c>
      <x:c r="E375" s="147" t="s">
        <x:v>371</x:v>
      </x:c>
    </x:row>
    <x:row r="376" spans="1:17">
      <x:c r="D376" s="147" t="n">
        <x:v>10128596</x:v>
      </x:c>
      <x:c r="E376" s="147" t="s">
        <x:v>363</x:v>
      </x:c>
    </x:row>
    <x:row r="377" spans="1:17">
      <x:c r="D377" s="147" t="n">
        <x:v>10128597</x:v>
      </x:c>
      <x:c r="E377" s="147" t="s">
        <x:v>368</x:v>
      </x:c>
    </x:row>
    <x:row r="378" spans="1:17">
      <x:c r="D378" s="147" t="n">
        <x:v>10128598</x:v>
      </x:c>
      <x:c r="E378" s="147" t="s">
        <x:v>371</x:v>
      </x:c>
    </x:row>
    <x:row r="379" spans="1:17">
      <x:c r="D379" s="147" t="n">
        <x:v>10128599</x:v>
      </x:c>
      <x:c r="E379" s="147" t="s">
        <x:v>364</x:v>
      </x:c>
    </x:row>
    <x:row r="380" spans="1:17">
      <x:c r="D380" s="147" t="n">
        <x:v>10128600</x:v>
      </x:c>
      <x:c r="E380" s="147" t="s">
        <x:v>368</x:v>
      </x:c>
    </x:row>
    <x:row r="381" spans="1:17">
      <x:c r="D381" s="147" t="n">
        <x:v>10128579</x:v>
      </x:c>
      <x:c r="E381" s="147" t="s">
        <x:v>364</x:v>
      </x:c>
    </x:row>
    <x:row r="382" spans="1:17">
      <x:c r="D382" s="147" t="n">
        <x:v>10128580</x:v>
      </x:c>
      <x:c r="E382" s="147" t="s">
        <x:v>368</x:v>
      </x:c>
    </x:row>
    <x:row r="383" spans="1:17">
      <x:c r="D383" s="147" t="n">
        <x:v>10128581</x:v>
      </x:c>
      <x:c r="E383" s="147" t="s">
        <x:v>368</x:v>
      </x:c>
    </x:row>
    <x:row r="384" spans="1:17">
      <x:c r="D384" s="147" t="n">
        <x:v>10128582</x:v>
      </x:c>
      <x:c r="E384" s="147" t="s">
        <x:v>371</x:v>
      </x:c>
    </x:row>
    <x:row r="385" spans="1:17">
      <x:c r="D385" s="147" t="n">
        <x:v>10128595</x:v>
      </x:c>
      <x:c r="E385" s="147" t="s">
        <x:v>371</x:v>
      </x:c>
    </x:row>
    <x:row r="386" spans="1:17">
      <x:c r="D386" s="147" t="n">
        <x:v>10128596</x:v>
      </x:c>
      <x:c r="E386" s="147" t="s">
        <x:v>363</x:v>
      </x:c>
    </x:row>
    <x:row r="387" spans="1:17">
      <x:c r="D387" s="147" t="n">
        <x:v>10128597</x:v>
      </x:c>
      <x:c r="E387" s="147" t="s">
        <x:v>368</x:v>
      </x:c>
    </x:row>
    <x:row r="388" spans="1:17">
      <x:c r="D388" s="147" t="n">
        <x:v>10128598</x:v>
      </x:c>
      <x:c r="E388" s="147" t="s">
        <x:v>371</x:v>
      </x:c>
    </x:row>
    <x:row r="389" spans="1:17">
      <x:c r="D389" s="147" t="n">
        <x:v>10128599</x:v>
      </x:c>
      <x:c r="E389" s="147" t="s">
        <x:v>364</x:v>
      </x:c>
    </x:row>
    <x:row r="390" spans="1:17">
      <x:c r="D390" s="147" t="n">
        <x:v>10128600</x:v>
      </x:c>
      <x:c r="E390" s="147" t="s">
        <x:v>368</x:v>
      </x:c>
    </x:row>
    <x:row r="391" spans="1:17">
      <x:c r="D391" s="147" t="n">
        <x:v>10128579</x:v>
      </x:c>
      <x:c r="E391" s="147" t="s">
        <x:v>364</x:v>
      </x:c>
    </x:row>
    <x:row r="392" spans="1:17">
      <x:c r="D392" s="147" t="n">
        <x:v>10128580</x:v>
      </x:c>
      <x:c r="E392" s="147" t="s">
        <x:v>368</x:v>
      </x:c>
    </x:row>
    <x:row r="393" spans="1:17">
      <x:c r="D393" s="147" t="n">
        <x:v>10128581</x:v>
      </x:c>
      <x:c r="E393" s="147" t="s">
        <x:v>368</x:v>
      </x:c>
    </x:row>
    <x:row r="394" spans="1:17">
      <x:c r="D394" s="147" t="n">
        <x:v>10128582</x:v>
      </x:c>
      <x:c r="E394" s="147" t="s">
        <x:v>371</x:v>
      </x:c>
    </x:row>
    <x:row r="395" spans="1:17">
      <x:c r="D395" s="147" t="n">
        <x:v>10128595</x:v>
      </x:c>
      <x:c r="E395" s="147" t="s">
        <x:v>371</x:v>
      </x:c>
    </x:row>
    <x:row r="396" spans="1:17">
      <x:c r="D396" s="147" t="n">
        <x:v>10128596</x:v>
      </x:c>
      <x:c r="E396" s="147" t="s">
        <x:v>363</x:v>
      </x:c>
    </x:row>
    <x:row r="397" spans="1:17">
      <x:c r="D397" s="147" t="n">
        <x:v>10128597</x:v>
      </x:c>
      <x:c r="E397" s="147" t="s">
        <x:v>368</x:v>
      </x:c>
    </x:row>
    <x:row r="398" spans="1:17">
      <x:c r="D398" s="147" t="n">
        <x:v>10128598</x:v>
      </x:c>
      <x:c r="E398" s="147" t="s">
        <x:v>371</x:v>
      </x:c>
    </x:row>
    <x:row r="399" spans="1:17">
      <x:c r="D399" s="147" t="n">
        <x:v>10128599</x:v>
      </x:c>
      <x:c r="E399" s="147" t="s">
        <x:v>364</x:v>
      </x:c>
    </x:row>
    <x:row r="400" spans="1:17">
      <x:c r="D400" s="147" t="n">
        <x:v>10128600</x:v>
      </x:c>
      <x:c r="E400" s="147" t="s">
        <x:v>368</x:v>
      </x:c>
    </x:row>
    <x:row r="401" spans="1:17">
      <x:c r="D401" s="147" t="n">
        <x:v>10128579</x:v>
      </x:c>
      <x:c r="E401" s="147" t="s">
        <x:v>364</x:v>
      </x:c>
    </x:row>
    <x:row r="402" spans="1:17">
      <x:c r="D402" s="147" t="n">
        <x:v>10128580</x:v>
      </x:c>
      <x:c r="E402" s="147" t="s">
        <x:v>368</x:v>
      </x:c>
    </x:row>
    <x:row r="403" spans="1:17">
      <x:c r="D403" s="147" t="n">
        <x:v>10128581</x:v>
      </x:c>
      <x:c r="E403" s="147" t="s">
        <x:v>368</x:v>
      </x:c>
    </x:row>
    <x:row r="404" spans="1:17">
      <x:c r="D404" s="147" t="n">
        <x:v>10128582</x:v>
      </x:c>
      <x:c r="E404" s="147" t="s">
        <x:v>371</x:v>
      </x:c>
    </x:row>
    <x:row r="405" spans="1:17">
      <x:c r="D405" s="147" t="n">
        <x:v>10128595</x:v>
      </x:c>
      <x:c r="E405" s="147" t="s">
        <x:v>371</x:v>
      </x:c>
    </x:row>
    <x:row r="406" spans="1:17">
      <x:c r="D406" s="147" t="n">
        <x:v>10128596</x:v>
      </x:c>
      <x:c r="E406" s="147" t="s">
        <x:v>363</x:v>
      </x:c>
    </x:row>
    <x:row r="407" spans="1:17">
      <x:c r="D407" s="147" t="n">
        <x:v>10128597</x:v>
      </x:c>
      <x:c r="E407" s="147" t="s">
        <x:v>368</x:v>
      </x:c>
    </x:row>
    <x:row r="408" spans="1:17">
      <x:c r="D408" s="147" t="n">
        <x:v>10128598</x:v>
      </x:c>
      <x:c r="E408" s="147" t="s">
        <x:v>371</x:v>
      </x:c>
    </x:row>
    <x:row r="409" spans="1:17">
      <x:c r="D409" s="147" t="n">
        <x:v>10128599</x:v>
      </x:c>
      <x:c r="E409" s="147" t="s">
        <x:v>364</x:v>
      </x:c>
    </x:row>
    <x:row r="410" spans="1:17">
      <x:c r="D410" s="147" t="n">
        <x:v>10128600</x:v>
      </x:c>
      <x:c r="E410" s="147" t="s">
        <x:v>368</x:v>
      </x:c>
    </x:row>
    <x:row r="411" spans="1:17">
      <x:c r="D411" s="147" t="n">
        <x:v>10128579</x:v>
      </x:c>
      <x:c r="E411" s="147" t="s">
        <x:v>364</x:v>
      </x:c>
    </x:row>
    <x:row r="412" spans="1:17">
      <x:c r="D412" s="147" t="n">
        <x:v>10128580</x:v>
      </x:c>
      <x:c r="E412" s="147" t="s">
        <x:v>368</x:v>
      </x:c>
    </x:row>
    <x:row r="413" spans="1:17">
      <x:c r="D413" s="147" t="n">
        <x:v>10128581</x:v>
      </x:c>
      <x:c r="E413" s="147" t="s">
        <x:v>368</x:v>
      </x:c>
    </x:row>
    <x:row r="414" spans="1:17">
      <x:c r="D414" s="147" t="n">
        <x:v>10128582</x:v>
      </x:c>
      <x:c r="E414" s="147" t="s">
        <x:v>371</x:v>
      </x:c>
    </x:row>
    <x:row r="415" spans="1:17">
      <x:c r="D415" s="147" t="n">
        <x:v>10128595</x:v>
      </x:c>
      <x:c r="E415" s="147" t="s">
        <x:v>371</x:v>
      </x:c>
    </x:row>
    <x:row r="416" spans="1:17">
      <x:c r="D416" s="147" t="n">
        <x:v>10128596</x:v>
      </x:c>
      <x:c r="E416" s="147" t="s">
        <x:v>363</x:v>
      </x:c>
    </x:row>
    <x:row r="417" spans="1:17">
      <x:c r="D417" s="147" t="n">
        <x:v>10128597</x:v>
      </x:c>
      <x:c r="E417" s="147" t="s">
        <x:v>368</x:v>
      </x:c>
    </x:row>
    <x:row r="418" spans="1:17">
      <x:c r="D418" s="147" t="n">
        <x:v>10128598</x:v>
      </x:c>
      <x:c r="E418" s="147" t="s">
        <x:v>371</x:v>
      </x:c>
    </x:row>
    <x:row r="419" spans="1:17">
      <x:c r="D419" s="147" t="n">
        <x:v>10128599</x:v>
      </x:c>
      <x:c r="E419" s="147" t="s">
        <x:v>364</x:v>
      </x:c>
    </x:row>
    <x:row r="420" spans="1:17">
      <x:c r="D420" s="147" t="n">
        <x:v>10128600</x:v>
      </x:c>
      <x:c r="E420" s="147" t="s">
        <x:v>368</x:v>
      </x:c>
    </x:row>
    <x:row r="421" spans="1:17">
      <x:c r="D421" s="147" t="n">
        <x:v>10128579</x:v>
      </x:c>
      <x:c r="E421" s="147" t="s">
        <x:v>364</x:v>
      </x:c>
    </x:row>
    <x:row r="422" spans="1:17">
      <x:c r="D422" s="147" t="n">
        <x:v>10128580</x:v>
      </x:c>
      <x:c r="E422" s="147" t="s">
        <x:v>368</x:v>
      </x:c>
    </x:row>
    <x:row r="423" spans="1:17">
      <x:c r="D423" s="147" t="n">
        <x:v>10128581</x:v>
      </x:c>
      <x:c r="E423" s="147" t="s">
        <x:v>368</x:v>
      </x:c>
    </x:row>
    <x:row r="424" spans="1:17">
      <x:c r="D424" s="147" t="n">
        <x:v>10128582</x:v>
      </x:c>
      <x:c r="E424" s="147" t="s">
        <x:v>371</x:v>
      </x:c>
    </x:row>
    <x:row r="425" spans="1:17">
      <x:c r="D425" s="147" t="n">
        <x:v>10128595</x:v>
      </x:c>
      <x:c r="E425" s="147" t="s">
        <x:v>371</x:v>
      </x:c>
    </x:row>
    <x:row r="426" spans="1:17">
      <x:c r="D426" s="147" t="n">
        <x:v>10128596</x:v>
      </x:c>
      <x:c r="E426" s="147" t="s">
        <x:v>363</x:v>
      </x:c>
    </x:row>
    <x:row r="427" spans="1:17">
      <x:c r="D427" s="147" t="n">
        <x:v>10128597</x:v>
      </x:c>
      <x:c r="E427" s="147" t="s">
        <x:v>368</x:v>
      </x:c>
    </x:row>
    <x:row r="428" spans="1:17">
      <x:c r="D428" s="147" t="n">
        <x:v>10128598</x:v>
      </x:c>
      <x:c r="E428" s="147" t="s">
        <x:v>371</x:v>
      </x:c>
    </x:row>
    <x:row r="429" spans="1:17">
      <x:c r="D429" s="147" t="n">
        <x:v>10128599</x:v>
      </x:c>
      <x:c r="E429" s="147" t="s">
        <x:v>364</x:v>
      </x:c>
    </x:row>
    <x:row r="430" spans="1:17">
      <x:c r="D430" s="147" t="n">
        <x:v>10128600</x:v>
      </x:c>
      <x:c r="E430" s="147" t="s">
        <x:v>368</x:v>
      </x:c>
    </x:row>
    <x:row r="431" spans="1:17">
      <x:c r="D431" s="147" t="n">
        <x:v>10128579</x:v>
      </x:c>
      <x:c r="E431" s="147" t="s">
        <x:v>364</x:v>
      </x:c>
    </x:row>
    <x:row r="432" spans="1:17">
      <x:c r="D432" s="147" t="n">
        <x:v>10128580</x:v>
      </x:c>
      <x:c r="E432" s="147" t="s">
        <x:v>368</x:v>
      </x:c>
    </x:row>
    <x:row r="433" spans="1:17">
      <x:c r="D433" s="147" t="n">
        <x:v>10128581</x:v>
      </x:c>
      <x:c r="E433" s="147" t="s">
        <x:v>368</x:v>
      </x:c>
    </x:row>
    <x:row r="434" spans="1:17">
      <x:c r="D434" s="147" t="n">
        <x:v>10128582</x:v>
      </x:c>
      <x:c r="E434" s="147" t="s">
        <x:v>371</x:v>
      </x:c>
    </x:row>
    <x:row r="435" spans="1:17">
      <x:c r="D435" s="147" t="n">
        <x:v>10128595</x:v>
      </x:c>
      <x:c r="E435" s="147" t="s">
        <x:v>371</x:v>
      </x:c>
    </x:row>
    <x:row r="436" spans="1:17">
      <x:c r="D436" s="147" t="n">
        <x:v>10128596</x:v>
      </x:c>
      <x:c r="E436" s="147" t="s">
        <x:v>363</x:v>
      </x:c>
    </x:row>
    <x:row r="437" spans="1:17">
      <x:c r="D437" s="147" t="n">
        <x:v>10128597</x:v>
      </x:c>
      <x:c r="E437" s="147" t="s">
        <x:v>368</x:v>
      </x:c>
    </x:row>
    <x:row r="438" spans="1:17">
      <x:c r="D438" s="147" t="n">
        <x:v>10128598</x:v>
      </x:c>
      <x:c r="E438" s="147" t="s">
        <x:v>371</x:v>
      </x:c>
    </x:row>
    <x:row r="439" spans="1:17">
      <x:c r="D439" s="147" t="n">
        <x:v>10128599</x:v>
      </x:c>
      <x:c r="E439" s="147" t="s">
        <x:v>364</x:v>
      </x:c>
    </x:row>
    <x:row r="440" spans="1:17">
      <x:c r="D440" s="147" t="n">
        <x:v>10128600</x:v>
      </x:c>
      <x:c r="E440" s="147" t="s">
        <x:v>368</x:v>
      </x:c>
    </x:row>
    <x:row r="441" spans="1:17">
      <x:c r="D441" s="147" t="n">
        <x:v>10128579</x:v>
      </x:c>
      <x:c r="E441" s="147" t="s">
        <x:v>364</x:v>
      </x:c>
    </x:row>
    <x:row r="442" spans="1:17">
      <x:c r="D442" s="147" t="n">
        <x:v>10128580</x:v>
      </x:c>
      <x:c r="E442" s="147" t="s">
        <x:v>368</x:v>
      </x:c>
    </x:row>
    <x:row r="443" spans="1:17">
      <x:c r="D443" s="147" t="n">
        <x:v>10128581</x:v>
      </x:c>
      <x:c r="E443" s="147" t="s">
        <x:v>368</x:v>
      </x:c>
    </x:row>
    <x:row r="444" spans="1:17">
      <x:c r="D444" s="147" t="n">
        <x:v>10128582</x:v>
      </x:c>
      <x:c r="E444" s="147" t="s">
        <x:v>371</x:v>
      </x:c>
    </x:row>
    <x:row r="445" spans="1:17">
      <x:c r="D445" s="147" t="n">
        <x:v>10128595</x:v>
      </x:c>
      <x:c r="E445" s="147" t="s">
        <x:v>371</x:v>
      </x:c>
    </x:row>
    <x:row r="446" spans="1:17">
      <x:c r="D446" s="147" t="n">
        <x:v>10128596</x:v>
      </x:c>
      <x:c r="E446" s="147" t="s">
        <x:v>363</x:v>
      </x:c>
    </x:row>
    <x:row r="447" spans="1:17">
      <x:c r="D447" s="147" t="n">
        <x:v>10128597</x:v>
      </x:c>
      <x:c r="E447" s="147" t="s">
        <x:v>368</x:v>
      </x:c>
    </x:row>
    <x:row r="448" spans="1:17">
      <x:c r="D448" s="147" t="n">
        <x:v>10128598</x:v>
      </x:c>
      <x:c r="E448" s="147" t="s">
        <x:v>371</x:v>
      </x:c>
    </x:row>
    <x:row r="449" spans="1:17">
      <x:c r="D449" s="147" t="n">
        <x:v>10128599</x:v>
      </x:c>
      <x:c r="E449" s="147" t="s">
        <x:v>364</x:v>
      </x:c>
    </x:row>
    <x:row r="450" spans="1:17">
      <x:c r="D450" s="147" t="n">
        <x:v>10128600</x:v>
      </x:c>
      <x:c r="E450" s="147" t="s">
        <x:v>368</x:v>
      </x:c>
    </x:row>
    <x:row r="451" spans="1:17">
      <x:c r="D451" s="147" t="n">
        <x:v>10128579</x:v>
      </x:c>
      <x:c r="E451" s="147" t="s">
        <x:v>364</x:v>
      </x:c>
    </x:row>
    <x:row r="452" spans="1:17">
      <x:c r="D452" s="147" t="n">
        <x:v>10128580</x:v>
      </x:c>
      <x:c r="E452" s="147" t="s">
        <x:v>368</x:v>
      </x:c>
    </x:row>
    <x:row r="453" spans="1:17">
      <x:c r="D453" s="147" t="n">
        <x:v>10128581</x:v>
      </x:c>
      <x:c r="E453" s="147" t="s">
        <x:v>368</x:v>
      </x:c>
    </x:row>
    <x:row r="454" spans="1:17">
      <x:c r="D454" s="147" t="n">
        <x:v>10128582</x:v>
      </x:c>
      <x:c r="E454" s="147" t="s">
        <x:v>371</x:v>
      </x:c>
    </x:row>
    <x:row r="455" spans="1:17">
      <x:c r="D455" s="147" t="n">
        <x:v>10128595</x:v>
      </x:c>
      <x:c r="E455" s="147" t="s">
        <x:v>371</x:v>
      </x:c>
    </x:row>
    <x:row r="456" spans="1:17">
      <x:c r="D456" s="147" t="n">
        <x:v>10128596</x:v>
      </x:c>
      <x:c r="E456" s="147" t="s">
        <x:v>363</x:v>
      </x:c>
    </x:row>
    <x:row r="457" spans="1:17">
      <x:c r="D457" s="147" t="n">
        <x:v>10128597</x:v>
      </x:c>
      <x:c r="E457" s="147" t="s">
        <x:v>368</x:v>
      </x:c>
    </x:row>
    <x:row r="458" spans="1:17">
      <x:c r="D458" s="147" t="n">
        <x:v>10128598</x:v>
      </x:c>
      <x:c r="E458" s="147" t="s">
        <x:v>371</x:v>
      </x:c>
    </x:row>
    <x:row r="459" spans="1:17">
      <x:c r="D459" s="147" t="n">
        <x:v>10128599</x:v>
      </x:c>
      <x:c r="E459" s="147" t="s">
        <x:v>364</x:v>
      </x:c>
    </x:row>
    <x:row r="460" spans="1:17">
      <x:c r="D460" s="147" t="n">
        <x:v>10128600</x:v>
      </x:c>
      <x:c r="E460" s="147" t="s">
        <x:v>368</x:v>
      </x:c>
    </x:row>
    <x:row r="461" spans="1:17">
      <x:c r="D461" s="147" t="n">
        <x:v>10128579</x:v>
      </x:c>
      <x:c r="E461" s="147" t="s">
        <x:v>364</x:v>
      </x:c>
    </x:row>
    <x:row r="462" spans="1:17">
      <x:c r="D462" s="147" t="n">
        <x:v>10128580</x:v>
      </x:c>
      <x:c r="E462" s="147" t="s">
        <x:v>368</x:v>
      </x:c>
    </x:row>
    <x:row r="463" spans="1:17">
      <x:c r="D463" s="147" t="n">
        <x:v>10128581</x:v>
      </x:c>
      <x:c r="E463" s="147" t="s">
        <x:v>368</x:v>
      </x:c>
    </x:row>
    <x:row r="464" spans="1:17">
      <x:c r="D464" s="147" t="n">
        <x:v>10128582</x:v>
      </x:c>
      <x:c r="E464" s="147" t="s">
        <x:v>371</x:v>
      </x:c>
    </x:row>
    <x:row r="465" spans="1:17">
      <x:c r="D465" s="147" t="n">
        <x:v>10128595</x:v>
      </x:c>
      <x:c r="E465" s="147" t="s">
        <x:v>371</x:v>
      </x:c>
    </x:row>
    <x:row r="466" spans="1:17">
      <x:c r="D466" s="147" t="n">
        <x:v>10128596</x:v>
      </x:c>
      <x:c r="E466" s="147" t="s">
        <x:v>363</x:v>
      </x:c>
    </x:row>
    <x:row r="467" spans="1:17">
      <x:c r="D467" s="147" t="n">
        <x:v>10128597</x:v>
      </x:c>
      <x:c r="E467" s="147" t="s">
        <x:v>368</x:v>
      </x:c>
    </x:row>
    <x:row r="468" spans="1:17">
      <x:c r="D468" s="147" t="n">
        <x:v>10128598</x:v>
      </x:c>
      <x:c r="E468" s="147" t="s">
        <x:v>371</x:v>
      </x:c>
    </x:row>
    <x:row r="469" spans="1:17">
      <x:c r="D469" s="147" t="n">
        <x:v>10128599</x:v>
      </x:c>
      <x:c r="E469" s="147" t="s">
        <x:v>364</x:v>
      </x:c>
    </x:row>
    <x:row r="470" spans="1:17">
      <x:c r="D470" s="147" t="n">
        <x:v>10128600</x:v>
      </x:c>
      <x:c r="E470" s="147" t="s">
        <x:v>368</x:v>
      </x:c>
    </x:row>
    <x:row r="471" spans="1:17">
      <x:c r="D471" s="147" t="n">
        <x:v>10128579</x:v>
      </x:c>
      <x:c r="E471" s="147" t="s">
        <x:v>364</x:v>
      </x:c>
    </x:row>
    <x:row r="472" spans="1:17">
      <x:c r="D472" s="147" t="n">
        <x:v>10128580</x:v>
      </x:c>
      <x:c r="E472" s="147" t="s">
        <x:v>368</x:v>
      </x:c>
    </x:row>
    <x:row r="473" spans="1:17">
      <x:c r="D473" s="147" t="n">
        <x:v>10128581</x:v>
      </x:c>
      <x:c r="E473" s="147" t="s">
        <x:v>368</x:v>
      </x:c>
    </x:row>
    <x:row r="474" spans="1:17">
      <x:c r="D474" s="147" t="n">
        <x:v>10128582</x:v>
      </x:c>
      <x:c r="E474" s="147" t="s">
        <x:v>371</x:v>
      </x:c>
    </x:row>
    <x:row r="475" spans="1:17">
      <x:c r="D475" s="147" t="n">
        <x:v>10128595</x:v>
      </x:c>
      <x:c r="E475" s="147" t="s">
        <x:v>371</x:v>
      </x:c>
    </x:row>
    <x:row r="476" spans="1:17">
      <x:c r="D476" s="147" t="n">
        <x:v>10128596</x:v>
      </x:c>
      <x:c r="E476" s="147" t="s">
        <x:v>363</x:v>
      </x:c>
    </x:row>
    <x:row r="477" spans="1:17">
      <x:c r="D477" s="147" t="n">
        <x:v>10128597</x:v>
      </x:c>
      <x:c r="E477" s="147" t="s">
        <x:v>368</x:v>
      </x:c>
    </x:row>
    <x:row r="478" spans="1:17">
      <x:c r="D478" s="147" t="n">
        <x:v>10128598</x:v>
      </x:c>
      <x:c r="E478" s="147" t="s">
        <x:v>371</x:v>
      </x:c>
    </x:row>
    <x:row r="479" spans="1:17">
      <x:c r="D479" s="147" t="n">
        <x:v>10128599</x:v>
      </x:c>
      <x:c r="E479" s="147" t="s">
        <x:v>364</x:v>
      </x:c>
    </x:row>
    <x:row r="480" spans="1:17">
      <x:c r="D480" s="147" t="n">
        <x:v>10128600</x:v>
      </x:c>
      <x:c r="E480" s="147" t="s">
        <x:v>368</x:v>
      </x:c>
    </x:row>
    <x:row r="481" spans="1:17">
      <x:c r="D481" s="147" t="n">
        <x:v>10128579</x:v>
      </x:c>
      <x:c r="E481" s="147" t="s">
        <x:v>364</x:v>
      </x:c>
    </x:row>
    <x:row r="482" spans="1:17">
      <x:c r="D482" s="147" t="n">
        <x:v>10128580</x:v>
      </x:c>
      <x:c r="E482" s="147" t="s">
        <x:v>368</x:v>
      </x:c>
    </x:row>
    <x:row r="483" spans="1:17">
      <x:c r="D483" s="147" t="n">
        <x:v>10128581</x:v>
      </x:c>
      <x:c r="E483" s="147" t="s">
        <x:v>368</x:v>
      </x:c>
    </x:row>
    <x:row r="484" spans="1:17">
      <x:c r="D484" s="147" t="n">
        <x:v>10128582</x:v>
      </x:c>
      <x:c r="E484" s="147" t="s">
        <x:v>371</x:v>
      </x:c>
    </x:row>
    <x:row r="485" spans="1:17">
      <x:c r="D485" s="147" t="n">
        <x:v>10128595</x:v>
      </x:c>
      <x:c r="E485" s="147" t="s">
        <x:v>371</x:v>
      </x:c>
    </x:row>
    <x:row r="486" spans="1:17">
      <x:c r="D486" s="147" t="n">
        <x:v>10128596</x:v>
      </x:c>
      <x:c r="E486" s="147" t="s">
        <x:v>363</x:v>
      </x:c>
    </x:row>
    <x:row r="487" spans="1:17">
      <x:c r="D487" s="147" t="n">
        <x:v>10128597</x:v>
      </x:c>
      <x:c r="E487" s="147" t="s">
        <x:v>368</x:v>
      </x:c>
    </x:row>
    <x:row r="488" spans="1:17">
      <x:c r="D488" s="147" t="n">
        <x:v>10128598</x:v>
      </x:c>
      <x:c r="E488" s="147" t="s">
        <x:v>371</x:v>
      </x:c>
    </x:row>
    <x:row r="489" spans="1:17">
      <x:c r="D489" s="147" t="n">
        <x:v>10128599</x:v>
      </x:c>
      <x:c r="E489" s="147" t="s">
        <x:v>364</x:v>
      </x:c>
    </x:row>
    <x:row r="490" spans="1:17">
      <x:c r="D490" s="147" t="n">
        <x:v>10128600</x:v>
      </x:c>
      <x:c r="E490" s="147" t="s">
        <x:v>368</x:v>
      </x:c>
    </x:row>
    <x:row r="491" spans="1:17">
      <x:c r="D491" s="147" t="n">
        <x:v>10128579</x:v>
      </x:c>
      <x:c r="E491" s="147" t="s">
        <x:v>364</x:v>
      </x:c>
    </x:row>
    <x:row r="492" spans="1:17">
      <x:c r="D492" s="147" t="n">
        <x:v>10128580</x:v>
      </x:c>
      <x:c r="E492" s="147" t="s">
        <x:v>368</x:v>
      </x:c>
    </x:row>
    <x:row r="493" spans="1:17">
      <x:c r="D493" s="147" t="n">
        <x:v>10128581</x:v>
      </x:c>
      <x:c r="E493" s="147" t="s">
        <x:v>368</x:v>
      </x:c>
    </x:row>
    <x:row r="494" spans="1:17">
      <x:c r="D494" s="147" t="n">
        <x:v>10128582</x:v>
      </x:c>
      <x:c r="E494" s="147" t="s">
        <x:v>371</x:v>
      </x:c>
    </x:row>
    <x:row r="495" spans="1:17">
      <x:c r="D495" s="147" t="n">
        <x:v>10128595</x:v>
      </x:c>
      <x:c r="E495" s="147" t="s">
        <x:v>371</x:v>
      </x:c>
    </x:row>
    <x:row r="496" spans="1:17">
      <x:c r="D496" s="147" t="n">
        <x:v>10128596</x:v>
      </x:c>
      <x:c r="E496" s="147" t="s">
        <x:v>363</x:v>
      </x:c>
    </x:row>
    <x:row r="497" spans="1:17">
      <x:c r="D497" s="147" t="n">
        <x:v>10128597</x:v>
      </x:c>
      <x:c r="E497" s="147" t="s">
        <x:v>368</x:v>
      </x:c>
    </x:row>
    <x:row r="498" spans="1:17">
      <x:c r="D498" s="147" t="n">
        <x:v>10128598</x:v>
      </x:c>
      <x:c r="E498" s="147" t="s">
        <x:v>371</x:v>
      </x:c>
    </x:row>
    <x:row r="499" spans="1:17">
      <x:c r="D499" s="147" t="n">
        <x:v>10128599</x:v>
      </x:c>
      <x:c r="E499" s="147" t="s">
        <x:v>364</x:v>
      </x:c>
    </x:row>
    <x:row r="500" spans="1:17">
      <x:c r="D500" s="147" t="n">
        <x:v>10128600</x:v>
      </x:c>
      <x:c r="E500" s="147" t="s">
        <x:v>368</x:v>
      </x:c>
    </x:row>
    <x:row r="501" spans="1:17">
      <x:c r="D501" s="147" t="n">
        <x:v>10128579</x:v>
      </x:c>
      <x:c r="E501" s="147" t="s">
        <x:v>364</x:v>
      </x:c>
    </x:row>
    <x:row r="502" spans="1:17">
      <x:c r="D502" s="147" t="n">
        <x:v>10128580</x:v>
      </x:c>
      <x:c r="E502" s="147" t="s">
        <x:v>368</x:v>
      </x:c>
    </x:row>
    <x:row r="503" spans="1:17">
      <x:c r="D503" s="147" t="n">
        <x:v>10128581</x:v>
      </x:c>
      <x:c r="E503" s="147" t="s">
        <x:v>368</x:v>
      </x:c>
    </x:row>
    <x:row r="504" spans="1:17">
      <x:c r="D504" s="147" t="n">
        <x:v>10128582</x:v>
      </x:c>
      <x:c r="E504" s="147" t="s">
        <x:v>371</x:v>
      </x:c>
    </x:row>
    <x:row r="505" spans="1:17">
      <x:c r="D505" s="147" t="n">
        <x:v>10128595</x:v>
      </x:c>
      <x:c r="E505" s="147" t="s">
        <x:v>371</x:v>
      </x:c>
    </x:row>
    <x:row r="506" spans="1:17">
      <x:c r="D506" s="147" t="n">
        <x:v>10128596</x:v>
      </x:c>
      <x:c r="E506" s="147" t="s">
        <x:v>363</x:v>
      </x:c>
    </x:row>
    <x:row r="507" spans="1:17">
      <x:c r="D507" s="147" t="n">
        <x:v>10128597</x:v>
      </x:c>
      <x:c r="E507" s="147" t="s">
        <x:v>368</x:v>
      </x:c>
    </x:row>
    <x:row r="508" spans="1:17">
      <x:c r="D508" s="147" t="n">
        <x:v>10128598</x:v>
      </x:c>
      <x:c r="E508" s="147" t="s">
        <x:v>371</x:v>
      </x:c>
    </x:row>
    <x:row r="509" spans="1:17">
      <x:c r="D509" s="147" t="n">
        <x:v>10128599</x:v>
      </x:c>
      <x:c r="E509" s="147" t="s">
        <x:v>364</x:v>
      </x:c>
    </x:row>
    <x:row r="510" spans="1:17">
      <x:c r="D510" s="147" t="n">
        <x:v>10128600</x:v>
      </x:c>
      <x:c r="E510" s="147" t="s">
        <x:v>368</x:v>
      </x:c>
    </x:row>
    <x:row r="511" spans="1:17">
      <x:c r="D511" s="147" t="n">
        <x:v>10128579</x:v>
      </x:c>
      <x:c r="E511" s="147" t="s">
        <x:v>364</x:v>
      </x:c>
    </x:row>
    <x:row r="512" spans="1:17">
      <x:c r="D512" s="147" t="n">
        <x:v>10128580</x:v>
      </x:c>
      <x:c r="E512" s="147" t="s">
        <x:v>368</x:v>
      </x:c>
    </x:row>
    <x:row r="513" spans="1:17">
      <x:c r="D513" s="147" t="n">
        <x:v>10128581</x:v>
      </x:c>
      <x:c r="E513" s="147" t="s">
        <x:v>368</x:v>
      </x:c>
    </x:row>
    <x:row r="514" spans="1:17">
      <x:c r="D514" s="147" t="n">
        <x:v>10128582</x:v>
      </x:c>
      <x:c r="E514" s="147" t="s">
        <x:v>371</x:v>
      </x:c>
    </x:row>
    <x:row r="515" spans="1:17">
      <x:c r="D515" s="147" t="n">
        <x:v>10128595</x:v>
      </x:c>
      <x:c r="E515" s="147" t="s">
        <x:v>371</x:v>
      </x:c>
    </x:row>
    <x:row r="516" spans="1:17">
      <x:c r="D516" s="147" t="n">
        <x:v>10128596</x:v>
      </x:c>
      <x:c r="E516" s="147" t="s">
        <x:v>363</x:v>
      </x:c>
    </x:row>
    <x:row r="517" spans="1:17">
      <x:c r="D517" s="147" t="n">
        <x:v>10128597</x:v>
      </x:c>
      <x:c r="E517" s="147" t="s">
        <x:v>368</x:v>
      </x:c>
    </x:row>
    <x:row r="518" spans="1:17">
      <x:c r="D518" s="147" t="n">
        <x:v>10128598</x:v>
      </x:c>
      <x:c r="E518" s="147" t="s">
        <x:v>371</x:v>
      </x:c>
    </x:row>
    <x:row r="519" spans="1:17">
      <x:c r="D519" s="147" t="n">
        <x:v>10128599</x:v>
      </x:c>
      <x:c r="E519" s="147" t="s">
        <x:v>364</x:v>
      </x:c>
    </x:row>
    <x:row r="520" spans="1:17">
      <x:c r="D520" s="147" t="n">
        <x:v>10128600</x:v>
      </x:c>
      <x:c r="E520" s="147" t="s">
        <x:v>368</x:v>
      </x:c>
    </x:row>
    <x:row r="521" spans="1:17">
      <x:c r="D521" s="147" t="n">
        <x:v>10128579</x:v>
      </x:c>
      <x:c r="E521" s="147" t="s">
        <x:v>364</x:v>
      </x:c>
    </x:row>
    <x:row r="522" spans="1:17">
      <x:c r="D522" s="147" t="n">
        <x:v>10128580</x:v>
      </x:c>
      <x:c r="E522" s="147" t="s">
        <x:v>368</x:v>
      </x:c>
    </x:row>
    <x:row r="523" spans="1:17">
      <x:c r="D523" s="147" t="n">
        <x:v>10128581</x:v>
      </x:c>
      <x:c r="E523" s="147" t="s">
        <x:v>368</x:v>
      </x:c>
    </x:row>
    <x:row r="524" spans="1:17">
      <x:c r="D524" s="147" t="n">
        <x:v>10128582</x:v>
      </x:c>
      <x:c r="E524" s="147" t="s">
        <x:v>371</x:v>
      </x:c>
    </x:row>
    <x:row r="525" spans="1:17">
      <x:c r="D525" s="147" t="n">
        <x:v>10128595</x:v>
      </x:c>
      <x:c r="E525" s="147" t="s">
        <x:v>371</x:v>
      </x:c>
    </x:row>
    <x:row r="526" spans="1:17">
      <x:c r="D526" s="147" t="n">
        <x:v>10128596</x:v>
      </x:c>
      <x:c r="E526" s="147" t="s">
        <x:v>363</x:v>
      </x:c>
    </x:row>
    <x:row r="527" spans="1:17">
      <x:c r="D527" s="147" t="n">
        <x:v>10128597</x:v>
      </x:c>
      <x:c r="E527" s="147" t="s">
        <x:v>368</x:v>
      </x:c>
    </x:row>
    <x:row r="528" spans="1:17">
      <x:c r="D528" s="147" t="n">
        <x:v>10128598</x:v>
      </x:c>
      <x:c r="E528" s="147" t="s">
        <x:v>371</x:v>
      </x:c>
    </x:row>
    <x:row r="529" spans="1:17">
      <x:c r="D529" s="147" t="n">
        <x:v>10128599</x:v>
      </x:c>
      <x:c r="E529" s="147" t="s">
        <x:v>364</x:v>
      </x:c>
    </x:row>
    <x:row r="530" spans="1:17">
      <x:c r="D530" s="147" t="n">
        <x:v>10128600</x:v>
      </x:c>
      <x:c r="E530" s="147" t="s">
        <x:v>368</x:v>
      </x:c>
    </x:row>
    <x:row r="531" spans="1:17">
      <x:c r="D531" s="147" t="n">
        <x:v>10128579</x:v>
      </x:c>
      <x:c r="E531" s="147" t="s">
        <x:v>364</x:v>
      </x:c>
    </x:row>
    <x:row r="532" spans="1:17">
      <x:c r="D532" s="147" t="n">
        <x:v>10128580</x:v>
      </x:c>
      <x:c r="E532" s="147" t="s">
        <x:v>368</x:v>
      </x:c>
    </x:row>
    <x:row r="533" spans="1:17">
      <x:c r="D533" s="147" t="n">
        <x:v>10128581</x:v>
      </x:c>
      <x:c r="E533" s="147" t="s">
        <x:v>368</x:v>
      </x:c>
    </x:row>
    <x:row r="534" spans="1:17">
      <x:c r="D534" s="147" t="n">
        <x:v>10128582</x:v>
      </x:c>
      <x:c r="E534" s="147" t="s">
        <x:v>371</x:v>
      </x:c>
    </x:row>
    <x:row r="535" spans="1:17">
      <x:c r="D535" s="147" t="n">
        <x:v>10128595</x:v>
      </x:c>
      <x:c r="E535" s="147" t="s">
        <x:v>371</x:v>
      </x:c>
    </x:row>
    <x:row r="536" spans="1:17">
      <x:c r="D536" s="147" t="n">
        <x:v>10128596</x:v>
      </x:c>
      <x:c r="E536" s="147" t="s">
        <x:v>363</x:v>
      </x:c>
    </x:row>
    <x:row r="537" spans="1:17">
      <x:c r="D537" s="147" t="n">
        <x:v>10128597</x:v>
      </x:c>
      <x:c r="E537" s="147" t="s">
        <x:v>368</x:v>
      </x:c>
    </x:row>
    <x:row r="538" spans="1:17">
      <x:c r="D538" s="147" t="n">
        <x:v>10128598</x:v>
      </x:c>
      <x:c r="E538" s="147" t="s">
        <x:v>371</x:v>
      </x:c>
    </x:row>
    <x:row r="539" spans="1:17">
      <x:c r="D539" s="147" t="n">
        <x:v>10128599</x:v>
      </x:c>
      <x:c r="E539" s="147" t="s">
        <x:v>364</x:v>
      </x:c>
    </x:row>
    <x:row r="540" spans="1:17">
      <x:c r="D540" s="147" t="n">
        <x:v>10128600</x:v>
      </x:c>
      <x:c r="E540" s="147" t="s">
        <x:v>368</x:v>
      </x:c>
    </x:row>
    <x:row r="541" spans="1:17">
      <x:c r="D541" s="147" t="n">
        <x:v>10128579</x:v>
      </x:c>
      <x:c r="E541" s="147" t="s">
        <x:v>364</x:v>
      </x:c>
    </x:row>
    <x:row r="542" spans="1:17">
      <x:c r="D542" s="147" t="n">
        <x:v>10128580</x:v>
      </x:c>
      <x:c r="E542" s="147" t="s">
        <x:v>368</x:v>
      </x:c>
    </x:row>
    <x:row r="543" spans="1:17">
      <x:c r="D543" s="147" t="n">
        <x:v>10128581</x:v>
      </x:c>
      <x:c r="E543" s="147" t="s">
        <x:v>368</x:v>
      </x:c>
    </x:row>
    <x:row r="544" spans="1:17">
      <x:c r="D544" s="147" t="n">
        <x:v>10128582</x:v>
      </x:c>
      <x:c r="E544" s="147" t="s">
        <x:v>371</x:v>
      </x:c>
    </x:row>
    <x:row r="545" spans="1:17">
      <x:c r="D545" s="147" t="n">
        <x:v>10128595</x:v>
      </x:c>
      <x:c r="E545" s="147" t="s">
        <x:v>371</x:v>
      </x:c>
    </x:row>
    <x:row r="546" spans="1:17">
      <x:c r="D546" s="147" t="n">
        <x:v>10128596</x:v>
      </x:c>
      <x:c r="E546" s="147" t="s">
        <x:v>363</x:v>
      </x:c>
    </x:row>
    <x:row r="547" spans="1:17">
      <x:c r="D547" s="147" t="n">
        <x:v>10128597</x:v>
      </x:c>
      <x:c r="E547" s="147" t="s">
        <x:v>368</x:v>
      </x:c>
    </x:row>
    <x:row r="548" spans="1:17">
      <x:c r="D548" s="147" t="n">
        <x:v>10128598</x:v>
      </x:c>
      <x:c r="E548" s="147" t="s">
        <x:v>371</x:v>
      </x:c>
    </x:row>
    <x:row r="549" spans="1:17">
      <x:c r="D549" s="147" t="n">
        <x:v>10128599</x:v>
      </x:c>
      <x:c r="E549" s="147" t="s">
        <x:v>364</x:v>
      </x:c>
    </x:row>
    <x:row r="550" spans="1:17">
      <x:c r="D550" s="147" t="n">
        <x:v>10128600</x:v>
      </x:c>
      <x:c r="E550" s="147" t="s">
        <x:v>368</x:v>
      </x:c>
    </x:row>
    <x:row r="551" spans="1:17">
      <x:c r="D551" s="147" t="n">
        <x:v>10128579</x:v>
      </x:c>
      <x:c r="E551" s="147" t="s">
        <x:v>364</x:v>
      </x:c>
    </x:row>
    <x:row r="552" spans="1:17">
      <x:c r="D552" s="147" t="n">
        <x:v>10128580</x:v>
      </x:c>
      <x:c r="E552" s="147" t="s">
        <x:v>368</x:v>
      </x:c>
    </x:row>
    <x:row r="553" spans="1:17">
      <x:c r="D553" s="147" t="n">
        <x:v>10128581</x:v>
      </x:c>
      <x:c r="E553" s="147" t="s">
        <x:v>368</x:v>
      </x:c>
    </x:row>
    <x:row r="554" spans="1:17">
      <x:c r="D554" s="147" t="n">
        <x:v>10128582</x:v>
      </x:c>
      <x:c r="E554" s="147" t="s">
        <x:v>371</x:v>
      </x:c>
    </x:row>
    <x:row r="555" spans="1:17">
      <x:c r="D555" s="147" t="n">
        <x:v>10128595</x:v>
      </x:c>
      <x:c r="E555" s="147" t="s">
        <x:v>371</x:v>
      </x:c>
    </x:row>
    <x:row r="556" spans="1:17">
      <x:c r="D556" s="147" t="n">
        <x:v>10128596</x:v>
      </x:c>
      <x:c r="E556" s="147" t="s">
        <x:v>363</x:v>
      </x:c>
    </x:row>
    <x:row r="557" spans="1:17">
      <x:c r="D557" s="147" t="n">
        <x:v>10128597</x:v>
      </x:c>
      <x:c r="E557" s="147" t="s">
        <x:v>368</x:v>
      </x:c>
    </x:row>
    <x:row r="558" spans="1:17">
      <x:c r="D558" s="147" t="n">
        <x:v>10128598</x:v>
      </x:c>
      <x:c r="E558" s="147" t="s">
        <x:v>371</x:v>
      </x:c>
    </x:row>
    <x:row r="559" spans="1:17">
      <x:c r="D559" s="147" t="n">
        <x:v>10128599</x:v>
      </x:c>
      <x:c r="E559" s="147" t="s">
        <x:v>364</x:v>
      </x:c>
    </x:row>
    <x:row r="560" spans="1:17">
      <x:c r="D560" s="147" t="n">
        <x:v>10128600</x:v>
      </x:c>
      <x:c r="E560" s="147" t="s">
        <x:v>368</x:v>
      </x:c>
    </x:row>
    <x:row r="561" spans="1:17">
      <x:c r="D561" s="147" t="n">
        <x:v>10128579</x:v>
      </x:c>
      <x:c r="E561" s="147" t="s">
        <x:v>364</x:v>
      </x:c>
    </x:row>
    <x:row r="562" spans="1:17">
      <x:c r="D562" s="147" t="n">
        <x:v>10128580</x:v>
      </x:c>
      <x:c r="E562" s="147" t="s">
        <x:v>368</x:v>
      </x:c>
    </x:row>
    <x:row r="563" spans="1:17">
      <x:c r="D563" s="147" t="n">
        <x:v>10128581</x:v>
      </x:c>
      <x:c r="E563" s="147" t="s">
        <x:v>368</x:v>
      </x:c>
    </x:row>
    <x:row r="564" spans="1:17">
      <x:c r="D564" s="147" t="n">
        <x:v>10128582</x:v>
      </x:c>
      <x:c r="E564" s="147" t="s">
        <x:v>371</x:v>
      </x:c>
    </x:row>
    <x:row r="565" spans="1:17">
      <x:c r="D565" s="147" t="n">
        <x:v>10128595</x:v>
      </x:c>
      <x:c r="E565" s="147" t="s">
        <x:v>371</x:v>
      </x:c>
    </x:row>
    <x:row r="566" spans="1:17">
      <x:c r="D566" s="147" t="n">
        <x:v>10128596</x:v>
      </x:c>
      <x:c r="E566" s="147" t="s">
        <x:v>363</x:v>
      </x:c>
    </x:row>
    <x:row r="567" spans="1:17">
      <x:c r="D567" s="147" t="n">
        <x:v>10128597</x:v>
      </x:c>
      <x:c r="E567" s="147" t="s">
        <x:v>368</x:v>
      </x:c>
    </x:row>
    <x:row r="568" spans="1:17">
      <x:c r="D568" s="147" t="n">
        <x:v>10128598</x:v>
      </x:c>
      <x:c r="E568" s="147" t="s">
        <x:v>371</x:v>
      </x:c>
    </x:row>
    <x:row r="569" spans="1:17">
      <x:c r="D569" s="147" t="n">
        <x:v>10128599</x:v>
      </x:c>
      <x:c r="E569" s="147" t="s">
        <x:v>364</x:v>
      </x:c>
    </x:row>
    <x:row r="570" spans="1:17">
      <x:c r="D570" s="147" t="n">
        <x:v>10128600</x:v>
      </x:c>
      <x:c r="E570" s="147" t="s">
        <x:v>368</x:v>
      </x:c>
    </x:row>
    <x:row r="571" spans="1:17">
      <x:c r="D571" s="147" t="n">
        <x:v>10128579</x:v>
      </x:c>
      <x:c r="E571" s="147" t="s">
        <x:v>364</x:v>
      </x:c>
    </x:row>
    <x:row r="572" spans="1:17">
      <x:c r="D572" s="147" t="n">
        <x:v>10128580</x:v>
      </x:c>
      <x:c r="E572" s="147" t="s">
        <x:v>368</x:v>
      </x:c>
    </x:row>
    <x:row r="573" spans="1:17">
      <x:c r="D573" s="147" t="n">
        <x:v>10128581</x:v>
      </x:c>
      <x:c r="E573" s="147" t="s">
        <x:v>368</x:v>
      </x:c>
    </x:row>
    <x:row r="574" spans="1:17">
      <x:c r="D574" s="147" t="n">
        <x:v>10128582</x:v>
      </x:c>
      <x:c r="E574" s="147" t="s">
        <x:v>371</x:v>
      </x:c>
    </x:row>
    <x:row r="575" spans="1:17">
      <x:c r="D575" s="147" t="n">
        <x:v>10128595</x:v>
      </x:c>
      <x:c r="E575" s="147" t="s">
        <x:v>371</x:v>
      </x:c>
    </x:row>
    <x:row r="576" spans="1:17">
      <x:c r="D576" s="147" t="n">
        <x:v>10128596</x:v>
      </x:c>
      <x:c r="E576" s="147" t="s">
        <x:v>363</x:v>
      </x:c>
    </x:row>
    <x:row r="577" spans="1:17">
      <x:c r="D577" s="147" t="n">
        <x:v>10128597</x:v>
      </x:c>
      <x:c r="E577" s="147" t="s">
        <x:v>368</x:v>
      </x:c>
    </x:row>
    <x:row r="578" spans="1:17">
      <x:c r="D578" s="147" t="n">
        <x:v>10128598</x:v>
      </x:c>
      <x:c r="E578" s="147" t="s">
        <x:v>371</x:v>
      </x:c>
    </x:row>
    <x:row r="579" spans="1:17">
      <x:c r="D579" s="147" t="n">
        <x:v>10128599</x:v>
      </x:c>
      <x:c r="E579" s="147" t="s">
        <x:v>364</x:v>
      </x:c>
    </x:row>
    <x:row r="580" spans="1:17">
      <x:c r="D580" s="147" t="n">
        <x:v>10128600</x:v>
      </x:c>
      <x:c r="E580" s="147" t="s">
        <x:v>368</x:v>
      </x:c>
    </x:row>
    <x:row r="581" spans="1:17">
      <x:c r="D581" s="147" t="n">
        <x:v>10128579</x:v>
      </x:c>
      <x:c r="E581" s="147" t="s">
        <x:v>364</x:v>
      </x:c>
    </x:row>
    <x:row r="582" spans="1:17">
      <x:c r="D582" s="147" t="n">
        <x:v>10128580</x:v>
      </x:c>
      <x:c r="E582" s="147" t="s">
        <x:v>368</x:v>
      </x:c>
    </x:row>
    <x:row r="583" spans="1:17">
      <x:c r="D583" s="147" t="n">
        <x:v>10128581</x:v>
      </x:c>
      <x:c r="E583" s="147" t="s">
        <x:v>368</x:v>
      </x:c>
    </x:row>
    <x:row r="584" spans="1:17">
      <x:c r="D584" s="147" t="n">
        <x:v>10128582</x:v>
      </x:c>
      <x:c r="E584" s="147" t="s">
        <x:v>371</x:v>
      </x:c>
    </x:row>
    <x:row r="585" spans="1:17">
      <x:c r="D585" s="147" t="n">
        <x:v>10128595</x:v>
      </x:c>
      <x:c r="E585" s="147" t="s">
        <x:v>371</x:v>
      </x:c>
    </x:row>
    <x:row r="586" spans="1:17">
      <x:c r="D586" s="147" t="n">
        <x:v>10128596</x:v>
      </x:c>
      <x:c r="E586" s="147" t="s">
        <x:v>363</x:v>
      </x:c>
    </x:row>
    <x:row r="587" spans="1:17">
      <x:c r="D587" s="147" t="n">
        <x:v>10128597</x:v>
      </x:c>
      <x:c r="E587" s="147" t="s">
        <x:v>368</x:v>
      </x:c>
    </x:row>
    <x:row r="588" spans="1:17">
      <x:c r="D588" s="147" t="n">
        <x:v>10128598</x:v>
      </x:c>
      <x:c r="E588" s="147" t="s">
        <x:v>371</x:v>
      </x:c>
    </x:row>
    <x:row r="589" spans="1:17">
      <x:c r="D589" s="147" t="n">
        <x:v>10128599</x:v>
      </x:c>
      <x:c r="E589" s="147" t="s">
        <x:v>364</x:v>
      </x:c>
    </x:row>
    <x:row r="590" spans="1:17">
      <x:c r="D590" s="147" t="n">
        <x:v>10128600</x:v>
      </x:c>
      <x:c r="E590" s="147" t="s">
        <x:v>368</x:v>
      </x:c>
    </x:row>
    <x:row r="591" spans="1:17">
      <x:c r="D591" s="147" t="n">
        <x:v>10128579</x:v>
      </x:c>
      <x:c r="E591" s="147" t="s">
        <x:v>364</x:v>
      </x:c>
    </x:row>
    <x:row r="592" spans="1:17">
      <x:c r="D592" s="147" t="n">
        <x:v>10128580</x:v>
      </x:c>
      <x:c r="E592" s="147" t="s">
        <x:v>368</x:v>
      </x:c>
    </x:row>
    <x:row r="593" spans="1:17">
      <x:c r="D593" s="147" t="n">
        <x:v>10128581</x:v>
      </x:c>
      <x:c r="E593" s="147" t="s">
        <x:v>368</x:v>
      </x:c>
    </x:row>
    <x:row r="594" spans="1:17">
      <x:c r="D594" s="147" t="n">
        <x:v>10128582</x:v>
      </x:c>
      <x:c r="E594" s="147" t="s">
        <x:v>371</x:v>
      </x:c>
    </x:row>
    <x:row r="595" spans="1:17">
      <x:c r="D595" s="147" t="n">
        <x:v>10128595</x:v>
      </x:c>
      <x:c r="E595" s="147" t="s">
        <x:v>371</x:v>
      </x:c>
    </x:row>
    <x:row r="596" spans="1:17">
      <x:c r="D596" s="147" t="n">
        <x:v>10128596</x:v>
      </x:c>
      <x:c r="E596" s="147" t="s">
        <x:v>363</x:v>
      </x:c>
    </x:row>
    <x:row r="597" spans="1:17">
      <x:c r="D597" s="147" t="n">
        <x:v>10128597</x:v>
      </x:c>
      <x:c r="E597" s="147" t="s">
        <x:v>368</x:v>
      </x:c>
    </x:row>
    <x:row r="598" spans="1:17">
      <x:c r="D598" s="147" t="n">
        <x:v>10128598</x:v>
      </x:c>
      <x:c r="E598" s="147" t="s">
        <x:v>371</x:v>
      </x:c>
    </x:row>
    <x:row r="599" spans="1:17">
      <x:c r="D599" s="147" t="n">
        <x:v>10128599</x:v>
      </x:c>
      <x:c r="E599" s="147" t="s">
        <x:v>364</x:v>
      </x:c>
    </x:row>
    <x:row r="600" spans="1:17">
      <x:c r="D600" s="147" t="n">
        <x:v>10128600</x:v>
      </x:c>
      <x:c r="E600" s="147" t="s">
        <x:v>368</x:v>
      </x:c>
    </x:row>
    <x:row r="601" spans="1:17">
      <x:c r="D601" s="147" t="n">
        <x:v>10128579</x:v>
      </x:c>
      <x:c r="E601" s="147" t="s">
        <x:v>364</x:v>
      </x:c>
    </x:row>
    <x:row r="602" spans="1:17">
      <x:c r="D602" s="147" t="n">
        <x:v>10128580</x:v>
      </x:c>
      <x:c r="E602" s="147" t="s">
        <x:v>368</x:v>
      </x:c>
    </x:row>
    <x:row r="603" spans="1:17">
      <x:c r="D603" s="147" t="n">
        <x:v>10128581</x:v>
      </x:c>
      <x:c r="E603" s="147" t="s">
        <x:v>368</x:v>
      </x:c>
    </x:row>
    <x:row r="604" spans="1:17">
      <x:c r="D604" s="147" t="n">
        <x:v>10128582</x:v>
      </x:c>
      <x:c r="E604" s="147" t="s">
        <x:v>371</x:v>
      </x:c>
    </x:row>
    <x:row r="605" spans="1:17">
      <x:c r="D605" s="147" t="n">
        <x:v>10128595</x:v>
      </x:c>
      <x:c r="E605" s="147" t="s">
        <x:v>371</x:v>
      </x:c>
    </x:row>
    <x:row r="606" spans="1:17">
      <x:c r="D606" s="147" t="n">
        <x:v>10128596</x:v>
      </x:c>
      <x:c r="E606" s="147" t="s">
        <x:v>363</x:v>
      </x:c>
    </x:row>
    <x:row r="607" spans="1:17">
      <x:c r="D607" s="147" t="n">
        <x:v>10128597</x:v>
      </x:c>
      <x:c r="E607" s="147" t="s">
        <x:v>368</x:v>
      </x:c>
    </x:row>
    <x:row r="608" spans="1:17">
      <x:c r="D608" s="147" t="n">
        <x:v>10128598</x:v>
      </x:c>
      <x:c r="E608" s="147" t="s">
        <x:v>371</x:v>
      </x:c>
    </x:row>
    <x:row r="609" spans="1:17">
      <x:c r="D609" s="147" t="n">
        <x:v>10128599</x:v>
      </x:c>
      <x:c r="E609" s="147" t="s">
        <x:v>364</x:v>
      </x:c>
    </x:row>
    <x:row r="610" spans="1:17">
      <x:c r="D610" s="147" t="n">
        <x:v>10128600</x:v>
      </x:c>
      <x:c r="E610" s="147" t="s">
        <x:v>368</x:v>
      </x:c>
    </x:row>
    <x:row r="611" spans="1:17">
      <x:c r="D611" s="147" t="n">
        <x:v>10128579</x:v>
      </x:c>
      <x:c r="E611" s="147" t="s">
        <x:v>364</x:v>
      </x:c>
    </x:row>
    <x:row r="612" spans="1:17">
      <x:c r="D612" s="147" t="n">
        <x:v>10128580</x:v>
      </x:c>
      <x:c r="E612" s="147" t="s">
        <x:v>368</x:v>
      </x:c>
    </x:row>
    <x:row r="613" spans="1:17">
      <x:c r="D613" s="147" t="n">
        <x:v>10128581</x:v>
      </x:c>
      <x:c r="E613" s="147" t="s">
        <x:v>368</x:v>
      </x:c>
    </x:row>
    <x:row r="614" spans="1:17">
      <x:c r="D614" s="147" t="n">
        <x:v>10128582</x:v>
      </x:c>
      <x:c r="E614" s="147" t="s">
        <x:v>371</x:v>
      </x:c>
    </x:row>
    <x:row r="615" spans="1:17">
      <x:c r="D615" s="147" t="n">
        <x:v>10128595</x:v>
      </x:c>
      <x:c r="E615" s="147" t="s">
        <x:v>371</x:v>
      </x:c>
    </x:row>
    <x:row r="616" spans="1:17">
      <x:c r="D616" s="147" t="n">
        <x:v>10128596</x:v>
      </x:c>
      <x:c r="E616" s="147" t="s">
        <x:v>363</x:v>
      </x:c>
    </x:row>
    <x:row r="617" spans="1:17">
      <x:c r="D617" s="147" t="n">
        <x:v>10128597</x:v>
      </x:c>
      <x:c r="E617" s="147" t="s">
        <x:v>368</x:v>
      </x:c>
    </x:row>
    <x:row r="618" spans="1:17">
      <x:c r="D618" s="147" t="n">
        <x:v>10128598</x:v>
      </x:c>
      <x:c r="E618" s="147" t="s">
        <x:v>371</x:v>
      </x:c>
    </x:row>
    <x:row r="619" spans="1:17">
      <x:c r="D619" s="147" t="n">
        <x:v>10128599</x:v>
      </x:c>
      <x:c r="E619" s="147" t="s">
        <x:v>364</x:v>
      </x:c>
    </x:row>
    <x:row r="620" spans="1:17">
      <x:c r="D620" s="147" t="n">
        <x:v>10128600</x:v>
      </x:c>
      <x:c r="E620" s="147" t="s">
        <x:v>368</x:v>
      </x:c>
    </x:row>
    <x:row r="621" spans="1:17">
      <x:c r="D621" s="147" t="n">
        <x:v>10128579</x:v>
      </x:c>
      <x:c r="E621" s="147" t="s">
        <x:v>364</x:v>
      </x:c>
    </x:row>
    <x:row r="622" spans="1:17">
      <x:c r="D622" s="147" t="n">
        <x:v>10128580</x:v>
      </x:c>
      <x:c r="E622" s="147" t="s">
        <x:v>368</x:v>
      </x:c>
    </x:row>
    <x:row r="623" spans="1:17">
      <x:c r="D623" s="147" t="n">
        <x:v>10128581</x:v>
      </x:c>
      <x:c r="E623" s="147" t="s">
        <x:v>368</x:v>
      </x:c>
    </x:row>
    <x:row r="624" spans="1:17">
      <x:c r="D624" s="147" t="n">
        <x:v>10128582</x:v>
      </x:c>
      <x:c r="E624" s="147" t="s">
        <x:v>371</x:v>
      </x:c>
    </x:row>
    <x:row r="625" spans="1:17">
      <x:c r="D625" s="147" t="n">
        <x:v>10128595</x:v>
      </x:c>
      <x:c r="E625" s="147" t="s">
        <x:v>371</x:v>
      </x:c>
    </x:row>
    <x:row r="626" spans="1:17">
      <x:c r="D626" s="147" t="n">
        <x:v>10128596</x:v>
      </x:c>
      <x:c r="E626" s="147" t="s">
        <x:v>363</x:v>
      </x:c>
    </x:row>
    <x:row r="627" spans="1:17">
      <x:c r="D627" s="147" t="n">
        <x:v>10128597</x:v>
      </x:c>
      <x:c r="E627" s="147" t="s">
        <x:v>368</x:v>
      </x:c>
    </x:row>
    <x:row r="628" spans="1:17">
      <x:c r="D628" s="147" t="n">
        <x:v>10128598</x:v>
      </x:c>
      <x:c r="E628" s="147" t="s">
        <x:v>371</x:v>
      </x:c>
    </x:row>
    <x:row r="629" spans="1:17">
      <x:c r="D629" s="147" t="n">
        <x:v>10128599</x:v>
      </x:c>
      <x:c r="E629" s="147" t="s">
        <x:v>364</x:v>
      </x:c>
    </x:row>
    <x:row r="630" spans="1:17">
      <x:c r="D630" s="147" t="n">
        <x:v>10128600</x:v>
      </x:c>
      <x:c r="E630" s="147" t="s">
        <x:v>368</x:v>
      </x:c>
    </x:row>
    <x:row r="631" spans="1:17">
      <x:c r="D631" s="147" t="n">
        <x:v>10128579</x:v>
      </x:c>
      <x:c r="E631" s="147" t="s">
        <x:v>364</x:v>
      </x:c>
    </x:row>
    <x:row r="632" spans="1:17">
      <x:c r="D632" s="147" t="n">
        <x:v>10128580</x:v>
      </x:c>
      <x:c r="E632" s="147" t="s">
        <x:v>368</x:v>
      </x:c>
    </x:row>
    <x:row r="633" spans="1:17">
      <x:c r="D633" s="147" t="n">
        <x:v>10128581</x:v>
      </x:c>
      <x:c r="E633" s="147" t="s">
        <x:v>368</x:v>
      </x:c>
    </x:row>
    <x:row r="634" spans="1:17">
      <x:c r="D634" s="147" t="n">
        <x:v>10128582</x:v>
      </x:c>
      <x:c r="E634" s="147" t="s">
        <x:v>371</x:v>
      </x:c>
    </x:row>
    <x:row r="635" spans="1:17">
      <x:c r="D635" s="147" t="n">
        <x:v>10128595</x:v>
      </x:c>
      <x:c r="E635" s="147" t="s">
        <x:v>371</x:v>
      </x:c>
    </x:row>
    <x:row r="636" spans="1:17">
      <x:c r="D636" s="147" t="n">
        <x:v>10128596</x:v>
      </x:c>
      <x:c r="E636" s="147" t="s">
        <x:v>363</x:v>
      </x:c>
    </x:row>
    <x:row r="637" spans="1:17">
      <x:c r="D637" s="147" t="n">
        <x:v>10128597</x:v>
      </x:c>
      <x:c r="E637" s="147" t="s">
        <x:v>368</x:v>
      </x:c>
    </x:row>
    <x:row r="638" spans="1:17">
      <x:c r="D638" s="147" t="n">
        <x:v>10128598</x:v>
      </x:c>
      <x:c r="E638" s="147" t="s">
        <x:v>371</x:v>
      </x:c>
    </x:row>
    <x:row r="639" spans="1:17">
      <x:c r="D639" s="147" t="n">
        <x:v>10128599</x:v>
      </x:c>
      <x:c r="E639" s="147" t="s">
        <x:v>364</x:v>
      </x:c>
    </x:row>
    <x:row r="640" spans="1:17">
      <x:c r="D640" s="147" t="n">
        <x:v>10128600</x:v>
      </x:c>
      <x:c r="E640" s="147" t="s">
        <x:v>368</x:v>
      </x:c>
    </x:row>
    <x:row r="641" spans="1:17">
      <x:c r="D641" s="147" t="n">
        <x:v>10128579</x:v>
      </x:c>
      <x:c r="E641" s="147" t="s">
        <x:v>364</x:v>
      </x:c>
    </x:row>
    <x:row r="642" spans="1:17">
      <x:c r="D642" s="147" t="n">
        <x:v>10128580</x:v>
      </x:c>
      <x:c r="E642" s="147" t="s">
        <x:v>368</x:v>
      </x:c>
    </x:row>
    <x:row r="643" spans="1:17">
      <x:c r="D643" s="147" t="n">
        <x:v>10128581</x:v>
      </x:c>
      <x:c r="E643" s="147" t="s">
        <x:v>368</x:v>
      </x:c>
    </x:row>
    <x:row r="644" spans="1:17">
      <x:c r="D644" s="147" t="n">
        <x:v>10128582</x:v>
      </x:c>
      <x:c r="E644" s="147" t="s">
        <x:v>371</x:v>
      </x:c>
    </x:row>
    <x:row r="645" spans="1:17">
      <x:c r="D645" s="147" t="n">
        <x:v>10128595</x:v>
      </x:c>
      <x:c r="E645" s="147" t="s">
        <x:v>371</x:v>
      </x:c>
    </x:row>
    <x:row r="646" spans="1:17">
      <x:c r="D646" s="147" t="n">
        <x:v>10128596</x:v>
      </x:c>
      <x:c r="E646" s="147" t="s">
        <x:v>363</x:v>
      </x:c>
    </x:row>
    <x:row r="647" spans="1:17">
      <x:c r="D647" s="147" t="n">
        <x:v>10128597</x:v>
      </x:c>
      <x:c r="E647" s="147" t="s">
        <x:v>368</x:v>
      </x:c>
    </x:row>
    <x:row r="648" spans="1:17">
      <x:c r="D648" s="147" t="n">
        <x:v>10128598</x:v>
      </x:c>
      <x:c r="E648" s="147" t="s">
        <x:v>371</x:v>
      </x:c>
    </x:row>
    <x:row r="649" spans="1:17">
      <x:c r="D649" s="147" t="n">
        <x:v>10128599</x:v>
      </x:c>
      <x:c r="E649" s="147" t="s">
        <x:v>364</x:v>
      </x:c>
    </x:row>
    <x:row r="650" spans="1:17">
      <x:c r="D650" s="147" t="n">
        <x:v>10128600</x:v>
      </x:c>
      <x:c r="E650" s="147" t="s">
        <x:v>368</x:v>
      </x:c>
    </x:row>
    <x:row r="651" spans="1:17">
      <x:c r="D651" s="147" t="n">
        <x:v>10128579</x:v>
      </x:c>
      <x:c r="E651" s="147" t="s">
        <x:v>364</x:v>
      </x:c>
    </x:row>
    <x:row r="652" spans="1:17">
      <x:c r="D652" s="147" t="n">
        <x:v>10128580</x:v>
      </x:c>
      <x:c r="E652" s="147" t="s">
        <x:v>368</x:v>
      </x:c>
    </x:row>
    <x:row r="653" spans="1:17">
      <x:c r="D653" s="147" t="n">
        <x:v>10128581</x:v>
      </x:c>
      <x:c r="E653" s="147" t="s">
        <x:v>368</x:v>
      </x:c>
    </x:row>
    <x:row r="654" spans="1:17">
      <x:c r="D654" s="147" t="n">
        <x:v>10128582</x:v>
      </x:c>
      <x:c r="E654" s="147" t="s">
        <x:v>371</x:v>
      </x:c>
    </x:row>
    <x:row r="655" spans="1:17">
      <x:c r="D655" s="147" t="n">
        <x:v>10128595</x:v>
      </x:c>
      <x:c r="E655" s="147" t="s">
        <x:v>371</x:v>
      </x:c>
    </x:row>
    <x:row r="656" spans="1:17">
      <x:c r="D656" s="147" t="n">
        <x:v>10128596</x:v>
      </x:c>
      <x:c r="E656" s="147" t="s">
        <x:v>363</x:v>
      </x:c>
    </x:row>
    <x:row r="657" spans="1:17">
      <x:c r="D657" s="147" t="n">
        <x:v>10128597</x:v>
      </x:c>
      <x:c r="E657" s="147" t="s">
        <x:v>368</x:v>
      </x:c>
    </x:row>
    <x:row r="658" spans="1:17">
      <x:c r="D658" s="147" t="n">
        <x:v>10128598</x:v>
      </x:c>
      <x:c r="E658" s="147" t="s">
        <x:v>371</x:v>
      </x:c>
    </x:row>
    <x:row r="659" spans="1:17">
      <x:c r="D659" s="147" t="n">
        <x:v>10128599</x:v>
      </x:c>
      <x:c r="E659" s="147" t="s">
        <x:v>364</x:v>
      </x:c>
    </x:row>
    <x:row r="660" spans="1:17">
      <x:c r="D660" s="147" t="n">
        <x:v>10128600</x:v>
      </x:c>
      <x:c r="E660" s="147" t="s">
        <x:v>368</x:v>
      </x:c>
    </x:row>
    <x:row r="661" spans="1:17">
      <x:c r="D661" s="147" t="n">
        <x:v>10128579</x:v>
      </x:c>
      <x:c r="E661" s="147" t="s">
        <x:v>364</x:v>
      </x:c>
    </x:row>
    <x:row r="662" spans="1:17">
      <x:c r="D662" s="147" t="n">
        <x:v>10128580</x:v>
      </x:c>
      <x:c r="E662" s="147" t="s">
        <x:v>368</x:v>
      </x:c>
    </x:row>
    <x:row r="663" spans="1:17">
      <x:c r="D663" s="147" t="n">
        <x:v>10128581</x:v>
      </x:c>
      <x:c r="E663" s="147" t="s">
        <x:v>368</x:v>
      </x:c>
    </x:row>
    <x:row r="664" spans="1:17">
      <x:c r="D664" s="147" t="n">
        <x:v>10128582</x:v>
      </x:c>
      <x:c r="E664" s="147" t="s">
        <x:v>371</x:v>
      </x:c>
    </x:row>
    <x:row r="665" spans="1:17">
      <x:c r="D665" s="147" t="n">
        <x:v>10128595</x:v>
      </x:c>
      <x:c r="E665" s="147" t="s">
        <x:v>371</x:v>
      </x:c>
    </x:row>
    <x:row r="666" spans="1:17">
      <x:c r="D666" s="147" t="n">
        <x:v>10128596</x:v>
      </x:c>
      <x:c r="E666" s="147" t="s">
        <x:v>363</x:v>
      </x:c>
    </x:row>
    <x:row r="667" spans="1:17">
      <x:c r="D667" s="147" t="n">
        <x:v>10128597</x:v>
      </x:c>
      <x:c r="E667" s="147" t="s">
        <x:v>368</x:v>
      </x:c>
    </x:row>
    <x:row r="668" spans="1:17">
      <x:c r="D668" s="147" t="n">
        <x:v>10128598</x:v>
      </x:c>
      <x:c r="E668" s="147" t="s">
        <x:v>371</x:v>
      </x:c>
    </x:row>
    <x:row r="669" spans="1:17">
      <x:c r="D669" s="147" t="n">
        <x:v>10128599</x:v>
      </x:c>
      <x:c r="E669" s="147" t="s">
        <x:v>364</x:v>
      </x:c>
    </x:row>
    <x:row r="670" spans="1:17">
      <x:c r="D670" s="147" t="n">
        <x:v>10128600</x:v>
      </x:c>
      <x:c r="E670" s="147" t="s">
        <x:v>368</x:v>
      </x:c>
    </x:row>
    <x:row r="671" spans="1:17">
      <x:c r="D671" s="147" t="n">
        <x:v>10128579</x:v>
      </x:c>
      <x:c r="E671" s="147" t="s">
        <x:v>364</x:v>
      </x:c>
    </x:row>
    <x:row r="672" spans="1:17">
      <x:c r="D672" s="147" t="n">
        <x:v>10128580</x:v>
      </x:c>
      <x:c r="E672" s="147" t="s">
        <x:v>368</x:v>
      </x:c>
    </x:row>
    <x:row r="673" spans="1:17">
      <x:c r="D673" s="147" t="n">
        <x:v>10128581</x:v>
      </x:c>
      <x:c r="E673" s="147" t="s">
        <x:v>368</x:v>
      </x:c>
    </x:row>
    <x:row r="674" spans="1:17">
      <x:c r="D674" s="147" t="n">
        <x:v>10128582</x:v>
      </x:c>
      <x:c r="E674" s="147" t="s">
        <x:v>371</x:v>
      </x:c>
    </x:row>
    <x:row r="675" spans="1:17">
      <x:c r="D675" s="147" t="n">
        <x:v>10128595</x:v>
      </x:c>
      <x:c r="E675" s="147" t="s">
        <x:v>371</x:v>
      </x:c>
    </x:row>
    <x:row r="676" spans="1:17">
      <x:c r="D676" s="147" t="n">
        <x:v>10128596</x:v>
      </x:c>
      <x:c r="E676" s="147" t="s">
        <x:v>363</x:v>
      </x:c>
    </x:row>
    <x:row r="677" spans="1:17">
      <x:c r="D677" s="147" t="n">
        <x:v>10128597</x:v>
      </x:c>
      <x:c r="E677" s="147" t="s">
        <x:v>368</x:v>
      </x:c>
    </x:row>
    <x:row r="678" spans="1:17">
      <x:c r="D678" s="147" t="n">
        <x:v>10128598</x:v>
      </x:c>
      <x:c r="E678" s="147" t="s">
        <x:v>371</x:v>
      </x:c>
    </x:row>
    <x:row r="679" spans="1:17">
      <x:c r="D679" s="147" t="n">
        <x:v>10128599</x:v>
      </x:c>
      <x:c r="E679" s="147" t="s">
        <x:v>364</x:v>
      </x:c>
    </x:row>
    <x:row r="680" spans="1:17">
      <x:c r="D680" s="147" t="n">
        <x:v>10128600</x:v>
      </x:c>
      <x:c r="E680" s="147" t="s">
        <x:v>368</x:v>
      </x:c>
    </x:row>
    <x:row r="681" spans="1:17">
      <x:c r="D681" s="147" t="n">
        <x:v>10128579</x:v>
      </x:c>
      <x:c r="E681" s="147" t="s">
        <x:v>364</x:v>
      </x:c>
    </x:row>
    <x:row r="682" spans="1:17">
      <x:c r="D682" s="147" t="n">
        <x:v>10128580</x:v>
      </x:c>
      <x:c r="E682" s="147" t="s">
        <x:v>368</x:v>
      </x:c>
    </x:row>
    <x:row r="683" spans="1:17">
      <x:c r="D683" s="147" t="n">
        <x:v>10128581</x:v>
      </x:c>
      <x:c r="E683" s="147" t="s">
        <x:v>368</x:v>
      </x:c>
    </x:row>
    <x:row r="684" spans="1:17">
      <x:c r="D684" s="147" t="n">
        <x:v>10128582</x:v>
      </x:c>
      <x:c r="E684" s="147" t="s">
        <x:v>371</x:v>
      </x:c>
    </x:row>
    <x:row r="685" spans="1:17">
      <x:c r="D685" s="147" t="n">
        <x:v>10128595</x:v>
      </x:c>
      <x:c r="E685" s="147" t="s">
        <x:v>371</x:v>
      </x:c>
    </x:row>
    <x:row r="686" spans="1:17">
      <x:c r="D686" s="147" t="n">
        <x:v>10128596</x:v>
      </x:c>
      <x:c r="E686" s="147" t="s">
        <x:v>363</x:v>
      </x:c>
    </x:row>
    <x:row r="687" spans="1:17">
      <x:c r="D687" s="147" t="n">
        <x:v>10128597</x:v>
      </x:c>
      <x:c r="E687" s="147" t="s">
        <x:v>368</x:v>
      </x:c>
    </x:row>
    <x:row r="688" spans="1:17">
      <x:c r="D688" s="147" t="n">
        <x:v>10128598</x:v>
      </x:c>
      <x:c r="E688" s="147" t="s">
        <x:v>371</x:v>
      </x:c>
    </x:row>
    <x:row r="689" spans="1:17">
      <x:c r="D689" s="147" t="n">
        <x:v>10128599</x:v>
      </x:c>
      <x:c r="E689" s="147" t="s">
        <x:v>364</x:v>
      </x:c>
    </x:row>
    <x:row r="690" spans="1:17">
      <x:c r="D690" s="147" t="n">
        <x:v>10128600</x:v>
      </x:c>
      <x:c r="E690" s="147" t="s">
        <x:v>368</x:v>
      </x:c>
    </x:row>
    <x:row r="691" spans="1:17">
      <x:c r="D691" s="147" t="n">
        <x:v>10128579</x:v>
      </x:c>
      <x:c r="E691" s="147" t="s">
        <x:v>364</x:v>
      </x:c>
    </x:row>
    <x:row r="692" spans="1:17">
      <x:c r="D692" s="147" t="n">
        <x:v>10128580</x:v>
      </x:c>
      <x:c r="E692" s="147" t="s">
        <x:v>368</x:v>
      </x:c>
    </x:row>
    <x:row r="693" spans="1:17">
      <x:c r="D693" s="147" t="n">
        <x:v>10128581</x:v>
      </x:c>
      <x:c r="E693" s="147" t="s">
        <x:v>368</x:v>
      </x:c>
    </x:row>
    <x:row r="694" spans="1:17">
      <x:c r="D694" s="147" t="n">
        <x:v>10128582</x:v>
      </x:c>
      <x:c r="E694" s="147" t="s">
        <x:v>371</x:v>
      </x:c>
    </x:row>
    <x:row r="695" spans="1:17">
      <x:c r="D695" s="147" t="n">
        <x:v>10128595</x:v>
      </x:c>
      <x:c r="E695" s="147" t="s">
        <x:v>371</x:v>
      </x:c>
    </x:row>
    <x:row r="696" spans="1:17">
      <x:c r="D696" s="147" t="n">
        <x:v>10128596</x:v>
      </x:c>
      <x:c r="E696" s="147" t="s">
        <x:v>363</x:v>
      </x:c>
    </x:row>
    <x:row r="697" spans="1:17">
      <x:c r="D697" s="147" t="n">
        <x:v>10128597</x:v>
      </x:c>
      <x:c r="E697" s="147" t="s">
        <x:v>368</x:v>
      </x:c>
    </x:row>
    <x:row r="698" spans="1:17">
      <x:c r="D698" s="147" t="n">
        <x:v>10128598</x:v>
      </x:c>
      <x:c r="E698" s="147" t="s">
        <x:v>371</x:v>
      </x:c>
    </x:row>
    <x:row r="699" spans="1:17">
      <x:c r="D699" s="147" t="n">
        <x:v>10128599</x:v>
      </x:c>
      <x:c r="E699" s="147" t="s">
        <x:v>364</x:v>
      </x:c>
    </x:row>
    <x:row r="700" spans="1:17">
      <x:c r="D700" s="147" t="n">
        <x:v>10128600</x:v>
      </x:c>
      <x:c r="E700" s="147" t="s">
        <x:v>368</x:v>
      </x:c>
    </x:row>
    <x:row r="701" spans="1:17">
      <x:c r="D701" s="147" t="n">
        <x:v>10128579</x:v>
      </x:c>
      <x:c r="E701" s="147" t="s">
        <x:v>364</x:v>
      </x:c>
    </x:row>
    <x:row r="702" spans="1:17">
      <x:c r="D702" s="147" t="n">
        <x:v>10128580</x:v>
      </x:c>
      <x:c r="E702" s="147" t="s">
        <x:v>368</x:v>
      </x:c>
    </x:row>
    <x:row r="703" spans="1:17">
      <x:c r="D703" s="147" t="n">
        <x:v>10128581</x:v>
      </x:c>
      <x:c r="E703" s="147" t="s">
        <x:v>368</x:v>
      </x:c>
    </x:row>
    <x:row r="704" spans="1:17">
      <x:c r="D704" s="147" t="n">
        <x:v>10128582</x:v>
      </x:c>
      <x:c r="E704" s="147" t="s">
        <x:v>371</x:v>
      </x:c>
    </x:row>
    <x:row r="705" spans="1:17">
      <x:c r="D705" s="147" t="n">
        <x:v>10128595</x:v>
      </x:c>
      <x:c r="E705" s="147" t="s">
        <x:v>371</x:v>
      </x:c>
    </x:row>
    <x:row r="706" spans="1:17">
      <x:c r="D706" s="147" t="n">
        <x:v>10128596</x:v>
      </x:c>
      <x:c r="E706" s="147" t="s">
        <x:v>363</x:v>
      </x:c>
    </x:row>
    <x:row r="707" spans="1:17">
      <x:c r="D707" s="147" t="n">
        <x:v>10128597</x:v>
      </x:c>
      <x:c r="E707" s="147" t="s">
        <x:v>368</x:v>
      </x:c>
    </x:row>
    <x:row r="708" spans="1:17">
      <x:c r="D708" s="147" t="n">
        <x:v>10128598</x:v>
      </x:c>
      <x:c r="E708" s="147" t="s">
        <x:v>371</x:v>
      </x:c>
    </x:row>
    <x:row r="709" spans="1:17">
      <x:c r="D709" s="147" t="n">
        <x:v>10128599</x:v>
      </x:c>
      <x:c r="E709" s="147" t="s">
        <x:v>364</x:v>
      </x:c>
    </x:row>
    <x:row r="710" spans="1:17">
      <x:c r="D710" s="147" t="n">
        <x:v>10128600</x:v>
      </x:c>
      <x:c r="E710" s="147" t="s">
        <x:v>368</x:v>
      </x:c>
    </x:row>
    <x:row r="711" spans="1:17">
      <x:c r="D711" s="147" t="n">
        <x:v>10128579</x:v>
      </x:c>
      <x:c r="E711" s="147" t="s">
        <x:v>364</x:v>
      </x:c>
    </x:row>
    <x:row r="712" spans="1:17">
      <x:c r="D712" s="147" t="n">
        <x:v>10128580</x:v>
      </x:c>
      <x:c r="E712" s="147" t="s">
        <x:v>368</x:v>
      </x:c>
    </x:row>
    <x:row r="713" spans="1:17">
      <x:c r="D713" s="147" t="n">
        <x:v>10128581</x:v>
      </x:c>
      <x:c r="E713" s="147" t="s">
        <x:v>368</x:v>
      </x:c>
    </x:row>
    <x:row r="714" spans="1:17">
      <x:c r="D714" s="147" t="n">
        <x:v>10128582</x:v>
      </x:c>
      <x:c r="E714" s="147" t="s">
        <x:v>371</x:v>
      </x:c>
    </x:row>
    <x:row r="715" spans="1:17">
      <x:c r="D715" s="147" t="n">
        <x:v>10128595</x:v>
      </x:c>
      <x:c r="E715" s="147" t="s">
        <x:v>371</x:v>
      </x:c>
    </x:row>
    <x:row r="716" spans="1:17">
      <x:c r="D716" s="147" t="n">
        <x:v>10128596</x:v>
      </x:c>
      <x:c r="E716" s="147" t="s">
        <x:v>363</x:v>
      </x:c>
    </x:row>
    <x:row r="717" spans="1:17">
      <x:c r="D717" s="147" t="n">
        <x:v>10128597</x:v>
      </x:c>
      <x:c r="E717" s="147" t="s">
        <x:v>368</x:v>
      </x:c>
    </x:row>
    <x:row r="718" spans="1:17">
      <x:c r="D718" s="147" t="n">
        <x:v>10128598</x:v>
      </x:c>
      <x:c r="E718" s="147" t="s">
        <x:v>371</x:v>
      </x:c>
    </x:row>
    <x:row r="719" spans="1:17">
      <x:c r="D719" s="147" t="n">
        <x:v>10128599</x:v>
      </x:c>
      <x:c r="E719" s="147" t="s">
        <x:v>364</x:v>
      </x:c>
    </x:row>
    <x:row r="720" spans="1:17">
      <x:c r="D720" s="147" t="n">
        <x:v>10128600</x:v>
      </x:c>
      <x:c r="E720" s="147" t="s">
        <x:v>368</x:v>
      </x:c>
    </x:row>
    <x:row r="721" spans="1:17">
      <x:c r="D721" s="147" t="n">
        <x:v>10128579</x:v>
      </x:c>
      <x:c r="E721" s="147" t="s">
        <x:v>364</x:v>
      </x:c>
    </x:row>
    <x:row r="722" spans="1:17">
      <x:c r="D722" s="147" t="n">
        <x:v>10128580</x:v>
      </x:c>
      <x:c r="E722" s="147" t="s">
        <x:v>368</x:v>
      </x:c>
    </x:row>
    <x:row r="723" spans="1:17">
      <x:c r="D723" s="147" t="n">
        <x:v>10128581</x:v>
      </x:c>
      <x:c r="E723" s="147" t="s">
        <x:v>368</x:v>
      </x:c>
    </x:row>
    <x:row r="724" spans="1:17">
      <x:c r="D724" s="147" t="n">
        <x:v>10128582</x:v>
      </x:c>
      <x:c r="E724" s="147" t="s">
        <x:v>371</x:v>
      </x:c>
    </x:row>
    <x:row r="725" spans="1:17">
      <x:c r="D725" s="147" t="n">
        <x:v>10128595</x:v>
      </x:c>
      <x:c r="E725" s="147" t="s">
        <x:v>371</x:v>
      </x:c>
    </x:row>
    <x:row r="726" spans="1:17">
      <x:c r="D726" s="147" t="n">
        <x:v>10128596</x:v>
      </x:c>
      <x:c r="E726" s="147" t="s">
        <x:v>363</x:v>
      </x:c>
    </x:row>
    <x:row r="727" spans="1:17">
      <x:c r="D727" s="147" t="n">
        <x:v>10128597</x:v>
      </x:c>
      <x:c r="E727" s="147" t="s">
        <x:v>368</x:v>
      </x:c>
    </x:row>
    <x:row r="728" spans="1:17">
      <x:c r="D728" s="147" t="n">
        <x:v>10128598</x:v>
      </x:c>
      <x:c r="E728" s="147" t="s">
        <x:v>371</x:v>
      </x:c>
    </x:row>
    <x:row r="729" spans="1:17">
      <x:c r="D729" s="147" t="n">
        <x:v>10128599</x:v>
      </x:c>
      <x:c r="E729" s="147" t="s">
        <x:v>364</x:v>
      </x:c>
    </x:row>
    <x:row r="730" spans="1:17">
      <x:c r="D730" s="147" t="n">
        <x:v>10128600</x:v>
      </x:c>
      <x:c r="E730" s="147" t="s">
        <x:v>368</x:v>
      </x:c>
    </x:row>
    <x:row r="731" spans="1:17">
      <x:c r="D731" s="147" t="n">
        <x:v>10128579</x:v>
      </x:c>
      <x:c r="E731" s="147" t="s">
        <x:v>364</x:v>
      </x:c>
    </x:row>
    <x:row r="732" spans="1:17">
      <x:c r="D732" s="147" t="n">
        <x:v>10128580</x:v>
      </x:c>
      <x:c r="E732" s="147" t="s">
        <x:v>368</x:v>
      </x:c>
    </x:row>
    <x:row r="733" spans="1:17">
      <x:c r="D733" s="147" t="n">
        <x:v>10128581</x:v>
      </x:c>
      <x:c r="E733" s="147" t="s">
        <x:v>368</x:v>
      </x:c>
    </x:row>
    <x:row r="734" spans="1:17">
      <x:c r="D734" s="147" t="n">
        <x:v>10128582</x:v>
      </x:c>
      <x:c r="E734" s="147" t="s">
        <x:v>371</x:v>
      </x:c>
    </x:row>
    <x:row r="735" spans="1:17">
      <x:c r="D735" s="147" t="n">
        <x:v>10128595</x:v>
      </x:c>
      <x:c r="E735" s="147" t="s">
        <x:v>371</x:v>
      </x:c>
    </x:row>
    <x:row r="736" spans="1:17">
      <x:c r="D736" s="147" t="n">
        <x:v>10128596</x:v>
      </x:c>
      <x:c r="E736" s="147" t="s">
        <x:v>363</x:v>
      </x:c>
    </x:row>
    <x:row r="737" spans="1:17">
      <x:c r="D737" s="147" t="n">
        <x:v>10128597</x:v>
      </x:c>
      <x:c r="E737" s="147" t="s">
        <x:v>368</x:v>
      </x:c>
    </x:row>
    <x:row r="738" spans="1:17">
      <x:c r="D738" s="147" t="n">
        <x:v>10128598</x:v>
      </x:c>
      <x:c r="E738" s="147" t="s">
        <x:v>371</x:v>
      </x:c>
    </x:row>
    <x:row r="739" spans="1:17">
      <x:c r="D739" s="147" t="n">
        <x:v>10128599</x:v>
      </x:c>
      <x:c r="E739" s="147" t="s">
        <x:v>364</x:v>
      </x:c>
    </x:row>
    <x:row r="740" spans="1:17">
      <x:c r="D740" s="147" t="n">
        <x:v>10128600</x:v>
      </x:c>
      <x:c r="E740" s="147" t="s">
        <x:v>368</x:v>
      </x:c>
    </x:row>
    <x:row r="741" spans="1:17">
      <x:c r="D741" s="147" t="n">
        <x:v>10128579</x:v>
      </x:c>
      <x:c r="E741" s="147" t="s">
        <x:v>364</x:v>
      </x:c>
    </x:row>
    <x:row r="742" spans="1:17">
      <x:c r="D742" s="147" t="n">
        <x:v>10128580</x:v>
      </x:c>
      <x:c r="E742" s="147" t="s">
        <x:v>368</x:v>
      </x:c>
    </x:row>
    <x:row r="743" spans="1:17">
      <x:c r="D743" s="147" t="n">
        <x:v>10128581</x:v>
      </x:c>
      <x:c r="E743" s="147" t="s">
        <x:v>368</x:v>
      </x:c>
    </x:row>
    <x:row r="744" spans="1:17">
      <x:c r="D744" s="147" t="n">
        <x:v>10128582</x:v>
      </x:c>
      <x:c r="E744" s="147" t="s">
        <x:v>371</x:v>
      </x:c>
    </x:row>
    <x:row r="745" spans="1:17">
      <x:c r="D745" s="147" t="n">
        <x:v>10128595</x:v>
      </x:c>
      <x:c r="E745" s="147" t="s">
        <x:v>371</x:v>
      </x:c>
    </x:row>
    <x:row r="746" spans="1:17">
      <x:c r="D746" s="147" t="n">
        <x:v>10128596</x:v>
      </x:c>
      <x:c r="E746" s="147" t="s">
        <x:v>363</x:v>
      </x:c>
    </x:row>
    <x:row r="747" spans="1:17">
      <x:c r="D747" s="147" t="n">
        <x:v>10128597</x:v>
      </x:c>
      <x:c r="E747" s="147" t="s">
        <x:v>368</x:v>
      </x:c>
    </x:row>
    <x:row r="748" spans="1:17">
      <x:c r="D748" s="147" t="n">
        <x:v>10128598</x:v>
      </x:c>
      <x:c r="E748" s="147" t="s">
        <x:v>371</x:v>
      </x:c>
    </x:row>
    <x:row r="749" spans="1:17">
      <x:c r="D749" s="147" t="n">
        <x:v>10128599</x:v>
      </x:c>
      <x:c r="E749" s="147" t="s">
        <x:v>364</x:v>
      </x:c>
    </x:row>
    <x:row r="750" spans="1:17">
      <x:c r="D750" s="147" t="n">
        <x:v>10128600</x:v>
      </x:c>
      <x:c r="E750" s="147" t="s">
        <x:v>368</x:v>
      </x:c>
    </x:row>
    <x:row r="751" spans="1:17">
      <x:c r="D751" s="147" t="n">
        <x:v>10128579</x:v>
      </x:c>
      <x:c r="E751" s="147" t="s">
        <x:v>364</x:v>
      </x:c>
    </x:row>
    <x:row r="752" spans="1:17">
      <x:c r="D752" s="147" t="n">
        <x:v>10128580</x:v>
      </x:c>
      <x:c r="E752" s="147" t="s">
        <x:v>368</x:v>
      </x:c>
    </x:row>
    <x:row r="753" spans="1:17">
      <x:c r="D753" s="147" t="n">
        <x:v>10128581</x:v>
      </x:c>
      <x:c r="E753" s="147" t="s">
        <x:v>368</x:v>
      </x:c>
    </x:row>
    <x:row r="754" spans="1:17">
      <x:c r="D754" s="147" t="n">
        <x:v>10128582</x:v>
      </x:c>
      <x:c r="E754" s="147" t="s">
        <x:v>371</x:v>
      </x:c>
    </x:row>
    <x:row r="755" spans="1:17">
      <x:c r="D755" s="147" t="n">
        <x:v>10128595</x:v>
      </x:c>
      <x:c r="E755" s="147" t="s">
        <x:v>371</x:v>
      </x:c>
    </x:row>
    <x:row r="756" spans="1:17">
      <x:c r="D756" s="147" t="n">
        <x:v>10128596</x:v>
      </x:c>
      <x:c r="E756" s="147" t="s">
        <x:v>363</x:v>
      </x:c>
    </x:row>
    <x:row r="757" spans="1:17">
      <x:c r="D757" s="147" t="n">
        <x:v>10128597</x:v>
      </x:c>
      <x:c r="E757" s="147" t="s">
        <x:v>368</x:v>
      </x:c>
    </x:row>
    <x:row r="758" spans="1:17">
      <x:c r="D758" s="147" t="n">
        <x:v>10128598</x:v>
      </x:c>
      <x:c r="E758" s="147" t="s">
        <x:v>371</x:v>
      </x:c>
    </x:row>
    <x:row r="759" spans="1:17">
      <x:c r="D759" s="147" t="n">
        <x:v>10128599</x:v>
      </x:c>
      <x:c r="E759" s="147" t="s">
        <x:v>364</x:v>
      </x:c>
    </x:row>
    <x:row r="760" spans="1:17">
      <x:c r="D760" s="147" t="n">
        <x:v>10128600</x:v>
      </x:c>
      <x:c r="E760" s="147" t="s">
        <x:v>368</x:v>
      </x:c>
    </x:row>
    <x:row r="761" spans="1:17">
      <x:c r="D761" s="147" t="n">
        <x:v>10128579</x:v>
      </x:c>
      <x:c r="E761" s="147" t="s">
        <x:v>364</x:v>
      </x:c>
    </x:row>
    <x:row r="762" spans="1:17">
      <x:c r="D762" s="147" t="n">
        <x:v>10128580</x:v>
      </x:c>
      <x:c r="E762" s="147" t="s">
        <x:v>368</x:v>
      </x:c>
    </x:row>
    <x:row r="763" spans="1:17">
      <x:c r="D763" s="147" t="n">
        <x:v>10128581</x:v>
      </x:c>
      <x:c r="E763" s="147" t="s">
        <x:v>368</x:v>
      </x:c>
    </x:row>
    <x:row r="764" spans="1:17">
      <x:c r="D764" s="147" t="n">
        <x:v>10128582</x:v>
      </x:c>
      <x:c r="E764" s="147" t="s">
        <x:v>371</x:v>
      </x:c>
    </x:row>
    <x:row r="765" spans="1:17">
      <x:c r="D765" s="147" t="n">
        <x:v>10128595</x:v>
      </x:c>
      <x:c r="E765" s="147" t="s">
        <x:v>371</x:v>
      </x:c>
    </x:row>
    <x:row r="766" spans="1:17">
      <x:c r="D766" s="147" t="n">
        <x:v>10128596</x:v>
      </x:c>
      <x:c r="E766" s="147" t="s">
        <x:v>363</x:v>
      </x:c>
    </x:row>
    <x:row r="767" spans="1:17">
      <x:c r="D767" s="147" t="n">
        <x:v>10128597</x:v>
      </x:c>
      <x:c r="E767" s="147" t="s">
        <x:v>368</x:v>
      </x:c>
    </x:row>
    <x:row r="768" spans="1:17">
      <x:c r="D768" s="147" t="n">
        <x:v>10128598</x:v>
      </x:c>
      <x:c r="E768" s="147" t="s">
        <x:v>371</x:v>
      </x:c>
    </x:row>
    <x:row r="769" spans="1:17">
      <x:c r="D769" s="147" t="n">
        <x:v>10128599</x:v>
      </x:c>
      <x:c r="E769" s="147" t="s">
        <x:v>364</x:v>
      </x:c>
    </x:row>
    <x:row r="770" spans="1:17">
      <x:c r="D770" s="147" t="n">
        <x:v>10128600</x:v>
      </x:c>
      <x:c r="E770" s="147" t="s">
        <x:v>368</x:v>
      </x:c>
    </x:row>
    <x:row r="771" spans="1:17">
      <x:c r="D771" s="147" t="n">
        <x:v>10128579</x:v>
      </x:c>
      <x:c r="E771" s="147" t="s">
        <x:v>364</x:v>
      </x:c>
    </x:row>
    <x:row r="772" spans="1:17">
      <x:c r="D772" s="147" t="n">
        <x:v>10128580</x:v>
      </x:c>
      <x:c r="E772" s="147" t="s">
        <x:v>368</x:v>
      </x:c>
    </x:row>
    <x:row r="773" spans="1:17">
      <x:c r="D773" s="147" t="n">
        <x:v>10128581</x:v>
      </x:c>
      <x:c r="E773" s="147" t="s">
        <x:v>368</x:v>
      </x:c>
    </x:row>
    <x:row r="774" spans="1:17">
      <x:c r="D774" s="147" t="n">
        <x:v>10128582</x:v>
      </x:c>
      <x:c r="E774" s="147" t="s">
        <x:v>371</x:v>
      </x:c>
    </x:row>
    <x:row r="775" spans="1:17">
      <x:c r="D775" s="147" t="n">
        <x:v>10128595</x:v>
      </x:c>
      <x:c r="E775" s="147" t="s">
        <x:v>371</x:v>
      </x:c>
    </x:row>
    <x:row r="776" spans="1:17">
      <x:c r="D776" s="147" t="n">
        <x:v>10128596</x:v>
      </x:c>
      <x:c r="E776" s="147" t="s">
        <x:v>363</x:v>
      </x:c>
    </x:row>
    <x:row r="777" spans="1:17">
      <x:c r="D777" s="147" t="n">
        <x:v>10128597</x:v>
      </x:c>
      <x:c r="E777" s="147" t="s">
        <x:v>368</x:v>
      </x:c>
    </x:row>
    <x:row r="778" spans="1:17">
      <x:c r="D778" s="147" t="n">
        <x:v>10128598</x:v>
      </x:c>
      <x:c r="E778" s="147" t="s">
        <x:v>371</x:v>
      </x:c>
    </x:row>
    <x:row r="779" spans="1:17">
      <x:c r="D779" s="147" t="n">
        <x:v>10128599</x:v>
      </x:c>
      <x:c r="E779" s="147" t="s">
        <x:v>364</x:v>
      </x:c>
    </x:row>
    <x:row r="780" spans="1:17">
      <x:c r="D780" s="147" t="n">
        <x:v>10128600</x:v>
      </x:c>
      <x:c r="E780" s="147" t="s">
        <x:v>368</x:v>
      </x:c>
    </x:row>
    <x:row r="781" spans="1:17">
      <x:c r="D781" s="147" t="n">
        <x:v>10128579</x:v>
      </x:c>
      <x:c r="E781" s="147" t="s">
        <x:v>364</x:v>
      </x:c>
    </x:row>
    <x:row r="782" spans="1:17">
      <x:c r="D782" s="147" t="n">
        <x:v>10128580</x:v>
      </x:c>
      <x:c r="E782" s="147" t="s">
        <x:v>368</x:v>
      </x:c>
    </x:row>
    <x:row r="783" spans="1:17">
      <x:c r="D783" s="147" t="n">
        <x:v>10128581</x:v>
      </x:c>
      <x:c r="E783" s="147" t="s">
        <x:v>368</x:v>
      </x:c>
    </x:row>
    <x:row r="784" spans="1:17">
      <x:c r="D784" s="147" t="n">
        <x:v>10128582</x:v>
      </x:c>
      <x:c r="E784" s="147" t="s">
        <x:v>371</x:v>
      </x:c>
    </x:row>
    <x:row r="785" spans="1:17">
      <x:c r="D785" s="147" t="n">
        <x:v>10128595</x:v>
      </x:c>
      <x:c r="E785" s="147" t="s">
        <x:v>371</x:v>
      </x:c>
    </x:row>
    <x:row r="786" spans="1:17">
      <x:c r="D786" s="147" t="n">
        <x:v>10128596</x:v>
      </x:c>
      <x:c r="E786" s="147" t="s">
        <x:v>363</x:v>
      </x:c>
    </x:row>
    <x:row r="787" spans="1:17">
      <x:c r="D787" s="147" t="n">
        <x:v>10128597</x:v>
      </x:c>
      <x:c r="E787" s="147" t="s">
        <x:v>368</x:v>
      </x:c>
    </x:row>
    <x:row r="788" spans="1:17">
      <x:c r="D788" s="147" t="n">
        <x:v>10128598</x:v>
      </x:c>
      <x:c r="E788" s="147" t="s">
        <x:v>371</x:v>
      </x:c>
    </x:row>
    <x:row r="789" spans="1:17">
      <x:c r="D789" s="147" t="n">
        <x:v>10128599</x:v>
      </x:c>
      <x:c r="E789" s="147" t="s">
        <x:v>364</x:v>
      </x:c>
    </x:row>
    <x:row r="790" spans="1:17">
      <x:c r="D790" s="147" t="n">
        <x:v>10128600</x:v>
      </x:c>
      <x:c r="E790" s="147" t="s">
        <x:v>368</x:v>
      </x:c>
    </x:row>
    <x:row r="791" spans="1:17">
      <x:c r="D791" s="147" t="n">
        <x:v>10128579</x:v>
      </x:c>
      <x:c r="E791" s="147" t="s">
        <x:v>364</x:v>
      </x:c>
    </x:row>
    <x:row r="792" spans="1:17">
      <x:c r="D792" s="147" t="n">
        <x:v>10128580</x:v>
      </x:c>
      <x:c r="E792" s="147" t="s">
        <x:v>368</x:v>
      </x:c>
    </x:row>
    <x:row r="793" spans="1:17">
      <x:c r="D793" s="147" t="n">
        <x:v>10128581</x:v>
      </x:c>
      <x:c r="E793" s="147" t="s">
        <x:v>368</x:v>
      </x:c>
    </x:row>
    <x:row r="794" spans="1:17">
      <x:c r="D794" s="147" t="n">
        <x:v>10128582</x:v>
      </x:c>
      <x:c r="E794" s="147" t="s">
        <x:v>371</x:v>
      </x:c>
    </x:row>
    <x:row r="795" spans="1:17">
      <x:c r="D795" s="147" t="n">
        <x:v>10128595</x:v>
      </x:c>
      <x:c r="E795" s="147" t="s">
        <x:v>371</x:v>
      </x:c>
    </x:row>
    <x:row r="796" spans="1:17">
      <x:c r="D796" s="147" t="n">
        <x:v>10128596</x:v>
      </x:c>
      <x:c r="E796" s="147" t="s">
        <x:v>363</x:v>
      </x:c>
    </x:row>
    <x:row r="797" spans="1:17">
      <x:c r="D797" s="147" t="n">
        <x:v>10128597</x:v>
      </x:c>
      <x:c r="E797" s="147" t="s">
        <x:v>368</x:v>
      </x:c>
    </x:row>
    <x:row r="798" spans="1:17">
      <x:c r="D798" s="147" t="n">
        <x:v>10128598</x:v>
      </x:c>
      <x:c r="E798" s="147" t="s">
        <x:v>371</x:v>
      </x:c>
    </x:row>
    <x:row r="799" spans="1:17">
      <x:c r="D799" s="147" t="n">
        <x:v>10128599</x:v>
      </x:c>
      <x:c r="E799" s="147" t="s">
        <x:v>364</x:v>
      </x:c>
    </x:row>
    <x:row r="800" spans="1:17">
      <x:c r="D800" s="147" t="n">
        <x:v>10128600</x:v>
      </x:c>
      <x:c r="E800" s="147" t="s">
        <x:v>368</x:v>
      </x:c>
    </x:row>
    <x:row r="801" spans="1:17">
      <x:c r="D801" s="147" t="n">
        <x:v>10128579</x:v>
      </x:c>
      <x:c r="E801" s="147" t="s">
        <x:v>364</x:v>
      </x:c>
    </x:row>
    <x:row r="802" spans="1:17">
      <x:c r="D802" s="147" t="n">
        <x:v>10128580</x:v>
      </x:c>
      <x:c r="E802" s="147" t="s">
        <x:v>368</x:v>
      </x:c>
    </x:row>
    <x:row r="803" spans="1:17">
      <x:c r="D803" s="147" t="n">
        <x:v>10128581</x:v>
      </x:c>
      <x:c r="E803" s="147" t="s">
        <x:v>368</x:v>
      </x:c>
    </x:row>
    <x:row r="804" spans="1:17">
      <x:c r="D804" s="147" t="n">
        <x:v>10128582</x:v>
      </x:c>
      <x:c r="E804" s="147" t="s">
        <x:v>371</x:v>
      </x:c>
    </x:row>
    <x:row r="805" spans="1:17">
      <x:c r="D805" s="147" t="n">
        <x:v>10128595</x:v>
      </x:c>
      <x:c r="E805" s="147" t="s">
        <x:v>371</x:v>
      </x:c>
    </x:row>
    <x:row r="806" spans="1:17">
      <x:c r="D806" s="147" t="n">
        <x:v>10128596</x:v>
      </x:c>
      <x:c r="E806" s="147" t="s">
        <x:v>363</x:v>
      </x:c>
    </x:row>
    <x:row r="807" spans="1:17">
      <x:c r="D807" s="147" t="n">
        <x:v>10128597</x:v>
      </x:c>
      <x:c r="E807" s="147" t="s">
        <x:v>368</x:v>
      </x:c>
    </x:row>
    <x:row r="808" spans="1:17">
      <x:c r="D808" s="147" t="n">
        <x:v>10128598</x:v>
      </x:c>
      <x:c r="E808" s="147" t="s">
        <x:v>371</x:v>
      </x:c>
    </x:row>
    <x:row r="809" spans="1:17">
      <x:c r="D809" s="147" t="n">
        <x:v>10128599</x:v>
      </x:c>
      <x:c r="E809" s="147" t="s">
        <x:v>364</x:v>
      </x:c>
    </x:row>
    <x:row r="810" spans="1:17">
      <x:c r="D810" s="147" t="n">
        <x:v>10128600</x:v>
      </x:c>
      <x:c r="E810" s="147" t="s">
        <x:v>368</x:v>
      </x:c>
    </x:row>
    <x:row r="811" spans="1:17">
      <x:c r="D811" s="147" t="n">
        <x:v>10128579</x:v>
      </x:c>
      <x:c r="E811" s="147" t="s">
        <x:v>364</x:v>
      </x:c>
    </x:row>
    <x:row r="812" spans="1:17">
      <x:c r="D812" s="147" t="n">
        <x:v>10128580</x:v>
      </x:c>
      <x:c r="E812" s="147" t="s">
        <x:v>368</x:v>
      </x:c>
    </x:row>
    <x:row r="813" spans="1:17">
      <x:c r="D813" s="147" t="n">
        <x:v>10128581</x:v>
      </x:c>
      <x:c r="E813" s="147" t="s">
        <x:v>368</x:v>
      </x:c>
    </x:row>
    <x:row r="814" spans="1:17">
      <x:c r="D814" s="147" t="n">
        <x:v>10128582</x:v>
      </x:c>
      <x:c r="E814" s="147" t="s">
        <x:v>371</x:v>
      </x:c>
    </x:row>
    <x:row r="815" spans="1:17">
      <x:c r="D815" s="147" t="n">
        <x:v>10128595</x:v>
      </x:c>
      <x:c r="E815" s="147" t="s">
        <x:v>371</x:v>
      </x:c>
    </x:row>
    <x:row r="816" spans="1:17">
      <x:c r="D816" s="147" t="n">
        <x:v>10128596</x:v>
      </x:c>
      <x:c r="E816" s="147" t="s">
        <x:v>363</x:v>
      </x:c>
    </x:row>
    <x:row r="817" spans="1:17">
      <x:c r="D817" s="147" t="n">
        <x:v>10128597</x:v>
      </x:c>
      <x:c r="E817" s="147" t="s">
        <x:v>368</x:v>
      </x:c>
    </x:row>
    <x:row r="818" spans="1:17">
      <x:c r="D818" s="147" t="n">
        <x:v>10128598</x:v>
      </x:c>
      <x:c r="E818" s="147" t="s">
        <x:v>371</x:v>
      </x:c>
    </x:row>
    <x:row r="819" spans="1:17">
      <x:c r="D819" s="147" t="n">
        <x:v>10128599</x:v>
      </x:c>
      <x:c r="E819" s="147" t="s">
        <x:v>364</x:v>
      </x:c>
    </x:row>
    <x:row r="820" spans="1:17">
      <x:c r="D820" s="147" t="n">
        <x:v>10128600</x:v>
      </x:c>
      <x:c r="E820" s="147" t="s">
        <x:v>368</x:v>
      </x:c>
    </x:row>
    <x:row r="821" spans="1:17">
      <x:c r="D821" s="147" t="n">
        <x:v>10128579</x:v>
      </x:c>
      <x:c r="E821" s="147" t="s">
        <x:v>364</x:v>
      </x:c>
    </x:row>
    <x:row r="822" spans="1:17">
      <x:c r="D822" s="147" t="n">
        <x:v>10128580</x:v>
      </x:c>
      <x:c r="E822" s="147" t="s">
        <x:v>368</x:v>
      </x:c>
    </x:row>
    <x:row r="823" spans="1:17">
      <x:c r="D823" s="147" t="n">
        <x:v>10128581</x:v>
      </x:c>
      <x:c r="E823" s="147" t="s">
        <x:v>368</x:v>
      </x:c>
    </x:row>
    <x:row r="824" spans="1:17">
      <x:c r="D824" s="147" t="n">
        <x:v>10128582</x:v>
      </x:c>
      <x:c r="E824" s="147" t="s">
        <x:v>371</x:v>
      </x:c>
    </x:row>
    <x:row r="825" spans="1:17">
      <x:c r="D825" s="147" t="n">
        <x:v>10128595</x:v>
      </x:c>
      <x:c r="E825" s="147" t="s">
        <x:v>371</x:v>
      </x:c>
    </x:row>
    <x:row r="826" spans="1:17">
      <x:c r="D826" s="147" t="n">
        <x:v>10128596</x:v>
      </x:c>
      <x:c r="E826" s="147" t="s">
        <x:v>363</x:v>
      </x:c>
    </x:row>
    <x:row r="827" spans="1:17">
      <x:c r="D827" s="147" t="n">
        <x:v>10128597</x:v>
      </x:c>
      <x:c r="E827" s="147" t="s">
        <x:v>368</x:v>
      </x:c>
    </x:row>
    <x:row r="828" spans="1:17">
      <x:c r="D828" s="147" t="n">
        <x:v>10128598</x:v>
      </x:c>
      <x:c r="E828" s="147" t="s">
        <x:v>371</x:v>
      </x:c>
    </x:row>
    <x:row r="829" spans="1:17">
      <x:c r="D829" s="147" t="n">
        <x:v>10128599</x:v>
      </x:c>
      <x:c r="E829" s="147" t="s">
        <x:v>364</x:v>
      </x:c>
    </x:row>
    <x:row r="830" spans="1:17">
      <x:c r="D830" s="147" t="n">
        <x:v>10128600</x:v>
      </x:c>
      <x:c r="E830" s="147" t="s">
        <x:v>368</x:v>
      </x:c>
    </x:row>
    <x:row r="831" spans="1:17">
      <x:c r="D831" s="147" t="n">
        <x:v>10128579</x:v>
      </x:c>
      <x:c r="E831" s="147" t="s">
        <x:v>364</x:v>
      </x:c>
    </x:row>
    <x:row r="832" spans="1:17">
      <x:c r="D832" s="147" t="n">
        <x:v>10128580</x:v>
      </x:c>
      <x:c r="E832" s="147" t="s">
        <x:v>368</x:v>
      </x:c>
    </x:row>
    <x:row r="833" spans="1:17">
      <x:c r="D833" s="147" t="n">
        <x:v>10128581</x:v>
      </x:c>
      <x:c r="E833" s="147" t="s">
        <x:v>368</x:v>
      </x:c>
    </x:row>
    <x:row r="834" spans="1:17">
      <x:c r="D834" s="147" t="n">
        <x:v>10128582</x:v>
      </x:c>
      <x:c r="E834" s="147" t="s">
        <x:v>371</x:v>
      </x:c>
    </x:row>
    <x:row r="835" spans="1:17">
      <x:c r="D835" s="147" t="n">
        <x:v>10128595</x:v>
      </x:c>
      <x:c r="E835" s="147" t="s">
        <x:v>371</x:v>
      </x:c>
    </x:row>
    <x:row r="836" spans="1:17">
      <x:c r="D836" s="147" t="n">
        <x:v>10128596</x:v>
      </x:c>
      <x:c r="E836" s="147" t="s">
        <x:v>363</x:v>
      </x:c>
    </x:row>
    <x:row r="837" spans="1:17">
      <x:c r="D837" s="147" t="n">
        <x:v>10128597</x:v>
      </x:c>
      <x:c r="E837" s="147" t="s">
        <x:v>368</x:v>
      </x:c>
    </x:row>
    <x:row r="838" spans="1:17">
      <x:c r="D838" s="147" t="n">
        <x:v>10128598</x:v>
      </x:c>
      <x:c r="E838" s="147" t="s">
        <x:v>371</x:v>
      </x:c>
    </x:row>
    <x:row r="839" spans="1:17">
      <x:c r="D839" s="147" t="n">
        <x:v>10128599</x:v>
      </x:c>
      <x:c r="E839" s="147" t="s">
        <x:v>364</x:v>
      </x:c>
    </x:row>
    <x:row r="840" spans="1:17">
      <x:c r="D840" s="147" t="n">
        <x:v>10128600</x:v>
      </x:c>
      <x:c r="E840" s="147" t="s">
        <x:v>368</x:v>
      </x:c>
    </x:row>
    <x:row r="841" spans="1:17">
      <x:c r="D841" s="147" t="n">
        <x:v>10128579</x:v>
      </x:c>
      <x:c r="E841" s="147" t="s">
        <x:v>364</x:v>
      </x:c>
    </x:row>
    <x:row r="842" spans="1:17">
      <x:c r="D842" s="147" t="n">
        <x:v>10128580</x:v>
      </x:c>
      <x:c r="E842" s="147" t="s">
        <x:v>368</x:v>
      </x:c>
    </x:row>
    <x:row r="843" spans="1:17">
      <x:c r="D843" s="147" t="n">
        <x:v>10128581</x:v>
      </x:c>
      <x:c r="E843" s="147" t="s">
        <x:v>368</x:v>
      </x:c>
    </x:row>
    <x:row r="844" spans="1:17">
      <x:c r="D844" s="147" t="n">
        <x:v>10128582</x:v>
      </x:c>
      <x:c r="E844" s="147" t="s">
        <x:v>371</x:v>
      </x:c>
    </x:row>
    <x:row r="845" spans="1:17">
      <x:c r="D845" s="147" t="n">
        <x:v>10128595</x:v>
      </x:c>
      <x:c r="E845" s="147" t="s">
        <x:v>371</x:v>
      </x:c>
    </x:row>
    <x:row r="846" spans="1:17">
      <x:c r="D846" s="147" t="n">
        <x:v>10128596</x:v>
      </x:c>
      <x:c r="E846" s="147" t="s">
        <x:v>363</x:v>
      </x:c>
    </x:row>
    <x:row r="847" spans="1:17">
      <x:c r="D847" s="147" t="n">
        <x:v>10128597</x:v>
      </x:c>
      <x:c r="E847" s="147" t="s">
        <x:v>368</x:v>
      </x:c>
    </x:row>
    <x:row r="848" spans="1:17">
      <x:c r="D848" s="147" t="n">
        <x:v>10128598</x:v>
      </x:c>
      <x:c r="E848" s="147" t="s">
        <x:v>371</x:v>
      </x:c>
    </x:row>
    <x:row r="849" spans="1:17">
      <x:c r="D849" s="147" t="n">
        <x:v>10128599</x:v>
      </x:c>
      <x:c r="E849" s="147" t="s">
        <x:v>364</x:v>
      </x:c>
    </x:row>
    <x:row r="850" spans="1:17">
      <x:c r="D850" s="147" t="n">
        <x:v>10128600</x:v>
      </x:c>
      <x:c r="E850" s="147" t="s">
        <x:v>368</x:v>
      </x:c>
    </x:row>
    <x:row r="851" spans="1:17">
      <x:c r="D851" s="147" t="n">
        <x:v>10128579</x:v>
      </x:c>
      <x:c r="E851" s="147" t="s">
        <x:v>364</x:v>
      </x:c>
    </x:row>
    <x:row r="852" spans="1:17">
      <x:c r="D852" s="147" t="n">
        <x:v>10128580</x:v>
      </x:c>
      <x:c r="E852" s="147" t="s">
        <x:v>368</x:v>
      </x:c>
    </x:row>
    <x:row r="853" spans="1:17">
      <x:c r="D853" s="147" t="n">
        <x:v>10128581</x:v>
      </x:c>
      <x:c r="E853" s="147" t="s">
        <x:v>368</x:v>
      </x:c>
    </x:row>
    <x:row r="854" spans="1:17">
      <x:c r="D854" s="147" t="n">
        <x:v>10128582</x:v>
      </x:c>
      <x:c r="E854" s="147" t="s">
        <x:v>371</x:v>
      </x:c>
    </x:row>
    <x:row r="855" spans="1:17">
      <x:c r="D855" s="147" t="n">
        <x:v>10128595</x:v>
      </x:c>
      <x:c r="E855" s="147" t="s">
        <x:v>371</x:v>
      </x:c>
    </x:row>
    <x:row r="856" spans="1:17">
      <x:c r="D856" s="147" t="n">
        <x:v>10128596</x:v>
      </x:c>
      <x:c r="E856" s="147" t="s">
        <x:v>363</x:v>
      </x:c>
    </x:row>
    <x:row r="857" spans="1:17">
      <x:c r="D857" s="147" t="n">
        <x:v>10128597</x:v>
      </x:c>
      <x:c r="E857" s="147" t="s">
        <x:v>368</x:v>
      </x:c>
    </x:row>
    <x:row r="858" spans="1:17">
      <x:c r="D858" s="147" t="n">
        <x:v>10128598</x:v>
      </x:c>
      <x:c r="E858" s="147" t="s">
        <x:v>371</x:v>
      </x:c>
    </x:row>
    <x:row r="859" spans="1:17">
      <x:c r="D859" s="147" t="n">
        <x:v>10128599</x:v>
      </x:c>
      <x:c r="E859" s="147" t="s">
        <x:v>364</x:v>
      </x:c>
    </x:row>
    <x:row r="860" spans="1:17">
      <x:c r="D860" s="147" t="n">
        <x:v>10128600</x:v>
      </x:c>
      <x:c r="E860" s="147" t="s">
        <x:v>368</x:v>
      </x:c>
    </x:row>
    <x:row r="861" spans="1:17">
      <x:c r="D861" s="147" t="n">
        <x:v>10128579</x:v>
      </x:c>
      <x:c r="E861" s="147" t="s">
        <x:v>364</x:v>
      </x:c>
    </x:row>
    <x:row r="862" spans="1:17">
      <x:c r="D862" s="147" t="n">
        <x:v>10128580</x:v>
      </x:c>
      <x:c r="E862" s="147" t="s">
        <x:v>368</x:v>
      </x:c>
    </x:row>
    <x:row r="863" spans="1:17">
      <x:c r="D863" s="147" t="n">
        <x:v>10128581</x:v>
      </x:c>
      <x:c r="E863" s="147" t="s">
        <x:v>368</x:v>
      </x:c>
    </x:row>
    <x:row r="864" spans="1:17">
      <x:c r="D864" s="147" t="n">
        <x:v>10128582</x:v>
      </x:c>
      <x:c r="E864" s="147" t="s">
        <x:v>371</x:v>
      </x:c>
    </x:row>
    <x:row r="865" spans="1:17">
      <x:c r="D865" s="147" t="n">
        <x:v>10128595</x:v>
      </x:c>
      <x:c r="E865" s="147" t="s">
        <x:v>371</x:v>
      </x:c>
    </x:row>
    <x:row r="866" spans="1:17">
      <x:c r="D866" s="147" t="n">
        <x:v>10128596</x:v>
      </x:c>
      <x:c r="E866" s="147" t="s">
        <x:v>363</x:v>
      </x:c>
    </x:row>
    <x:row r="867" spans="1:17">
      <x:c r="D867" s="147" t="n">
        <x:v>10128597</x:v>
      </x:c>
      <x:c r="E867" s="147" t="s">
        <x:v>368</x:v>
      </x:c>
    </x:row>
    <x:row r="868" spans="1:17">
      <x:c r="D868" s="147" t="n">
        <x:v>10128598</x:v>
      </x:c>
      <x:c r="E868" s="147" t="s">
        <x:v>371</x:v>
      </x:c>
    </x:row>
    <x:row r="869" spans="1:17">
      <x:c r="D869" s="147" t="n">
        <x:v>10128599</x:v>
      </x:c>
      <x:c r="E869" s="147" t="s">
        <x:v>364</x:v>
      </x:c>
    </x:row>
    <x:row r="870" spans="1:17">
      <x:c r="D870" s="147" t="n">
        <x:v>10128600</x:v>
      </x:c>
      <x:c r="E870" s="147" t="s">
        <x:v>368</x:v>
      </x:c>
    </x:row>
    <x:row r="871" spans="1:17">
      <x:c r="D871" s="147" t="n">
        <x:v>10128579</x:v>
      </x:c>
      <x:c r="E871" s="147" t="s">
        <x:v>364</x:v>
      </x:c>
    </x:row>
    <x:row r="872" spans="1:17">
      <x:c r="D872" s="147" t="n">
        <x:v>10128580</x:v>
      </x:c>
      <x:c r="E872" s="147" t="s">
        <x:v>368</x:v>
      </x:c>
    </x:row>
    <x:row r="873" spans="1:17">
      <x:c r="D873" s="147" t="n">
        <x:v>10128581</x:v>
      </x:c>
      <x:c r="E873" s="147" t="s">
        <x:v>368</x:v>
      </x:c>
    </x:row>
    <x:row r="874" spans="1:17">
      <x:c r="D874" s="147" t="n">
        <x:v>10128582</x:v>
      </x:c>
      <x:c r="E874" s="147" t="s">
        <x:v>371</x:v>
      </x:c>
    </x:row>
    <x:row r="875" spans="1:17">
      <x:c r="D875" s="147" t="n">
        <x:v>10128595</x:v>
      </x:c>
      <x:c r="E875" s="147" t="s">
        <x:v>371</x:v>
      </x:c>
    </x:row>
    <x:row r="876" spans="1:17">
      <x:c r="D876" s="147" t="n">
        <x:v>10128596</x:v>
      </x:c>
      <x:c r="E876" s="147" t="s">
        <x:v>363</x:v>
      </x:c>
    </x:row>
    <x:row r="877" spans="1:17">
      <x:c r="D877" s="147" t="n">
        <x:v>10128597</x:v>
      </x:c>
      <x:c r="E877" s="147" t="s">
        <x:v>368</x:v>
      </x:c>
    </x:row>
    <x:row r="878" spans="1:17">
      <x:c r="D878" s="147" t="n">
        <x:v>10128598</x:v>
      </x:c>
      <x:c r="E878" s="147" t="s">
        <x:v>371</x:v>
      </x:c>
    </x:row>
    <x:row r="879" spans="1:17">
      <x:c r="D879" s="147" t="n">
        <x:v>10128599</x:v>
      </x:c>
      <x:c r="E879" s="147" t="s">
        <x:v>364</x:v>
      </x:c>
    </x:row>
    <x:row r="880" spans="1:17">
      <x:c r="D880" s="147" t="n">
        <x:v>10128600</x:v>
      </x:c>
      <x:c r="E880" s="147" t="s">
        <x:v>368</x:v>
      </x:c>
    </x:row>
    <x:row r="881" spans="1:17">
      <x:c r="D881" s="147" t="n">
        <x:v>10128579</x:v>
      </x:c>
      <x:c r="E881" s="147" t="s">
        <x:v>364</x:v>
      </x:c>
    </x:row>
    <x:row r="882" spans="1:17">
      <x:c r="D882" s="147" t="n">
        <x:v>10128580</x:v>
      </x:c>
      <x:c r="E882" s="147" t="s">
        <x:v>368</x:v>
      </x:c>
    </x:row>
    <x:row r="883" spans="1:17">
      <x:c r="D883" s="147" t="n">
        <x:v>10128581</x:v>
      </x:c>
      <x:c r="E883" s="147" t="s">
        <x:v>368</x:v>
      </x:c>
    </x:row>
    <x:row r="884" spans="1:17">
      <x:c r="D884" s="147" t="n">
        <x:v>10128582</x:v>
      </x:c>
      <x:c r="E884" s="147" t="s">
        <x:v>371</x:v>
      </x:c>
    </x:row>
    <x:row r="885" spans="1:17">
      <x:c r="D885" s="147" t="n">
        <x:v>10128595</x:v>
      </x:c>
      <x:c r="E885" s="147" t="s">
        <x:v>371</x:v>
      </x:c>
    </x:row>
    <x:row r="886" spans="1:17">
      <x:c r="D886" s="147" t="n">
        <x:v>10128596</x:v>
      </x:c>
      <x:c r="E886" s="147" t="s">
        <x:v>363</x:v>
      </x:c>
    </x:row>
    <x:row r="887" spans="1:17">
      <x:c r="D887" s="147" t="n">
        <x:v>10128597</x:v>
      </x:c>
      <x:c r="E887" s="147" t="s">
        <x:v>368</x:v>
      </x:c>
    </x:row>
    <x:row r="888" spans="1:17">
      <x:c r="D888" s="147" t="n">
        <x:v>10128598</x:v>
      </x:c>
      <x:c r="E888" s="147" t="s">
        <x:v>371</x:v>
      </x:c>
    </x:row>
    <x:row r="889" spans="1:17">
      <x:c r="D889" s="147" t="n">
        <x:v>10128599</x:v>
      </x:c>
      <x:c r="E889" s="147" t="s">
        <x:v>364</x:v>
      </x:c>
    </x:row>
    <x:row r="890" spans="1:17">
      <x:c r="D890" s="147" t="n">
        <x:v>10128600</x:v>
      </x:c>
      <x:c r="E890" s="147" t="s">
        <x:v>368</x:v>
      </x:c>
    </x:row>
    <x:row r="891" spans="1:17">
      <x:c r="D891" s="147" t="n">
        <x:v>10128579</x:v>
      </x:c>
      <x:c r="E891" s="147" t="s">
        <x:v>364</x:v>
      </x:c>
    </x:row>
    <x:row r="892" spans="1:17">
      <x:c r="D892" s="147" t="n">
        <x:v>10128580</x:v>
      </x:c>
      <x:c r="E892" s="147" t="s">
        <x:v>368</x:v>
      </x:c>
    </x:row>
    <x:row r="893" spans="1:17">
      <x:c r="D893" s="147" t="n">
        <x:v>10128581</x:v>
      </x:c>
      <x:c r="E893" s="147" t="s">
        <x:v>368</x:v>
      </x:c>
    </x:row>
    <x:row r="894" spans="1:17">
      <x:c r="D894" s="147" t="n">
        <x:v>10128582</x:v>
      </x:c>
      <x:c r="E894" s="147" t="s">
        <x:v>371</x:v>
      </x:c>
    </x:row>
    <x:row r="895" spans="1:17">
      <x:c r="D895" s="147" t="n">
        <x:v>10128595</x:v>
      </x:c>
      <x:c r="E895" s="147" t="s">
        <x:v>371</x:v>
      </x:c>
    </x:row>
    <x:row r="896" spans="1:17">
      <x:c r="D896" s="147" t="n">
        <x:v>10128596</x:v>
      </x:c>
      <x:c r="E896" s="147" t="s">
        <x:v>363</x:v>
      </x:c>
    </x:row>
    <x:row r="897" spans="1:17">
      <x:c r="D897" s="147" t="n">
        <x:v>10128597</x:v>
      </x:c>
      <x:c r="E897" s="147" t="s">
        <x:v>368</x:v>
      </x:c>
    </x:row>
    <x:row r="898" spans="1:17">
      <x:c r="D898" s="147" t="n">
        <x:v>10128598</x:v>
      </x:c>
      <x:c r="E898" s="147" t="s">
        <x:v>371</x:v>
      </x:c>
    </x:row>
    <x:row r="899" spans="1:17">
      <x:c r="D899" s="147" t="n">
        <x:v>10128599</x:v>
      </x:c>
      <x:c r="E899" s="147" t="s">
        <x:v>364</x:v>
      </x:c>
    </x:row>
    <x:row r="900" spans="1:17">
      <x:c r="D900" s="147" t="n">
        <x:v>10128600</x:v>
      </x:c>
      <x:c r="E900" s="147" t="s">
        <x:v>368</x:v>
      </x:c>
    </x:row>
    <x:row r="901" spans="1:17">
      <x:c r="D901" s="147" t="n">
        <x:v>10128579</x:v>
      </x:c>
      <x:c r="E901" s="147" t="s">
        <x:v>364</x:v>
      </x:c>
    </x:row>
    <x:row r="902" spans="1:17">
      <x:c r="D902" s="147" t="n">
        <x:v>10128580</x:v>
      </x:c>
      <x:c r="E902" s="147" t="s">
        <x:v>368</x:v>
      </x:c>
    </x:row>
    <x:row r="903" spans="1:17">
      <x:c r="D903" s="147" t="n">
        <x:v>10128581</x:v>
      </x:c>
      <x:c r="E903" s="147" t="s">
        <x:v>368</x:v>
      </x:c>
    </x:row>
    <x:row r="904" spans="1:17">
      <x:c r="D904" s="147" t="n">
        <x:v>10128582</x:v>
      </x:c>
      <x:c r="E904" s="147" t="s">
        <x:v>371</x:v>
      </x:c>
    </x:row>
    <x:row r="905" spans="1:17">
      <x:c r="D905" s="147" t="n">
        <x:v>10128595</x:v>
      </x:c>
      <x:c r="E905" s="147" t="s">
        <x:v>371</x:v>
      </x:c>
    </x:row>
    <x:row r="906" spans="1:17">
      <x:c r="D906" s="147" t="n">
        <x:v>10128596</x:v>
      </x:c>
      <x:c r="E906" s="147" t="s">
        <x:v>363</x:v>
      </x:c>
    </x:row>
    <x:row r="907" spans="1:17">
      <x:c r="D907" s="147" t="n">
        <x:v>10128597</x:v>
      </x:c>
      <x:c r="E907" s="147" t="s">
        <x:v>368</x:v>
      </x:c>
    </x:row>
    <x:row r="908" spans="1:17">
      <x:c r="D908" s="147" t="n">
        <x:v>10128598</x:v>
      </x:c>
      <x:c r="E908" s="147" t="s">
        <x:v>371</x:v>
      </x:c>
    </x:row>
    <x:row r="909" spans="1:17">
      <x:c r="D909" s="147" t="n">
        <x:v>10128599</x:v>
      </x:c>
      <x:c r="E909" s="147" t="s">
        <x:v>364</x:v>
      </x:c>
    </x:row>
    <x:row r="910" spans="1:17">
      <x:c r="D910" s="147" t="n">
        <x:v>10128600</x:v>
      </x:c>
      <x:c r="E910" s="147" t="s">
        <x:v>368</x:v>
      </x:c>
    </x:row>
    <x:row r="911" spans="1:17">
      <x:c r="D911" s="147" t="n">
        <x:v>10128579</x:v>
      </x:c>
      <x:c r="E911" s="147" t="s">
        <x:v>364</x:v>
      </x:c>
    </x:row>
    <x:row r="912" spans="1:17">
      <x:c r="D912" s="147" t="n">
        <x:v>10128580</x:v>
      </x:c>
      <x:c r="E912" s="147" t="s">
        <x:v>368</x:v>
      </x:c>
    </x:row>
    <x:row r="913" spans="1:17">
      <x:c r="D913" s="147" t="n">
        <x:v>10128581</x:v>
      </x:c>
      <x:c r="E913" s="147" t="s">
        <x:v>368</x:v>
      </x:c>
    </x:row>
    <x:row r="914" spans="1:17">
      <x:c r="D914" s="147" t="n">
        <x:v>10128582</x:v>
      </x:c>
      <x:c r="E914" s="147" t="s">
        <x:v>371</x:v>
      </x:c>
    </x:row>
    <x:row r="915" spans="1:17">
      <x:c r="D915" s="147" t="n">
        <x:v>10128595</x:v>
      </x:c>
      <x:c r="E915" s="147" t="s">
        <x:v>371</x:v>
      </x:c>
    </x:row>
    <x:row r="916" spans="1:17">
      <x:c r="D916" s="147" t="n">
        <x:v>10128596</x:v>
      </x:c>
      <x:c r="E916" s="147" t="s">
        <x:v>363</x:v>
      </x:c>
    </x:row>
    <x:row r="917" spans="1:17">
      <x:c r="D917" s="147" t="n">
        <x:v>10128597</x:v>
      </x:c>
      <x:c r="E917" s="147" t="s">
        <x:v>368</x:v>
      </x:c>
    </x:row>
    <x:row r="918" spans="1:17">
      <x:c r="D918" s="147" t="n">
        <x:v>10128598</x:v>
      </x:c>
      <x:c r="E918" s="147" t="s">
        <x:v>371</x:v>
      </x:c>
    </x:row>
    <x:row r="919" spans="1:17">
      <x:c r="D919" s="147" t="n">
        <x:v>10128599</x:v>
      </x:c>
      <x:c r="E919" s="147" t="s">
        <x:v>364</x:v>
      </x:c>
    </x:row>
    <x:row r="920" spans="1:17">
      <x:c r="D920" s="147" t="n">
        <x:v>10128600</x:v>
      </x:c>
      <x:c r="E920" s="147" t="s">
        <x:v>368</x:v>
      </x:c>
    </x:row>
    <x:row r="921" spans="1:17">
      <x:c r="D921" s="147" t="n">
        <x:v>10128579</x:v>
      </x:c>
      <x:c r="E921" s="147" t="s">
        <x:v>364</x:v>
      </x:c>
    </x:row>
    <x:row r="922" spans="1:17">
      <x:c r="D922" s="147" t="n">
        <x:v>10128580</x:v>
      </x:c>
      <x:c r="E922" s="147" t="s">
        <x:v>368</x:v>
      </x:c>
    </x:row>
    <x:row r="923" spans="1:17">
      <x:c r="D923" s="147" t="n">
        <x:v>10128581</x:v>
      </x:c>
      <x:c r="E923" s="147" t="s">
        <x:v>368</x:v>
      </x:c>
    </x:row>
    <x:row r="924" spans="1:17">
      <x:c r="D924" s="147" t="n">
        <x:v>10128582</x:v>
      </x:c>
      <x:c r="E924" s="147" t="s">
        <x:v>371</x:v>
      </x:c>
    </x:row>
    <x:row r="925" spans="1:17">
      <x:c r="D925" s="147" t="n">
        <x:v>10128595</x:v>
      </x:c>
      <x:c r="E925" s="147" t="s">
        <x:v>371</x:v>
      </x:c>
    </x:row>
    <x:row r="926" spans="1:17">
      <x:c r="D926" s="147" t="n">
        <x:v>10128596</x:v>
      </x:c>
      <x:c r="E926" s="147" t="s">
        <x:v>363</x:v>
      </x:c>
    </x:row>
    <x:row r="927" spans="1:17">
      <x:c r="D927" s="147" t="n">
        <x:v>10128597</x:v>
      </x:c>
      <x:c r="E927" s="147" t="s">
        <x:v>368</x:v>
      </x:c>
    </x:row>
    <x:row r="928" spans="1:17">
      <x:c r="D928" s="147" t="n">
        <x:v>10128598</x:v>
      </x:c>
      <x:c r="E928" s="147" t="s">
        <x:v>371</x:v>
      </x:c>
    </x:row>
    <x:row r="929" spans="1:17">
      <x:c r="D929" s="147" t="n">
        <x:v>10128599</x:v>
      </x:c>
      <x:c r="E929" s="147" t="s">
        <x:v>364</x:v>
      </x:c>
    </x:row>
    <x:row r="930" spans="1:17">
      <x:c r="D930" s="147" t="n">
        <x:v>10128600</x:v>
      </x:c>
      <x:c r="E930" s="147" t="s">
        <x:v>368</x:v>
      </x:c>
    </x:row>
    <x:row r="931" spans="1:17">
      <x:c r="D931" s="147" t="n">
        <x:v>10128579</x:v>
      </x:c>
      <x:c r="E931" s="147" t="s">
        <x:v>364</x:v>
      </x:c>
    </x:row>
    <x:row r="932" spans="1:17">
      <x:c r="D932" s="147" t="n">
        <x:v>10128580</x:v>
      </x:c>
      <x:c r="E932" s="147" t="s">
        <x:v>368</x:v>
      </x:c>
    </x:row>
    <x:row r="933" spans="1:17">
      <x:c r="D933" s="147" t="n">
        <x:v>10128581</x:v>
      </x:c>
      <x:c r="E933" s="147" t="s">
        <x:v>368</x:v>
      </x:c>
    </x:row>
    <x:row r="934" spans="1:17">
      <x:c r="D934" s="147" t="n">
        <x:v>10128582</x:v>
      </x:c>
      <x:c r="E934" s="147" t="s">
        <x:v>371</x:v>
      </x:c>
    </x:row>
    <x:row r="935" spans="1:17">
      <x:c r="D935" s="147" t="n">
        <x:v>10128595</x:v>
      </x:c>
      <x:c r="E935" s="147" t="s">
        <x:v>371</x:v>
      </x:c>
    </x:row>
    <x:row r="936" spans="1:17">
      <x:c r="D936" s="147" t="n">
        <x:v>10128596</x:v>
      </x:c>
      <x:c r="E936" s="147" t="s">
        <x:v>363</x:v>
      </x:c>
    </x:row>
    <x:row r="937" spans="1:17">
      <x:c r="D937" s="147" t="n">
        <x:v>10128597</x:v>
      </x:c>
      <x:c r="E937" s="147" t="s">
        <x:v>368</x:v>
      </x:c>
    </x:row>
    <x:row r="938" spans="1:17">
      <x:c r="D938" s="147" t="n">
        <x:v>10128598</x:v>
      </x:c>
      <x:c r="E938" s="147" t="s">
        <x:v>371</x:v>
      </x:c>
    </x:row>
    <x:row r="939" spans="1:17">
      <x:c r="D939" s="147" t="n">
        <x:v>10128599</x:v>
      </x:c>
      <x:c r="E939" s="147" t="s">
        <x:v>364</x:v>
      </x:c>
    </x:row>
    <x:row r="940" spans="1:17">
      <x:c r="D940" s="147" t="n">
        <x:v>10128600</x:v>
      </x:c>
      <x:c r="E940" s="147" t="s">
        <x:v>368</x:v>
      </x:c>
    </x:row>
    <x:row r="941" spans="1:17">
      <x:c r="D941" s="147" t="n">
        <x:v>10128579</x:v>
      </x:c>
      <x:c r="E941" s="147" t="s">
        <x:v>364</x:v>
      </x:c>
    </x:row>
    <x:row r="942" spans="1:17">
      <x:c r="D942" s="147" t="n">
        <x:v>10128580</x:v>
      </x:c>
      <x:c r="E942" s="147" t="s">
        <x:v>368</x:v>
      </x:c>
    </x:row>
    <x:row r="943" spans="1:17">
      <x:c r="D943" s="147" t="n">
        <x:v>10128581</x:v>
      </x:c>
      <x:c r="E943" s="147" t="s">
        <x:v>368</x:v>
      </x:c>
    </x:row>
    <x:row r="944" spans="1:17">
      <x:c r="D944" s="147" t="n">
        <x:v>10128582</x:v>
      </x:c>
      <x:c r="E944" s="147" t="s">
        <x:v>371</x:v>
      </x:c>
    </x:row>
    <x:row r="945" spans="1:17">
      <x:c r="D945" s="147" t="n">
        <x:v>10128595</x:v>
      </x:c>
      <x:c r="E945" s="147" t="s">
        <x:v>371</x:v>
      </x:c>
    </x:row>
    <x:row r="946" spans="1:17">
      <x:c r="D946" s="147" t="n">
        <x:v>10128596</x:v>
      </x:c>
      <x:c r="E946" s="147" t="s">
        <x:v>363</x:v>
      </x:c>
    </x:row>
    <x:row r="947" spans="1:17">
      <x:c r="D947" s="147" t="n">
        <x:v>10128597</x:v>
      </x:c>
      <x:c r="E947" s="147" t="s">
        <x:v>368</x:v>
      </x:c>
    </x:row>
    <x:row r="948" spans="1:17">
      <x:c r="D948" s="147" t="n">
        <x:v>10128598</x:v>
      </x:c>
      <x:c r="E948" s="147" t="s">
        <x:v>371</x:v>
      </x:c>
    </x:row>
    <x:row r="949" spans="1:17">
      <x:c r="D949" s="147" t="n">
        <x:v>10128599</x:v>
      </x:c>
      <x:c r="E949" s="147" t="s">
        <x:v>364</x:v>
      </x:c>
    </x:row>
    <x:row r="950" spans="1:17">
      <x:c r="D950" s="147" t="n">
        <x:v>10128600</x:v>
      </x:c>
      <x:c r="E950" s="147" t="s">
        <x:v>368</x:v>
      </x:c>
    </x:row>
    <x:row r="951" spans="1:17">
      <x:c r="D951" s="147" t="n">
        <x:v>10128579</x:v>
      </x:c>
      <x:c r="E951" s="147" t="s">
        <x:v>364</x:v>
      </x:c>
    </x:row>
    <x:row r="952" spans="1:17">
      <x:c r="D952" s="147" t="n">
        <x:v>10128580</x:v>
      </x:c>
      <x:c r="E952" s="147" t="s">
        <x:v>368</x:v>
      </x:c>
    </x:row>
    <x:row r="953" spans="1:17">
      <x:c r="D953" s="147" t="n">
        <x:v>10128581</x:v>
      </x:c>
      <x:c r="E953" s="147" t="s">
        <x:v>368</x:v>
      </x:c>
    </x:row>
    <x:row r="954" spans="1:17">
      <x:c r="D954" s="147" t="n">
        <x:v>10128582</x:v>
      </x:c>
      <x:c r="E954" s="147" t="s">
        <x:v>371</x:v>
      </x:c>
    </x:row>
    <x:row r="955" spans="1:17">
      <x:c r="D955" s="147" t="n">
        <x:v>10128595</x:v>
      </x:c>
      <x:c r="E955" s="147" t="s">
        <x:v>371</x:v>
      </x:c>
    </x:row>
    <x:row r="956" spans="1:17">
      <x:c r="D956" s="147" t="n">
        <x:v>10128596</x:v>
      </x:c>
      <x:c r="E956" s="147" t="s">
        <x:v>363</x:v>
      </x:c>
    </x:row>
    <x:row r="957" spans="1:17">
      <x:c r="D957" s="147" t="n">
        <x:v>10128597</x:v>
      </x:c>
      <x:c r="E957" s="147" t="s">
        <x:v>368</x:v>
      </x:c>
    </x:row>
    <x:row r="958" spans="1:17">
      <x:c r="D958" s="147" t="n">
        <x:v>10128598</x:v>
      </x:c>
      <x:c r="E958" s="147" t="s">
        <x:v>371</x:v>
      </x:c>
    </x:row>
    <x:row r="959" spans="1:17">
      <x:c r="D959" s="147" t="n">
        <x:v>10128599</x:v>
      </x:c>
      <x:c r="E959" s="147" t="s">
        <x:v>364</x:v>
      </x:c>
    </x:row>
    <x:row r="960" spans="1:17">
      <x:c r="D960" s="147" t="n">
        <x:v>10128600</x:v>
      </x:c>
      <x:c r="E960" s="147" t="s">
        <x:v>368</x:v>
      </x:c>
    </x:row>
    <x:row r="961" spans="1:17">
      <x:c r="D961" s="147" t="n">
        <x:v>10128579</x:v>
      </x:c>
      <x:c r="E961" s="147" t="s">
        <x:v>364</x:v>
      </x:c>
    </x:row>
    <x:row r="962" spans="1:17">
      <x:c r="D962" s="147" t="n">
        <x:v>10128580</x:v>
      </x:c>
      <x:c r="E962" s="147" t="s">
        <x:v>368</x:v>
      </x:c>
    </x:row>
    <x:row r="963" spans="1:17">
      <x:c r="D963" s="147" t="n">
        <x:v>10128581</x:v>
      </x:c>
      <x:c r="E963" s="147" t="s">
        <x:v>368</x:v>
      </x:c>
    </x:row>
    <x:row r="964" spans="1:17">
      <x:c r="D964" s="147" t="n">
        <x:v>10128582</x:v>
      </x:c>
      <x:c r="E964" s="147" t="s">
        <x:v>371</x:v>
      </x:c>
    </x:row>
    <x:row r="965" spans="1:17">
      <x:c r="D965" s="147" t="n">
        <x:v>10128595</x:v>
      </x:c>
      <x:c r="E965" s="147" t="s">
        <x:v>371</x:v>
      </x:c>
    </x:row>
    <x:row r="966" spans="1:17">
      <x:c r="D966" s="147" t="n">
        <x:v>10128596</x:v>
      </x:c>
      <x:c r="E966" s="147" t="s">
        <x:v>363</x:v>
      </x:c>
    </x:row>
    <x:row r="967" spans="1:17">
      <x:c r="D967" s="147" t="n">
        <x:v>10128597</x:v>
      </x:c>
      <x:c r="E967" s="147" t="s">
        <x:v>368</x:v>
      </x:c>
    </x:row>
    <x:row r="968" spans="1:17">
      <x:c r="D968" s="147" t="n">
        <x:v>10128598</x:v>
      </x:c>
      <x:c r="E968" s="147" t="s">
        <x:v>371</x:v>
      </x:c>
    </x:row>
    <x:row r="969" spans="1:17">
      <x:c r="D969" s="147" t="n">
        <x:v>10128599</x:v>
      </x:c>
      <x:c r="E969" s="147" t="s">
        <x:v>364</x:v>
      </x:c>
    </x:row>
    <x:row r="970" spans="1:17">
      <x:c r="D970" s="147" t="n">
        <x:v>10128600</x:v>
      </x:c>
      <x:c r="E970" s="147" t="s">
        <x:v>368</x:v>
      </x:c>
    </x:row>
    <x:row r="971" spans="1:17">
      <x:c r="D971" s="147" t="n">
        <x:v>10128579</x:v>
      </x:c>
      <x:c r="E971" s="147" t="s">
        <x:v>364</x:v>
      </x:c>
    </x:row>
    <x:row r="972" spans="1:17">
      <x:c r="D972" s="147" t="n">
        <x:v>10128580</x:v>
      </x:c>
      <x:c r="E972" s="147" t="s">
        <x:v>368</x:v>
      </x:c>
    </x:row>
    <x:row r="973" spans="1:17">
      <x:c r="D973" s="147" t="n">
        <x:v>10128581</x:v>
      </x:c>
      <x:c r="E973" s="147" t="s">
        <x:v>368</x:v>
      </x:c>
    </x:row>
    <x:row r="974" spans="1:17">
      <x:c r="D974" s="147" t="n">
        <x:v>10128582</x:v>
      </x:c>
      <x:c r="E974" s="147" t="s">
        <x:v>371</x:v>
      </x:c>
    </x:row>
    <x:row r="975" spans="1:17">
      <x:c r="D975" s="147" t="n">
        <x:v>10128595</x:v>
      </x:c>
      <x:c r="E975" s="147" t="s">
        <x:v>371</x:v>
      </x:c>
    </x:row>
    <x:row r="976" spans="1:17">
      <x:c r="D976" s="147" t="n">
        <x:v>10128596</x:v>
      </x:c>
      <x:c r="E976" s="147" t="s">
        <x:v>363</x:v>
      </x:c>
    </x:row>
    <x:row r="977" spans="1:17">
      <x:c r="D977" s="147" t="n">
        <x:v>10128597</x:v>
      </x:c>
      <x:c r="E977" s="147" t="s">
        <x:v>368</x:v>
      </x:c>
    </x:row>
    <x:row r="978" spans="1:17">
      <x:c r="D978" s="147" t="n">
        <x:v>10128598</x:v>
      </x:c>
      <x:c r="E978" s="147" t="s">
        <x:v>371</x:v>
      </x:c>
    </x:row>
    <x:row r="979" spans="1:17">
      <x:c r="D979" s="147" t="n">
        <x:v>10128599</x:v>
      </x:c>
      <x:c r="E979" s="147" t="s">
        <x:v>364</x:v>
      </x:c>
    </x:row>
    <x:row r="980" spans="1:17">
      <x:c r="D980" s="147" t="n">
        <x:v>10128600</x:v>
      </x:c>
      <x:c r="E980" s="147" t="s">
        <x:v>368</x:v>
      </x:c>
    </x:row>
    <x:row r="981" spans="1:17">
      <x:c r="D981" s="147" t="n">
        <x:v>10128579</x:v>
      </x:c>
      <x:c r="E981" s="147" t="s">
        <x:v>364</x:v>
      </x:c>
    </x:row>
    <x:row r="982" spans="1:17">
      <x:c r="D982" s="147" t="n">
        <x:v>10128580</x:v>
      </x:c>
      <x:c r="E982" s="147" t="s">
        <x:v>368</x:v>
      </x:c>
    </x:row>
    <x:row r="983" spans="1:17">
      <x:c r="D983" s="147" t="n">
        <x:v>10128581</x:v>
      </x:c>
      <x:c r="E983" s="147" t="s">
        <x:v>368</x:v>
      </x:c>
    </x:row>
    <x:row r="984" spans="1:17">
      <x:c r="D984" s="147" t="n">
        <x:v>10128582</x:v>
      </x:c>
      <x:c r="E984" s="147" t="s">
        <x:v>371</x:v>
      </x:c>
    </x:row>
    <x:row r="985" spans="1:17">
      <x:c r="D985" s="147" t="n">
        <x:v>10128595</x:v>
      </x:c>
      <x:c r="E985" s="147" t="s">
        <x:v>371</x:v>
      </x:c>
    </x:row>
    <x:row r="986" spans="1:17">
      <x:c r="D986" s="147" t="n">
        <x:v>10128596</x:v>
      </x:c>
      <x:c r="E986" s="147" t="s">
        <x:v>363</x:v>
      </x:c>
    </x:row>
    <x:row r="987" spans="1:17">
      <x:c r="D987" s="147" t="n">
        <x:v>10128597</x:v>
      </x:c>
      <x:c r="E987" s="147" t="s">
        <x:v>368</x:v>
      </x:c>
    </x:row>
    <x:row r="988" spans="1:17">
      <x:c r="D988" s="147" t="n">
        <x:v>10128598</x:v>
      </x:c>
      <x:c r="E988" s="147" t="s">
        <x:v>371</x:v>
      </x:c>
    </x:row>
    <x:row r="989" spans="1:17">
      <x:c r="D989" s="147" t="n">
        <x:v>10128599</x:v>
      </x:c>
      <x:c r="E989" s="147" t="s">
        <x:v>364</x:v>
      </x:c>
    </x:row>
    <x:row r="990" spans="1:17">
      <x:c r="D990" s="147" t="n">
        <x:v>10128600</x:v>
      </x:c>
      <x:c r="E990" s="147" t="s">
        <x:v>368</x:v>
      </x:c>
    </x:row>
    <x:row r="991" spans="1:17">
      <x:c r="D991" s="147" t="n">
        <x:v>10128579</x:v>
      </x:c>
      <x:c r="E991" s="147" t="s">
        <x:v>364</x:v>
      </x:c>
    </x:row>
    <x:row r="992" spans="1:17">
      <x:c r="D992" s="147" t="n">
        <x:v>10128580</x:v>
      </x:c>
      <x:c r="E992" s="147" t="s">
        <x:v>368</x:v>
      </x:c>
    </x:row>
    <x:row r="993" spans="1:17">
      <x:c r="D993" s="147" t="n">
        <x:v>10128581</x:v>
      </x:c>
      <x:c r="E993" s="147" t="s">
        <x:v>368</x:v>
      </x:c>
    </x:row>
    <x:row r="994" spans="1:17">
      <x:c r="D994" s="147" t="n">
        <x:v>10128582</x:v>
      </x:c>
      <x:c r="E994" s="147" t="s">
        <x:v>371</x:v>
      </x:c>
    </x:row>
    <x:row r="995" spans="1:17">
      <x:c r="D995" s="147" t="n">
        <x:v>10128595</x:v>
      </x:c>
      <x:c r="E995" s="147" t="s">
        <x:v>371</x:v>
      </x:c>
    </x:row>
    <x:row r="996" spans="1:17">
      <x:c r="D996" s="147" t="n">
        <x:v>10128596</x:v>
      </x:c>
      <x:c r="E996" s="147" t="s">
        <x:v>363</x:v>
      </x:c>
    </x:row>
    <x:row r="997" spans="1:17">
      <x:c r="D997" s="147" t="n">
        <x:v>10128597</x:v>
      </x:c>
      <x:c r="E997" s="147" t="s">
        <x:v>368</x:v>
      </x:c>
    </x:row>
    <x:row r="998" spans="1:17">
      <x:c r="D998" s="147" t="n">
        <x:v>10128598</x:v>
      </x:c>
      <x:c r="E998" s="147" t="s">
        <x:v>371</x:v>
      </x:c>
    </x:row>
    <x:row r="999" spans="1:17">
      <x:c r="D999" s="147" t="n">
        <x:v>10128599</x:v>
      </x:c>
      <x:c r="E999" s="147" t="s">
        <x:v>364</x:v>
      </x:c>
    </x:row>
    <x:row r="1000" spans="1:17">
      <x:c r="D1000" s="147" t="n">
        <x:v>10128600</x:v>
      </x:c>
      <x:c r="E1000" s="147" t="s">
        <x:v>368</x:v>
      </x:c>
    </x:row>
    <x:row r="1001" spans="1:17">
      <x:c r="D1001" s="147" t="n">
        <x:v>10128579</x:v>
      </x:c>
      <x:c r="E1001" s="147" t="s">
        <x:v>364</x:v>
      </x:c>
    </x:row>
    <x:row r="1002" spans="1:17">
      <x:c r="D1002" s="147" t="n">
        <x:v>10128580</x:v>
      </x:c>
      <x:c r="E1002" s="147" t="s">
        <x:v>368</x:v>
      </x:c>
    </x:row>
    <x:row r="1003" spans="1:17">
      <x:c r="D1003" s="147" t="n">
        <x:v>10128581</x:v>
      </x:c>
      <x:c r="E1003" s="147" t="s">
        <x:v>368</x:v>
      </x:c>
    </x:row>
    <x:row r="1004" spans="1:17">
      <x:c r="D1004" s="147" t="n">
        <x:v>10128582</x:v>
      </x:c>
      <x:c r="E1004" s="147" t="s">
        <x:v>371</x:v>
      </x:c>
    </x:row>
    <x:row r="1005" spans="1:17">
      <x:c r="D1005" s="147" t="n">
        <x:v>10128595</x:v>
      </x:c>
      <x:c r="E1005" s="147" t="s">
        <x:v>371</x:v>
      </x:c>
    </x:row>
    <x:row r="1006" spans="1:17">
      <x:c r="D1006" s="147" t="n">
        <x:v>10128596</x:v>
      </x:c>
      <x:c r="E1006" s="147" t="s">
        <x:v>363</x:v>
      </x:c>
    </x:row>
    <x:row r="1007" spans="1:17">
      <x:c r="D1007" s="147" t="n">
        <x:v>10128597</x:v>
      </x:c>
      <x:c r="E1007" s="147" t="s">
        <x:v>368</x:v>
      </x:c>
    </x:row>
    <x:row r="1008" spans="1:17">
      <x:c r="D1008" s="147" t="n">
        <x:v>10128598</x:v>
      </x:c>
      <x:c r="E1008" s="147" t="s">
        <x:v>371</x:v>
      </x:c>
    </x:row>
    <x:row r="1009" spans="1:17">
      <x:c r="D1009" s="147" t="n">
        <x:v>10128599</x:v>
      </x:c>
      <x:c r="E1009" s="147" t="s">
        <x:v>364</x:v>
      </x:c>
    </x:row>
    <x:row r="1010" spans="1:17">
      <x:c r="D1010" s="147" t="n">
        <x:v>10128600</x:v>
      </x:c>
      <x:c r="E1010" s="147" t="s">
        <x:v>368</x:v>
      </x:c>
    </x:row>
    <x:row r="1011" spans="1:17">
      <x:c r="D1011" s="147" t="n">
        <x:v>10128579</x:v>
      </x:c>
      <x:c r="E1011" s="147" t="s">
        <x:v>364</x:v>
      </x:c>
    </x:row>
    <x:row r="1012" spans="1:17">
      <x:c r="D1012" s="147" t="n">
        <x:v>10128580</x:v>
      </x:c>
      <x:c r="E1012" s="147" t="s">
        <x:v>368</x:v>
      </x:c>
    </x:row>
    <x:row r="1013" spans="1:17">
      <x:c r="D1013" s="147" t="n">
        <x:v>10128581</x:v>
      </x:c>
      <x:c r="E1013" s="147" t="s">
        <x:v>368</x:v>
      </x:c>
    </x:row>
    <x:row r="1014" spans="1:17">
      <x:c r="D1014" s="147" t="n">
        <x:v>10128582</x:v>
      </x:c>
      <x:c r="E1014" s="147" t="s">
        <x:v>371</x:v>
      </x:c>
    </x:row>
    <x:row r="1015" spans="1:17">
      <x:c r="D1015" s="147" t="n">
        <x:v>10128595</x:v>
      </x:c>
      <x:c r="E1015" s="147" t="s">
        <x:v>371</x:v>
      </x:c>
    </x:row>
    <x:row r="1016" spans="1:17">
      <x:c r="D1016" s="147" t="n">
        <x:v>10128596</x:v>
      </x:c>
      <x:c r="E1016" s="147" t="s">
        <x:v>363</x:v>
      </x:c>
    </x:row>
    <x:row r="1017" spans="1:17">
      <x:c r="D1017" s="147" t="n">
        <x:v>10128597</x:v>
      </x:c>
      <x:c r="E1017" s="147" t="s">
        <x:v>368</x:v>
      </x:c>
    </x:row>
    <x:row r="1018" spans="1:17">
      <x:c r="D1018" s="147" t="n">
        <x:v>10128598</x:v>
      </x:c>
      <x:c r="E1018" s="147" t="s">
        <x:v>371</x:v>
      </x:c>
    </x:row>
    <x:row r="1019" spans="1:17">
      <x:c r="D1019" s="147" t="n">
        <x:v>10128599</x:v>
      </x:c>
      <x:c r="E1019" s="147" t="s">
        <x:v>364</x:v>
      </x:c>
    </x:row>
    <x:row r="1020" spans="1:17">
      <x:c r="D1020" s="147" t="n">
        <x:v>10128600</x:v>
      </x:c>
      <x:c r="E1020" s="147" t="s">
        <x:v>368</x:v>
      </x:c>
    </x:row>
    <x:row r="1021" spans="1:17">
      <x:c r="D1021" s="147" t="n">
        <x:v>10128579</x:v>
      </x:c>
      <x:c r="E1021" s="147" t="s">
        <x:v>364</x:v>
      </x:c>
    </x:row>
    <x:row r="1022" spans="1:17">
      <x:c r="D1022" s="147" t="n">
        <x:v>10128580</x:v>
      </x:c>
      <x:c r="E1022" s="147" t="s">
        <x:v>368</x:v>
      </x:c>
    </x:row>
    <x:row r="1023" spans="1:17">
      <x:c r="D1023" s="147" t="n">
        <x:v>10128581</x:v>
      </x:c>
      <x:c r="E1023" s="147" t="s">
        <x:v>368</x:v>
      </x:c>
    </x:row>
    <x:row r="1024" spans="1:17">
      <x:c r="D1024" s="147" t="n">
        <x:v>10128582</x:v>
      </x:c>
      <x:c r="E1024" s="147" t="s">
        <x:v>371</x:v>
      </x:c>
    </x:row>
    <x:row r="1025" spans="1:17">
      <x:c r="D1025" s="147" t="n">
        <x:v>10128595</x:v>
      </x:c>
      <x:c r="E1025" s="147" t="s">
        <x:v>371</x:v>
      </x:c>
    </x:row>
    <x:row r="1026" spans="1:17">
      <x:c r="D1026" s="147" t="n">
        <x:v>10128596</x:v>
      </x:c>
      <x:c r="E1026" s="147" t="s">
        <x:v>363</x:v>
      </x:c>
    </x:row>
    <x:row r="1027" spans="1:17">
      <x:c r="D1027" s="147" t="n">
        <x:v>10128597</x:v>
      </x:c>
      <x:c r="E1027" s="147" t="s">
        <x:v>368</x:v>
      </x:c>
    </x:row>
    <x:row r="1028" spans="1:17">
      <x:c r="D1028" s="147" t="n">
        <x:v>10128598</x:v>
      </x:c>
      <x:c r="E1028" s="147" t="s">
        <x:v>371</x:v>
      </x:c>
    </x:row>
    <x:row r="1029" spans="1:17">
      <x:c r="D1029" s="147" t="n">
        <x:v>10128599</x:v>
      </x:c>
      <x:c r="E1029" s="147" t="s">
        <x:v>364</x:v>
      </x:c>
    </x:row>
    <x:row r="1030" spans="1:17">
      <x:c r="D1030" s="147" t="n">
        <x:v>10128600</x:v>
      </x:c>
      <x:c r="E1030" s="147" t="s">
        <x:v>368</x:v>
      </x:c>
    </x:row>
    <x:row r="1031" spans="1:17">
      <x:c r="D1031" s="147" t="n">
        <x:v>10128579</x:v>
      </x:c>
      <x:c r="E1031" s="147" t="s">
        <x:v>364</x:v>
      </x:c>
    </x:row>
    <x:row r="1032" spans="1:17">
      <x:c r="D1032" s="147" t="n">
        <x:v>10128580</x:v>
      </x:c>
      <x:c r="E1032" s="147" t="s">
        <x:v>368</x:v>
      </x:c>
    </x:row>
    <x:row r="1033" spans="1:17">
      <x:c r="D1033" s="147" t="n">
        <x:v>10128581</x:v>
      </x:c>
      <x:c r="E1033" s="147" t="s">
        <x:v>368</x:v>
      </x:c>
    </x:row>
    <x:row r="1034" spans="1:17">
      <x:c r="D1034" s="147" t="n">
        <x:v>10128582</x:v>
      </x:c>
      <x:c r="E1034" s="147" t="s">
        <x:v>371</x:v>
      </x:c>
    </x:row>
    <x:row r="1035" spans="1:17">
      <x:c r="D1035" s="147" t="n">
        <x:v>10128595</x:v>
      </x:c>
      <x:c r="E1035" s="147" t="s">
        <x:v>371</x:v>
      </x:c>
    </x:row>
    <x:row r="1036" spans="1:17">
      <x:c r="D1036" s="147" t="n">
        <x:v>10128596</x:v>
      </x:c>
      <x:c r="E1036" s="147" t="s">
        <x:v>363</x:v>
      </x:c>
    </x:row>
    <x:row r="1037" spans="1:17">
      <x:c r="D1037" s="147" t="n">
        <x:v>10128597</x:v>
      </x:c>
      <x:c r="E1037" s="147" t="s">
        <x:v>368</x:v>
      </x:c>
    </x:row>
    <x:row r="1038" spans="1:17">
      <x:c r="D1038" s="147" t="n">
        <x:v>10128598</x:v>
      </x:c>
      <x:c r="E1038" s="147" t="s">
        <x:v>371</x:v>
      </x:c>
    </x:row>
    <x:row r="1039" spans="1:17">
      <x:c r="D1039" s="147" t="n">
        <x:v>10128599</x:v>
      </x:c>
      <x:c r="E1039" s="147" t="s">
        <x:v>364</x:v>
      </x:c>
    </x:row>
    <x:row r="1040" spans="1:17">
      <x:c r="D1040" s="147" t="n">
        <x:v>10128600</x:v>
      </x:c>
      <x:c r="E1040" s="147" t="s">
        <x:v>368</x:v>
      </x:c>
    </x:row>
    <x:row r="1041" spans="1:17">
      <x:c r="D1041" s="147" t="n">
        <x:v>10128579</x:v>
      </x:c>
      <x:c r="E1041" s="147" t="s">
        <x:v>364</x:v>
      </x:c>
    </x:row>
    <x:row r="1042" spans="1:17">
      <x:c r="D1042" s="147" t="n">
        <x:v>10128580</x:v>
      </x:c>
      <x:c r="E1042" s="147" t="s">
        <x:v>368</x:v>
      </x:c>
    </x:row>
    <x:row r="1043" spans="1:17">
      <x:c r="D1043" s="147" t="n">
        <x:v>10128581</x:v>
      </x:c>
      <x:c r="E1043" s="147" t="s">
        <x:v>368</x:v>
      </x:c>
    </x:row>
    <x:row r="1044" spans="1:17">
      <x:c r="D1044" s="147" t="n">
        <x:v>10128582</x:v>
      </x:c>
      <x:c r="E1044" s="147" t="s">
        <x:v>371</x:v>
      </x:c>
    </x:row>
    <x:row r="1045" spans="1:17">
      <x:c r="D1045" s="147" t="n">
        <x:v>10128595</x:v>
      </x:c>
      <x:c r="E1045" s="147" t="s">
        <x:v>371</x:v>
      </x:c>
    </x:row>
    <x:row r="1046" spans="1:17">
      <x:c r="D1046" s="147" t="n">
        <x:v>10128596</x:v>
      </x:c>
      <x:c r="E1046" s="147" t="s">
        <x:v>363</x:v>
      </x:c>
    </x:row>
    <x:row r="1047" spans="1:17">
      <x:c r="D1047" s="147" t="n">
        <x:v>10128597</x:v>
      </x:c>
      <x:c r="E1047" s="147" t="s">
        <x:v>368</x:v>
      </x:c>
    </x:row>
    <x:row r="1048" spans="1:17">
      <x:c r="D1048" s="147" t="n">
        <x:v>10128598</x:v>
      </x:c>
      <x:c r="E1048" s="147" t="s">
        <x:v>371</x:v>
      </x:c>
    </x:row>
    <x:row r="1049" spans="1:17">
      <x:c r="D1049" s="147" t="n">
        <x:v>10128599</x:v>
      </x:c>
      <x:c r="E1049" s="147" t="s">
        <x:v>364</x:v>
      </x:c>
    </x:row>
    <x:row r="1050" spans="1:17">
      <x:c r="D1050" s="147" t="n">
        <x:v>10128600</x:v>
      </x:c>
      <x:c r="E1050" s="147" t="s">
        <x:v>368</x:v>
      </x:c>
    </x:row>
    <x:row r="1051" spans="1:17">
      <x:c r="D1051" s="147" t="n">
        <x:v>10128579</x:v>
      </x:c>
      <x:c r="E1051" s="147" t="s">
        <x:v>364</x:v>
      </x:c>
    </x:row>
    <x:row r="1052" spans="1:17">
      <x:c r="D1052" s="147" t="n">
        <x:v>10128580</x:v>
      </x:c>
      <x:c r="E1052" s="147" t="s">
        <x:v>368</x:v>
      </x:c>
    </x:row>
    <x:row r="1053" spans="1:17">
      <x:c r="D1053" s="147" t="n">
        <x:v>10128581</x:v>
      </x:c>
      <x:c r="E1053" s="147" t="s">
        <x:v>368</x:v>
      </x:c>
    </x:row>
    <x:row r="1054" spans="1:17">
      <x:c r="D1054" s="147" t="n">
        <x:v>10128582</x:v>
      </x:c>
      <x:c r="E1054" s="147" t="s">
        <x:v>371</x:v>
      </x:c>
    </x:row>
    <x:row r="1055" spans="1:17">
      <x:c r="D1055" s="147" t="n">
        <x:v>10128595</x:v>
      </x:c>
      <x:c r="E1055" s="147" t="s">
        <x:v>371</x:v>
      </x:c>
    </x:row>
    <x:row r="1056" spans="1:17">
      <x:c r="D1056" s="147" t="n">
        <x:v>10128596</x:v>
      </x:c>
      <x:c r="E1056" s="147" t="s">
        <x:v>363</x:v>
      </x:c>
    </x:row>
    <x:row r="1057" spans="1:17">
      <x:c r="D1057" s="147" t="n">
        <x:v>10128597</x:v>
      </x:c>
      <x:c r="E1057" s="147" t="s">
        <x:v>368</x:v>
      </x:c>
    </x:row>
    <x:row r="1058" spans="1:17">
      <x:c r="D1058" s="147" t="n">
        <x:v>10128598</x:v>
      </x:c>
      <x:c r="E1058" s="147" t="s">
        <x:v>371</x:v>
      </x:c>
    </x:row>
    <x:row r="1059" spans="1:17">
      <x:c r="D1059" s="147" t="n">
        <x:v>10128599</x:v>
      </x:c>
      <x:c r="E1059" s="147" t="s">
        <x:v>364</x:v>
      </x:c>
    </x:row>
    <x:row r="1060" spans="1:17">
      <x:c r="D1060" s="147" t="n">
        <x:v>10128600</x:v>
      </x:c>
      <x:c r="E1060" s="147" t="s">
        <x:v>368</x:v>
      </x:c>
    </x:row>
    <x:row r="1061" spans="1:17">
      <x:c r="D1061" s="147" t="n">
        <x:v>10128579</x:v>
      </x:c>
      <x:c r="E1061" s="147" t="s">
        <x:v>364</x:v>
      </x:c>
    </x:row>
    <x:row r="1062" spans="1:17">
      <x:c r="D1062" s="147" t="n">
        <x:v>10128580</x:v>
      </x:c>
      <x:c r="E1062" s="147" t="s">
        <x:v>368</x:v>
      </x:c>
    </x:row>
    <x:row r="1063" spans="1:17">
      <x:c r="D1063" s="147" t="n">
        <x:v>10128581</x:v>
      </x:c>
      <x:c r="E1063" s="147" t="s">
        <x:v>368</x:v>
      </x:c>
    </x:row>
    <x:row r="1064" spans="1:17">
      <x:c r="D1064" s="147" t="n">
        <x:v>10128582</x:v>
      </x:c>
      <x:c r="E1064" s="147" t="s">
        <x:v>371</x:v>
      </x:c>
    </x:row>
    <x:row r="1065" spans="1:17">
      <x:c r="D1065" s="147" t="n">
        <x:v>10128595</x:v>
      </x:c>
      <x:c r="E1065" s="147" t="s">
        <x:v>371</x:v>
      </x:c>
    </x:row>
    <x:row r="1066" spans="1:17">
      <x:c r="D1066" s="147" t="n">
        <x:v>10128596</x:v>
      </x:c>
      <x:c r="E1066" s="147" t="s">
        <x:v>363</x:v>
      </x:c>
    </x:row>
    <x:row r="1067" spans="1:17">
      <x:c r="D1067" s="147" t="n">
        <x:v>10128597</x:v>
      </x:c>
      <x:c r="E1067" s="147" t="s">
        <x:v>368</x:v>
      </x:c>
    </x:row>
    <x:row r="1068" spans="1:17">
      <x:c r="D1068" s="147" t="n">
        <x:v>10128598</x:v>
      </x:c>
      <x:c r="E1068" s="147" t="s">
        <x:v>371</x:v>
      </x:c>
    </x:row>
    <x:row r="1069" spans="1:17">
      <x:c r="D1069" s="147" t="n">
        <x:v>10128599</x:v>
      </x:c>
      <x:c r="E1069" s="147" t="s">
        <x:v>364</x:v>
      </x:c>
    </x:row>
    <x:row r="1070" spans="1:17">
      <x:c r="D1070" s="147" t="n">
        <x:v>10128600</x:v>
      </x:c>
      <x:c r="E1070" s="147" t="s">
        <x:v>368</x:v>
      </x:c>
    </x:row>
    <x:row r="1071" spans="1:17">
      <x:c r="D1071" s="147" t="n">
        <x:v>10128579</x:v>
      </x:c>
      <x:c r="E1071" s="147" t="s">
        <x:v>364</x:v>
      </x:c>
    </x:row>
    <x:row r="1072" spans="1:17">
      <x:c r="D1072" s="147" t="n">
        <x:v>10128580</x:v>
      </x:c>
      <x:c r="E1072" s="147" t="s">
        <x:v>368</x:v>
      </x:c>
    </x:row>
    <x:row r="1073" spans="1:17">
      <x:c r="D1073" s="147" t="n">
        <x:v>10128581</x:v>
      </x:c>
      <x:c r="E1073" s="147" t="s">
        <x:v>368</x:v>
      </x:c>
    </x:row>
    <x:row r="1074" spans="1:17">
      <x:c r="D1074" s="147" t="n">
        <x:v>10128582</x:v>
      </x:c>
      <x:c r="E1074" s="147" t="s">
        <x:v>371</x:v>
      </x:c>
    </x:row>
    <x:row r="1075" spans="1:17">
      <x:c r="D1075" s="147" t="n">
        <x:v>10128595</x:v>
      </x:c>
      <x:c r="E1075" s="147" t="s">
        <x:v>371</x:v>
      </x:c>
    </x:row>
    <x:row r="1076" spans="1:17">
      <x:c r="D1076" s="147" t="n">
        <x:v>10128596</x:v>
      </x:c>
      <x:c r="E1076" s="147" t="s">
        <x:v>363</x:v>
      </x:c>
    </x:row>
    <x:row r="1077" spans="1:17">
      <x:c r="D1077" s="147" t="n">
        <x:v>10128597</x:v>
      </x:c>
      <x:c r="E1077" s="147" t="s">
        <x:v>368</x:v>
      </x:c>
    </x:row>
    <x:row r="1078" spans="1:17">
      <x:c r="D1078" s="147" t="n">
        <x:v>10128598</x:v>
      </x:c>
      <x:c r="E1078" s="147" t="s">
        <x:v>371</x:v>
      </x:c>
    </x:row>
    <x:row r="1079" spans="1:17">
      <x:c r="D1079" s="147" t="n">
        <x:v>10128599</x:v>
      </x:c>
      <x:c r="E1079" s="147" t="s">
        <x:v>364</x:v>
      </x:c>
    </x:row>
    <x:row r="1080" spans="1:17">
      <x:c r="D1080" s="147" t="n">
        <x:v>10128600</x:v>
      </x:c>
      <x:c r="E1080" s="147" t="s">
        <x:v>368</x:v>
      </x:c>
    </x:row>
    <x:row r="1081" spans="1:17">
      <x:c r="D1081" s="147" t="n">
        <x:v>10128579</x:v>
      </x:c>
      <x:c r="E1081" s="147" t="s">
        <x:v>364</x:v>
      </x:c>
    </x:row>
    <x:row r="1082" spans="1:17">
      <x:c r="D1082" s="147" t="n">
        <x:v>10128580</x:v>
      </x:c>
      <x:c r="E1082" s="147" t="s">
        <x:v>368</x:v>
      </x:c>
    </x:row>
    <x:row r="1083" spans="1:17">
      <x:c r="D1083" s="147" t="n">
        <x:v>10128581</x:v>
      </x:c>
      <x:c r="E1083" s="147" t="s">
        <x:v>368</x:v>
      </x:c>
    </x:row>
    <x:row r="1084" spans="1:17">
      <x:c r="D1084" s="147" t="n">
        <x:v>10128582</x:v>
      </x:c>
      <x:c r="E1084" s="147" t="s">
        <x:v>371</x:v>
      </x:c>
    </x:row>
    <x:row r="1085" spans="1:17">
      <x:c r="D1085" s="147" t="n">
        <x:v>10128595</x:v>
      </x:c>
      <x:c r="E1085" s="147" t="s">
        <x:v>371</x:v>
      </x:c>
    </x:row>
    <x:row r="1086" spans="1:17">
      <x:c r="D1086" s="147" t="n">
        <x:v>10128596</x:v>
      </x:c>
      <x:c r="E1086" s="147" t="s">
        <x:v>363</x:v>
      </x:c>
    </x:row>
    <x:row r="1087" spans="1:17">
      <x:c r="D1087" s="147" t="n">
        <x:v>10128597</x:v>
      </x:c>
      <x:c r="E1087" s="147" t="s">
        <x:v>368</x:v>
      </x:c>
    </x:row>
    <x:row r="1088" spans="1:17">
      <x:c r="D1088" s="147" t="n">
        <x:v>10128598</x:v>
      </x:c>
      <x:c r="E1088" s="147" t="s">
        <x:v>371</x:v>
      </x:c>
    </x:row>
    <x:row r="1089" spans="1:17">
      <x:c r="D1089" s="147" t="n">
        <x:v>10128599</x:v>
      </x:c>
      <x:c r="E1089" s="147" t="s">
        <x:v>364</x:v>
      </x:c>
    </x:row>
    <x:row r="1090" spans="1:17">
      <x:c r="D1090" s="147" t="n">
        <x:v>10128600</x:v>
      </x:c>
      <x:c r="E1090" s="147" t="s">
        <x:v>368</x:v>
      </x:c>
    </x:row>
    <x:row r="1091" spans="1:17">
      <x:c r="D1091" s="147" t="n">
        <x:v>10128579</x:v>
      </x:c>
      <x:c r="E1091" s="147" t="s">
        <x:v>364</x:v>
      </x:c>
    </x:row>
    <x:row r="1092" spans="1:17">
      <x:c r="D1092" s="147" t="n">
        <x:v>10128580</x:v>
      </x:c>
      <x:c r="E1092" s="147" t="s">
        <x:v>368</x:v>
      </x:c>
    </x:row>
    <x:row r="1093" spans="1:17">
      <x:c r="D1093" s="147" t="n">
        <x:v>10128581</x:v>
      </x:c>
      <x:c r="E1093" s="147" t="s">
        <x:v>368</x:v>
      </x:c>
    </x:row>
    <x:row r="1094" spans="1:17">
      <x:c r="D1094" s="147" t="n">
        <x:v>10128582</x:v>
      </x:c>
      <x:c r="E1094" s="147" t="s">
        <x:v>371</x:v>
      </x:c>
    </x:row>
    <x:row r="1095" spans="1:17">
      <x:c r="D1095" s="147" t="n">
        <x:v>10128595</x:v>
      </x:c>
      <x:c r="E1095" s="147" t="s">
        <x:v>371</x:v>
      </x:c>
    </x:row>
    <x:row r="1096" spans="1:17">
      <x:c r="D1096" s="147" t="n">
        <x:v>10128596</x:v>
      </x:c>
      <x:c r="E1096" s="147" t="s">
        <x:v>363</x:v>
      </x:c>
    </x:row>
    <x:row r="1097" spans="1:17">
      <x:c r="D1097" s="147" t="n">
        <x:v>10128597</x:v>
      </x:c>
      <x:c r="E1097" s="147" t="s">
        <x:v>368</x:v>
      </x:c>
    </x:row>
    <x:row r="1098" spans="1:17">
      <x:c r="D1098" s="147" t="n">
        <x:v>10128598</x:v>
      </x:c>
      <x:c r="E1098" s="147" t="s">
        <x:v>371</x:v>
      </x:c>
    </x:row>
    <x:row r="1099" spans="1:17">
      <x:c r="D1099" s="147" t="n">
        <x:v>10128599</x:v>
      </x:c>
      <x:c r="E1099" s="147" t="s">
        <x:v>364</x:v>
      </x:c>
    </x:row>
    <x:row r="1100" spans="1:17">
      <x:c r="D1100" s="147" t="n">
        <x:v>10128600</x:v>
      </x:c>
      <x:c r="E1100" s="147" t="s">
        <x:v>368</x:v>
      </x:c>
    </x:row>
    <x:row r="1101" spans="1:17">
      <x:c r="D1101" s="147" t="n">
        <x:v>10128579</x:v>
      </x:c>
      <x:c r="E1101" s="147" t="s">
        <x:v>364</x:v>
      </x:c>
    </x:row>
    <x:row r="1102" spans="1:17">
      <x:c r="D1102" s="147" t="n">
        <x:v>10128580</x:v>
      </x:c>
      <x:c r="E1102" s="147" t="s">
        <x:v>368</x:v>
      </x:c>
    </x:row>
    <x:row r="1103" spans="1:17">
      <x:c r="D1103" s="147" t="n">
        <x:v>10128581</x:v>
      </x:c>
      <x:c r="E1103" s="147" t="s">
        <x:v>368</x:v>
      </x:c>
    </x:row>
    <x:row r="1104" spans="1:17">
      <x:c r="D1104" s="147" t="n">
        <x:v>10128582</x:v>
      </x:c>
      <x:c r="E1104" s="147" t="s">
        <x:v>371</x:v>
      </x:c>
    </x:row>
    <x:row r="1105" spans="1:17">
      <x:c r="D1105" s="147" t="n">
        <x:v>10128595</x:v>
      </x:c>
      <x:c r="E1105" s="147" t="s">
        <x:v>371</x:v>
      </x:c>
    </x:row>
    <x:row r="1106" spans="1:17">
      <x:c r="D1106" s="147" t="n">
        <x:v>10128596</x:v>
      </x:c>
      <x:c r="E1106" s="147" t="s">
        <x:v>363</x:v>
      </x:c>
    </x:row>
    <x:row r="1107" spans="1:17">
      <x:c r="D1107" s="147" t="n">
        <x:v>10128597</x:v>
      </x:c>
      <x:c r="E1107" s="147" t="s">
        <x:v>368</x:v>
      </x:c>
    </x:row>
    <x:row r="1108" spans="1:17">
      <x:c r="D1108" s="147" t="n">
        <x:v>10128598</x:v>
      </x:c>
      <x:c r="E1108" s="147" t="s">
        <x:v>371</x:v>
      </x:c>
    </x:row>
    <x:row r="1109" spans="1:17">
      <x:c r="D1109" s="147" t="n">
        <x:v>10128599</x:v>
      </x:c>
      <x:c r="E1109" s="147" t="s">
        <x:v>364</x:v>
      </x:c>
    </x:row>
    <x:row r="1110" spans="1:17">
      <x:c r="D1110" s="147" t="n">
        <x:v>10128600</x:v>
      </x:c>
      <x:c r="E1110" s="147" t="s">
        <x:v>368</x:v>
      </x:c>
    </x:row>
    <x:row r="1111" spans="1:17">
      <x:c r="D1111" s="147" t="n">
        <x:v>10128579</x:v>
      </x:c>
      <x:c r="E1111" s="147" t="s">
        <x:v>364</x:v>
      </x:c>
    </x:row>
    <x:row r="1112" spans="1:17">
      <x:c r="D1112" s="147" t="n">
        <x:v>10128580</x:v>
      </x:c>
      <x:c r="E1112" s="147" t="s">
        <x:v>368</x:v>
      </x:c>
    </x:row>
    <x:row r="1113" spans="1:17">
      <x:c r="D1113" s="147" t="n">
        <x:v>10128581</x:v>
      </x:c>
      <x:c r="E1113" s="147" t="s">
        <x:v>368</x:v>
      </x:c>
    </x:row>
    <x:row r="1114" spans="1:17">
      <x:c r="D1114" s="147" t="n">
        <x:v>10128582</x:v>
      </x:c>
      <x:c r="E1114" s="147" t="s">
        <x:v>371</x:v>
      </x:c>
    </x:row>
    <x:row r="1115" spans="1:17">
      <x:c r="D1115" s="147" t="n">
        <x:v>10128595</x:v>
      </x:c>
      <x:c r="E1115" s="147" t="s">
        <x:v>371</x:v>
      </x:c>
    </x:row>
    <x:row r="1116" spans="1:17">
      <x:c r="D1116" s="147" t="n">
        <x:v>10128596</x:v>
      </x:c>
      <x:c r="E1116" s="147" t="s">
        <x:v>363</x:v>
      </x:c>
    </x:row>
    <x:row r="1117" spans="1:17">
      <x:c r="D1117" s="147" t="n">
        <x:v>10128597</x:v>
      </x:c>
      <x:c r="E1117" s="147" t="s">
        <x:v>368</x:v>
      </x:c>
    </x:row>
    <x:row r="1118" spans="1:17">
      <x:c r="D1118" s="147" t="n">
        <x:v>10128598</x:v>
      </x:c>
      <x:c r="E1118" s="147" t="s">
        <x:v>371</x:v>
      </x:c>
    </x:row>
    <x:row r="1119" spans="1:17">
      <x:c r="D1119" s="147" t="n">
        <x:v>10128599</x:v>
      </x:c>
      <x:c r="E1119" s="147" t="s">
        <x:v>364</x:v>
      </x:c>
    </x:row>
    <x:row r="1120" spans="1:17">
      <x:c r="D1120" s="147" t="n">
        <x:v>10128600</x:v>
      </x:c>
      <x:c r="E1120" s="147" t="s">
        <x:v>368</x:v>
      </x:c>
    </x:row>
    <x:row r="1121" spans="1:17">
      <x:c r="D1121" s="147" t="n">
        <x:v>10128579</x:v>
      </x:c>
      <x:c r="E1121" s="147" t="s">
        <x:v>364</x:v>
      </x:c>
    </x:row>
    <x:row r="1122" spans="1:17">
      <x:c r="D1122" s="147" t="n">
        <x:v>10128580</x:v>
      </x:c>
      <x:c r="E1122" s="147" t="s">
        <x:v>368</x:v>
      </x:c>
    </x:row>
    <x:row r="1123" spans="1:17">
      <x:c r="D1123" s="147" t="n">
        <x:v>10128581</x:v>
      </x:c>
      <x:c r="E1123" s="147" t="s">
        <x:v>368</x:v>
      </x:c>
    </x:row>
    <x:row r="1124" spans="1:17">
      <x:c r="D1124" s="147" t="n">
        <x:v>10128582</x:v>
      </x:c>
      <x:c r="E1124" s="147" t="s">
        <x:v>371</x:v>
      </x:c>
    </x:row>
    <x:row r="1125" spans="1:17">
      <x:c r="D1125" s="147" t="n">
        <x:v>10128595</x:v>
      </x:c>
      <x:c r="E1125" s="147" t="s">
        <x:v>371</x:v>
      </x:c>
    </x:row>
    <x:row r="1126" spans="1:17">
      <x:c r="D1126" s="147" t="n">
        <x:v>10128596</x:v>
      </x:c>
      <x:c r="E1126" s="147" t="s">
        <x:v>363</x:v>
      </x:c>
    </x:row>
    <x:row r="1127" spans="1:17">
      <x:c r="D1127" s="147" t="n">
        <x:v>10128597</x:v>
      </x:c>
      <x:c r="E1127" s="147" t="s">
        <x:v>368</x:v>
      </x:c>
    </x:row>
    <x:row r="1128" spans="1:17">
      <x:c r="D1128" s="147" t="n">
        <x:v>10128598</x:v>
      </x:c>
      <x:c r="E1128" s="147" t="s">
        <x:v>371</x:v>
      </x:c>
    </x:row>
    <x:row r="1129" spans="1:17">
      <x:c r="D1129" s="147" t="n">
        <x:v>10128599</x:v>
      </x:c>
      <x:c r="E1129" s="147" t="s">
        <x:v>364</x:v>
      </x:c>
    </x:row>
    <x:row r="1130" spans="1:17">
      <x:c r="D1130" s="147" t="n">
        <x:v>10128600</x:v>
      </x:c>
      <x:c r="E1130" s="147" t="s">
        <x:v>368</x:v>
      </x:c>
    </x:row>
    <x:row r="1131" spans="1:17">
      <x:c r="D1131" s="147" t="n">
        <x:v>10128579</x:v>
      </x:c>
      <x:c r="E1131" s="147" t="s">
        <x:v>364</x:v>
      </x:c>
    </x:row>
    <x:row r="1132" spans="1:17">
      <x:c r="D1132" s="147" t="n">
        <x:v>10128580</x:v>
      </x:c>
      <x:c r="E1132" s="147" t="s">
        <x:v>368</x:v>
      </x:c>
    </x:row>
    <x:row r="1133" spans="1:17">
      <x:c r="D1133" s="147" t="n">
        <x:v>10128581</x:v>
      </x:c>
      <x:c r="E1133" s="147" t="s">
        <x:v>368</x:v>
      </x:c>
    </x:row>
    <x:row r="1134" spans="1:17">
      <x:c r="D1134" s="147" t="n">
        <x:v>10128582</x:v>
      </x:c>
      <x:c r="E1134" s="147" t="s">
        <x:v>371</x:v>
      </x:c>
    </x:row>
    <x:row r="1135" spans="1:17">
      <x:c r="D1135" s="147" t="n">
        <x:v>10128595</x:v>
      </x:c>
      <x:c r="E1135" s="147" t="s">
        <x:v>371</x:v>
      </x:c>
    </x:row>
    <x:row r="1136" spans="1:17">
      <x:c r="D1136" s="147" t="n">
        <x:v>10128596</x:v>
      </x:c>
      <x:c r="E1136" s="147" t="s">
        <x:v>363</x:v>
      </x:c>
    </x:row>
    <x:row r="1137" spans="1:17">
      <x:c r="D1137" s="147" t="n">
        <x:v>10128597</x:v>
      </x:c>
      <x:c r="E1137" s="147" t="s">
        <x:v>368</x:v>
      </x:c>
    </x:row>
    <x:row r="1138" spans="1:17">
      <x:c r="D1138" s="147" t="n">
        <x:v>10128598</x:v>
      </x:c>
      <x:c r="E1138" s="147" t="s">
        <x:v>371</x:v>
      </x:c>
    </x:row>
    <x:row r="1139" spans="1:17">
      <x:c r="D1139" s="147" t="n">
        <x:v>10128599</x:v>
      </x:c>
      <x:c r="E1139" s="147" t="s">
        <x:v>364</x:v>
      </x:c>
    </x:row>
    <x:row r="1140" spans="1:17">
      <x:c r="D1140" s="147" t="n">
        <x:v>10128600</x:v>
      </x:c>
      <x:c r="E1140" s="147" t="s">
        <x:v>368</x:v>
      </x:c>
    </x:row>
    <x:row r="1141" spans="1:17">
      <x:c r="D1141" s="147" t="n">
        <x:v>10128579</x:v>
      </x:c>
      <x:c r="E1141" s="147" t="s">
        <x:v>364</x:v>
      </x:c>
    </x:row>
    <x:row r="1142" spans="1:17">
      <x:c r="D1142" s="147" t="n">
        <x:v>10128580</x:v>
      </x:c>
      <x:c r="E1142" s="147" t="s">
        <x:v>368</x:v>
      </x:c>
    </x:row>
    <x:row r="1143" spans="1:17">
      <x:c r="D1143" s="147" t="n">
        <x:v>10128581</x:v>
      </x:c>
      <x:c r="E1143" s="147" t="s">
        <x:v>368</x:v>
      </x:c>
    </x:row>
    <x:row r="1144" spans="1:17">
      <x:c r="D1144" s="147" t="n">
        <x:v>10128582</x:v>
      </x:c>
      <x:c r="E1144" s="147" t="s">
        <x:v>371</x:v>
      </x:c>
    </x:row>
    <x:row r="1145" spans="1:17">
      <x:c r="D1145" s="147" t="n">
        <x:v>10128595</x:v>
      </x:c>
      <x:c r="E1145" s="147" t="s">
        <x:v>371</x:v>
      </x:c>
    </x:row>
    <x:row r="1146" spans="1:17">
      <x:c r="D1146" s="147" t="n">
        <x:v>10128596</x:v>
      </x:c>
      <x:c r="E1146" s="147" t="s">
        <x:v>363</x:v>
      </x:c>
    </x:row>
    <x:row r="1147" spans="1:17">
      <x:c r="D1147" s="147" t="n">
        <x:v>10128597</x:v>
      </x:c>
      <x:c r="E1147" s="147" t="s">
        <x:v>368</x:v>
      </x:c>
    </x:row>
    <x:row r="1148" spans="1:17">
      <x:c r="D1148" s="147" t="n">
        <x:v>10128598</x:v>
      </x:c>
      <x:c r="E1148" s="147" t="s">
        <x:v>371</x:v>
      </x:c>
    </x:row>
    <x:row r="1149" spans="1:17">
      <x:c r="D1149" s="147" t="n">
        <x:v>10128599</x:v>
      </x:c>
      <x:c r="E1149" s="147" t="s">
        <x:v>364</x:v>
      </x:c>
    </x:row>
    <x:row r="1150" spans="1:17">
      <x:c r="D1150" s="147" t="n">
        <x:v>10128600</x:v>
      </x:c>
      <x:c r="E1150" s="147" t="s">
        <x:v>368</x:v>
      </x:c>
    </x:row>
    <x:row r="1151" spans="1:17">
      <x:c r="D1151" s="147" t="n">
        <x:v>10128579</x:v>
      </x:c>
      <x:c r="E1151" s="147" t="s">
        <x:v>364</x:v>
      </x:c>
    </x:row>
    <x:row r="1152" spans="1:17">
      <x:c r="D1152" s="147" t="n">
        <x:v>10128580</x:v>
      </x:c>
      <x:c r="E1152" s="147" t="s">
        <x:v>368</x:v>
      </x:c>
    </x:row>
    <x:row r="1153" spans="1:17">
      <x:c r="D1153" s="147" t="n">
        <x:v>10128581</x:v>
      </x:c>
      <x:c r="E1153" s="147" t="s">
        <x:v>368</x:v>
      </x:c>
    </x:row>
    <x:row r="1154" spans="1:17">
      <x:c r="D1154" s="147" t="n">
        <x:v>10128582</x:v>
      </x:c>
      <x:c r="E1154" s="147" t="s">
        <x:v>371</x:v>
      </x:c>
    </x:row>
    <x:row r="1155" spans="1:17">
      <x:c r="D1155" s="147" t="n">
        <x:v>10128595</x:v>
      </x:c>
      <x:c r="E1155" s="147" t="s">
        <x:v>371</x:v>
      </x:c>
    </x:row>
    <x:row r="1156" spans="1:17">
      <x:c r="D1156" s="147" t="n">
        <x:v>10128596</x:v>
      </x:c>
      <x:c r="E1156" s="147" t="s">
        <x:v>363</x:v>
      </x:c>
    </x:row>
    <x:row r="1157" spans="1:17">
      <x:c r="D1157" s="147" t="n">
        <x:v>10128597</x:v>
      </x:c>
      <x:c r="E1157" s="147" t="s">
        <x:v>368</x:v>
      </x:c>
    </x:row>
    <x:row r="1158" spans="1:17">
      <x:c r="D1158" s="147" t="n">
        <x:v>10128598</x:v>
      </x:c>
      <x:c r="E1158" s="147" t="s">
        <x:v>371</x:v>
      </x:c>
    </x:row>
    <x:row r="1159" spans="1:17">
      <x:c r="D1159" s="147" t="n">
        <x:v>10128599</x:v>
      </x:c>
      <x:c r="E1159" s="147" t="s">
        <x:v>364</x:v>
      </x:c>
    </x:row>
    <x:row r="1160" spans="1:17">
      <x:c r="D1160" s="147" t="n">
        <x:v>10128600</x:v>
      </x:c>
      <x:c r="E1160" s="147" t="s">
        <x:v>368</x:v>
      </x:c>
    </x:row>
    <x:row r="1161" spans="1:17">
      <x:c r="D1161" s="147" t="n">
        <x:v>10128579</x:v>
      </x:c>
      <x:c r="E1161" s="147" t="s">
        <x:v>364</x:v>
      </x:c>
    </x:row>
    <x:row r="1162" spans="1:17">
      <x:c r="D1162" s="147" t="n">
        <x:v>10128580</x:v>
      </x:c>
      <x:c r="E1162" s="147" t="s">
        <x:v>368</x:v>
      </x:c>
    </x:row>
    <x:row r="1163" spans="1:17">
      <x:c r="D1163" s="147" t="n">
        <x:v>10128581</x:v>
      </x:c>
      <x:c r="E1163" s="147" t="s">
        <x:v>368</x:v>
      </x:c>
    </x:row>
    <x:row r="1164" spans="1:17">
      <x:c r="D1164" s="147" t="n">
        <x:v>10128582</x:v>
      </x:c>
      <x:c r="E1164" s="147" t="s">
        <x:v>371</x:v>
      </x:c>
    </x:row>
    <x:row r="1165" spans="1:17">
      <x:c r="D1165" s="147" t="n">
        <x:v>10128595</x:v>
      </x:c>
      <x:c r="E1165" s="147" t="s">
        <x:v>371</x:v>
      </x:c>
    </x:row>
    <x:row r="1166" spans="1:17">
      <x:c r="D1166" s="147" t="n">
        <x:v>10128596</x:v>
      </x:c>
      <x:c r="E1166" s="147" t="s">
        <x:v>363</x:v>
      </x:c>
    </x:row>
    <x:row r="1167" spans="1:17">
      <x:c r="D1167" s="147" t="n">
        <x:v>10128597</x:v>
      </x:c>
      <x:c r="E1167" s="147" t="s">
        <x:v>368</x:v>
      </x:c>
    </x:row>
    <x:row r="1168" spans="1:17">
      <x:c r="D1168" s="147" t="n">
        <x:v>10128598</x:v>
      </x:c>
      <x:c r="E1168" s="147" t="s">
        <x:v>371</x:v>
      </x:c>
    </x:row>
    <x:row r="1169" spans="1:17">
      <x:c r="D1169" s="147" t="n">
        <x:v>10128599</x:v>
      </x:c>
      <x:c r="E1169" s="147" t="s">
        <x:v>364</x:v>
      </x:c>
    </x:row>
    <x:row r="1170" spans="1:17">
      <x:c r="D1170" s="147" t="n">
        <x:v>10128600</x:v>
      </x:c>
      <x:c r="E1170" s="147" t="s">
        <x:v>368</x:v>
      </x:c>
    </x:row>
    <x:row r="1171" spans="1:17">
      <x:c r="D1171" s="147" t="n">
        <x:v>10128579</x:v>
      </x:c>
      <x:c r="E1171" s="147" t="s">
        <x:v>364</x:v>
      </x:c>
    </x:row>
    <x:row r="1172" spans="1:17">
      <x:c r="D1172" s="147" t="n">
        <x:v>10128580</x:v>
      </x:c>
      <x:c r="E1172" s="147" t="s">
        <x:v>368</x:v>
      </x:c>
    </x:row>
    <x:row r="1173" spans="1:17">
      <x:c r="D1173" s="147" t="n">
        <x:v>10128581</x:v>
      </x:c>
      <x:c r="E1173" s="147" t="s">
        <x:v>368</x:v>
      </x:c>
    </x:row>
    <x:row r="1174" spans="1:17">
      <x:c r="D1174" s="147" t="n">
        <x:v>10128582</x:v>
      </x:c>
      <x:c r="E1174" s="147" t="s">
        <x:v>371</x:v>
      </x:c>
    </x:row>
    <x:row r="1175" spans="1:17">
      <x:c r="D1175" s="147" t="n">
        <x:v>10128595</x:v>
      </x:c>
      <x:c r="E1175" s="147" t="s">
        <x:v>371</x:v>
      </x:c>
    </x:row>
    <x:row r="1176" spans="1:17">
      <x:c r="D1176" s="147" t="n">
        <x:v>10128596</x:v>
      </x:c>
      <x:c r="E1176" s="147" t="s">
        <x:v>363</x:v>
      </x:c>
    </x:row>
    <x:row r="1177" spans="1:17">
      <x:c r="D1177" s="147" t="n">
        <x:v>10128597</x:v>
      </x:c>
      <x:c r="E1177" s="147" t="s">
        <x:v>368</x:v>
      </x:c>
    </x:row>
    <x:row r="1178" spans="1:17">
      <x:c r="D1178" s="147" t="n">
        <x:v>10128598</x:v>
      </x:c>
      <x:c r="E1178" s="147" t="s">
        <x:v>371</x:v>
      </x:c>
    </x:row>
    <x:row r="1179" spans="1:17">
      <x:c r="D1179" s="147" t="n">
        <x:v>10128599</x:v>
      </x:c>
      <x:c r="E1179" s="147" t="s">
        <x:v>364</x:v>
      </x:c>
    </x:row>
    <x:row r="1180" spans="1:17">
      <x:c r="D1180" s="147" t="n">
        <x:v>10128600</x:v>
      </x:c>
      <x:c r="E1180" s="147" t="s">
        <x:v>368</x:v>
      </x:c>
    </x:row>
    <x:row r="1181" spans="1:17">
      <x:c r="D1181" s="147" t="n">
        <x:v>10128579</x:v>
      </x:c>
      <x:c r="E1181" s="147" t="s">
        <x:v>364</x:v>
      </x:c>
    </x:row>
    <x:row r="1182" spans="1:17">
      <x:c r="D1182" s="147" t="n">
        <x:v>10128580</x:v>
      </x:c>
      <x:c r="E1182" s="147" t="s">
        <x:v>368</x:v>
      </x:c>
    </x:row>
    <x:row r="1183" spans="1:17">
      <x:c r="D1183" s="147" t="n">
        <x:v>10128581</x:v>
      </x:c>
      <x:c r="E1183" s="147" t="s">
        <x:v>368</x:v>
      </x:c>
    </x:row>
    <x:row r="1184" spans="1:17">
      <x:c r="D1184" s="147" t="n">
        <x:v>10128582</x:v>
      </x:c>
      <x:c r="E1184" s="147" t="s">
        <x:v>371</x:v>
      </x:c>
    </x:row>
    <x:row r="1185" spans="1:17">
      <x:c r="D1185" s="147" t="n">
        <x:v>10128595</x:v>
      </x:c>
      <x:c r="E1185" s="147" t="s">
        <x:v>371</x:v>
      </x:c>
    </x:row>
    <x:row r="1186" spans="1:17">
      <x:c r="D1186" s="147" t="n">
        <x:v>10128596</x:v>
      </x:c>
      <x:c r="E1186" s="147" t="s">
        <x:v>363</x:v>
      </x:c>
    </x:row>
    <x:row r="1187" spans="1:17">
      <x:c r="D1187" s="147" t="n">
        <x:v>10128597</x:v>
      </x:c>
      <x:c r="E1187" s="147" t="s">
        <x:v>368</x:v>
      </x:c>
    </x:row>
    <x:row r="1188" spans="1:17">
      <x:c r="D1188" s="147" t="n">
        <x:v>10128598</x:v>
      </x:c>
      <x:c r="E1188" s="147" t="s">
        <x:v>371</x:v>
      </x:c>
    </x:row>
    <x:row r="1189" spans="1:17">
      <x:c r="D1189" s="147" t="n">
        <x:v>10128599</x:v>
      </x:c>
      <x:c r="E1189" s="147" t="s">
        <x:v>364</x:v>
      </x:c>
    </x:row>
    <x:row r="1190" spans="1:17">
      <x:c r="D1190" s="147" t="n">
        <x:v>10128600</x:v>
      </x:c>
      <x:c r="E1190" s="147" t="s">
        <x:v>368</x:v>
      </x:c>
    </x:row>
    <x:row r="1191" spans="1:17">
      <x:c r="D1191" s="147" t="n">
        <x:v>10128579</x:v>
      </x:c>
      <x:c r="E1191" s="147" t="s">
        <x:v>364</x:v>
      </x:c>
    </x:row>
    <x:row r="1192" spans="1:17">
      <x:c r="D1192" s="147" t="n">
        <x:v>10128580</x:v>
      </x:c>
      <x:c r="E1192" s="147" t="s">
        <x:v>368</x:v>
      </x:c>
    </x:row>
    <x:row r="1193" spans="1:17">
      <x:c r="D1193" s="147" t="n">
        <x:v>10128581</x:v>
      </x:c>
      <x:c r="E1193" s="147" t="s">
        <x:v>368</x:v>
      </x:c>
    </x:row>
    <x:row r="1194" spans="1:17">
      <x:c r="D1194" s="147" t="n">
        <x:v>10128582</x:v>
      </x:c>
      <x:c r="E1194" s="147" t="s">
        <x:v>371</x:v>
      </x:c>
    </x:row>
    <x:row r="1195" spans="1:17">
      <x:c r="D1195" s="147" t="n">
        <x:v>10128595</x:v>
      </x:c>
      <x:c r="E1195" s="147" t="s">
        <x:v>371</x:v>
      </x:c>
    </x:row>
    <x:row r="1196" spans="1:17">
      <x:c r="D1196" s="147" t="n">
        <x:v>10128596</x:v>
      </x:c>
      <x:c r="E1196" s="147" t="s">
        <x:v>363</x:v>
      </x:c>
    </x:row>
    <x:row r="1197" spans="1:17">
      <x:c r="D1197" s="147" t="n">
        <x:v>10128597</x:v>
      </x:c>
      <x:c r="E1197" s="147" t="s">
        <x:v>368</x:v>
      </x:c>
    </x:row>
    <x:row r="1198" spans="1:17">
      <x:c r="D1198" s="147" t="n">
        <x:v>10128598</x:v>
      </x:c>
      <x:c r="E1198" s="147" t="s">
        <x:v>371</x:v>
      </x:c>
    </x:row>
    <x:row r="1199" spans="1:17">
      <x:c r="D1199" s="147" t="n">
        <x:v>10128599</x:v>
      </x:c>
      <x:c r="E1199" s="147" t="s">
        <x:v>364</x:v>
      </x:c>
    </x:row>
    <x:row r="1200" spans="1:17">
      <x:c r="D1200" s="147" t="n">
        <x:v>10128600</x:v>
      </x:c>
      <x:c r="E1200" s="147" t="s">
        <x:v>368</x:v>
      </x:c>
    </x:row>
    <x:row r="1201" spans="1:17">
      <x:c r="D1201" s="147" t="n">
        <x:v>10128579</x:v>
      </x:c>
      <x:c r="E1201" s="147" t="s">
        <x:v>364</x:v>
      </x:c>
    </x:row>
    <x:row r="1202" spans="1:17">
      <x:c r="D1202" s="147" t="n">
        <x:v>10128580</x:v>
      </x:c>
      <x:c r="E1202" s="147" t="s">
        <x:v>368</x:v>
      </x:c>
    </x:row>
    <x:row r="1203" spans="1:17">
      <x:c r="D1203" s="147" t="n">
        <x:v>10128581</x:v>
      </x:c>
      <x:c r="E1203" s="147" t="s">
        <x:v>368</x:v>
      </x:c>
    </x:row>
    <x:row r="1204" spans="1:17">
      <x:c r="D1204" s="147" t="n">
        <x:v>10128582</x:v>
      </x:c>
      <x:c r="E1204" s="147" t="s">
        <x:v>371</x:v>
      </x:c>
    </x:row>
    <x:row r="1205" spans="1:17">
      <x:c r="D1205" s="147" t="n">
        <x:v>10128595</x:v>
      </x:c>
      <x:c r="E1205" s="147" t="s">
        <x:v>371</x:v>
      </x:c>
    </x:row>
    <x:row r="1206" spans="1:17">
      <x:c r="D1206" s="147" t="n">
        <x:v>10128596</x:v>
      </x:c>
      <x:c r="E1206" s="147" t="s">
        <x:v>363</x:v>
      </x:c>
    </x:row>
    <x:row r="1207" spans="1:17">
      <x:c r="D1207" s="147" t="n">
        <x:v>10128597</x:v>
      </x:c>
      <x:c r="E1207" s="147" t="s">
        <x:v>368</x:v>
      </x:c>
    </x:row>
    <x:row r="1208" spans="1:17">
      <x:c r="D1208" s="147" t="n">
        <x:v>10128598</x:v>
      </x:c>
      <x:c r="E1208" s="147" t="s">
        <x:v>371</x:v>
      </x:c>
    </x:row>
    <x:row r="1209" spans="1:17">
      <x:c r="D1209" s="147" t="n">
        <x:v>10128599</x:v>
      </x:c>
      <x:c r="E1209" s="147" t="s">
        <x:v>364</x:v>
      </x:c>
    </x:row>
    <x:row r="1210" spans="1:17">
      <x:c r="D1210" s="147" t="n">
        <x:v>10128600</x:v>
      </x:c>
      <x:c r="E1210" s="147" t="s">
        <x:v>368</x:v>
      </x:c>
    </x:row>
    <x:row r="1211" spans="1:17">
      <x:c r="D1211" s="147" t="n">
        <x:v>10128579</x:v>
      </x:c>
      <x:c r="E1211" s="147" t="s">
        <x:v>364</x:v>
      </x:c>
    </x:row>
    <x:row r="1212" spans="1:17">
      <x:c r="D1212" s="147" t="n">
        <x:v>10128580</x:v>
      </x:c>
      <x:c r="E1212" s="147" t="s">
        <x:v>368</x:v>
      </x:c>
    </x:row>
    <x:row r="1213" spans="1:17">
      <x:c r="D1213" s="147" t="n">
        <x:v>10128581</x:v>
      </x:c>
      <x:c r="E1213" s="147" t="s">
        <x:v>368</x:v>
      </x:c>
    </x:row>
    <x:row r="1214" spans="1:17">
      <x:c r="D1214" s="147" t="n">
        <x:v>10128582</x:v>
      </x:c>
      <x:c r="E1214" s="147" t="s">
        <x:v>371</x:v>
      </x:c>
    </x:row>
    <x:row r="1215" spans="1:17">
      <x:c r="D1215" s="147" t="n">
        <x:v>10128595</x:v>
      </x:c>
      <x:c r="E1215" s="147" t="s">
        <x:v>371</x:v>
      </x:c>
    </x:row>
    <x:row r="1216" spans="1:17">
      <x:c r="D1216" s="147" t="n">
        <x:v>10128596</x:v>
      </x:c>
      <x:c r="E1216" s="147" t="s">
        <x:v>363</x:v>
      </x:c>
    </x:row>
    <x:row r="1217" spans="1:17">
      <x:c r="D1217" s="147" t="n">
        <x:v>10128597</x:v>
      </x:c>
      <x:c r="E1217" s="147" t="s">
        <x:v>368</x:v>
      </x:c>
    </x:row>
    <x:row r="1218" spans="1:17">
      <x:c r="D1218" s="147" t="n">
        <x:v>10128598</x:v>
      </x:c>
      <x:c r="E1218" s="147" t="s">
        <x:v>371</x:v>
      </x:c>
    </x:row>
    <x:row r="1219" spans="1:17">
      <x:c r="D1219" s="147" t="n">
        <x:v>10128599</x:v>
      </x:c>
      <x:c r="E1219" s="147" t="s">
        <x:v>364</x:v>
      </x:c>
    </x:row>
    <x:row r="1220" spans="1:17">
      <x:c r="D1220" s="147" t="n">
        <x:v>10128600</x:v>
      </x:c>
      <x:c r="E1220" s="147" t="s">
        <x:v>368</x:v>
      </x:c>
    </x:row>
    <x:row r="1221" spans="1:17">
      <x:c r="D1221" s="147" t="n">
        <x:v>10128579</x:v>
      </x:c>
      <x:c r="E1221" s="147" t="s">
        <x:v>364</x:v>
      </x:c>
    </x:row>
    <x:row r="1222" spans="1:17">
      <x:c r="D1222" s="147" t="n">
        <x:v>10128580</x:v>
      </x:c>
      <x:c r="E1222" s="147" t="s">
        <x:v>368</x:v>
      </x:c>
    </x:row>
    <x:row r="1223" spans="1:17">
      <x:c r="D1223" s="147" t="n">
        <x:v>10128581</x:v>
      </x:c>
      <x:c r="E1223" s="147" t="s">
        <x:v>368</x:v>
      </x:c>
    </x:row>
    <x:row r="1224" spans="1:17">
      <x:c r="D1224" s="147" t="n">
        <x:v>10128582</x:v>
      </x:c>
      <x:c r="E1224" s="147" t="s">
        <x:v>371</x:v>
      </x:c>
    </x:row>
    <x:row r="1225" spans="1:17">
      <x:c r="D1225" s="147" t="n">
        <x:v>10128595</x:v>
      </x:c>
      <x:c r="E1225" s="147" t="s">
        <x:v>371</x:v>
      </x:c>
    </x:row>
    <x:row r="1226" spans="1:17">
      <x:c r="D1226" s="147" t="n">
        <x:v>10128596</x:v>
      </x:c>
      <x:c r="E1226" s="147" t="s">
        <x:v>363</x:v>
      </x:c>
    </x:row>
    <x:row r="1227" spans="1:17">
      <x:c r="D1227" s="147" t="n">
        <x:v>10128597</x:v>
      </x:c>
      <x:c r="E1227" s="147" t="s">
        <x:v>368</x:v>
      </x:c>
    </x:row>
    <x:row r="1228" spans="1:17">
      <x:c r="D1228" s="147" t="n">
        <x:v>10128598</x:v>
      </x:c>
      <x:c r="E1228" s="147" t="s">
        <x:v>371</x:v>
      </x:c>
    </x:row>
    <x:row r="1229" spans="1:17">
      <x:c r="D1229" s="147" t="n">
        <x:v>10128599</x:v>
      </x:c>
      <x:c r="E1229" s="147" t="s">
        <x:v>364</x:v>
      </x:c>
    </x:row>
    <x:row r="1230" spans="1:17">
      <x:c r="D1230" s="147" t="n">
        <x:v>10128600</x:v>
      </x:c>
      <x:c r="E1230" s="147" t="s">
        <x:v>368</x:v>
      </x:c>
    </x:row>
    <x:row r="1231" spans="1:17">
      <x:c r="D1231" s="147" t="n">
        <x:v>10128579</x:v>
      </x:c>
      <x:c r="E1231" s="147" t="s">
        <x:v>364</x:v>
      </x:c>
    </x:row>
    <x:row r="1232" spans="1:17">
      <x:c r="D1232" s="147" t="n">
        <x:v>10128580</x:v>
      </x:c>
      <x:c r="E1232" s="147" t="s">
        <x:v>368</x:v>
      </x:c>
    </x:row>
    <x:row r="1233" spans="1:17">
      <x:c r="D1233" s="147" t="n">
        <x:v>10128581</x:v>
      </x:c>
      <x:c r="E1233" s="147" t="s">
        <x:v>368</x:v>
      </x:c>
    </x:row>
    <x:row r="1234" spans="1:17">
      <x:c r="D1234" s="147" t="n">
        <x:v>10128582</x:v>
      </x:c>
      <x:c r="E1234" s="147" t="s">
        <x:v>371</x:v>
      </x:c>
    </x:row>
    <x:row r="1235" spans="1:17">
      <x:c r="D1235" s="147" t="n">
        <x:v>10128595</x:v>
      </x:c>
      <x:c r="E1235" s="147" t="s">
        <x:v>371</x:v>
      </x:c>
    </x:row>
    <x:row r="1236" spans="1:17">
      <x:c r="D1236" s="147" t="n">
        <x:v>10128596</x:v>
      </x:c>
      <x:c r="E1236" s="147" t="s">
        <x:v>363</x:v>
      </x:c>
    </x:row>
    <x:row r="1237" spans="1:17">
      <x:c r="D1237" s="147" t="n">
        <x:v>10128597</x:v>
      </x:c>
      <x:c r="E1237" s="147" t="s">
        <x:v>368</x:v>
      </x:c>
    </x:row>
    <x:row r="1238" spans="1:17">
      <x:c r="D1238" s="147" t="n">
        <x:v>10128598</x:v>
      </x:c>
      <x:c r="E1238" s="147" t="s">
        <x:v>371</x:v>
      </x:c>
    </x:row>
    <x:row r="1239" spans="1:17">
      <x:c r="D1239" s="147" t="n">
        <x:v>10128599</x:v>
      </x:c>
      <x:c r="E1239" s="147" t="s">
        <x:v>364</x:v>
      </x:c>
    </x:row>
    <x:row r="1240" spans="1:17">
      <x:c r="D1240" s="147" t="n">
        <x:v>10128600</x:v>
      </x:c>
      <x:c r="E1240" s="147" t="s">
        <x:v>368</x:v>
      </x:c>
    </x:row>
    <x:row r="1241" spans="1:17">
      <x:c r="D1241" s="147" t="n">
        <x:v>10128579</x:v>
      </x:c>
      <x:c r="E1241" s="147" t="s">
        <x:v>364</x:v>
      </x:c>
    </x:row>
    <x:row r="1242" spans="1:17">
      <x:c r="D1242" s="147" t="n">
        <x:v>10128580</x:v>
      </x:c>
      <x:c r="E1242" s="147" t="s">
        <x:v>368</x:v>
      </x:c>
    </x:row>
    <x:row r="1243" spans="1:17">
      <x:c r="D1243" s="147" t="n">
        <x:v>10128581</x:v>
      </x:c>
      <x:c r="E1243" s="147" t="s">
        <x:v>368</x:v>
      </x:c>
    </x:row>
    <x:row r="1244" spans="1:17">
      <x:c r="D1244" s="147" t="n">
        <x:v>10128582</x:v>
      </x:c>
      <x:c r="E1244" s="147" t="s">
        <x:v>371</x:v>
      </x:c>
    </x:row>
    <x:row r="1245" spans="1:17">
      <x:c r="D1245" s="147" t="n">
        <x:v>10128595</x:v>
      </x:c>
      <x:c r="E1245" s="147" t="s">
        <x:v>371</x:v>
      </x:c>
    </x:row>
    <x:row r="1246" spans="1:17">
      <x:c r="D1246" s="147" t="n">
        <x:v>10128596</x:v>
      </x:c>
      <x:c r="E1246" s="147" t="s">
        <x:v>363</x:v>
      </x:c>
    </x:row>
    <x:row r="1247" spans="1:17">
      <x:c r="D1247" s="147" t="n">
        <x:v>10128597</x:v>
      </x:c>
      <x:c r="E1247" s="147" t="s">
        <x:v>368</x:v>
      </x:c>
    </x:row>
    <x:row r="1248" spans="1:17">
      <x:c r="D1248" s="147" t="n">
        <x:v>10128598</x:v>
      </x:c>
      <x:c r="E1248" s="147" t="s">
        <x:v>371</x:v>
      </x:c>
    </x:row>
    <x:row r="1249" spans="1:17">
      <x:c r="D1249" s="147" t="n">
        <x:v>10128599</x:v>
      </x:c>
      <x:c r="E1249" s="147" t="s">
        <x:v>364</x:v>
      </x:c>
    </x:row>
    <x:row r="1250" spans="1:17">
      <x:c r="D1250" s="147" t="n">
        <x:v>10128600</x:v>
      </x:c>
      <x:c r="E1250" s="147" t="s">
        <x:v>368</x:v>
      </x:c>
    </x:row>
    <x:row r="1251" spans="1:17">
      <x:c r="D1251" s="147" t="n">
        <x:v>10128579</x:v>
      </x:c>
      <x:c r="E1251" s="147" t="s">
        <x:v>364</x:v>
      </x:c>
    </x:row>
    <x:row r="1252" spans="1:17">
      <x:c r="D1252" s="147" t="n">
        <x:v>10128580</x:v>
      </x:c>
      <x:c r="E1252" s="147" t="s">
        <x:v>368</x:v>
      </x:c>
    </x:row>
    <x:row r="1253" spans="1:17">
      <x:c r="D1253" s="147" t="n">
        <x:v>10128581</x:v>
      </x:c>
      <x:c r="E1253" s="147" t="s">
        <x:v>368</x:v>
      </x:c>
    </x:row>
    <x:row r="1254" spans="1:17">
      <x:c r="D1254" s="147" t="n">
        <x:v>10128582</x:v>
      </x:c>
      <x:c r="E1254" s="147" t="s">
        <x:v>371</x:v>
      </x:c>
    </x:row>
    <x:row r="1255" spans="1:17">
      <x:c r="D1255" s="147" t="n">
        <x:v>10128595</x:v>
      </x:c>
      <x:c r="E1255" s="147" t="s">
        <x:v>371</x:v>
      </x:c>
    </x:row>
    <x:row r="1256" spans="1:17">
      <x:c r="D1256" s="147" t="n">
        <x:v>10128596</x:v>
      </x:c>
      <x:c r="E1256" s="147" t="s">
        <x:v>363</x:v>
      </x:c>
    </x:row>
    <x:row r="1257" spans="1:17">
      <x:c r="D1257" s="147" t="n">
        <x:v>10128597</x:v>
      </x:c>
      <x:c r="E1257" s="147" t="s">
        <x:v>368</x:v>
      </x:c>
    </x:row>
    <x:row r="1258" spans="1:17">
      <x:c r="D1258" s="147" t="n">
        <x:v>10128598</x:v>
      </x:c>
      <x:c r="E1258" s="147" t="s">
        <x:v>371</x:v>
      </x:c>
    </x:row>
    <x:row r="1259" spans="1:17">
      <x:c r="D1259" s="147" t="n">
        <x:v>10128599</x:v>
      </x:c>
      <x:c r="E1259" s="147" t="s">
        <x:v>364</x:v>
      </x:c>
    </x:row>
    <x:row r="1260" spans="1:17">
      <x:c r="D1260" s="147" t="n">
        <x:v>10128600</x:v>
      </x:c>
      <x:c r="E1260" s="147" t="s">
        <x:v>368</x:v>
      </x:c>
    </x:row>
    <x:row r="1261" spans="1:17">
      <x:c r="D1261" s="147" t="n">
        <x:v>10128579</x:v>
      </x:c>
      <x:c r="E1261" s="147" t="s">
        <x:v>364</x:v>
      </x:c>
    </x:row>
    <x:row r="1262" spans="1:17">
      <x:c r="D1262" s="147" t="n">
        <x:v>10128580</x:v>
      </x:c>
      <x:c r="E1262" s="147" t="s">
        <x:v>368</x:v>
      </x:c>
    </x:row>
    <x:row r="1263" spans="1:17">
      <x:c r="D1263" s="147" t="n">
        <x:v>10128581</x:v>
      </x:c>
      <x:c r="E1263" s="147" t="s">
        <x:v>368</x:v>
      </x:c>
    </x:row>
    <x:row r="1264" spans="1:17">
      <x:c r="D1264" s="147" t="n">
        <x:v>10128582</x:v>
      </x:c>
      <x:c r="E1264" s="147" t="s">
        <x:v>371</x:v>
      </x:c>
    </x:row>
    <x:row r="1265" spans="1:17">
      <x:c r="D1265" s="147" t="n">
        <x:v>10128595</x:v>
      </x:c>
      <x:c r="E1265" s="147" t="s">
        <x:v>371</x:v>
      </x:c>
    </x:row>
    <x:row r="1266" spans="1:17">
      <x:c r="D1266" s="147" t="n">
        <x:v>10128596</x:v>
      </x:c>
      <x:c r="E1266" s="147" t="s">
        <x:v>363</x:v>
      </x:c>
    </x:row>
    <x:row r="1267" spans="1:17">
      <x:c r="D1267" s="147" t="n">
        <x:v>10128597</x:v>
      </x:c>
      <x:c r="E1267" s="147" t="s">
        <x:v>368</x:v>
      </x:c>
    </x:row>
    <x:row r="1268" spans="1:17">
      <x:c r="D1268" s="147" t="n">
        <x:v>10128598</x:v>
      </x:c>
      <x:c r="E1268" s="147" t="s">
        <x:v>371</x:v>
      </x:c>
    </x:row>
    <x:row r="1269" spans="1:17">
      <x:c r="D1269" s="147" t="n">
        <x:v>10128599</x:v>
      </x:c>
      <x:c r="E1269" s="147" t="s">
        <x:v>364</x:v>
      </x:c>
    </x:row>
    <x:row r="1270" spans="1:17">
      <x:c r="D1270" s="147" t="n">
        <x:v>10128600</x:v>
      </x:c>
      <x:c r="E1270" s="147" t="s">
        <x:v>368</x:v>
      </x:c>
    </x:row>
    <x:row r="1271" spans="1:17">
      <x:c r="D1271" s="147" t="n">
        <x:v>10128579</x:v>
      </x:c>
      <x:c r="E1271" s="147" t="s">
        <x:v>364</x:v>
      </x:c>
    </x:row>
    <x:row r="1272" spans="1:17">
      <x:c r="D1272" s="147" t="n">
        <x:v>10128580</x:v>
      </x:c>
      <x:c r="E1272" s="147" t="s">
        <x:v>368</x:v>
      </x:c>
    </x:row>
    <x:row r="1273" spans="1:17">
      <x:c r="D1273" s="147" t="n">
        <x:v>10128581</x:v>
      </x:c>
      <x:c r="E1273" s="147" t="s">
        <x:v>368</x:v>
      </x:c>
    </x:row>
    <x:row r="1274" spans="1:17">
      <x:c r="D1274" s="147" t="n">
        <x:v>10128582</x:v>
      </x:c>
      <x:c r="E1274" s="147" t="s">
        <x:v>371</x:v>
      </x:c>
    </x:row>
    <x:row r="1275" spans="1:17">
      <x:c r="D1275" s="147" t="n">
        <x:v>10128595</x:v>
      </x:c>
      <x:c r="E1275" s="147" t="s">
        <x:v>371</x:v>
      </x:c>
    </x:row>
    <x:row r="1276" spans="1:17">
      <x:c r="D1276" s="147" t="n">
        <x:v>10128596</x:v>
      </x:c>
      <x:c r="E1276" s="147" t="s">
        <x:v>363</x:v>
      </x:c>
    </x:row>
    <x:row r="1277" spans="1:17">
      <x:c r="D1277" s="147" t="n">
        <x:v>10128597</x:v>
      </x:c>
      <x:c r="E1277" s="147" t="s">
        <x:v>368</x:v>
      </x:c>
    </x:row>
    <x:row r="1278" spans="1:17">
      <x:c r="D1278" s="147" t="n">
        <x:v>10128598</x:v>
      </x:c>
      <x:c r="E1278" s="147" t="s">
        <x:v>371</x:v>
      </x:c>
    </x:row>
    <x:row r="1279" spans="1:17">
      <x:c r="D1279" s="147" t="n">
        <x:v>10128599</x:v>
      </x:c>
      <x:c r="E1279" s="147" t="s">
        <x:v>364</x:v>
      </x:c>
    </x:row>
    <x:row r="1280" spans="1:17">
      <x:c r="D1280" s="147" t="n">
        <x:v>10128600</x:v>
      </x:c>
      <x:c r="E1280" s="147" t="s">
        <x:v>368</x:v>
      </x:c>
    </x:row>
    <x:row r="1281" spans="1:17">
      <x:c r="D1281" s="147" t="n">
        <x:v>10128579</x:v>
      </x:c>
      <x:c r="E1281" s="147" t="s">
        <x:v>364</x:v>
      </x:c>
    </x:row>
    <x:row r="1282" spans="1:17">
      <x:c r="D1282" s="147" t="n">
        <x:v>10128580</x:v>
      </x:c>
      <x:c r="E1282" s="147" t="s">
        <x:v>368</x:v>
      </x:c>
    </x:row>
    <x:row r="1283" spans="1:17">
      <x:c r="D1283" s="147" t="n">
        <x:v>10128581</x:v>
      </x:c>
      <x:c r="E1283" s="147" t="s">
        <x:v>368</x:v>
      </x:c>
    </x:row>
    <x:row r="1284" spans="1:17">
      <x:c r="D1284" s="147" t="n">
        <x:v>10128582</x:v>
      </x:c>
      <x:c r="E1284" s="147" t="s">
        <x:v>371</x:v>
      </x:c>
    </x:row>
    <x:row r="1285" spans="1:17">
      <x:c r="D1285" s="147" t="n">
        <x:v>10128595</x:v>
      </x:c>
      <x:c r="E1285" s="147" t="s">
        <x:v>371</x:v>
      </x:c>
    </x:row>
    <x:row r="1286" spans="1:17">
      <x:c r="D1286" s="147" t="n">
        <x:v>10128596</x:v>
      </x:c>
      <x:c r="E1286" s="147" t="s">
        <x:v>363</x:v>
      </x:c>
    </x:row>
    <x:row r="1287" spans="1:17">
      <x:c r="D1287" s="147" t="n">
        <x:v>10128597</x:v>
      </x:c>
      <x:c r="E1287" s="147" t="s">
        <x:v>368</x:v>
      </x:c>
    </x:row>
    <x:row r="1288" spans="1:17">
      <x:c r="D1288" s="147" t="n">
        <x:v>10128598</x:v>
      </x:c>
      <x:c r="E1288" s="147" t="s">
        <x:v>371</x:v>
      </x:c>
    </x:row>
    <x:row r="1289" spans="1:17">
      <x:c r="D1289" s="147" t="n">
        <x:v>10128599</x:v>
      </x:c>
      <x:c r="E1289" s="147" t="s">
        <x:v>364</x:v>
      </x:c>
    </x:row>
    <x:row r="1290" spans="1:17">
      <x:c r="D1290" s="147" t="n">
        <x:v>10128600</x:v>
      </x:c>
      <x:c r="E1290" s="147" t="s">
        <x:v>368</x:v>
      </x:c>
    </x:row>
    <x:row r="1291" spans="1:17">
      <x:c r="D1291" s="147" t="n">
        <x:v>10128579</x:v>
      </x:c>
      <x:c r="E1291" s="147" t="s">
        <x:v>364</x:v>
      </x:c>
    </x:row>
    <x:row r="1292" spans="1:17">
      <x:c r="D1292" s="147" t="n">
        <x:v>10128580</x:v>
      </x:c>
      <x:c r="E1292" s="147" t="s">
        <x:v>368</x:v>
      </x:c>
    </x:row>
    <x:row r="1293" spans="1:17">
      <x:c r="D1293" s="147" t="n">
        <x:v>10128581</x:v>
      </x:c>
      <x:c r="E1293" s="147" t="s">
        <x:v>368</x:v>
      </x:c>
    </x:row>
    <x:row r="1294" spans="1:17">
      <x:c r="D1294" s="147" t="n">
        <x:v>10128582</x:v>
      </x:c>
      <x:c r="E1294" s="147" t="s">
        <x:v>371</x:v>
      </x:c>
    </x:row>
    <x:row r="1295" spans="1:17">
      <x:c r="D1295" s="147" t="n">
        <x:v>10128595</x:v>
      </x:c>
      <x:c r="E1295" s="147" t="s">
        <x:v>371</x:v>
      </x:c>
    </x:row>
    <x:row r="1296" spans="1:17">
      <x:c r="D1296" s="147" t="n">
        <x:v>10128596</x:v>
      </x:c>
      <x:c r="E1296" s="147" t="s">
        <x:v>363</x:v>
      </x:c>
    </x:row>
    <x:row r="1297" spans="1:17">
      <x:c r="D1297" s="147" t="n">
        <x:v>10128597</x:v>
      </x:c>
      <x:c r="E1297" s="147" t="s">
        <x:v>368</x:v>
      </x:c>
    </x:row>
    <x:row r="1298" spans="1:17">
      <x:c r="D1298" s="147" t="n">
        <x:v>10128598</x:v>
      </x:c>
      <x:c r="E1298" s="147" t="s">
        <x:v>371</x:v>
      </x:c>
    </x:row>
    <x:row r="1299" spans="1:17">
      <x:c r="D1299" s="147" t="n">
        <x:v>10128599</x:v>
      </x:c>
      <x:c r="E1299" s="147" t="s">
        <x:v>364</x:v>
      </x:c>
    </x:row>
    <x:row r="1300" spans="1:17">
      <x:c r="D1300" s="147" t="n">
        <x:v>10128600</x:v>
      </x:c>
      <x:c r="E1300" s="147" t="s">
        <x:v>368</x:v>
      </x:c>
    </x:row>
    <x:row r="1301" spans="1:17">
      <x:c r="D1301" s="147" t="n">
        <x:v>10128579</x:v>
      </x:c>
      <x:c r="E1301" s="147" t="s">
        <x:v>364</x:v>
      </x:c>
    </x:row>
    <x:row r="1302" spans="1:17">
      <x:c r="D1302" s="147" t="n">
        <x:v>10128580</x:v>
      </x:c>
      <x:c r="E1302" s="147" t="s">
        <x:v>368</x:v>
      </x:c>
    </x:row>
    <x:row r="1303" spans="1:17">
      <x:c r="D1303" s="147" t="n">
        <x:v>10128581</x:v>
      </x:c>
      <x:c r="E1303" s="147" t="s">
        <x:v>368</x:v>
      </x:c>
    </x:row>
    <x:row r="1304" spans="1:17">
      <x:c r="D1304" s="147" t="n">
        <x:v>10128582</x:v>
      </x:c>
      <x:c r="E1304" s="147" t="s">
        <x:v>371</x:v>
      </x:c>
    </x:row>
    <x:row r="1305" spans="1:17">
      <x:c r="D1305" s="147" t="n">
        <x:v>10128595</x:v>
      </x:c>
      <x:c r="E1305" s="147" t="s">
        <x:v>371</x:v>
      </x:c>
    </x:row>
    <x:row r="1306" spans="1:17">
      <x:c r="D1306" s="147" t="n">
        <x:v>10128596</x:v>
      </x:c>
      <x:c r="E1306" s="147" t="s">
        <x:v>363</x:v>
      </x:c>
    </x:row>
    <x:row r="1307" spans="1:17">
      <x:c r="D1307" s="147" t="n">
        <x:v>10128597</x:v>
      </x:c>
      <x:c r="E1307" s="147" t="s">
        <x:v>368</x:v>
      </x:c>
    </x:row>
    <x:row r="1308" spans="1:17">
      <x:c r="D1308" s="147" t="n">
        <x:v>10128598</x:v>
      </x:c>
      <x:c r="E1308" s="147" t="s">
        <x:v>371</x:v>
      </x:c>
    </x:row>
    <x:row r="1309" spans="1:17">
      <x:c r="D1309" s="147" t="n">
        <x:v>10128599</x:v>
      </x:c>
      <x:c r="E1309" s="147" t="s">
        <x:v>364</x:v>
      </x:c>
    </x:row>
    <x:row r="1310" spans="1:17">
      <x:c r="D1310" s="147" t="n">
        <x:v>10128600</x:v>
      </x:c>
      <x:c r="E1310" s="147" t="s">
        <x:v>368</x:v>
      </x:c>
    </x:row>
    <x:row r="1311" spans="1:17">
      <x:c r="D1311" s="147" t="n">
        <x:v>10128579</x:v>
      </x:c>
      <x:c r="E1311" s="147" t="s">
        <x:v>364</x:v>
      </x:c>
    </x:row>
    <x:row r="1312" spans="1:17">
      <x:c r="D1312" s="147" t="n">
        <x:v>10128580</x:v>
      </x:c>
      <x:c r="E1312" s="147" t="s">
        <x:v>368</x:v>
      </x:c>
    </x:row>
    <x:row r="1313" spans="1:17">
      <x:c r="D1313" s="147" t="n">
        <x:v>10128581</x:v>
      </x:c>
      <x:c r="E1313" s="147" t="s">
        <x:v>368</x:v>
      </x:c>
    </x:row>
    <x:row r="1314" spans="1:17">
      <x:c r="D1314" s="147" t="n">
        <x:v>10128582</x:v>
      </x:c>
      <x:c r="E1314" s="147" t="s">
        <x:v>371</x:v>
      </x:c>
    </x:row>
    <x:row r="1315" spans="1:17">
      <x:c r="D1315" s="147" t="n">
        <x:v>10128595</x:v>
      </x:c>
      <x:c r="E1315" s="147" t="s">
        <x:v>371</x:v>
      </x:c>
    </x:row>
    <x:row r="1316" spans="1:17">
      <x:c r="D1316" s="147" t="n">
        <x:v>10128596</x:v>
      </x:c>
      <x:c r="E1316" s="147" t="s">
        <x:v>363</x:v>
      </x:c>
    </x:row>
    <x:row r="1317" spans="1:17">
      <x:c r="D1317" s="147" t="n">
        <x:v>10128597</x:v>
      </x:c>
      <x:c r="E1317" s="147" t="s">
        <x:v>368</x:v>
      </x:c>
    </x:row>
    <x:row r="1318" spans="1:17">
      <x:c r="D1318" s="147" t="n">
        <x:v>10128598</x:v>
      </x:c>
      <x:c r="E1318" s="147" t="s">
        <x:v>371</x:v>
      </x:c>
    </x:row>
    <x:row r="1319" spans="1:17">
      <x:c r="D1319" s="147" t="n">
        <x:v>10128599</x:v>
      </x:c>
      <x:c r="E1319" s="147" t="s">
        <x:v>364</x:v>
      </x:c>
    </x:row>
    <x:row r="1320" spans="1:17">
      <x:c r="D1320" s="147" t="n">
        <x:v>10128600</x:v>
      </x:c>
      <x:c r="E1320" s="147" t="s">
        <x:v>368</x:v>
      </x:c>
    </x:row>
    <x:row r="1321" spans="1:17">
      <x:c r="D1321" s="147" t="n">
        <x:v>10128579</x:v>
      </x:c>
      <x:c r="E1321" s="147" t="s">
        <x:v>364</x:v>
      </x:c>
    </x:row>
    <x:row r="1322" spans="1:17">
      <x:c r="D1322" s="147" t="n">
        <x:v>10128580</x:v>
      </x:c>
      <x:c r="E1322" s="147" t="s">
        <x:v>368</x:v>
      </x:c>
    </x:row>
    <x:row r="1323" spans="1:17">
      <x:c r="D1323" s="147" t="n">
        <x:v>10128581</x:v>
      </x:c>
      <x:c r="E1323" s="147" t="s">
        <x:v>368</x:v>
      </x:c>
    </x:row>
    <x:row r="1324" spans="1:17">
      <x:c r="D1324" s="147" t="n">
        <x:v>10128582</x:v>
      </x:c>
      <x:c r="E1324" s="147" t="s">
        <x:v>371</x:v>
      </x:c>
    </x:row>
    <x:row r="1325" spans="1:17">
      <x:c r="D1325" s="147" t="n">
        <x:v>10128595</x:v>
      </x:c>
      <x:c r="E1325" s="147" t="s">
        <x:v>371</x:v>
      </x:c>
    </x:row>
    <x:row r="1326" spans="1:17">
      <x:c r="D1326" s="147" t="n">
        <x:v>10128596</x:v>
      </x:c>
      <x:c r="E1326" s="147" t="s">
        <x:v>363</x:v>
      </x:c>
    </x:row>
    <x:row r="1327" spans="1:17">
      <x:c r="D1327" s="147" t="n">
        <x:v>10128597</x:v>
      </x:c>
      <x:c r="E1327" s="147" t="s">
        <x:v>368</x:v>
      </x:c>
    </x:row>
    <x:row r="1328" spans="1:17">
      <x:c r="D1328" s="147" t="n">
        <x:v>10128598</x:v>
      </x:c>
      <x:c r="E1328" s="147" t="s">
        <x:v>371</x:v>
      </x:c>
    </x:row>
    <x:row r="1329" spans="1:17">
      <x:c r="D1329" s="147" t="n">
        <x:v>10128599</x:v>
      </x:c>
      <x:c r="E1329" s="147" t="s">
        <x:v>364</x:v>
      </x:c>
    </x:row>
    <x:row r="1330" spans="1:17">
      <x:c r="D1330" s="147" t="n">
        <x:v>10128600</x:v>
      </x:c>
      <x:c r="E1330" s="147" t="s">
        <x:v>368</x:v>
      </x:c>
    </x:row>
    <x:row r="1331" spans="1:17">
      <x:c r="D1331" s="147" t="n">
        <x:v>10128579</x:v>
      </x:c>
      <x:c r="E1331" s="147" t="s">
        <x:v>364</x:v>
      </x:c>
    </x:row>
    <x:row r="1332" spans="1:17">
      <x:c r="D1332" s="147" t="n">
        <x:v>10128580</x:v>
      </x:c>
      <x:c r="E1332" s="147" t="s">
        <x:v>368</x:v>
      </x:c>
    </x:row>
    <x:row r="1333" spans="1:17">
      <x:c r="D1333" s="147" t="n">
        <x:v>10128581</x:v>
      </x:c>
      <x:c r="E1333" s="147" t="s">
        <x:v>368</x:v>
      </x:c>
    </x:row>
    <x:row r="1334" spans="1:17">
      <x:c r="D1334" s="147" t="n">
        <x:v>10128582</x:v>
      </x:c>
      <x:c r="E1334" s="147" t="s">
        <x:v>371</x:v>
      </x:c>
    </x:row>
    <x:row r="1335" spans="1:17">
      <x:c r="D1335" s="147" t="n">
        <x:v>10128595</x:v>
      </x:c>
      <x:c r="E1335" s="147" t="s">
        <x:v>371</x:v>
      </x:c>
    </x:row>
    <x:row r="1336" spans="1:17">
      <x:c r="D1336" s="147" t="n">
        <x:v>10128596</x:v>
      </x:c>
      <x:c r="E1336" s="147" t="s">
        <x:v>363</x:v>
      </x:c>
    </x:row>
    <x:row r="1337" spans="1:17">
      <x:c r="D1337" s="147" t="n">
        <x:v>10128597</x:v>
      </x:c>
      <x:c r="E1337" s="147" t="s">
        <x:v>368</x:v>
      </x:c>
    </x:row>
    <x:row r="1338" spans="1:17">
      <x:c r="D1338" s="147" t="n">
        <x:v>10128598</x:v>
      </x:c>
      <x:c r="E1338" s="147" t="s">
        <x:v>371</x:v>
      </x:c>
    </x:row>
    <x:row r="1339" spans="1:17">
      <x:c r="D1339" s="147" t="n">
        <x:v>10128599</x:v>
      </x:c>
      <x:c r="E1339" s="147" t="s">
        <x:v>364</x:v>
      </x:c>
    </x:row>
    <x:row r="1340" spans="1:17">
      <x:c r="D1340" s="147" t="n">
        <x:v>10128600</x:v>
      </x:c>
      <x:c r="E1340" s="147" t="s">
        <x:v>368</x:v>
      </x:c>
    </x:row>
    <x:row r="1341" spans="1:17">
      <x:c r="D1341" s="147" t="n">
        <x:v>10128579</x:v>
      </x:c>
      <x:c r="E1341" s="147" t="s">
        <x:v>364</x:v>
      </x:c>
    </x:row>
    <x:row r="1342" spans="1:17">
      <x:c r="D1342" s="147" t="n">
        <x:v>10128580</x:v>
      </x:c>
      <x:c r="E1342" s="147" t="s">
        <x:v>368</x:v>
      </x:c>
    </x:row>
    <x:row r="1343" spans="1:17">
      <x:c r="D1343" s="147" t="n">
        <x:v>10128581</x:v>
      </x:c>
      <x:c r="E1343" s="147" t="s">
        <x:v>368</x:v>
      </x:c>
    </x:row>
    <x:row r="1344" spans="1:17">
      <x:c r="D1344" s="147" t="n">
        <x:v>10128582</x:v>
      </x:c>
      <x:c r="E1344" s="147" t="s">
        <x:v>371</x:v>
      </x:c>
    </x:row>
    <x:row r="1345" spans="1:17">
      <x:c r="D1345" s="147" t="n">
        <x:v>10128595</x:v>
      </x:c>
      <x:c r="E1345" s="147" t="s">
        <x:v>371</x:v>
      </x:c>
    </x:row>
    <x:row r="1346" spans="1:17">
      <x:c r="D1346" s="147" t="n">
        <x:v>10128596</x:v>
      </x:c>
      <x:c r="E1346" s="147" t="s">
        <x:v>363</x:v>
      </x:c>
    </x:row>
    <x:row r="1347" spans="1:17">
      <x:c r="D1347" s="147" t="n">
        <x:v>10128597</x:v>
      </x:c>
      <x:c r="E1347" s="147" t="s">
        <x:v>368</x:v>
      </x:c>
    </x:row>
    <x:row r="1348" spans="1:17">
      <x:c r="D1348" s="147" t="n">
        <x:v>10128598</x:v>
      </x:c>
      <x:c r="E1348" s="147" t="s">
        <x:v>371</x:v>
      </x:c>
    </x:row>
    <x:row r="1349" spans="1:17">
      <x:c r="D1349" s="147" t="n">
        <x:v>10128599</x:v>
      </x:c>
      <x:c r="E1349" s="147" t="s">
        <x:v>364</x:v>
      </x:c>
    </x:row>
    <x:row r="1350" spans="1:17">
      <x:c r="D1350" s="147" t="n">
        <x:v>10128600</x:v>
      </x:c>
      <x:c r="E1350" s="147" t="s">
        <x:v>368</x:v>
      </x:c>
    </x:row>
    <x:row r="1351" spans="1:17">
      <x:c r="D1351" s="147" t="n">
        <x:v>10128579</x:v>
      </x:c>
      <x:c r="E1351" s="147" t="s">
        <x:v>364</x:v>
      </x:c>
    </x:row>
    <x:row r="1352" spans="1:17">
      <x:c r="D1352" s="147" t="n">
        <x:v>10128580</x:v>
      </x:c>
      <x:c r="E1352" s="147" t="s">
        <x:v>368</x:v>
      </x:c>
    </x:row>
    <x:row r="1353" spans="1:17">
      <x:c r="D1353" s="147" t="n">
        <x:v>10128581</x:v>
      </x:c>
      <x:c r="E1353" s="147" t="s">
        <x:v>368</x:v>
      </x:c>
    </x:row>
    <x:row r="1354" spans="1:17">
      <x:c r="D1354" s="147" t="n">
        <x:v>10128582</x:v>
      </x:c>
      <x:c r="E1354" s="147" t="s">
        <x:v>371</x:v>
      </x:c>
    </x:row>
    <x:row r="1355" spans="1:17">
      <x:c r="D1355" s="147" t="n">
        <x:v>10128595</x:v>
      </x:c>
      <x:c r="E1355" s="147" t="s">
        <x:v>371</x:v>
      </x:c>
    </x:row>
    <x:row r="1356" spans="1:17">
      <x:c r="D1356" s="147" t="n">
        <x:v>10128596</x:v>
      </x:c>
      <x:c r="E1356" s="147" t="s">
        <x:v>363</x:v>
      </x:c>
    </x:row>
    <x:row r="1357" spans="1:17">
      <x:c r="D1357" s="147" t="n">
        <x:v>10128597</x:v>
      </x:c>
      <x:c r="E1357" s="147" t="s">
        <x:v>368</x:v>
      </x:c>
    </x:row>
    <x:row r="1358" spans="1:17">
      <x:c r="D1358" s="147" t="n">
        <x:v>10128598</x:v>
      </x:c>
      <x:c r="E1358" s="147" t="s">
        <x:v>371</x:v>
      </x:c>
    </x:row>
    <x:row r="1359" spans="1:17">
      <x:c r="D1359" s="147" t="n">
        <x:v>10128599</x:v>
      </x:c>
      <x:c r="E1359" s="147" t="s">
        <x:v>364</x:v>
      </x:c>
    </x:row>
    <x:row r="1360" spans="1:17">
      <x:c r="D1360" s="147" t="n">
        <x:v>10128600</x:v>
      </x:c>
      <x:c r="E1360" s="147" t="s">
        <x:v>368</x:v>
      </x:c>
    </x:row>
    <x:row r="1361" spans="1:17">
      <x:c r="D1361" s="147" t="n">
        <x:v>10128579</x:v>
      </x:c>
      <x:c r="E1361" s="147" t="s">
        <x:v>364</x:v>
      </x:c>
    </x:row>
    <x:row r="1362" spans="1:17">
      <x:c r="D1362" s="147" t="n">
        <x:v>10128580</x:v>
      </x:c>
      <x:c r="E1362" s="147" t="s">
        <x:v>368</x:v>
      </x:c>
    </x:row>
    <x:row r="1363" spans="1:17">
      <x:c r="D1363" s="147" t="n">
        <x:v>10128581</x:v>
      </x:c>
      <x:c r="E1363" s="147" t="s">
        <x:v>368</x:v>
      </x:c>
    </x:row>
    <x:row r="1364" spans="1:17">
      <x:c r="D1364" s="147" t="n">
        <x:v>10128582</x:v>
      </x:c>
      <x:c r="E1364" s="147" t="s">
        <x:v>371</x:v>
      </x:c>
    </x:row>
    <x:row r="1365" spans="1:17">
      <x:c r="D1365" s="147" t="n">
        <x:v>10128595</x:v>
      </x:c>
      <x:c r="E1365" s="147" t="s">
        <x:v>371</x:v>
      </x:c>
    </x:row>
    <x:row r="1366" spans="1:17">
      <x:c r="D1366" s="147" t="n">
        <x:v>10128596</x:v>
      </x:c>
      <x:c r="E1366" s="147" t="s">
        <x:v>363</x:v>
      </x:c>
    </x:row>
    <x:row r="1367" spans="1:17">
      <x:c r="D1367" s="147" t="n">
        <x:v>10128597</x:v>
      </x:c>
      <x:c r="E1367" s="147" t="s">
        <x:v>368</x:v>
      </x:c>
    </x:row>
    <x:row r="1368" spans="1:17">
      <x:c r="D1368" s="147" t="n">
        <x:v>10128598</x:v>
      </x:c>
      <x:c r="E1368" s="147" t="s">
        <x:v>371</x:v>
      </x:c>
    </x:row>
    <x:row r="1369" spans="1:17">
      <x:c r="D1369" s="147" t="n">
        <x:v>10128599</x:v>
      </x:c>
      <x:c r="E1369" s="147" t="s">
        <x:v>364</x:v>
      </x:c>
    </x:row>
    <x:row r="1370" spans="1:17">
      <x:c r="D1370" s="147" t="n">
        <x:v>10128600</x:v>
      </x:c>
      <x:c r="E1370" s="147" t="s">
        <x:v>368</x:v>
      </x:c>
    </x:row>
    <x:row r="1371" spans="1:17">
      <x:c r="D1371" s="147" t="n">
        <x:v>10128579</x:v>
      </x:c>
      <x:c r="E1371" s="147" t="s">
        <x:v>364</x:v>
      </x:c>
    </x:row>
    <x:row r="1372" spans="1:17">
      <x:c r="D1372" s="147" t="n">
        <x:v>10128580</x:v>
      </x:c>
      <x:c r="E1372" s="147" t="s">
        <x:v>368</x:v>
      </x:c>
    </x:row>
    <x:row r="1373" spans="1:17">
      <x:c r="D1373" s="147" t="n">
        <x:v>10128581</x:v>
      </x:c>
      <x:c r="E1373" s="147" t="s">
        <x:v>368</x:v>
      </x:c>
    </x:row>
    <x:row r="1374" spans="1:17">
      <x:c r="D1374" s="147" t="n">
        <x:v>10128582</x:v>
      </x:c>
      <x:c r="E1374" s="147" t="s">
        <x:v>371</x:v>
      </x:c>
    </x:row>
    <x:row r="1375" spans="1:17">
      <x:c r="D1375" s="147" t="n">
        <x:v>10128595</x:v>
      </x:c>
      <x:c r="E1375" s="147" t="s">
        <x:v>371</x:v>
      </x:c>
    </x:row>
    <x:row r="1376" spans="1:17">
      <x:c r="D1376" s="147" t="n">
        <x:v>10128596</x:v>
      </x:c>
      <x:c r="E1376" s="147" t="s">
        <x:v>363</x:v>
      </x:c>
    </x:row>
    <x:row r="1377" spans="1:17">
      <x:c r="D1377" s="147" t="n">
        <x:v>10128597</x:v>
      </x:c>
      <x:c r="E1377" s="147" t="s">
        <x:v>368</x:v>
      </x:c>
    </x:row>
    <x:row r="1378" spans="1:17">
      <x:c r="D1378" s="147" t="n">
        <x:v>10128598</x:v>
      </x:c>
      <x:c r="E1378" s="147" t="s">
        <x:v>371</x:v>
      </x:c>
    </x:row>
    <x:row r="1379" spans="1:17">
      <x:c r="D1379" s="147" t="n">
        <x:v>10128599</x:v>
      </x:c>
      <x:c r="E1379" s="147" t="s">
        <x:v>364</x:v>
      </x:c>
    </x:row>
    <x:row r="1380" spans="1:17">
      <x:c r="D1380" s="147" t="n">
        <x:v>10128600</x:v>
      </x:c>
      <x:c r="E1380" s="147" t="s">
        <x:v>368</x:v>
      </x:c>
    </x:row>
    <x:row r="1381" spans="1:17">
      <x:c r="D1381" s="147" t="n">
        <x:v>10128579</x:v>
      </x:c>
      <x:c r="E1381" s="147" t="s">
        <x:v>364</x:v>
      </x:c>
    </x:row>
    <x:row r="1382" spans="1:17">
      <x:c r="D1382" s="147" t="n">
        <x:v>10128580</x:v>
      </x:c>
      <x:c r="E1382" s="147" t="s">
        <x:v>368</x:v>
      </x:c>
    </x:row>
    <x:row r="1383" spans="1:17">
      <x:c r="D1383" s="147" t="n">
        <x:v>10128581</x:v>
      </x:c>
      <x:c r="E1383" s="147" t="s">
        <x:v>368</x:v>
      </x:c>
    </x:row>
    <x:row r="1384" spans="1:17">
      <x:c r="D1384" s="147" t="n">
        <x:v>10128582</x:v>
      </x:c>
      <x:c r="E1384" s="147" t="s">
        <x:v>371</x:v>
      </x:c>
    </x:row>
    <x:row r="1385" spans="1:17">
      <x:c r="D1385" s="147" t="n">
        <x:v>10128595</x:v>
      </x:c>
      <x:c r="E1385" s="147" t="s">
        <x:v>371</x:v>
      </x:c>
    </x:row>
    <x:row r="1386" spans="1:17">
      <x:c r="D1386" s="147" t="n">
        <x:v>10128596</x:v>
      </x:c>
      <x:c r="E1386" s="147" t="s">
        <x:v>363</x:v>
      </x:c>
    </x:row>
    <x:row r="1387" spans="1:17">
      <x:c r="D1387" s="147" t="n">
        <x:v>10128597</x:v>
      </x:c>
      <x:c r="E1387" s="147" t="s">
        <x:v>368</x:v>
      </x:c>
    </x:row>
    <x:row r="1388" spans="1:17">
      <x:c r="D1388" s="147" t="n">
        <x:v>10128598</x:v>
      </x:c>
      <x:c r="E1388" s="147" t="s">
        <x:v>371</x:v>
      </x:c>
    </x:row>
    <x:row r="1389" spans="1:17">
      <x:c r="D1389" s="147" t="n">
        <x:v>10128599</x:v>
      </x:c>
      <x:c r="E1389" s="147" t="s">
        <x:v>364</x:v>
      </x:c>
    </x:row>
    <x:row r="1390" spans="1:17">
      <x:c r="D1390" s="147" t="n">
        <x:v>10128600</x:v>
      </x:c>
      <x:c r="E1390" s="147" t="s">
        <x:v>368</x:v>
      </x:c>
    </x:row>
    <x:row r="1391" spans="1:17">
      <x:c r="D1391" s="147" t="n">
        <x:v>10128579</x:v>
      </x:c>
      <x:c r="E1391" s="147" t="s">
        <x:v>364</x:v>
      </x:c>
    </x:row>
    <x:row r="1392" spans="1:17">
      <x:c r="D1392" s="147" t="n">
        <x:v>10128580</x:v>
      </x:c>
      <x:c r="E1392" s="147" t="s">
        <x:v>368</x:v>
      </x:c>
    </x:row>
    <x:row r="1393" spans="1:17">
      <x:c r="D1393" s="147" t="n">
        <x:v>10128581</x:v>
      </x:c>
      <x:c r="E1393" s="147" t="s">
        <x:v>368</x:v>
      </x:c>
    </x:row>
    <x:row r="1394" spans="1:17">
      <x:c r="D1394" s="147" t="n">
        <x:v>10128582</x:v>
      </x:c>
      <x:c r="E1394" s="147" t="s">
        <x:v>371</x:v>
      </x:c>
    </x:row>
    <x:row r="1395" spans="1:17">
      <x:c r="D1395" s="147" t="n">
        <x:v>10128595</x:v>
      </x:c>
      <x:c r="E1395" s="147" t="s">
        <x:v>371</x:v>
      </x:c>
    </x:row>
    <x:row r="1396" spans="1:17">
      <x:c r="D1396" s="147" t="n">
        <x:v>10128596</x:v>
      </x:c>
      <x:c r="E1396" s="147" t="s">
        <x:v>363</x:v>
      </x:c>
    </x:row>
    <x:row r="1397" spans="1:17">
      <x:c r="D1397" s="147" t="n">
        <x:v>10128597</x:v>
      </x:c>
      <x:c r="E1397" s="147" t="s">
        <x:v>368</x:v>
      </x:c>
    </x:row>
    <x:row r="1398" spans="1:17">
      <x:c r="D1398" s="147" t="n">
        <x:v>10128598</x:v>
      </x:c>
      <x:c r="E1398" s="147" t="s">
        <x:v>371</x:v>
      </x:c>
    </x:row>
    <x:row r="1399" spans="1:17">
      <x:c r="D1399" s="147" t="n">
        <x:v>10128599</x:v>
      </x:c>
      <x:c r="E1399" s="147" t="s">
        <x:v>364</x:v>
      </x:c>
    </x:row>
    <x:row r="1400" spans="1:17">
      <x:c r="D1400" s="147" t="n">
        <x:v>10128600</x:v>
      </x:c>
      <x:c r="E1400" s="147" t="s">
        <x:v>368</x:v>
      </x:c>
    </x:row>
    <x:row r="1401" spans="1:17">
      <x:c r="D1401" s="147" t="n">
        <x:v>10128579</x:v>
      </x:c>
      <x:c r="E1401" s="147" t="s">
        <x:v>364</x:v>
      </x:c>
    </x:row>
    <x:row r="1402" spans="1:17">
      <x:c r="D1402" s="147" t="n">
        <x:v>10128580</x:v>
      </x:c>
      <x:c r="E1402" s="147" t="s">
        <x:v>368</x:v>
      </x:c>
    </x:row>
    <x:row r="1403" spans="1:17">
      <x:c r="D1403" s="147" t="n">
        <x:v>10128581</x:v>
      </x:c>
      <x:c r="E1403" s="147" t="s">
        <x:v>368</x:v>
      </x:c>
    </x:row>
    <x:row r="1404" spans="1:17">
      <x:c r="D1404" s="147" t="n">
        <x:v>10128582</x:v>
      </x:c>
      <x:c r="E1404" s="147" t="s">
        <x:v>371</x:v>
      </x:c>
    </x:row>
    <x:row r="1405" spans="1:17">
      <x:c r="D1405" s="147" t="n">
        <x:v>10128595</x:v>
      </x:c>
      <x:c r="E1405" s="147" t="s">
        <x:v>371</x:v>
      </x:c>
    </x:row>
    <x:row r="1406" spans="1:17">
      <x:c r="D1406" s="147" t="n">
        <x:v>10128596</x:v>
      </x:c>
      <x:c r="E1406" s="147" t="s">
        <x:v>363</x:v>
      </x:c>
    </x:row>
    <x:row r="1407" spans="1:17">
      <x:c r="D1407" s="147" t="n">
        <x:v>10128597</x:v>
      </x:c>
      <x:c r="E1407" s="147" t="s">
        <x:v>368</x:v>
      </x:c>
    </x:row>
    <x:row r="1408" spans="1:17">
      <x:c r="D1408" s="147" t="n">
        <x:v>10128598</x:v>
      </x:c>
      <x:c r="E1408" s="147" t="s">
        <x:v>371</x:v>
      </x:c>
    </x:row>
    <x:row r="1409" spans="1:17">
      <x:c r="D1409" s="147" t="n">
        <x:v>10128599</x:v>
      </x:c>
      <x:c r="E1409" s="147" t="s">
        <x:v>364</x:v>
      </x:c>
    </x:row>
    <x:row r="1410" spans="1:17">
      <x:c r="D1410" s="147" t="n">
        <x:v>10128600</x:v>
      </x:c>
      <x:c r="E1410" s="147" t="s">
        <x:v>368</x:v>
      </x:c>
    </x:row>
    <x:row r="1411" spans="1:17">
      <x:c r="D1411" s="147" t="n">
        <x:v>10128579</x:v>
      </x:c>
      <x:c r="E1411" s="147" t="s">
        <x:v>364</x:v>
      </x:c>
    </x:row>
    <x:row r="1412" spans="1:17">
      <x:c r="D1412" s="147" t="n">
        <x:v>10128580</x:v>
      </x:c>
      <x:c r="E1412" s="147" t="s">
        <x:v>368</x:v>
      </x:c>
    </x:row>
    <x:row r="1413" spans="1:17">
      <x:c r="D1413" s="147" t="n">
        <x:v>10128581</x:v>
      </x:c>
      <x:c r="E1413" s="147" t="s">
        <x:v>368</x:v>
      </x:c>
    </x:row>
    <x:row r="1414" spans="1:17">
      <x:c r="D1414" s="147" t="n">
        <x:v>10128582</x:v>
      </x:c>
      <x:c r="E1414" s="147" t="s">
        <x:v>371</x:v>
      </x:c>
    </x:row>
    <x:row r="1415" spans="1:17">
      <x:c r="D1415" s="147" t="n">
        <x:v>10128595</x:v>
      </x:c>
      <x:c r="E1415" s="147" t="s">
        <x:v>371</x:v>
      </x:c>
    </x:row>
    <x:row r="1416" spans="1:17">
      <x:c r="D1416" s="147" t="n">
        <x:v>10128596</x:v>
      </x:c>
      <x:c r="E1416" s="147" t="s">
        <x:v>363</x:v>
      </x:c>
    </x:row>
    <x:row r="1417" spans="1:17">
      <x:c r="D1417" s="147" t="n">
        <x:v>10128597</x:v>
      </x:c>
      <x:c r="E1417" s="147" t="s">
        <x:v>368</x:v>
      </x:c>
    </x:row>
    <x:row r="1418" spans="1:17">
      <x:c r="D1418" s="147" t="n">
        <x:v>10128598</x:v>
      </x:c>
      <x:c r="E1418" s="147" t="s">
        <x:v>371</x:v>
      </x:c>
    </x:row>
    <x:row r="1419" spans="1:17">
      <x:c r="D1419" s="147" t="n">
        <x:v>10128599</x:v>
      </x:c>
      <x:c r="E1419" s="147" t="s">
        <x:v>364</x:v>
      </x:c>
    </x:row>
    <x:row r="1420" spans="1:17">
      <x:c r="D1420" s="147" t="n">
        <x:v>10128600</x:v>
      </x:c>
      <x:c r="E1420" s="147" t="s">
        <x:v>368</x:v>
      </x:c>
    </x:row>
    <x:row r="1421" spans="1:17">
      <x:c r="D1421" s="147" t="n">
        <x:v>10128579</x:v>
      </x:c>
      <x:c r="E1421" s="147" t="s">
        <x:v>364</x:v>
      </x:c>
    </x:row>
    <x:row r="1422" spans="1:17">
      <x:c r="D1422" s="147" t="n">
        <x:v>10128580</x:v>
      </x:c>
      <x:c r="E1422" s="147" t="s">
        <x:v>368</x:v>
      </x:c>
    </x:row>
    <x:row r="1423" spans="1:17">
      <x:c r="D1423" s="147" t="n">
        <x:v>10128581</x:v>
      </x:c>
      <x:c r="E1423" s="147" t="s">
        <x:v>368</x:v>
      </x:c>
    </x:row>
    <x:row r="1424" spans="1:17">
      <x:c r="D1424" s="147" t="n">
        <x:v>10128582</x:v>
      </x:c>
      <x:c r="E1424" s="147" t="s">
        <x:v>371</x:v>
      </x:c>
    </x:row>
    <x:row r="1425" spans="1:17">
      <x:c r="D1425" s="147" t="n">
        <x:v>10128595</x:v>
      </x:c>
      <x:c r="E1425" s="147" t="s">
        <x:v>371</x:v>
      </x:c>
    </x:row>
    <x:row r="1426" spans="1:17">
      <x:c r="D1426" s="147" t="n">
        <x:v>10128596</x:v>
      </x:c>
      <x:c r="E1426" s="147" t="s">
        <x:v>363</x:v>
      </x:c>
    </x:row>
    <x:row r="1427" spans="1:17">
      <x:c r="D1427" s="147" t="n">
        <x:v>10128597</x:v>
      </x:c>
      <x:c r="E1427" s="147" t="s">
        <x:v>368</x:v>
      </x:c>
    </x:row>
    <x:row r="1428" spans="1:17">
      <x:c r="D1428" s="147" t="n">
        <x:v>10128598</x:v>
      </x:c>
      <x:c r="E1428" s="147" t="s">
        <x:v>371</x:v>
      </x:c>
    </x:row>
    <x:row r="1429" spans="1:17">
      <x:c r="D1429" s="147" t="n">
        <x:v>10128599</x:v>
      </x:c>
      <x:c r="E1429" s="147" t="s">
        <x:v>364</x:v>
      </x:c>
    </x:row>
    <x:row r="1430" spans="1:17">
      <x:c r="D1430" s="147" t="n">
        <x:v>10128600</x:v>
      </x:c>
      <x:c r="E1430" s="147" t="s">
        <x:v>368</x:v>
      </x:c>
    </x:row>
    <x:row r="1431" spans="1:17">
      <x:c r="D1431" s="147" t="n">
        <x:v>10128579</x:v>
      </x:c>
      <x:c r="E1431" s="147" t="s">
        <x:v>364</x:v>
      </x:c>
    </x:row>
    <x:row r="1432" spans="1:17">
      <x:c r="D1432" s="147" t="n">
        <x:v>10128580</x:v>
      </x:c>
      <x:c r="E1432" s="147" t="s">
        <x:v>368</x:v>
      </x:c>
    </x:row>
    <x:row r="1433" spans="1:17">
      <x:c r="D1433" s="147" t="n">
        <x:v>10128581</x:v>
      </x:c>
      <x:c r="E1433" s="147" t="s">
        <x:v>368</x:v>
      </x:c>
    </x:row>
    <x:row r="1434" spans="1:17">
      <x:c r="D1434" s="147" t="n">
        <x:v>10128582</x:v>
      </x:c>
      <x:c r="E1434" s="147" t="s">
        <x:v>371</x:v>
      </x:c>
    </x:row>
    <x:row r="1435" spans="1:17">
      <x:c r="D1435" s="147" t="n">
        <x:v>10128595</x:v>
      </x:c>
      <x:c r="E1435" s="147" t="s">
        <x:v>371</x:v>
      </x:c>
    </x:row>
    <x:row r="1436" spans="1:17">
      <x:c r="D1436" s="147" t="n">
        <x:v>10128596</x:v>
      </x:c>
      <x:c r="E1436" s="147" t="s">
        <x:v>363</x:v>
      </x:c>
    </x:row>
    <x:row r="1437" spans="1:17">
      <x:c r="D1437" s="147" t="n">
        <x:v>10128597</x:v>
      </x:c>
      <x:c r="E1437" s="147" t="s">
        <x:v>368</x:v>
      </x:c>
    </x:row>
    <x:row r="1438" spans="1:17">
      <x:c r="D1438" s="147" t="n">
        <x:v>10128598</x:v>
      </x:c>
      <x:c r="E1438" s="147" t="s">
        <x:v>371</x:v>
      </x:c>
    </x:row>
    <x:row r="1439" spans="1:17">
      <x:c r="D1439" s="147" t="n">
        <x:v>10128599</x:v>
      </x:c>
      <x:c r="E1439" s="147" t="s">
        <x:v>364</x:v>
      </x:c>
    </x:row>
    <x:row r="1440" spans="1:17">
      <x:c r="D1440" s="147" t="n">
        <x:v>10128600</x:v>
      </x:c>
      <x:c r="E1440" s="147" t="s">
        <x:v>368</x:v>
      </x:c>
    </x:row>
  </x:sheetData>
  <x:printOptions horizontalCentered="0" verticalCentered="0" headings="0" gridLines="0"/>
  <x:pageMargins left="0.7" right="0.7" top="0.75" bottom="0.75" header="0.3" footer="0.3"/>
  <x:pageSetup paperSize="9" scale="100" pageOrder="downThenOver" orientation="portrait" blackAndWhite="0" draft="0" cellComments="none" errors="displayed" r:id="rId1"/>
  <x:headerFooter/>
  <x:tableParts count="0"/>
</x:worksheet>
</file>

<file path=docProps/app.xml><?xml version="1.0" encoding="utf-8"?>
<ap:Properties xmlns:vt="http://schemas.openxmlformats.org/officeDocument/2006/docPropsVTypes" xmlns:ap="http://schemas.openxmlformats.org/officeDocument/2006/extended-properties">
  <ap:Application>Microsoft Excel</ap:Application>
  <ap:DocSecurity>0</ap:DocSecurity>
  <ap:ScaleCrop>false</ap:ScaleCrop>
  <ap:HeadingPairs>
    <vt:vector baseType="variant" size="4">
      <vt:variant>
        <vt:lpstr>Worksheets</vt:lpstr>
      </vt:variant>
      <vt:variant>
        <vt:i4>2</vt:i4>
      </vt:variant>
      <vt:variant>
        <vt:lpstr>Named Ranges</vt:lpstr>
      </vt:variant>
      <vt:variant>
        <vt:i4>56</vt:i4>
      </vt:variant>
    </vt:vector>
  </ap:HeadingPairs>
  <ap:TitlesOfParts>
    <vt:vector baseType="lpstr" size="58">
      <vt:lpstr>Quote</vt:lpstr>
      <vt:lpstr>MasterData</vt:lpstr>
      <vt:lpstr>Quote!Print_Area</vt:lpstr>
      <vt:lpstr>Quote!Print_Titles</vt:lpstr>
      <vt:lpstr>MasterData!Print_Area</vt:lpstr>
      <vt:lpstr>MasterData!Print_Titles</vt:lpstr>
      <vt:lpstr>BCCEmailId</vt:lpstr>
      <vt:lpstr>BuyerRemarks</vt:lpstr>
      <vt:lpstr>CompanyAddress</vt:lpstr>
      <vt:lpstr>CompanyName</vt:lpstr>
      <vt:lpstr>Currency</vt:lpstr>
      <vt:lpstr>Days</vt:lpstr>
      <vt:lpstr>Discount_All</vt:lpstr>
      <vt:lpstr>Enquiry_ID</vt:lpstr>
      <vt:lpstr>Enquiry_To_Vendor_ID</vt:lpstr>
      <vt:lpstr>ErrorMessage</vt:lpstr>
      <vt:lpstr>GrandTotal</vt:lpstr>
      <vt:lpstr>HeaderID</vt:lpstr>
      <vt:lpstr>ItemID</vt:lpstr>
      <vt:lpstr>ItemListEndRow</vt:lpstr>
      <vt:lpstr>ItemListStartupRow</vt:lpstr>
      <vt:lpstr>ItemSubTotal</vt:lpstr>
      <vt:lpstr>ItemSubTotalTitle</vt:lpstr>
      <vt:lpstr>LoggedInEmailID</vt:lpstr>
      <vt:lpstr>LoggedInPwd</vt:lpstr>
      <vt:lpstr>OtherChargesLastRow</vt:lpstr>
      <vt:lpstr>OtherChargesStartRow</vt:lpstr>
      <vt:lpstr>PackingInstruction</vt:lpstr>
      <vt:lpstr>Payment_Terms</vt:lpstr>
      <vt:lpstr>PortOfDelivery</vt:lpstr>
      <vt:lpstr>QuoteBefore</vt:lpstr>
      <vt:lpstr>QuoteID</vt:lpstr>
      <vt:lpstr>QuoteSubject</vt:lpstr>
      <vt:lpstr>ReqNumber</vt:lpstr>
      <vt:lpstr>RequestForQuoteID</vt:lpstr>
      <vt:lpstr>RFQ_ID</vt:lpstr>
      <vt:lpstr>RFQCategory</vt:lpstr>
      <vt:lpstr>RFQDate</vt:lpstr>
      <vt:lpstr>RFQFileType</vt:lpstr>
      <vt:lpstr>RFQNumber</vt:lpstr>
      <vt:lpstr>SentDate</vt:lpstr>
      <vt:lpstr>SentIndex</vt:lpstr>
      <vt:lpstr>ToEmailID</vt:lpstr>
      <vt:lpstr>ToEmailPwd</vt:lpstr>
      <vt:lpstr>VAT_All</vt:lpstr>
      <vt:lpstr>Vendor_ID</vt:lpstr>
      <vt:lpstr>VendorAddress</vt:lpstr>
      <vt:lpstr>VendorAddressCity</vt:lpstr>
      <vt:lpstr>VendorAddressEmail</vt:lpstr>
      <vt:lpstr>VendorAddressPhone</vt:lpstr>
      <vt:lpstr>VendorEmailID</vt:lpstr>
      <vt:lpstr>VendorID</vt:lpstr>
      <vt:lpstr>VendorName</vt:lpstr>
      <vt:lpstr>VendorReference</vt:lpstr>
      <vt:lpstr>VendorRemarks</vt:lpstr>
      <vt:lpstr>VesselETA</vt:lpstr>
      <vt:lpstr>VesselName</vt:lpstr>
      <vt:lpstr>SubItemTotal</vt:lpstr>
    </vt:vector>
  </ap:TitlesOfParts>
  <ap:LinksUpToDate>false</ap:LinksUpToDate>
  <ap:SharedDoc>false</ap:SharedDoc>
  <ap:HyperlinksChanged>false</ap:HyperlinksChanged>
  <ap:AppVersion>16.0300</ap:AppVersion>
</ap:Properties>
</file>

<file path=docProps/core.xml><?xml version="1.0" encoding="utf-8"?>
<coreProperties xmlns:dc="http://purl.org/dc/elements/1.1/" xmlns:dcterms="http://purl.org/dc/terms/" xmlns:xsi="http://www.w3.org/2001/XMLSchema-instance" xmlns="http://schemas.openxmlformats.org/package/2006/metadata/core-properties">
  <dc:creator>PAL2G</dc:creator>
  <lastModifiedBy>Tocy Tom (MariApps)</lastModifiedBy>
  <lastPrinted>2014-10-25T06:19:58.0000000Z</lastPrinted>
  <dcterms:created xsi:type="dcterms:W3CDTF">2014-10-25T04:06:27.0000000Z</dcterms:created>
  <dcterms:modified xsi:type="dcterms:W3CDTF">2019-08-09T04:39:21.0490819Z</dcterms:modified>
</coreProperties>
</file>