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5" rupBuild="21328" codeName="{74837BA0-65D6-932C-5D65-3B800EBDC722}"/>
  <x:workbookPr showInkAnnotation="0" codeName="ThisWorkbook" defaultThemeVersion="124226"/>
  <mc:AlternateContent xmlns:mc="http://schemas.openxmlformats.org/markup-compatibility/2006">
    <mc:Choice Requires="x15">
      <x15ac:absPath xmlns:x15ac="http://schemas.microsoft.com/office/spreadsheetml/2010/11/ac" url="E:\MariApps.PALVE\MariApps.PALVE\MariApps.PALVE.ApiService\ExcelTemplate\"/>
    </mc:Choice>
  </mc:AlternateContent>
  <xr:revisionPtr revIDLastSave="0" documentId="13_ncr:1_{A690E712-76C9-438F-BDC6-8B67495309E2}" xr6:coauthVersionLast="41" xr6:coauthVersionMax="41" xr10:uidLastSave="{00000000-0000-0000-0000-000000000000}"/>
  <x:bookViews>
    <x:workbookView xWindow="-120" yWindow="-120" windowWidth="21840" windowHeight="13140" firstSheet="0" activeTab="0" xr2:uid="{00000000-000D-0000-FFFF-FFFF00000000}"/>
  </x:bookViews>
  <x:sheets>
    <x:sheet name="Quote" sheetId="1" r:id="rId1"/>
    <x:sheet name="MasterData" sheetId="2" state="hidden" r:id="rId2"/>
  </x:sheets>
  <x:functionGroups builtInGroupCount="19"/>
  <x:definedNames>
    <x:definedName name="_xlnm.Print_Area" localSheetId="0">'Quote'!$A$1:$S$145</x:definedName>
    <x:definedName name="BCCEmailId">'Quote'!$N$125</x:definedName>
    <x:definedName name="BuyerRemarks">'Quote'!$F$127</x:definedName>
    <x:definedName name="CompanyAddress">Quote!$A$5</x:definedName>
    <x:definedName name="CompanyName">Quote!$A$4</x:definedName>
    <x:definedName name="Currency">Quote!$O$14</x:definedName>
    <x:definedName name="Days">Quote!$Q$11</x:definedName>
    <x:definedName name="Discount_All">Quote!$O$15</x:definedName>
    <x:definedName name="Enquiry_ID">'Quote'!$A$125</x:definedName>
    <x:definedName name="Enquiry_To_Vendor_ID">'Quote'!$C$125</x:definedName>
    <x:definedName name="ErrorMessage">'Quote'!$Q$125</x:definedName>
    <x:definedName name="GenPro">Quote!$S$4</x:definedName>
    <x:definedName name="GrandTotal">'Quote'!$P$124</x:definedName>
    <x:definedName name="HeaderID">MasterData!$N$4</x:definedName>
    <x:definedName name="ItemID">Quote!$B$19</x:definedName>
    <x:definedName name="ItemListEndRow">'Quote'!$A$117</x:definedName>
    <x:definedName name="ItemListStartupRow">Quote!$A$19</x:definedName>
    <x:definedName name="ItemSubTotal">'Quote'!$P$123</x:definedName>
    <x:definedName name="ItemSubTotalTitle">'Quote'!$L$123</x:definedName>
    <x:definedName name="LoggedInEmailID">'Quote'!$J$125</x:definedName>
    <x:definedName name="LoggedInPwd">'Quote'!$K$125</x:definedName>
    <x:definedName name="OtherChargesLastRow">'Quote'!$A$123</x:definedName>
    <x:definedName name="OtherChargesStartRow">'Quote'!$A$118</x:definedName>
    <x:definedName name="PackingInstruction">'Quote'!$F$128</x:definedName>
    <x:definedName name="Payment_Terms">Quote!$O$11</x:definedName>
    <x:definedName name="PortOfDelivery">Quote!$O$9</x:definedName>
    <x:definedName name="QuoteBefore">Quote!$O$8</x:definedName>
    <x:definedName name="QuoteID">MasterData!$N$7</x:definedName>
    <x:definedName name="QuoteSubject">'Quote'!$E$125</x:definedName>
    <x:definedName name="ReqNumber">Quote!$O$7</x:definedName>
    <x:definedName name="RequestForQuoteID">MasterData!$N$3</x:definedName>
    <x:definedName name="RFQ_ID">MasterData!$N$2</x:definedName>
    <x:definedName name="RFQCategory">MasterData!$N$6</x:definedName>
    <x:definedName name="RFQDate">Quote!$O$6</x:definedName>
    <x:definedName name="RFQFileType">MasterData!$N$1</x:definedName>
    <x:definedName name="RFQNumber">Quote!$O$5</x:definedName>
    <x:definedName name="SentDate">'Quote'!$M$125</x:definedName>
    <x:definedName name="SentIndex">'Quote'!$F$125</x:definedName>
    <x:definedName name="ToEmailID">'Quote'!$G$125</x:definedName>
    <x:definedName name="ToEmailPwd">'Quote'!$H$125</x:definedName>
    <x:definedName name="VAT_All">Quote!$O$16</x:definedName>
    <x:definedName name="Vendor_ID">'Quote'!$B$125</x:definedName>
    <x:definedName name="VendorAddress">Quote!$D$14</x:definedName>
    <x:definedName name="VendorAddressCity">Quote!$D$15</x:definedName>
    <x:definedName name="VendorAddressEmail">Quote!$D$17</x:definedName>
    <x:definedName name="VendorAddressPhone">Quote!$D$16</x:definedName>
    <x:definedName name="VendorEmailID">'Quote'!$D$125</x:definedName>
    <x:definedName name="VendorID">MasterData!$N$5</x:definedName>
    <x:definedName name="VendorName">Quote!$D$13</x:definedName>
    <x:definedName name="VendorReference">Quote!$O$12</x:definedName>
    <x:definedName name="VendorRemarks">'Quote'!$F$129</x:definedName>
    <x:definedName name="VesselETA">Quote!$O$10</x:definedName>
    <x:definedName name="VesselName">Quote!$O$4</x:definedName>
    <x:definedName name="SubItemTotal">'Quote'!$P$112:$P$112,'Quote'!$P$115:$P$115</x:definedName>
  </x:definedNames>
  <x:calcPr calcId="191029"/>
  <x:extLst>
    <x:ext xmlns:xcalcf="http://schemas.microsoft.com/office/spreadsheetml/2018/calcfeatures" uri="{B58B0392-4F1F-4190-BB64-5DF3571DCE5F}">
      <xcalcf:calcFeatures>
        <xcalcf:feature name="microsoft.com:RD"/>
        <xcalcf:feature name="microsoft.com:FV"/>
      </xcalcf:calcFeatures>
    </x:ext>
  </x:extLst>
</x:workbook>
</file>

<file path=xl/calcChain.xml><?xml version="1.0" encoding="utf-8"?>
<x:calcChain xmlns:x="http://schemas.openxmlformats.org/spreadsheetml/2006/main">
  <x:c r="L19" i="1"/>
  <x:c r="P21" i="1"/>
  <x:c r="P22" i="1"/>
  <x:c r="P23" i="1"/>
  <x:c r="P24" i="1"/>
  <x:c r="P25" i="1"/>
  <x:c r="P26" i="1"/>
  <x:c r="P27" i="1"/>
  <x:c r="P28" i="1"/>
  <x:c r="P29" i="1"/>
  <x:c r="P30" i="1"/>
  <x:c r="P31" i="1"/>
  <x:c r="P32" i="1"/>
  <x:c r="P33" i="1"/>
  <x:c r="P34" i="1"/>
  <x:c r="P35" i="1"/>
  <x:c r="P36" i="1"/>
  <x:c r="P37" i="1"/>
  <x:c r="P38" i="1"/>
  <x:c r="P39" i="1"/>
  <x:c r="P40" i="1"/>
  <x:c r="P41" i="1"/>
  <x:c r="P42" i="1"/>
  <x:c r="P43" i="1"/>
  <x:c r="P44" i="1"/>
  <x:c r="P45" i="1"/>
  <x:c r="P46" i="1"/>
  <x:c r="P47" i="1"/>
  <x:c r="P48" i="1"/>
  <x:c r="P49" i="1"/>
  <x:c r="P50" i="1"/>
  <x:c r="P51" i="1"/>
  <x:c r="P52" i="1"/>
  <x:c r="P53" i="1"/>
  <x:c r="P54" i="1"/>
  <x:c r="P55" i="1"/>
  <x:c r="P56" i="1"/>
  <x:c r="P57" i="1"/>
  <x:c r="P58" i="1"/>
  <x:c r="P59" i="1"/>
  <x:c r="P60" i="1"/>
  <x:c r="P61" i="1"/>
  <x:c r="P62" i="1"/>
  <x:c r="P63" i="1"/>
  <x:c r="P64" i="1"/>
  <x:c r="P65" i="1"/>
  <x:c r="P66" i="1"/>
  <x:c r="P67" i="1"/>
  <x:c r="P68" i="1"/>
  <x:c r="P69" i="1"/>
  <x:c r="P70" i="1"/>
  <x:c r="P71" i="1"/>
  <x:c r="P72" i="1"/>
  <x:c r="P73" i="1"/>
  <x:c r="P74" i="1"/>
  <x:c r="P75" i="1"/>
  <x:c r="P76" i="1"/>
  <x:c r="P77" i="1"/>
  <x:c r="P78" i="1"/>
  <x:c r="P79" i="1"/>
  <x:c r="P80" i="1"/>
  <x:c r="P81" i="1"/>
  <x:c r="P82" i="1"/>
  <x:c r="P83" i="1"/>
  <x:c r="P84" i="1"/>
  <x:c r="P85" i="1"/>
  <x:c r="P86" i="1"/>
  <x:c r="P87" i="1"/>
  <x:c r="P88" i="1"/>
  <x:c r="P89" i="1"/>
  <x:c r="P90" i="1"/>
  <x:c r="P91" i="1"/>
  <x:c r="P92" i="1"/>
  <x:c r="P93" i="1"/>
  <x:c r="P94" i="1"/>
  <x:c r="P95" i="1"/>
  <x:c r="P96" i="1"/>
  <x:c r="P97" i="1"/>
  <x:c r="P98" i="1"/>
  <x:c r="P99" i="1"/>
  <x:c r="P100" i="1"/>
  <x:c r="P101" i="1"/>
  <x:c r="P102" i="1"/>
  <x:c r="P103" i="1"/>
  <x:c r="P104" i="1"/>
  <x:c r="P105" i="1"/>
  <x:c r="P106" i="1"/>
  <x:c r="P107" i="1"/>
  <x:c r="P108" i="1"/>
  <x:c r="P109" i="1"/>
  <x:c r="P110" i="1"/>
  <x:c r="P111" i="1"/>
  <x:c r="P112" i="1"/>
  <x:c r="P114" i="1"/>
  <x:c r="P115" i="1"/>
  <x:c r="P119" i="1"/>
  <x:c r="P120" i="1"/>
  <x:c r="P121" i="1"/>
  <x:c r="P122" i="1"/>
  <x:c r="P123" i="1"/>
  <x:c r="P124" i="1"/>
</x:calcChain>
</file>

<file path=xl/sharedStrings.xml><?xml version="1.0" encoding="utf-8"?>
<x:sst xmlns:x="http://schemas.openxmlformats.org/spreadsheetml/2006/main" count="402" uniqueCount="402">
  <x:si>
    <x:t>Request for Quote</x:t>
  </x:si>
  <x:si>
    <x:t>Vessel \ Company Details</x:t>
  </x:si>
  <x:si>
    <x:t>BERNHARD SCHULTE SHIPMANAGEMENT (DEUTSCHLAND) GMBH &amp; CO. KG</x:t>
  </x:si>
  <x:si>
    <x:t>Vessel</x:t>
  </x:si>
  <x:si>
    <x:t>RDO Conception</x:t>
  </x:si>
  <x:si>
    <x:t>SEACHEF - HOSPITALITY SERVICES,</x:t>
  </x:si>
  <x:si>
    <x:t>RFQ No.</x:t>
  </x:si>
  <x:si>
    <x:t>EQ/SCF/UCO/0008</x:t>
  </x:si>
  <x:si>
    <x:t>BERNHARD SCHULTE SHIPMANAGEMENT (L) LTD.,</x:t>
  </x:si>
  <x:si>
    <x:t>RFQ Date</x:t>
  </x:si>
  <x:si>
    <x:t>C\O Bernhard Schulte Shipmanagement (India) Pvt. Limited</x:t>
  </x:si>
  <x:si>
    <x:t>401 Olympia, Hiranandani Gardens, Powai, Mumbai 400 076, India</x:t>
  </x:si>
  <x:si>
    <x:t>Submit Quote Before:</x:t>
  </x:si>
  <x:si>
    <x:t>Tel: +91-22-40017300        Fax: +91-22-40017555</x:t>
  </x:si>
  <x:si>
    <x:t>Port of Delivery</x:t>
  </x:si>
  <x:si>
    <x:t>Busan New Port</x:t>
  </x:si>
  <x:si>
    <x:t>Email:</x:t>
  </x:si>
  <x:si>
    <x:t>seachef@seachef.com</x:t>
  </x:si>
  <x:si>
    <x:t>Vessel ETA</x:t>
  </x:si>
  <x:si>
    <x:t>Web:</x:t>
  </x:si>
  <x:si>
    <x:t>www.seachef.com /  www.bs-shipmanagement.com</x:t>
  </x:si>
  <x:si>
    <x:t>Payment Terms</x:t>
  </x:si>
  <x:si>
    <x:t>Credit</x:t>
  </x:si>
  <x:si>
    <x:t>Days</x:t>
  </x:si>
  <x:si>
    <x:t>Vendor Details</x:t>
  </x:si>
  <x:si>
    <x:t xml:space="preserve">Vendor Reference </x:t>
  </x:si>
  <x:si>
    <x:t>Name</x:t>
  </x:si>
  <x:si>
    <x:t>ACE-RMS MARINE SERVICE CO., LTD</x:t>
  </x:si>
  <x:si>
    <x:t>Address</x:t>
  </x:si>
  <x:si>
    <x:t xml:space="preserve">#19, Haeyang-ro 176 beon-gil, Yeongdo-gu, Busan, 49012, KOREA
</x:t>
  </x:si>
  <x:si>
    <x:r>
      <x:rPr>
        <x:b/>
        <x:vertAlign val="baseline"/>
        <x:sz val="10"/>
        <x:color theme="0" tint="-0.249977111117893"/>
        <x:rFont val="Calibri"/>
        <x:family val="2"/>
      </x:rPr>
      <x:t xml:space="preserve">Select Currency </x:t>
    </x:r>
    <x:r>
      <x:rPr>
        <x:b/>
        <x:vertAlign val="baseline"/>
        <x:sz val="12"/>
        <x:color rgb="FFFF0000"/>
        <x:rFont val="Calibri"/>
        <x:family val="2"/>
      </x:rPr>
      <x:t>*</x:t>
    </x:r>
  </x:si>
  <x:si>
    <x:t>USD</x:t>
  </x:si>
  <x:si>
    <x:t>City</x:t>
  </x:si>
  <x:si>
    <x:t>Discount (%) for all items</x:t>
  </x:si>
  <x:si>
    <x:t>0</x:t>
  </x:si>
  <x:si>
    <x:t>Phone</x:t>
  </x:si>
  <x:si>
    <x:t>0082-512561852</x:t>
  </x:si>
  <x:si>
    <x:t>VAT(%) for all items</x:t>
  </x:si>
  <x:si>
    <x:t>Email</x:t>
  </x:si>
  <x:si>
    <x:t>ace@rmsmarineservice.kr,ace@rmsmarineservice.kr</x:t>
  </x:si>
  <x:si>
    <x:t>No</x:t>
  </x:si>
  <x:si>
    <x:t>Product Code</x:t>
  </x:si>
  <x:si>
    <x:t>Description</x:t>
  </x:si>
  <x:si>
    <x:t>Brand</x:t>
  </x:si>
  <x:si>
    <x:t>Weight</x:t>
  </x:si>
  <x:si>
    <x:t>Unit</x:t>
  </x:si>
  <x:si>
    <x:t>Package</x:t>
  </x:si>
  <x:si>
    <x:t>Contract Price</x:t>
  </x:si>
  <x:si>
    <x:t>Quantity</x:t>
  </x:si>
  <x:si>
    <x:t>Discount %</x:t>
  </x:si>
  <x:si>
    <x:t>VAT %</x:t>
  </x:si>
  <x:si>
    <x:t>Total Price</x:t>
  </x:si>
  <x:si>
    <x:t>Vendor Remarks</x:t>
  </x:si>
  <x:si>
    <x:t>Office Remarks</x:t>
  </x:si>
  <x:si>
    <x:t>PROVISIONS</x:t>
  </x:si>
  <x:si>
    <x:t>BAK08</x:t>
  </x:si>
  <x:si>
    <x:t xml:space="preserve">Bread Crumb </x:t>
  </x:si>
  <x:si>
    <x:t>Europe/Local</x:t>
  </x:si>
  <x:si>
    <x:t>GMS</x:t>
  </x:si>
  <x:si>
    <x:t>BAK11</x:t>
  </x:si>
  <x:si>
    <x:t xml:space="preserve">Burger Buns </x:t>
  </x:si>
  <x:si>
    <x:t>Nos</x:t>
  </x:si>
  <x:si>
    <x:t>BAK70</x:t>
  </x:si>
  <x:si>
    <x:t xml:space="preserve">Burger Buns (Frozen) </x:t>
  </x:si>
  <x:si>
    <x:t>BAK12</x:t>
  </x:si>
  <x:si>
    <x:t xml:space="preserve">Butter Cookies </x:t>
  </x:si>
  <x:si>
    <x:t>Europe</x:t>
  </x:si>
  <x:si>
    <x:t>BAK59</x:t>
  </x:si>
  <x:si>
    <x:t xml:space="preserve">Cake Mix </x:t>
  </x:si>
  <x:si>
    <x:t>BAK90</x:t>
  </x:si>
  <x:si>
    <x:t xml:space="preserve">Cookies - Oreo </x:t>
  </x:si>
  <x:si>
    <x:t>Mondelez - Asia/Europe/US</x:t>
  </x:si>
  <x:si>
    <x:t>BAK60</x:t>
  </x:si>
  <x:si>
    <x:t xml:space="preserve">Cream Cracker Biscuit </x:t>
  </x:si>
  <x:si>
    <x:t>BAK16</x:t>
  </x:si>
  <x:si>
    <x:t xml:space="preserve">Danish Cookies </x:t>
  </x:si>
  <x:si>
    <x:t>BAK67</x:t>
  </x:si>
  <x:si>
    <x:t xml:space="preserve">Digestive Biscuits </x:t>
  </x:si>
  <x:si>
    <x:t>BAK84</x:t>
  </x:si>
  <x:si>
    <x:t xml:space="preserve">Family Circle Biscuit </x:t>
  </x:si>
  <x:si>
    <x:t>BAK94</x:t>
  </x:si>
  <x:si>
    <x:t xml:space="preserve">French Baguette </x:t>
  </x:si>
  <x:si>
    <x:t>Imported/Local</x:t>
  </x:si>
  <x:si>
    <x:t>BAK40</x:t>
  </x:si>
  <x:si>
    <x:t xml:space="preserve">Ritz Cracker </x:t>
  </x:si>
  <x:si>
    <x:t>BAK48</x:t>
  </x:si>
  <x:si>
    <x:t xml:space="preserve">Sky Flake Biscuit </x:t>
  </x:si>
  <x:si>
    <x:t>BAK54</x:t>
  </x:si>
  <x:si>
    <x:t xml:space="preserve">White Bread Sliced </x:t>
  </x:si>
  <x:si>
    <x:t>Gardenia/Europe</x:t>
  </x:si>
  <x:si>
    <x:t>BEV08</x:t>
  </x:si>
  <x:si>
    <x:t xml:space="preserve">Milo </x:t>
  </x:si>
  <x:si>
    <x:t>BEV29</x:t>
  </x:si>
  <x:si>
    <x:t xml:space="preserve">Mineral / Drinking Bottled Water - 1.5 Ltrs X 12 Btls </x:t>
  </x:si>
  <x:si>
    <x:t>Local/Imported</x:t>
  </x:si>
  <x:si>
    <x:t>Ltr</x:t>
  </x:si>
  <x:si>
    <x:t>CER02</x:t>
  </x:si>
  <x:si>
    <x:t xml:space="preserve">Corn Flakes </x:t>
  </x:si>
  <x:si>
    <x:t>Kellogs/Europe</x:t>
  </x:si>
  <x:si>
    <x:t>DAIR04</x:t>
  </x:si>
  <x:si>
    <x:t xml:space="preserve">Butter Milk </x:t>
  </x:si>
  <x:si>
    <x:t>India/Local</x:t>
  </x:si>
  <x:si>
    <x:t>DAIR05</x:t>
  </x:si>
  <x:si>
    <x:t xml:space="preserve">Camembert Cheese </x:t>
  </x:si>
  <x:si>
    <x:t>KG</x:t>
  </x:si>
  <x:si>
    <x:t>DAIR15</x:t>
  </x:si>
  <x:si>
    <x:t xml:space="preserve">Fruit Yoghurt In Cup </x:t>
  </x:si>
  <x:si>
    <x:t>DAIR62</x:t>
  </x:si>
  <x:si>
    <x:t xml:space="preserve">Ice Cream Blueberry Flavour </x:t>
  </x:si>
  <x:si>
    <x:t>DAIR21</x:t>
  </x:si>
  <x:si>
    <x:t xml:space="preserve">Milk Long Life </x:t>
  </x:si>
  <x:si>
    <x:t>Nestle/Europe</x:t>
  </x:si>
  <x:si>
    <x:t>DAIR25</x:t>
  </x:si>
  <x:si>
    <x:t xml:space="preserve">Parmaesan Cheese </x:t>
  </x:si>
  <x:si>
    <x:t>DAIR26</x:t>
  </x:si>
  <x:si>
    <x:t xml:space="preserve">Philadelphia Cheese </x:t>
  </x:si>
  <x:si>
    <x:t>DAIR28</x:t>
  </x:si>
  <x:si>
    <x:t xml:space="preserve">Plain Yoghurt in Cup </x:t>
  </x:si>
  <x:si>
    <x:t>DAIR31</x:t>
  </x:si>
  <x:si>
    <x:t xml:space="preserve">Sour Cream </x:t>
  </x:si>
  <x:si>
    <x:t>DAIR35</x:t>
  </x:si>
  <x:si>
    <x:t xml:space="preserve">Whipping Cream </x:t>
  </x:si>
  <x:si>
    <x:t>DFRT18</x:t>
  </x:si>
  <x:si>
    <x:t xml:space="preserve">Walnut </x:t>
  </x:si>
  <x:si>
    <x:t>Asia/Europe</x:t>
  </x:si>
  <x:si>
    <x:t>EGG02</x:t>
  </x:si>
  <x:si>
    <x:t xml:space="preserve">Eggs Regular </x:t>
  </x:si>
  <x:si>
    <x:t>US/Europe/Local</x:t>
  </x:si>
  <x:si>
    <x:t>FLR01</x:t>
  </x:si>
  <x:si>
    <x:t xml:space="preserve">All Purpose Flour </x:t>
  </x:si>
  <x:si>
    <x:t>FLR04</x:t>
  </x:si>
  <x:si>
    <x:t xml:space="preserve">Glutinous Rice Powder </x:t>
  </x:si>
  <x:si>
    <x:t>Asia</x:t>
  </x:si>
  <x:si>
    <x:t>FFRT12</x:t>
  </x:si>
  <x:si>
    <x:t xml:space="preserve">Pear </x:t>
  </x:si>
  <x:si>
    <x:t>FVEG11</x:t>
  </x:si>
  <x:si>
    <x:t xml:space="preserve">Bird's Eye Chili </x:t>
  </x:si>
  <x:si>
    <x:t>FVEG106</x:t>
  </x:si>
  <x:si>
    <x:t xml:space="preserve">Brocoli Fresh </x:t>
  </x:si>
  <x:si>
    <x:t>FVEG108</x:t>
  </x:si>
  <x:si>
    <x:t xml:space="preserve">Celery Root </x:t>
  </x:si>
  <x:si>
    <x:t>FVEG119</x:t>
  </x:si>
  <x:si>
    <x:t xml:space="preserve">Corn On Cob </x:t>
  </x:si>
  <x:si>
    <x:t>FVEG113</x:t>
  </x:si>
  <x:si>
    <x:t xml:space="preserve">Tomato Half Ripe </x:t>
  </x:si>
  <x:si>
    <x:t>FRMEAT10</x:t>
  </x:si>
  <x:si>
    <x:t xml:space="preserve">Beef Mince </x:t>
  </x:si>
  <x:si>
    <x:t>USA/Brazil/Europe</x:t>
  </x:si>
  <x:si>
    <x:t>FRMEAT18</x:t>
  </x:si>
  <x:si>
    <x:t xml:space="preserve">Beef Tenderloin </x:t>
  </x:si>
  <x:si>
    <x:t>FRMEAT30</x:t>
  </x:si>
  <x:si>
    <x:t xml:space="preserve">Ox Tail </x:t>
  </x:si>
  <x:si>
    <x:t>FRMEAT31</x:t>
  </x:si>
  <x:si>
    <x:t xml:space="preserve">Pork Belly </x:t>
  </x:si>
  <x:si>
    <x:t>FRMEAT35</x:t>
  </x:si>
  <x:si>
    <x:t xml:space="preserve">Pork Chops </x:t>
  </x:si>
  <x:si>
    <x:t>FRMEAT53</x:t>
  </x:si>
  <x:si>
    <x:t xml:space="preserve">Pork Head </x:t>
  </x:si>
  <x:si>
    <x:t>Usa/Brazil/Europe</x:t>
  </x:si>
  <x:si>
    <x:t>FRMEAT38</x:t>
  </x:si>
  <x:si>
    <x:t xml:space="preserve">Pork Knuckle </x:t>
  </x:si>
  <x:si>
    <x:t>FRMEAT44</x:t>
  </x:si>
  <x:si>
    <x:t xml:space="preserve">Pork Mince </x:t>
  </x:si>
  <x:si>
    <x:t>FRMEAT50</x:t>
  </x:si>
  <x:si>
    <x:t xml:space="preserve">Pork Tenderloin </x:t>
  </x:si>
  <x:si>
    <x:t>FRPOUL10</x:t>
  </x:si>
  <x:si>
    <x:t xml:space="preserve">Chicken Whole </x:t>
  </x:si>
  <x:si>
    <x:t>USA/Brazil</x:t>
  </x:si>
  <x:si>
    <x:t>FRPOUL13</x:t>
  </x:si>
  <x:si>
    <x:t xml:space="preserve">Duck Whole </x:t>
  </x:si>
  <x:si>
    <x:t>FRSEA48</x:t>
  </x:si>
  <x:si>
    <x:t xml:space="preserve">Crab Meat </x:t>
  </x:si>
  <x:si>
    <x:t>India/Vietnam/Thaila</x:t>
  </x:si>
  <x:si>
    <x:t>FRSEA16</x:t>
  </x:si>
  <x:si>
    <x:t xml:space="preserve">Mackerel </x:t>
  </x:si>
  <x:si>
    <x:t>India/Vietnam/Thailand/Indonesia</x:t>
  </x:si>
  <x:si>
    <x:t>FRSEA17</x:t>
  </x:si>
  <x:si>
    <x:t xml:space="preserve">Milk Fish </x:t>
  </x:si>
  <x:si>
    <x:t>FRSEA19</x:t>
  </x:si>
  <x:si>
    <x:t xml:space="preserve">Mussel </x:t>
  </x:si>
  <x:si>
    <x:t>FRSEA50</x:t>
  </x:si>
  <x:si>
    <x:t xml:space="preserve">Pangasius </x:t>
  </x:si>
  <x:si>
    <x:t>FRSEA47</x:t>
  </x:si>
  <x:si>
    <x:t xml:space="preserve">Prawns Tiger </x:t>
  </x:si>
  <x:si>
    <x:t>FRSEA24</x:t>
  </x:si>
  <x:si>
    <x:t xml:space="preserve">Salmon </x:t>
  </x:si>
  <x:si>
    <x:t>FRSEA30</x:t>
  </x:si>
  <x:si>
    <x:t xml:space="preserve">Squid </x:t>
  </x:si>
  <x:si>
    <x:t>FRSEA32</x:t>
  </x:si>
  <x:si>
    <x:t xml:space="preserve">Tilapia Fish </x:t>
  </x:si>
  <x:si>
    <x:t>FRVEG07</x:t>
  </x:si>
  <x:si>
    <x:t xml:space="preserve">French Fries (Frozen) </x:t>
  </x:si>
  <x:si>
    <x:t>FRVEG14</x:t>
  </x:si>
  <x:si>
    <x:t xml:space="preserve">Potato Wedges (Frozen) </x:t>
  </x:si>
  <x:si>
    <x:t>GRA13</x:t>
  </x:si>
  <x:si>
    <x:t xml:space="preserve">Buck Wheat </x:t>
  </x:si>
  <x:si>
    <x:t>GRA06</x:t>
  </x:si>
  <x:si>
    <x:t xml:space="preserve">Jasmine Rice </x:t>
  </x:si>
  <x:si>
    <x:t>Thailand/Vietnam/India</x:t>
  </x:si>
  <x:si>
    <x:t>JUIC01</x:t>
  </x:si>
  <x:si>
    <x:t xml:space="preserve">Apple Juice (100% Pure Juice) </x:t>
  </x:si>
  <x:si>
    <x:t>Ceres/Tropicana/Europe</x:t>
  </x:si>
  <x:si>
    <x:t>JUIC08</x:t>
  </x:si>
  <x:si>
    <x:t xml:space="preserve">Multi Vitamin Juice (100% Pure Juice) </x:t>
  </x:si>
  <x:si>
    <x:t>JUIC09</x:t>
  </x:si>
  <x:si>
    <x:t xml:space="preserve">Orange Juice (100% Pure Juice) </x:t>
  </x:si>
  <x:si>
    <x:t>JUIC11</x:t>
  </x:si>
  <x:si>
    <x:t xml:space="preserve">Pineapple Juice (100% Pure Juice) </x:t>
  </x:si>
  <x:si>
    <x:t>JUIC13</x:t>
  </x:si>
  <x:si>
    <x:t xml:space="preserve">Tomato Juice (100% Pure Juice) </x:t>
  </x:si>
  <x:si>
    <x:t>MISC42</x:t>
  </x:si>
  <x:si>
    <x:t xml:space="preserve">Siopao With Chicken </x:t>
  </x:si>
  <x:si>
    <x:t>MISC03</x:t>
  </x:si>
  <x:si>
    <x:t xml:space="preserve">Vegetable Burger Patty </x:t>
  </x:si>
  <x:si>
    <x:t>PAST03</x:t>
  </x:si>
  <x:si>
    <x:t xml:space="preserve">Cup Noodles </x:t>
  </x:si>
  <x:si>
    <x:t>Maggi/Asia/Europe</x:t>
  </x:si>
  <x:si>
    <x:t>PPSC05</x:t>
  </x:si>
  <x:si>
    <x:t xml:space="preserve">Barbeque Sauce </x:t>
  </x:si>
  <x:si>
    <x:t>Kraft/Europe</x:t>
  </x:si>
  <x:si>
    <x:t>PPSC06</x:t>
  </x:si>
  <x:si>
    <x:t xml:space="preserve">Beef Stock Cubes </x:t>
  </x:si>
  <x:si>
    <x:t>PPSC11</x:t>
  </x:si>
  <x:si>
    <x:t xml:space="preserve">Chicken Stock Cubes </x:t>
  </x:si>
  <x:si>
    <x:t>PPSC30</x:t>
  </x:si>
  <x:si>
    <x:t xml:space="preserve">Honey </x:t>
  </x:si>
  <x:si>
    <x:t>Ml</x:t>
  </x:si>
  <x:si>
    <x:t>PPSC176</x:t>
  </x:si>
  <x:si>
    <x:t xml:space="preserve">Mama Sita's Palabok Mix </x:t>
  </x:si>
  <x:si>
    <x:t>PPSC104</x:t>
  </x:si>
  <x:si>
    <x:t xml:space="preserve">Mang Tomas Lechon Sauce </x:t>
  </x:si>
  <x:si>
    <x:t>PPSC45</x:t>
  </x:si>
  <x:si>
    <x:t xml:space="preserve">Mayonnaise </x:t>
  </x:si>
  <x:si>
    <x:t>PPSC103</x:t>
  </x:si>
  <x:si>
    <x:t xml:space="preserve">Nutella </x:t>
  </x:si>
  <x:si>
    <x:t>PPSC144</x:t>
  </x:si>
  <x:si>
    <x:t xml:space="preserve">Pizza Sauce </x:t>
  </x:si>
  <x:si>
    <x:t>PPSC149</x:t>
  </x:si>
  <x:si>
    <x:t xml:space="preserve">Sweet And Sour Souce </x:t>
  </x:si>
  <x:si>
    <x:t>PPSC91</x:t>
  </x:si>
  <x:si>
    <x:t xml:space="preserve">Tomato Sauce </x:t>
  </x:si>
  <x:si>
    <x:t>Maggi/Heinz/Delmonte</x:t>
  </x:si>
  <x:si>
    <x:t>PTCMT03</x:t>
  </x:si>
  <x:si>
    <x:t xml:space="preserve">Bockwurst Sausage </x:t>
  </x:si>
  <x:si>
    <x:t>PTCMT05</x:t>
  </x:si>
  <x:si>
    <x:t xml:space="preserve">Bratwurst Sausage </x:t>
  </x:si>
  <x:si>
    <x:t>PTCMT19</x:t>
  </x:si>
  <x:si>
    <x:t xml:space="preserve">Pork Tochino </x:t>
  </x:si>
  <x:si>
    <x:t>PTCSF07</x:t>
  </x:si>
  <x:si>
    <x:t xml:space="preserve">Sardine in Tomato </x:t>
  </x:si>
  <x:si>
    <x:t>PTCSF14</x:t>
  </x:si>
  <x:si>
    <x:t xml:space="preserve">Smoked Salmon </x:t>
  </x:si>
  <x:si>
    <x:t>PTCSF17</x:t>
  </x:si>
  <x:si>
    <x:t xml:space="preserve">Tuna In Oil </x:t>
  </x:si>
  <x:si>
    <x:t>PTCVG07</x:t>
  </x:si>
  <x:si>
    <x:t xml:space="preserve">Mushroom Whole In Tin </x:t>
  </x:si>
  <x:si>
    <x:t>Europe/Asia</x:t>
  </x:si>
  <x:si>
    <x:t>PULS13</x:t>
  </x:si>
  <x:si>
    <x:t xml:space="preserve">Peanut </x:t>
  </x:si>
  <x:si>
    <x:t>PULS15</x:t>
  </x:si>
  <x:si>
    <x:t xml:space="preserve">Red Gram (Masoor Whole) </x:t>
  </x:si>
  <x:si>
    <x:t>India/Asia</x:t>
  </x:si>
  <x:si>
    <x:t>PULS32</x:t>
  </x:si>
  <x:si>
    <x:t xml:space="preserve">Tahu </x:t>
  </x:si>
  <x:si>
    <x:t>SGR07</x:t>
  </x:si>
  <x:si>
    <x:t xml:space="preserve">White Sugar Granulated </x:t>
  </x:si>
  <x:si>
    <x:t>Brazil/Asia</x:t>
  </x:si>
  <x:si>
    <x:t>Item Sub Total :</x:t>
  </x:si>
  <x:si>
    <x:t>MISCELLANEOUS</x:t>
  </x:si>
  <x:si>
    <x:t>MISCM02</x:t>
  </x:si>
  <x:si>
    <x:t xml:space="preserve">Mineral Water Nonsparkling 24/0.5 Ltrs Btls </x:t>
  </x:si>
  <x:si>
    <x:t>24 Btls X 0.5 Ltrs C</x:t>
  </x:si>
  <x:si>
    <x:t>Btl</x:t>
  </x:si>
  <x:si>
    <x:t>Other Charges</x:t>
  </x:si>
  <x:si>
    <x:t>Amount</x:t>
  </x:si>
  <x:si>
    <x:t>Price</x:t>
  </x:si>
  <x:si>
    <x:t>Packing cost</x:t>
  </x:si>
  <x:si>
    <x:t>Freight charge</x:t>
  </x:si>
  <x:si>
    <x:t>aaa</x:t>
  </x:si>
  <x:si>
    <x:t>Grand Total :</x:t>
  </x:si>
  <x:si>
    <x:t>Buyer Remarks</x:t>
  </x:si>
  <x:si>
    <x:t>Packing Instructions</x:t>
  </x:si>
  <x:si>
    <x:t>Your Quotation is subjected to :</x:t>
  </x:si>
  <x:si>
    <x:t>All meats and milk derivatives to be supplied must be free from FMD. All meat, milk and milk products, if imported, are purchased from countries not affected by FMD. All Poultry products must be free from</x:t>
  </x:si>
  <x:si>
    <x:t>Birds Flu / Avian Influenza (H5N1) &amp; if demanded you must be able to produce a certification to this effect. All provisions and bond products must have proper expiry dates mentioned in English.</x:t>
  </x:si>
  <x:si>
    <x:r>
      <x:rPr>
        <x:vertAlign val="baseline"/>
        <x:sz val="8"/>
        <x:color theme="3" tint="-0.499984740745262"/>
        <x:rFont val="Calibri"/>
        <x:family val="2"/>
      </x:rPr>
      <x:t>You must quote for the</x:t>
    </x:r>
    <x:r>
      <x:rPr>
        <x:b/>
        <x:vertAlign val="baseline"/>
        <x:sz val="8"/>
        <x:color theme="3" tint="-0.499984740745262"/>
        <x:rFont val="Calibri"/>
        <x:family val="2"/>
      </x:rPr>
      <x:t xml:space="preserve"> Packaging and Brands </x:t>
    </x:r>
    <x:r>
      <x:rPr>
        <x:vertAlign val="baseline"/>
        <x:sz val="8"/>
        <x:color theme="3" tint="-0.499984740745262"/>
        <x:rFont val="Calibri"/>
        <x:family val="2"/>
      </x:rPr>
      <x:t>as has been asked by us. If the same is not available then please quote for the nearest matching Packaging and Brands available in local market. You must clearly specify the</x:t>
    </x:r>
  </x:si>
  <x:si>
    <x:t>weight &amp; packaging of each &amp; every packed, bottled or canned products in case different from the one that has been requested for. If certain items can only be supplied in a given case or Packaging then, mention the</x:t>
  </x:si>
  <x:si>
    <x:t>weight of the case or packaging, with the minimum quantity of order required by you, as we do not accept / pay for any oversupply at later stage.</x:t>
  </x:si>
  <x:si>
    <x:t>Pls. ensure that all items quoted must have long expiry dates as per the parameters below : -</x:t>
  </x:si>
  <x:si>
    <x:t>All Dry Provisions, Frozen Meat &amp; Fish / Processed Meat etc.: Minimum 06 Months.</x:t>
  </x:si>
  <x:si>
    <x:t>All Ready Mixes / Cereals / Juices / Jam &amp; Marmalade / Pickles / All Other Canned or Bottled Products like Sauces, Tinned Fruits, Tinned Meat etc.: Minimum 12 Months.</x:t>
  </x:si>
  <x:si>
    <x:t>Dairy Products (L.L Milk, Evaporated Milk &amp; Condensed Milk, Milk Powder): Minimum 06 months.</x:t>
  </x:si>
  <x:si>
    <x:t>Yoghurt / Slice Cheese / Block cheese: Minimum 03 Months.</x:t>
  </x:si>
  <x:si>
    <x:t>Bond Items to have minimum 6 months expiry.</x:t>
  </x:si>
  <x:si>
    <x:t xml:space="preserve">Stores Items to have minimum 12 months expiry. The Supplier shall ensure that ordered stores do not contain asbestos materials as regulated by SOLAS II - 1/3 – 5. Applicable supplies have to be delivered with free asbestos guarantee declaration/letter             
</x:t>
  </x:si>
  <x:si>
    <x:t xml:space="preserve">Your Quote must indicate the following: --  </x:t>
  </x:si>
  <x:si>
    <x:t>Currency Quoted: Preferably should be in Local Currency</x:t>
  </x:si>
  <x:si>
    <x:t>Delivery: Free on Board / If any charges are applicable they have to be clearly advised beforehand.</x:t>
  </x:si>
  <x:si>
    <x:t>Discount offered by you: For Cash / For Credit with 30/21/15 Banking days net of bank charges</x:t>
  </x:si>
  <x:si>
    <x:t>Launch Hire Charges: If applicable</x:t>
  </x:si>
  <x:si>
    <x:t xml:space="preserve">You must quote only for high quality &amp; branded products, please do not quote for sub–standard products, just to get the order as we shall not pay if the items are found of sub-standard or poor quality, upon delivery &amp; </x:t>
  </x:si>
  <x:si>
    <x:t>shall also try to avoid your company for future.</x:t>
  </x:si>
  <x:si>
    <x:t>RFQFileType</x:t>
  </x:si>
  <x:si>
    <x:t>RFQ</x:t>
  </x:si>
  <x:si>
    <x:t>ADP</x:t>
  </x:si>
  <x:si>
    <x:t>RFQ_ID</x:t>
  </x:si>
  <x:si>
    <x:t>AED</x:t>
  </x:si>
  <x:si>
    <x:t>ADDITIONAL JOBS</x:t>
  </x:si>
  <x:si>
    <x:t>RequestForQuoteID</x:t>
  </x:si>
  <x:si>
    <x:t>AFA</x:t>
  </x:si>
  <x:si>
    <x:t>AGENCY FEE</x:t>
  </x:si>
  <x:si>
    <x:t>HeaderID</x:t>
  </x:si>
  <x:si>
    <x:t>AUD</x:t>
  </x:si>
  <x:si>
    <x:t>NOS</x:t>
  </x:si>
  <x:si>
    <x:t>HANDLING CHARGE</x:t>
  </x:si>
  <x:si>
    <x:t>VendorID</x:t>
  </x:si>
  <x:si>
    <x:t>BAD</x:t>
  </x:si>
  <x:si>
    <x:t>UNIT</x:t>
  </x:si>
  <x:si>
    <x:t>PACKING CHARGE</x:t>
  </x:si>
  <x:si>
    <x:t>RFQCategory</x:t>
  </x:si>
  <x:si>
    <x:t>SEACHEF</x:t>
  </x:si>
  <x:si>
    <x:t>BAM</x:t>
  </x:si>
  <x:si>
    <x:t>CAL</x:t>
  </x:si>
  <x:si>
    <x:t>SPARE USED</x:t>
  </x:si>
  <x:si>
    <x:t>QuoteID</x:t>
  </x:si>
  <x:si>
    <x:t>BBD</x:t>
  </x:si>
  <x:si>
    <x:t>Perc</x:t>
  </x:si>
  <x:si>
    <x:t>WAREHOUSING</x:t>
  </x:si>
  <x:si>
    <x:t>BHD</x:t>
  </x:si>
  <x:si>
    <x:t>Mg</x:t>
  </x:si>
  <x:si>
    <x:t>CRANAGE</x:t>
  </x:si>
  <x:si>
    <x:t>BMD</x:t>
  </x:si>
  <x:si>
    <x:t>Can</x:t>
  </x:si>
  <x:si>
    <x:t>CUSTOMS</x:t>
  </x:si>
  <x:si>
    <x:t>BOL</x:t>
  </x:si>
  <x:si>
    <x:t>Tin</x:t>
  </x:si>
  <x:si>
    <x:t>LAUNCH HIRE CHARGE</x:t>
  </x:si>
  <x:si>
    <x:t>BRL</x:t>
  </x:si>
  <x:si>
    <x:t>ROUNDING ADJUSTMENT</x:t>
  </x:si>
  <x:si>
    <x:t>BSD</x:t>
  </x:si>
  <x:si>
    <x:t>Ctn</x:t>
  </x:si>
  <x:si>
    <x:t>BOAT CHARGES</x:t>
  </x:si>
  <x:si>
    <x:t>CAD</x:t>
  </x:si>
  <x:si>
    <x:t>OZ</x:t>
  </x:si>
  <x:si>
    <x:t>MINIMUM QUANTITY CHARGE</x:t>
  </x:si>
  <x:si>
    <x:t>CDZ</x:t>
  </x:si>
  <x:si>
    <x:t>PORT SURCHARGE</x:t>
  </x:si>
  <x:si>
    <x:t>CHF</x:t>
  </x:si>
  <x:si>
    <x:t>CLP</x:t>
  </x:si>
  <x:si>
    <x:t>CNY</x:t>
  </x:si>
  <x:si>
    <x:t>CYP</x:t>
  </x:si>
  <x:si>
    <x:t>CZK</x:t>
  </x:si>
  <x:si>
    <x:t>DEM</x:t>
  </x:si>
  <x:si>
    <x:t>DKK</x:t>
  </x:si>
  <x:si>
    <x:t>EGP</x:t>
  </x:si>
  <x:si>
    <x:t>ESP</x:t>
  </x:si>
  <x:si>
    <x:t>ETB</x:t>
  </x:si>
  <x:si>
    <x:t>EUR</x:t>
  </x:si>
  <x:si>
    <x:t>FKP</x:t>
  </x:si>
  <x:si>
    <x:t>GBP</x:t>
  </x:si>
  <x:si>
    <x:t>GEK</x:t>
  </x:si>
  <x:si>
    <x:t>GEL</x:t>
  </x:si>
  <x:si>
    <x:t>GRD</x:t>
  </x:si>
  <x:si>
    <x:t>HKD</x:t>
  </x:si>
  <x:si>
    <x:t>HRK</x:t>
  </x:si>
  <x:si>
    <x:t>IDR</x:t>
  </x:si>
  <x:si>
    <x:t>INR</x:t>
  </x:si>
  <x:si>
    <x:t>JPY</x:t>
  </x:si>
  <x:si>
    <x:t>KRW</x:t>
  </x:si>
  <x:si>
    <x:t>KWD</x:t>
  </x:si>
  <x:si>
    <x:t>MAD</x:t>
  </x:si>
  <x:si>
    <x:t>MDL</x:t>
  </x:si>
  <x:si>
    <x:t>MXN</x:t>
  </x:si>
  <x:si>
    <x:t>MYR</x:t>
  </x:si>
  <x:si>
    <x:t>NAD</x:t>
  </x:si>
  <x:si>
    <x:t>NOK</x:t>
  </x:si>
  <x:si>
    <x:t>NZD</x:t>
  </x:si>
  <x:si>
    <x:t>OMR</x:t>
  </x:si>
  <x:si>
    <x:t>PGK</x:t>
  </x:si>
  <x:si>
    <x:t>PHP</x:t>
  </x:si>
  <x:si>
    <x:t>PLN</x:t>
  </x:si>
  <x:si>
    <x:t>QAR</x:t>
  </x:si>
  <x:si>
    <x:t>RON</x:t>
  </x:si>
  <x:si>
    <x:t>RUB</x:t>
  </x:si>
  <x:si>
    <x:t>SAR</x:t>
  </x:si>
  <x:si>
    <x:t>SDG</x:t>
  </x:si>
  <x:si>
    <x:t>SEK</x:t>
  </x:si>
  <x:si>
    <x:t>SGD</x:t>
  </x:si>
  <x:si>
    <x:t>SLL</x:t>
  </x:si>
  <x:si>
    <x:t>STD</x:t>
  </x:si>
  <x:si>
    <x:t>THB</x:t>
  </x:si>
  <x:si>
    <x:t>TRY</x:t>
  </x:si>
  <x:si>
    <x:t>TWD</x:t>
  </x:si>
  <x:si>
    <x:t>UAH</x:t>
  </x:si>
  <x:si>
    <x:t>UAK</x:t>
  </x:si>
  <x:si>
    <x:t>UGS</x:t>
  </x:si>
  <x:si>
    <x:t>UYU</x:t>
  </x:si>
  <x:si>
    <x:t>VEF</x:t>
  </x:si>
  <x:si>
    <x:t>VND</x:t>
  </x:si>
  <x:si>
    <x:t>ZAR</x:t>
  </x:si>
  <x:si>
    <x:t>ZRZ</x:t>
  </x:si>
  <x:si>
    <x:t>ZWD</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</x:si>
</x:sst>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r="http://schemas.microsoft.com/office/spreadsheetml/2014/revision" xmlns:x="http://schemas.openxmlformats.org/spreadsheetml/2006/main" mc:Ignorable="x14ac x16r2 xr">
  <x:numFmts count="9">
    <x:numFmt numFmtId="44" formatCode="_(&quot;$&quot;* #,##0.00_);_(&quot;$&quot;* \(#,##0.00\);_(&quot;$&quot;* &quot;-&quot;??_);_(@_)"/>
    <x:numFmt numFmtId="164" formatCode="[$-409]d/mmm/yyyy;@"/>
    <x:numFmt numFmtId="165" formatCode="m/d/yy;@"/>
    <x:numFmt numFmtId="166" formatCode=";;;"/>
    <x:numFmt numFmtId="167" formatCode="#,##0.000"/>
    <x:numFmt numFmtId="168" formatCode="0.000"/>
    <x:numFmt numFmtId="169" formatCode="[$-409]d\-mmm\-yyyy;@"/>
    <x:numFmt numFmtId="170" formatCode="[$-409]d\-mmm\-yy;@"/>
    <x:numFmt numFmtId="172" formatCode="#,##0.00"/>
  </x:numFmts>
  <x:fonts count="37" x14ac:knownFonts="1">
    <x:font>
      <x:sz val="11"/>
      <x:color theme="1"/>
      <x:name val="Calibri"/>
      <x:family val="2"/>
      <x:scheme val="minor"/>
    </x:font>
    <x:font>
      <x:sz val="11"/>
      <x:color theme="1"/>
      <x:name val="Calibri"/>
      <x:family val="2"/>
      <x:scheme val="minor"/>
    </x:font>
    <x:font>
      <x:b/>
      <x:sz val="15"/>
      <x:color theme="3"/>
      <x:name val="Calibri"/>
      <x:family val="2"/>
      <x:scheme val="minor"/>
    </x:font>
    <x:font>
      <x:b/>
      <x:sz val="11"/>
      <x:color theme="3"/>
      <x:name val="Calibri"/>
      <x:family val="2"/>
      <x:scheme val="minor"/>
    </x:font>
    <x:font>
      <x:b/>
      <x:sz val="11"/>
      <x:color rgb="FFFA7D00"/>
      <x:name val="Calibri"/>
      <x:family val="2"/>
      <x:scheme val="minor"/>
    </x:font>
    <x:font>
      <x:sz val="12"/>
      <x:name val="Calibri"/>
      <x:family val="2"/>
      <x:scheme val="minor"/>
    </x:font>
    <x:font>
      <x:sz val="10"/>
      <x:name val="Calibri"/>
      <x:family val="2"/>
      <x:scheme val="minor"/>
    </x:font>
    <x:font>
      <x:i/>
      <x:sz val="38"/>
      <x:color indexed="41"/>
      <x:name val="Calibri"/>
      <x:family val="2"/>
      <x:scheme val="minor"/>
    </x:font>
    <x:font>
      <x:b/>
      <x:i/>
      <x:sz val="36"/>
      <x:color indexed="41"/>
      <x:name val="Calibri"/>
      <x:family val="2"/>
      <x:scheme val="minor"/>
    </x:font>
    <x:font>
      <x:b/>
      <x:i/>
      <x:sz val="36"/>
      <x:color theme="0" tint="-0.14999847407452621"/>
      <x:name val="Calibri"/>
      <x:family val="2"/>
      <x:scheme val="minor"/>
    </x:font>
    <x:font>
      <x:b/>
      <x:sz val="10"/>
      <x:color theme="3"/>
      <x:name val="Calibri"/>
      <x:family val="2"/>
      <x:scheme val="minor"/>
    </x:font>
    <x:font>
      <x:sz val="8"/>
      <x:name val="Calibri"/>
      <x:family val="2"/>
      <x:scheme val="minor"/>
    </x:font>
    <x:font>
      <x:sz val="8"/>
      <x:color indexed="61"/>
      <x:name val="Calibri"/>
      <x:family val="2"/>
      <x:scheme val="minor"/>
    </x:font>
    <x:font>
      <x:b/>
      <x:sz val="8"/>
      <x:color indexed="61"/>
      <x:name val="Calibri"/>
      <x:family val="2"/>
      <x:scheme val="minor"/>
    </x:font>
    <x:font>
      <x:b/>
      <x:sz val="9"/>
      <x:color theme="3" tint="-0.499984740745262"/>
      <x:name val="Calibri"/>
      <x:family val="2"/>
      <x:scheme val="minor"/>
    </x:font>
    <x:font>
      <x:sz val="8"/>
      <x:color theme="3" tint="-0.499984740745262"/>
      <x:name val="Calibri"/>
      <x:family val="2"/>
      <x:scheme val="minor"/>
    </x:font>
    <x:font>
      <x:sz val="11"/>
      <x:color theme="3" tint="-0.499984740745262"/>
      <x:name val="Calibri"/>
      <x:family val="2"/>
      <x:scheme val="minor"/>
    </x:font>
    <x:font>
      <x:b/>
      <x:sz val="11"/>
      <x:color theme="9"/>
      <x:name val="Calibri"/>
      <x:family val="2"/>
      <x:scheme val="minor"/>
    </x:font>
    <x:font>
      <x:i/>
      <x:sz val="8"/>
      <x:name val="Calibri"/>
      <x:family val="2"/>
      <x:scheme val="minor"/>
    </x:font>
    <x:font>
      <x:b/>
      <x:sz val="9"/>
      <x:name val="Calibri"/>
      <x:family val="2"/>
      <x:scheme val="minor"/>
    </x:font>
    <x:font>
      <x:b/>
      <x:sz val="8"/>
      <x:color theme="3" tint="-0.499984740745262"/>
      <x:name val="Calibri"/>
      <x:family val="2"/>
      <x:scheme val="minor"/>
    </x:font>
    <x:font>
      <x:sz val="9"/>
      <x:name val="Calibri"/>
      <x:family val="2"/>
      <x:scheme val="minor"/>
    </x:font>
    <x:font>
      <x:b/>
      <x:sz val="10"/>
      <x:color theme="0" tint="-0.249977111117893"/>
      <x:name val="Calibri"/>
      <x:family val="2"/>
      <x:scheme val="minor"/>
    </x:font>
    <x:font>
      <x:b/>
      <x:sz val="11"/>
      <x:color theme="0" tint="-0.249977111117893"/>
      <x:name val="Calibri"/>
      <x:family val="2"/>
      <x:scheme val="minor"/>
    </x:font>
    <x:font>
      <x:sz val="8"/>
      <x:color theme="1"/>
      <x:name val="Calibri"/>
      <x:family val="2"/>
      <x:scheme val="minor"/>
    </x:font>
    <x:font>
      <x:b/>
      <x:sz val="11"/>
      <x:color theme="1" tint="0.34998626667073579"/>
      <x:name val="Calibri"/>
      <x:family val="2"/>
      <x:scheme val="minor"/>
    </x:font>
    <x:font>
      <x:sz val="11"/>
      <x:color theme="1" tint="0.34998626667073579"/>
      <x:name val="Calibri"/>
      <x:family val="2"/>
      <x:scheme val="minor"/>
    </x:font>
    <x:font>
      <x:b/>
      <x:sz val="12"/>
      <x:color rgb="FFFF0000"/>
      <x:name val="Calibri"/>
      <x:family val="2"/>
      <x:scheme val="minor"/>
    </x:font>
    <x:font>
      <x:sz val="10"/>
      <x:color rgb="FF4B7279"/>
      <x:name val="Calibri"/>
      <x:family val="2"/>
      <x:scheme val="minor"/>
    </x:font>
    <x:font>
      <x:sz val="10"/>
      <x:color indexed="61"/>
      <x:name val="Calibri"/>
      <x:family val="2"/>
      <x:scheme val="minor"/>
    </x:font>
    <x:font>
      <x:u/>
      <x:sz val="11"/>
      <x:color theme="10"/>
      <x:name val="Calibri"/>
      <x:family val="2"/>
      <x:scheme val="minor"/>
    </x:font>
    <x:font>
      <x:vertAlign val="baseline"/>
      <x:sz val="11"/>
      <x:color rgb="FF000000"/>
      <x:name val="Calibri"/>
      <x:family val="2"/>
    </x:font>
    <x:font>
      <x:vertAlign val="baseline"/>
      <x:sz val="12"/>
      <x:color theme="1"/>
      <x:name val="Calibri"/>
      <x:family val="2"/>
    </x:font>
    <x:font>
      <x:vertAlign val="baseline"/>
      <x:sz val="10"/>
      <x:color theme="1"/>
      <x:name val="Calibri"/>
      <x:family val="2"/>
    </x:font>
    <x:font>
      <x:i/>
      <x:vertAlign val="baseline"/>
      <x:sz val="8"/>
      <x:color theme="1"/>
      <x:name val="Calibri"/>
      <x:family val="2"/>
    </x:font>
    <x:font>
      <x:b/>
      <x:vertAlign val="baseline"/>
      <x:sz val="9"/>
      <x:color theme="1"/>
      <x:name val="Calibri"/>
      <x:family val="2"/>
    </x:font>
    <x:font>
      <x:vertAlign val="baseline"/>
      <x:sz val="9"/>
      <x:color theme="1"/>
      <x:name val="Calibri"/>
      <x:family val="2"/>
    </x:font>
  </x:fonts>
  <x:fills count="13">
    <x:fill>
      <x:patternFill patternType="none"/>
    </x:fill>
    <x:fill>
      <x:patternFill patternType="gray125"/>
    </x:fill>
    <x:fill>
      <x:patternFill patternType="solid">
        <x:fgColor rgb="FFF2F2F2"/>
      </x:patternFill>
    </x:fill>
    <x:fill>
      <x:patternFill patternType="solid">
        <x:fgColor theme="4" tint="0.59999389629810485"/>
        <x:bgColor indexed="65"/>
      </x:patternFill>
    </x:fill>
    <x:fill>
      <x:patternFill patternType="solid">
        <x:fgColor indexed="9"/>
        <x:bgColor indexed="64"/>
      </x:patternFill>
    </x:fill>
    <x:fill>
      <x:patternFill patternType="solid">
        <x:fgColor theme="0" tint="-0.14999847407452621"/>
        <x:bgColor indexed="64"/>
      </x:patternFill>
    </x:fill>
    <x:fill>
      <x:patternFill patternType="solid">
        <x:fgColor rgb="FF9DBEC3"/>
        <x:bgColor indexed="64"/>
      </x:patternFill>
    </x:fill>
    <x:fill>
      <x:patternFill patternType="solid">
        <x:fgColor theme="4" tint="0.59999389629810485"/>
        <x:bgColor indexed="64"/>
      </x:patternFill>
    </x:fill>
    <x:fill>
      <x:patternFill patternType="solid">
        <x:fgColor theme="4" tint="0.79998168889431442"/>
        <x:bgColor indexed="64"/>
      </x:patternFill>
    </x:fill>
    <x:fill>
      <x:patternFill patternType="solid">
        <x:fgColor rgb="FFEDF3F3"/>
        <x:bgColor indexed="64"/>
      </x:patternFill>
    </x:fill>
    <x:fill>
      <x:patternFill patternType="solid">
        <x:fgColor theme="4" tint="0.59996337778862885"/>
        <x:bgColor indexed="64"/>
      </x:patternFill>
    </x:fill>
    <x:fill>
      <x:patternFill patternType="solid">
        <x:fgColor theme="0"/>
        <x:bgColor indexed="64"/>
      </x:patternFill>
    </x:fill>
    <x:fill>
      <x:patternFill patternType="solid">
        <x:fgColor rgb="FFFFFF00"/>
        <x:bgColor rgb="FFFFFF00"/>
      </x:patternFill>
    </x:fill>
  </x:fills>
  <x:borders count="30">
    <x:border>
      <x:left/>
      <x:right/>
      <x:top/>
      <x:bottom/>
      <x:diagonal/>
    </x:border>
    <x:border>
      <x:left/>
      <x:right/>
      <x:top/>
      <x:bottom style="thick">
        <x:color theme="4"/>
      </x:bottom>
      <x:diagonal/>
    </x:border>
    <x:border>
      <x:left/>
      <x:right/>
      <x:top/>
      <x:bottom style="medium">
        <x:color theme="4" tint="0.39997558519241921"/>
      </x:bottom>
      <x:diagonal/>
    </x:border>
    <x:border>
      <x:left style="thin">
        <x:color rgb="FF7F7F7F"/>
      </x:left>
      <x:right style="thin">
        <x:color rgb="FF7F7F7F"/>
      </x:right>
      <x:top style="thin">
        <x:color rgb="FF7F7F7F"/>
      </x:top>
      <x:bottom style="thin">
        <x:color rgb="FF7F7F7F"/>
      </x:bottom>
      <x:diagonal/>
    </x:border>
    <x:border>
      <x:left/>
      <x:right/>
      <x:top style="medium">
        <x:color theme="4" tint="0.39997558519241921"/>
      </x:top>
      <x:bottom/>
      <x:diagonal/>
    </x:border>
    <x:border>
      <x:left/>
      <x:right/>
      <x:top style="medium">
        <x:color theme="4" tint="0.39997558519241921"/>
      </x:top>
      <x:bottom style="medium">
        <x:color theme="4" tint="0.39997558519241921"/>
      </x:bottom>
      <x:diagonal/>
    </x:border>
    <x:border>
      <x:left style="thin">
        <x:color rgb="FF7F7F7F"/>
      </x:left>
      <x:right style="thin">
        <x:color rgb="FF7F7F7F"/>
      </x:right>
      <x:top style="medium">
        <x:color theme="4" tint="0.39997558519241921"/>
      </x:top>
      <x:bottom style="medium">
        <x:color theme="4" tint="0.39997558519241921"/>
      </x:bottom>
      <x:diagonal/>
    </x:border>
    <x:border>
      <x:left/>
      <x:right/>
      <x:top style="medium">
        <x:color theme="4" tint="0.39994506668294322"/>
      </x:top>
      <x:bottom style="medium">
        <x:color theme="4" tint="0.39997558519241921"/>
      </x:bottom>
      <x:diagonal/>
    </x:border>
    <x:border>
      <x:left style="thin">
        <x:color rgb="FF7F7F7F"/>
      </x:left>
      <x:right/>
      <x:top/>
      <x:bottom style="thin">
        <x:color rgb="FF7F7F7F"/>
      </x:bottom>
      <x:diagonal/>
    </x:border>
    <x:border>
      <x:left/>
      <x:right/>
      <x:top/>
      <x:bottom style="thin">
        <x:color rgb="FF7F7F7F"/>
      </x:bottom>
      <x:diagonal/>
    </x:border>
    <x:border>
      <x:left/>
      <x:right style="thin">
        <x:color rgb="FF7F7F7F"/>
      </x:right>
      <x:top/>
      <x:bottom style="thin">
        <x:color rgb="FF7F7F7F"/>
      </x:bottom>
      <x:diagonal/>
    </x:border>
    <x:border>
      <x:left style="thin">
        <x:color indexed="44"/>
      </x:left>
      <x:right/>
      <x:top/>
      <x:bottom/>
      <x:diagonal/>
    </x:border>
    <x:border>
      <x:left style="thin">
        <x:color rgb="FFD6DCE0"/>
      </x:left>
      <x:right style="thin">
        <x:color rgb="FFD6DCE0"/>
      </x:right>
      <x:top style="thin">
        <x:color rgb="FFD6DCE0"/>
      </x:top>
      <x:bottom style="thin">
        <x:color rgb="FFD6DCE0"/>
      </x:bottom>
      <x:diagonal/>
    </x:border>
    <x:border>
      <x:left style="thin">
        <x:color rgb="FFD6DCE0"/>
      </x:left>
      <x:right style="thin">
        <x:color rgb="FFD6DCE0"/>
      </x:right>
      <x:top style="thin">
        <x:color rgb="FFD6DCE0"/>
      </x:top>
      <x:bottom/>
      <x:diagonal/>
    </x:border>
    <x:border>
      <x:left style="thin">
        <x:color theme="0" tint="-0.14996795556505021"/>
      </x:left>
      <x:right style="thin">
        <x:color theme="0" tint="-0.14996795556505021"/>
      </x:right>
      <x:top style="thin">
        <x:color theme="0" tint="-0.34998626667073579"/>
      </x:top>
      <x:bottom style="thin">
        <x:color theme="0" tint="-0.34998626667073579"/>
      </x:bottom>
      <x:diagonal/>
    </x:border>
    <x:border>
      <x:left style="thin">
        <x:color theme="0" tint="-0.14996795556505021"/>
      </x:left>
      <x:right style="thin">
        <x:color theme="0" tint="-0.34998626667073579"/>
      </x:right>
      <x:top style="thin">
        <x:color theme="0" tint="-0.34998626667073579"/>
      </x:top>
      <x:bottom style="thin">
        <x:color theme="0" tint="-0.34998626667073579"/>
      </x:bottom>
      <x:diagonal/>
    </x:border>
    <x:border>
      <x:left/>
      <x:right/>
      <x:top style="thin">
        <x:color rgb="FFD6DCE0"/>
      </x:top>
      <x:bottom/>
      <x:diagonal/>
    </x:border>
    <x:border>
      <x:left style="thin">
        <x:color rgb="FFD6DCE0"/>
      </x:left>
      <x:right/>
      <x:top style="thin">
        <x:color rgb="FFD6DCE0"/>
      </x:top>
      <x:bottom style="thin">
        <x:color rgb="FFD6DCE0"/>
      </x:bottom>
      <x:diagonal/>
    </x:border>
    <x:border>
      <x:left/>
      <x:right style="thin">
        <x:color rgb="FFD6DCE0"/>
      </x:right>
      <x:top style="thin">
        <x:color rgb="FFD6DCE0"/>
      </x:top>
      <x:bottom style="thin">
        <x:color rgb="FFD6DCE0"/>
      </x:bottom>
      <x:diagonal/>
    </x:border>
    <x:border>
      <x:left style="thin">
        <x:color theme="0" tint="-0.34998626667073579"/>
      </x:left>
      <x:right style="thin">
        <x:color theme="0" tint="-0.34998626667073579"/>
      </x:right>
      <x:top style="thin">
        <x:color theme="0" tint="-0.34998626667073579"/>
      </x:top>
      <x:bottom style="thin">
        <x:color theme="0" tint="-0.34998626667073579"/>
      </x:bottom>
      <x:diagonal/>
    </x:border>
    <x:border>
      <x:left style="thin">
        <x:color rgb="FFD6DCE0"/>
      </x:left>
      <x:right style="thin">
        <x:color rgb="FFD6DCE0"/>
      </x:right>
      <x:top/>
      <x:bottom style="thin">
        <x:color rgb="FFD6DCE0"/>
      </x:bottom>
      <x:diagonal/>
    </x:border>
    <x:border>
      <x:left style="thin">
        <x:color theme="0" tint="-0.34998626667073579"/>
      </x:left>
      <x:right/>
      <x:top style="thin">
        <x:color theme="0" tint="-0.34998626667073579"/>
      </x:top>
      <x:bottom style="thin">
        <x:color theme="0" tint="-0.34998626667073579"/>
      </x:bottom>
      <x:diagonal/>
    </x:border>
    <x:border>
      <x:left/>
      <x:right/>
      <x:top style="thin">
        <x:color theme="0" tint="-0.34998626667073579"/>
      </x:top>
      <x:bottom style="thin">
        <x:color theme="0" tint="-0.34998626667073579"/>
      </x:bottom>
      <x:diagonal/>
    </x:border>
    <x:border>
      <x:left/>
      <x:right style="thin">
        <x:color rgb="FFD6DCE0"/>
      </x:right>
      <x:top/>
      <x:bottom/>
      <x:diagonal/>
    </x:border>
    <x:border>
      <x:left/>
      <x:right style="thin">
        <x:color theme="0" tint="-0.34998626667073579"/>
      </x:right>
      <x:top style="thin">
        <x:color theme="0" tint="-0.34998626667073579"/>
      </x:top>
      <x:bottom/>
      <x:diagonal/>
    </x:border>
    <x:border>
      <x:left style="thin">
        <x:color theme="0" tint="-0.34998626667073579"/>
      </x:left>
      <x:right style="thin">
        <x:color rgb="FFD6DCE0"/>
      </x:right>
      <x:top/>
      <x:bottom style="thin">
        <x:color rgb="FFD6DCE0"/>
      </x:bottom>
      <x:diagonal/>
    </x:border>
    <x:border>
      <x:left/>
      <x:right style="thin">
        <x:color theme="0" tint="-0.14996795556505021"/>
      </x:right>
      <x:top style="thin">
        <x:color theme="0" tint="-0.34998626667073579"/>
      </x:top>
      <x:bottom style="thin">
        <x:color theme="0" tint="-0.34998626667073579"/>
      </x:bottom>
      <x:diagonal/>
    </x:border>
    <x:border>
      <x:left style="thin">
        <x:color indexed="64"/>
      </x:left>
      <x:right/>
      <x:top/>
      <x:bottom/>
      <x:diagonal/>
    </x:border>
    <x:border>
      <x:left/>
      <x:right style="thin">
        <x:color indexed="64"/>
      </x:right>
      <x:top/>
      <x:bottom/>
      <x:diagonal/>
    </x:border>
    <x:border>
      <x:left/>
      <x:right/>
      <x:top/>
      <x:bottom style="medium">
        <x:color theme="4" tint="0.39994506668294322"/>
      </x:bottom>
      <x:diagonal/>
    </x:border>
  </x:borders>
  <x:cellStyleXfs count="149">
    <x:xf numFmtId="0" fontId="0" fillId="0" borderId="0"/>
    <x:xf numFmtId="0" fontId="2" fillId="0" borderId="1" applyNumberFormat="0" applyFill="0" applyAlignment="0" applyProtection="0"/>
    <x:xf numFmtId="0" fontId="3" fillId="0" borderId="2" applyNumberFormat="0" applyFill="0" applyAlignment="0" applyProtection="0"/>
    <x:xf numFmtId="0" fontId="3" fillId="0" borderId="0" applyNumberFormat="0" applyFill="0" applyBorder="0" applyAlignment="0" applyProtection="0"/>
    <x:xf numFmtId="0" fontId="4" fillId="2" borderId="3" applyNumberFormat="0" applyAlignment="0" applyProtection="0"/>
    <x:xf numFmtId="0" fontId="1" fillId="3" borderId="0" applyNumberFormat="0" applyBorder="0" applyAlignment="0" applyProtection="0"/>
    <x:xf numFmtId="0" fontId="30" fillId="0" borderId="0" applyNumberFormat="0" applyFill="0" applyBorder="0" applyAlignment="0" applyProtection="0"/>
    <x:xf numFmtId="0" fontId="0" fillId="0" borderId="0" applyNumberFormat="1" applyFill="1" applyBorder="0" applyAlignment="1" applyProtection="1">
      <x:protection locked="1" hidden="0"/>
    </x:xf>
    <x:xf numFmtId="0" fontId="10" fillId="0" borderId="2" applyNumberFormat="1" applyFill="1" applyBorder="1" applyAlignment="1" applyProtection="1">
      <x:protection locked="1" hidden="0"/>
    </x:xf>
    <x:xf numFmtId="49" fontId="3" fillId="0" borderId="2" applyNumberFormat="1" applyFill="1" applyBorder="1" applyAlignment="1" applyProtection="1">
      <x:protection locked="1" hidden="0"/>
    </x:xf>
    <x:xf numFmtId="0" fontId="22" fillId="0" borderId="2" applyNumberFormat="1" applyFill="1" applyBorder="1" applyAlignment="1" applyProtection="1">
      <x:protection locked="1" hidden="0"/>
    </x:xf>
    <x:xf numFmtId="49"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32" fillId="0" borderId="0" applyNumberFormat="1" applyFill="1" applyBorder="0" applyAlignment="1" applyProtection="1">
      <x:protection locked="1" hidden="0"/>
    </x:xf>
    <x:xf numFmtId="0" fontId="33" fillId="0" borderId="0" applyNumberFormat="1" applyFill="1" applyBorder="0" applyAlignment="1" applyProtection="1">
      <x:protection locked="1" hidden="0"/>
    </x:xf>
    <x:xf numFmtId="0" fontId="7" fillId="0" borderId="0" applyNumberFormat="1" applyFill="1" applyBorder="0" applyAlignment="1" applyProtection="1">
      <x:protection locked="1" hidden="0"/>
    </x:xf>
    <x:xf numFmtId="0" fontId="9" fillId="0" borderId="0" applyNumberFormat="1" applyFill="1" applyBorder="0" applyAlignment="1" applyProtection="1">
      <x:protection locked="1" hidden="0"/>
    </x:xf>
    <x:xf numFmtId="0" fontId="8" fillId="0" borderId="0" applyNumberFormat="1" applyFill="1" applyBorder="0" applyAlignment="1" applyProtection="1">
      <x:protection locked="1" hidden="0"/>
    </x:xf>
    <x:xf numFmtId="166" fontId="8" fillId="0" borderId="0" applyNumberFormat="1" applyFill="1" applyBorder="0" applyAlignment="1" applyProtection="1">
      <x:protection locked="1" hidden="0"/>
    </x:xf>
    <x:xf numFmtId="166" fontId="0" fillId="0" borderId="0" applyNumberFormat="1" applyFill="1" applyBorder="0" applyAlignment="1" applyProtection="1">
      <x:protection locked="1" hidden="0"/>
    </x:xf>
    <x:xf numFmtId="0" fontId="2" fillId="0" borderId="1" applyNumberFormat="1" applyFill="1" applyBorder="1" applyAlignment="1" applyProtection="1">
      <x:protection locked="1" hidden="0"/>
    </x:xf>
    <x:xf numFmtId="0" fontId="3" fillId="0" borderId="4" applyNumberFormat="1" applyFill="1" applyBorder="1" applyAlignment="1" applyProtection="1">
      <x:protection locked="1" hidden="0"/>
    </x:xf>
    <x:xf numFmtId="0" fontId="3" fillId="0" borderId="4" applyNumberFormat="1" applyFill="1" applyBorder="1" applyAlignment="1" applyProtection="1">
      <x:protection locked="1" hidden="0"/>
    </x:xf>
    <x:xf numFmtId="0" fontId="22" fillId="0" borderId="5" applyNumberFormat="1" applyFill="1" applyBorder="1" applyAlignment="1" applyProtection="1">
      <x:protection locked="1" hidden="0"/>
    </x:xf>
    <x:xf numFmtId="0" fontId="3" fillId="0" borderId="2" applyNumberFormat="1" applyFill="1" applyBorder="1" applyAlignment="1" applyProtection="1">
      <x:protection locked="1" hidden="0"/>
    </x:xf>
    <x:xf numFmtId="0" fontId="3"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169" fontId="10" fillId="0" borderId="2" applyNumberFormat="1" applyFill="1" applyBorder="1" applyAlignment="1" applyProtection="1">
      <x:protection locked="1" hidden="0"/>
    </x:xf>
    <x:xf numFmtId="0" fontId="28" fillId="0" borderId="0" applyNumberFormat="1" applyFill="1" applyBorder="0" applyAlignment="1" applyProtection="1">
      <x:protection locked="1" hidden="0"/>
    </x:xf>
    <x:xf numFmtId="49"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70" fontId="10"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8" fillId="0" borderId="0" applyNumberFormat="1" applyFill="1" applyBorder="0" applyAlignment="1" applyProtection="1">
      <x:protection locked="1" hidden="0"/>
    </x:xf>
    <x:xf numFmtId="0" fontId="30" fillId="0" borderId="0" applyNumberFormat="1" applyFill="1" applyBorder="0" applyAlignment="1" applyProtection="1">
      <x:protection locked="1" hidden="0"/>
    </x:xf>
    <x:xf numFmtId="0" fontId="28" fillId="0" borderId="29" applyNumberFormat="1" applyFill="1" applyBorder="1" applyAlignment="1" applyProtection="1">
      <x:protection locked="1" hidden="0"/>
    </x:xf>
    <x:xf numFmtId="0" fontId="28" fillId="0" borderId="29" applyNumberFormat="1" applyFill="1" applyBorder="1" applyAlignment="1" applyProtection="1">
      <x:protection locked="1" hidden="0"/>
    </x:xf>
    <x:xf numFmtId="0" fontId="25" fillId="5" borderId="3" applyNumberFormat="1" applyFill="0" applyBorder="1" applyAlignment="1" applyProtection="1">
      <x:protection locked="0" hidden="0"/>
    </x:xf>
    <x:xf numFmtId="0" fontId="10" fillId="0" borderId="2" applyNumberFormat="1" applyFill="1" applyBorder="1" applyAlignment="1" applyProtection="1">
      <x:protection locked="1" hidden="0"/>
    </x:xf>
    <x:xf numFmtId="4" fontId="25" fillId="5" borderId="6" applyNumberFormat="1" applyFill="0" applyBorder="1" applyAlignment="1" applyProtection="1">
      <x:protection locked="0" hidden="0"/>
    </x:xf>
    <x:xf numFmtId="0" fontId="3" fillId="0" borderId="7" applyNumberFormat="1" applyFill="1" applyBorder="1" applyAlignment="1" applyProtection="1">
      <x:protection locked="1" hidden="0"/>
    </x:xf>
    <x:xf numFmtId="0" fontId="3" fillId="0" borderId="2" applyNumberFormat="1" applyFill="1" applyBorder="1" applyAlignment="1" applyProtection="1">
      <x:protection locked="1" hidden="0"/>
    </x:xf>
    <x:xf numFmtId="4" fontId="25" fillId="5" borderId="8" applyNumberFormat="1" applyFill="0" applyBorder="1" applyAlignment="1" applyProtection="1">
      <x:protection locked="0" hidden="0"/>
    </x:xf>
    <x:xf numFmtId="4" fontId="25" fillId="5" borderId="9" applyNumberFormat="1" applyFill="0" applyBorder="1" applyAlignment="1" applyProtection="1">
      <x:protection locked="0" hidden="0"/>
    </x:xf>
    <x:xf numFmtId="4" fontId="25" fillId="5" borderId="10" applyNumberFormat="1" applyFill="0" applyBorder="1" applyAlignment="1" applyProtection="1">
      <x:protection locked="0" hidden="0"/>
    </x:xf>
    <x:xf numFmtId="0" fontId="23" fillId="0" borderId="2" applyNumberFormat="1" applyFill="1" applyBorder="1" applyAlignment="1" applyProtection="1">
      <x:protection locked="1" hidden="0"/>
    </x:xf>
    <x:xf numFmtId="49" fontId="10" fillId="0" borderId="2" applyNumberFormat="1" applyFill="1" applyBorder="1" applyAlignment="1" applyProtection="1">
      <x:protection locked="0" hidden="0"/>
    </x:xf>
    <x:xf numFmtId="0" fontId="26" fillId="5" borderId="3" applyNumberFormat="1" applyFill="0" applyBorder="1" applyAlignment="1" applyProtection="1">
      <x:protection locked="0" hidden="0"/>
    </x:xf>
    <x:xf numFmtId="166" fontId="10" fillId="0" borderId="2" applyNumberFormat="1" applyFill="1" applyBorder="1" applyAlignment="1" applyProtection="1">
      <x:protection locked="1" hidden="0"/>
    </x:xf>
    <x:xf numFmtId="167" fontId="26" fillId="5" borderId="3" applyNumberFormat="1" applyFill="0" applyBorder="1" applyAlignment="1" applyProtection="1">
      <x:protection locked="0" hidden="0"/>
    </x:xf>
    <x:xf numFmtId="164"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66" fontId="24" fillId="0" borderId="0" applyNumberFormat="1" applyFill="1" applyBorder="0" applyAlignment="1" applyProtection="1">
      <x:protection locked="1" hidden="0"/>
    </x:xf>
    <x:xf numFmtId="0"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5" fontId="14" fillId="6" borderId="11" applyNumberFormat="1" applyFill="0" applyBorder="1" applyAlignment="1" applyProtection="1">
      <x:protection locked="1" hidden="0"/>
    </x:xf>
    <x:xf numFmtId="165"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166" fontId="14" fillId="11" borderId="0" applyNumberFormat="1" applyFill="0" applyBorder="0" applyAlignment="1" applyProtection="1">
      <x:protection locked="1" hidden="0"/>
    </x:xf>
    <x:xf numFmtId="1"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2" fontId="15" fillId="12" borderId="12" applyNumberFormat="1" applyFill="0" applyBorder="1" applyAlignment="1" applyProtection="1">
      <x:protection locked="1" hidden="0"/>
    </x:xf>
    <x:xf numFmtId="49" fontId="15" fillId="12" borderId="17" applyNumberFormat="1" applyFill="0" applyBorder="1" applyAlignment="1" applyProtection="1">
      <x:protection locked="1" hidden="0"/>
    </x:xf>
    <x:xf numFmtId="4" fontId="15" fillId="12" borderId="17" applyNumberFormat="1" applyFill="0" applyBorder="1" applyAlignment="1" applyProtection="1">
      <x:protection locked="1" hidden="0"/>
    </x:xf>
    <x:xf numFmtId="49" fontId="15" fillId="12" borderId="18" applyNumberFormat="1" applyFill="0" applyBorder="1" applyAlignment="1" applyProtection="1">
      <x:protection locked="1" hidden="0"/>
    </x:xf>
    <x:xf numFmtId="167" fontId="15" fillId="12" borderId="12" applyNumberFormat="1" applyFill="0" applyBorder="1" applyAlignment="1" applyProtection="1">
      <x:protection locked="1" hidden="0"/>
    </x:xf>
    <x:xf numFmtId="49" fontId="16" fillId="12" borderId="12" applyNumberFormat="1" applyFill="0" applyBorder="1" applyAlignment="1" applyProtection="1">
      <x:protection locked="1" hidden="0"/>
    </x:xf>
    <x:xf numFmtId="11" fontId="16" fillId="8" borderId="17" applyNumberFormat="1" applyFill="0" applyBorder="1" applyAlignment="1" applyProtection="1">
      <x:protection locked="0" hidden="0"/>
    </x:xf>
    <x:xf numFmtId="166" fontId="16" fillId="11" borderId="0" applyNumberFormat="1" applyFill="0" applyBorder="0" applyAlignment="1" applyProtection="1">
      <x:protection locked="1" hidden="0"/>
    </x:xf>
    <x:xf numFmtId="1"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2" fontId="15" fillId="0" borderId="12" applyNumberFormat="1" applyFill="1" applyBorder="1" applyAlignment="1" applyProtection="1">
      <x:protection locked="1" hidden="0"/>
    </x:xf>
    <x:xf numFmtId="49" fontId="15" fillId="0" borderId="12" applyNumberFormat="1" applyFill="1" applyBorder="1" applyAlignment="1" applyProtection="1">
      <x:protection locked="0" hidden="0"/>
    </x:xf>
    <x:xf numFmtId="172" fontId="15" fillId="3" borderId="17" applyNumberFormat="1" applyFill="0" applyBorder="1" applyAlignment="1" applyProtection="1">
      <x:protection locked="0" hidden="0"/>
    </x:xf>
    <x:xf numFmtId="4" fontId="15" fillId="3" borderId="17" applyNumberFormat="1" applyFill="0" applyBorder="1" applyAlignment="1" applyProtection="1">
      <x:protection locked="0" hidden="0"/>
    </x:xf>
    <x:xf numFmtId="172" fontId="15" fillId="3" borderId="18" applyNumberFormat="1" applyFill="0" applyBorder="1" applyAlignment="1" applyProtection="1">
      <x:protection locked="0" hidden="0"/>
    </x:xf>
    <x:xf numFmtId="172" fontId="15" fillId="3" borderId="12" applyNumberFormat="1" applyFill="0" applyBorder="1" applyAlignment="1" applyProtection="1">
      <x:protection locked="0" hidden="0"/>
    </x:xf>
    <x:xf numFmtId="167" fontId="15" fillId="9" borderId="12" applyNumberFormat="1" applyFill="0" applyBorder="1" applyAlignment="1" applyProtection="1">
      <x:protection locked="1" hidden="0"/>
    </x:xf>
    <x:xf numFmtId="49" fontId="16" fillId="3" borderId="12" applyNumberFormat="1" applyFill="0" applyBorder="1" applyAlignment="1" applyProtection="1">
      <x:protection locked="0" hidden="0"/>
    </x:xf>
    <x:xf numFmtId="49" fontId="16" fillId="0" borderId="12" applyNumberFormat="1" applyFill="1" applyBorder="1" applyAlignment="1" applyProtection="1">
      <x:protection locked="1" hidden="0"/>
    </x:xf>
    <x:xf numFmtId="49" fontId="15" fillId="3" borderId="17" applyNumberFormat="1" applyFill="0" applyBorder="1" applyAlignment="1" applyProtection="1">
      <x:protection locked="1" hidden="0"/>
    </x:xf>
    <x:xf numFmtId="4" fontId="15" fillId="3" borderId="17" applyNumberFormat="1" applyFill="0" applyBorder="1" applyAlignment="1" applyProtection="1">
      <x:protection locked="1" hidden="0"/>
    </x:xf>
    <x:xf numFmtId="49" fontId="15" fillId="3" borderId="18" applyNumberFormat="1" applyFill="0" applyBorder="1" applyAlignment="1" applyProtection="1">
      <x:protection locked="1" hidden="0"/>
    </x:xf>
    <x:xf numFmtId="49" fontId="15" fillId="3" borderId="12" applyNumberFormat="1" applyFill="0" applyBorder="1" applyAlignment="1" applyProtection="1">
      <x:protection locked="1" hidden="0"/>
    </x:xf>
    <x:xf numFmtId="49" fontId="16" fillId="3" borderId="12" applyNumberFormat="1" applyFill="0" applyBorder="1"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0" fontId="34" fillId="0" borderId="0" applyNumberFormat="1" applyFill="1" applyBorder="0" applyAlignment="1" applyProtection="1">
      <x:protection locked="1" hidden="0"/>
    </x:xf>
    <x:xf numFmtId="44" fontId="35" fillId="0" borderId="0" applyNumberFormat="1" applyFill="1" applyBorder="0" applyAlignment="1" applyProtection="1">
      <x:protection locked="1" hidden="0"/>
    </x:xf>
    <x:xf numFmtId="166" fontId="33" fillId="11" borderId="0" applyNumberFormat="1" applyFill="0" applyBorder="0" applyAlignment="1" applyProtection="1">
      <x:protection locked="1" hidden="0"/>
    </x:xf>
    <x:xf numFmtId="165" fontId="14" fillId="6" borderId="19" applyNumberFormat="1" applyFill="0" applyBorder="1" applyAlignment="1" applyProtection="1">
      <x:protection locked="1" hidden="0"/>
    </x:xf>
    <x:xf numFmtId="0" fontId="17"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17" fillId="10" borderId="26" applyNumberFormat="1" applyFill="0" applyBorder="1" applyAlignment="1" applyProtection="1">
      <x:protection locked="0" hidden="0"/>
    </x:xf>
    <x:xf numFmtId="166" fontId="17" fillId="11" borderId="0" applyNumberFormat="1" applyFill="0" applyBorder="0" applyAlignment="1" applyProtection="1">
      <x:protection locked="0" hidden="0"/>
    </x:xf>
    <x:xf numFmtId="0" fontId="24" fillId="9" borderId="19" applyNumberFormat="1" applyFill="0" applyBorder="1" applyAlignment="1" applyProtection="1">
      <x:protection locked="1" hidden="0"/>
    </x:xf>
    <x:xf numFmtId="1" fontId="24" fillId="0" borderId="0" applyNumberFormat="1" applyFill="1" applyBorder="0" applyAlignment="1" applyProtection="1">
      <x:protection locked="1" hidden="0"/>
    </x:xf>
    <x:xf numFmtId="1" fontId="36" fillId="0" borderId="0" applyNumberFormat="1" applyFill="1" applyBorder="0" applyAlignment="1" applyProtection="1">
      <x:protection locked="1" hidden="0"/>
    </x:xf>
    <x:xf numFmtId="3" fontId="36" fillId="0" borderId="0" applyNumberFormat="1" applyFill="1" applyBorder="0" applyAlignment="1" applyProtection="1">
      <x:protection locked="1" hidden="0"/>
    </x:xf>
    <x:xf numFmtId="44" fontId="36" fillId="0" borderId="0" applyNumberFormat="1" applyFill="1" applyBorder="0" applyAlignment="1" applyProtection="1">
      <x:protection locked="1" hidden="0"/>
    </x:xf>
    <x:xf numFmtId="49" fontId="35" fillId="0" borderId="0" applyNumberFormat="1" applyFill="1" applyBorder="0" applyAlignment="1" applyProtection="1">
      <x:protection locked="1" hidden="0"/>
    </x:xf>
    <x:xf numFmtId="44" fontId="35" fillId="4" borderId="0" applyNumberFormat="1" applyFill="0" applyBorder="0" applyAlignment="1" applyProtection="1">
      <x:protection locked="1" hidden="0"/>
    </x:xf>
    <x:xf numFmtId="44" fontId="36" fillId="4" borderId="0" applyNumberFormat="1" applyFill="0" applyBorder="0" applyAlignment="1" applyProtection="1">
      <x:protection locked="1" hidden="0"/>
    </x:xf>
    <x:xf numFmtId="0" fontId="24" fillId="0" borderId="23" applyNumberFormat="1" applyFill="1" applyBorder="1" applyAlignment="1" applyProtection="1">
      <x:protection locked="1" hidden="0"/>
    </x:xf>
    <x:xf numFmtId="0" fontId="20" fillId="0" borderId="12" applyNumberFormat="1" applyFill="1" applyBorder="1" applyAlignment="1" applyProtection="1">
      <x:protection locked="1" hidden="0"/>
    </x:xf>
    <x:xf numFmtId="0" fontId="15" fillId="0" borderId="12" applyNumberFormat="1" applyFill="1" applyBorder="1" applyAlignment="1" applyProtection="1">
      <x:protection locked="1" hidden="0"/>
    </x:xf>
    <x:xf numFmtId="168" fontId="15" fillId="9" borderId="12" applyNumberFormat="1" applyFill="0" applyBorder="1" applyAlignment="1" applyProtection="1">
      <x:protection locked="1" hidden="0"/>
    </x:xf>
    <x:xf numFmtId="0" fontId="24" fillId="0" borderId="24" applyNumberFormat="1" applyFill="1" applyBorder="1" applyAlignment="1" applyProtection="1">
      <x:protection locked="1" hidden="0"/>
    </x:xf>
    <x:xf numFmtId="0" fontId="20" fillId="0" borderId="25" applyNumberFormat="1" applyFill="1" applyBorder="1" applyAlignment="1" applyProtection="1">
      <x:protection locked="1" hidden="0"/>
    </x:xf>
    <x:xf numFmtId="0" fontId="20" fillId="0" borderId="20" applyNumberFormat="1" applyFill="1" applyBorder="1" applyAlignment="1" applyProtection="1">
      <x:protection locked="1" hidden="0"/>
    </x:xf>
    <x:xf numFmtId="168" fontId="15" fillId="9" borderId="20" applyNumberFormat="1" applyFill="0" applyBorder="1" applyAlignment="1" applyProtection="1">
      <x:protection locked="1" hidden="0"/>
    </x:xf>
    <x:xf numFmtId="49" fontId="15" fillId="9" borderId="12" applyNumberFormat="1" applyFill="0" applyBorder="1" applyAlignment="1" applyProtection="1">
      <x:protection locked="1" hidden="0"/>
    </x:xf>
    <x:xf numFmtId="0" fontId="26"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26" fillId="10" borderId="26" applyNumberFormat="1" applyFill="0" applyBorder="1" applyAlignment="1" applyProtection="1">
      <x:protection locked="0" hidden="0"/>
    </x:xf>
    <x:xf numFmtId="0" fontId="26" fillId="10" borderId="14" applyNumberFormat="1" applyFill="0" applyBorder="1" applyAlignment="1" applyProtection="1">
      <x:protection locked="0" hidden="0"/>
    </x:xf>
    <x:xf numFmtId="172" fontId="26" fillId="10" borderId="14" applyNumberFormat="1" applyFill="0" applyBorder="1" applyAlignment="1" applyProtection="1">
      <x:protection locked="0" hidden="0"/>
    </x:xf>
    <x:xf numFmtId="172" fontId="26" fillId="10" borderId="15" applyNumberFormat="1" applyFill="0" applyBorder="1" applyAlignment="1" applyProtection="1">
      <x:protection locked="0" hidden="0"/>
    </x:xf>
    <x:xf numFmtId="167" fontId="26" fillId="10" borderId="19" applyNumberFormat="1" applyFill="0" applyBorder="1" applyAlignment="1" applyProtection="1">
      <x:protection locked="1" hidden="0"/>
    </x:xf>
    <x:xf numFmtId="49" fontId="16" fillId="3" borderId="21" applyNumberFormat="1" applyFill="0" applyBorder="1" applyAlignment="1" applyProtection="1">
      <x:protection locked="0" hidden="0"/>
    </x:xf>
    <x:xf numFmtId="49" fontId="16" fillId="3" borderId="22" applyNumberFormat="1" applyFill="0" applyBorder="1" applyAlignment="1" applyProtection="1">
      <x:protection locked="0" hidden="0"/>
    </x:xf>
    <x:xf numFmtId="166" fontId="16" fillId="11" borderId="0" applyNumberFormat="1" applyFill="0" applyBorder="0" applyAlignment="1" applyProtection="1">
      <x:protection locked="0" hidden="0"/>
    </x:xf>
    <x:xf numFmtId="1" fontId="12" fillId="0" borderId="13" applyNumberFormat="1" applyFill="1" applyBorder="1" applyAlignment="1" applyProtection="1">
      <x:protection locked="1" hidden="0"/>
    </x:xf>
    <x:xf numFmtId="1" fontId="12"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0" fontId="12" fillId="0" borderId="0" applyNumberFormat="1" applyFill="1" applyBorder="0" applyAlignment="1" applyProtection="1">
      <x:protection locked="1" hidden="0"/>
    </x:xf>
    <x:xf numFmtId="0" fontId="12" fillId="0" borderId="16" applyNumberFormat="1" applyFill="1" applyBorder="1" applyAlignment="1" applyProtection="1">
      <x:protection locked="1" hidden="0"/>
    </x:xf>
    <x:xf numFmtId="49" fontId="15" fillId="3" borderId="18" applyNumberFormat="1" applyFill="0" applyBorder="1" applyAlignment="1" applyProtection="1">
      <x:protection locked="0" hidden="0"/>
    </x:xf>
    <x:xf numFmtId="49" fontId="15" fillId="3" borderId="12" applyNumberFormat="1" applyFill="0" applyBorder="1" applyAlignment="1" applyProtection="1">
      <x:protection locked="0" hidden="0"/>
    </x:xf>
    <x:xf numFmtId="0" fontId="0" fillId="0" borderId="27" applyNumberFormat="1" applyFill="1" applyBorder="1" applyAlignment="1" applyProtection="1">
      <x:protection locked="1" hidden="0"/>
    </x:xf>
    <x:xf numFmtId="49" fontId="0" fillId="0" borderId="0" applyNumberFormat="1" applyFill="1" applyBorder="0" applyAlignment="1" applyProtection="1">
      <x:protection locked="1" hidden="0"/>
    </x:xf>
    <x:xf numFmtId="0" fontId="0" fillId="0" borderId="28" applyNumberFormat="1" applyFill="1" applyBorder="1" applyAlignment="1" applyProtection="1">
      <x:protection locked="1" hidden="0"/>
    </x:xf>
  </x:cellStyleXfs>
  <x:cellXfs count="272">
    <x:xf numFmtId="0" fontId="0" fillId="0" borderId="0" xfId="0"/>
    <x:xf numFmtId="0" fontId="6" fillId="0" borderId="0" xfId="0" applyFont="1" applyProtection="1"/>
    <x:xf numFmtId="165" fontId="14" fillId="6" borderId="11" xfId="0" applyNumberFormat="1" applyFont="1" applyFill="1" applyBorder="1" applyAlignment="1" applyProtection="1">
      <x:alignment horizontal="left" wrapText="1"/>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0" fontId="14" fillId="6" borderId="0" xfId="0" applyFont="1" applyFill="1" applyBorder="1" applyAlignment="1" applyProtection="1">
      <x:alignment wrapText="1"/>
    </x:xf>
    <x:xf numFmtId="1" fontId="12" fillId="0" borderId="13" xfId="0" applyNumberFormat="1" applyFont="1" applyFill="1" applyBorder="1" applyAlignment="1">
      <x:alignment horizontal="right" vertical="center"/>
    </x:xf>
    <x:xf numFmtId="49" fontId="15" fillId="9" borderId="12" xfId="0" applyNumberFormat="1" applyFont="1" applyFill="1" applyBorder="1" applyAlignment="1" applyProtection="1">
      <x:alignment horizontal="right" vertical="center"/>
    </x:xf>
    <x:xf numFmtId="44" fontId="19" fillId="4" borderId="0" xfId="0" applyNumberFormat="1" applyFont="1" applyFill="1" applyBorder="1" applyAlignment="1" applyProtection="1"/>
    <x:xf numFmtId="1" fontId="15" fillId="9" borderId="0" xfId="0" applyNumberFormat="1" applyFont="1" applyFill="1" applyBorder="1" applyAlignment="1" applyProtection="1">
      <x:alignment vertical="center" wrapText="1"/>
    </x:xf>
    <x:xf numFmtId="0" fontId="5" fillId="0" borderId="0" xfId="0" applyFont="1" applyFill="1" applyBorder="1" applyAlignment="1" applyProtection="1">
      <x:alignment horizontal="left" indent="1"/>
    </x:xf>
    <x:xf numFmtId="0" fontId="6" fillId="0" borderId="0" xfId="0" applyFont="1" applyFill="1" applyProtection="1"/>
    <x:xf numFmtId="0" fontId="7" fillId="0" borderId="0" xfId="0" applyFont="1" applyFill="1" applyBorder="1" applyAlignment="1" applyProtection="1"/>
    <x:xf numFmtId="0" fontId="0" fillId="0" borderId="0" xfId="0" applyFill="1" applyBorder="1"/>
    <x:xf numFmtId="0" fontId="0" fillId="0" borderId="0" xfId="0" applyFill="1"/>
    <x:xf numFmtId="0" fontId="10" fillId="0" borderId="2" xfId="2" applyFont="1" applyFill="1" applyAlignment="1" applyProtection="1">
      <x:alignment horizontal="left"/>
    </x:xf>
    <x:xf numFmtId="0" fontId="11" fillId="0" borderId="0" xfId="0" applyFont="1" applyFill="1" applyProtection="1"/>
    <x:xf numFmtId="0" fontId="12" fillId="0" borderId="0" xfId="0" applyFont="1" applyFill="1" applyAlignment="1" applyProtection="1">
      <x:alignment vertical="top"/>
    </x:xf>
    <x:xf numFmtId="0" fontId="10" fillId="0" borderId="2" xfId="2" applyFont="1" applyFill="1" applyAlignment="1" applyProtection="1">
      <x:alignment vertical="top"/>
    </x:xf>
    <x:xf numFmtId="0" fontId="10" fillId="0" borderId="2" xfId="2" applyFont="1" applyFill="1" applyProtection="1"/>
    <x:xf numFmtId="0" fontId="3" fillId="0" borderId="2" xfId="2" applyFont="1" applyFill="1" applyAlignment="1" applyProtection="1">
      <x:alignment horizontal="left"/>
    </x:xf>
    <x:xf numFmtId="0" fontId="10" fillId="0" borderId="2" xfId="2" applyFont="1" applyFill="1" applyAlignment="1" applyProtection="1">
      <x:alignment horizontal="right"/>
    </x:xf>
    <x:xf numFmtId="164" fontId="10" fillId="0" borderId="5" xfId="2" applyNumberFormat="1" applyFont="1" applyFill="1" applyBorder="1" applyAlignment="1" applyProtection="1"/>
    <x:xf numFmtId="0" fontId="11" fillId="0" borderId="0" xfId="0" applyFont="1" applyFill="1" applyBorder="1" applyAlignment="1" applyProtection="1"/>
    <x:xf numFmtId="0" fontId="12" fillId="0" borderId="0" xfId="0" applyFont="1" applyFill="1" applyAlignment="1" applyProtection="1"/>
    <x:xf numFmtId="0" fontId="12" fillId="0" borderId="0" xfId="0" applyFont="1" applyFill="1" applyAlignment="1" applyProtection="1">
      <x:alignment horizontal="left"/>
    </x:xf>
    <x:xf numFmtId="164" fontId="13" fillId="0" borderId="0" xfId="0" applyNumberFormat="1" applyFont="1" applyFill="1" applyAlignment="1" applyProtection="1"/>
    <x:xf numFmtId="164" fontId="13" fillId="0" borderId="0" xfId="0" applyNumberFormat="1" applyFont="1" applyFill="1" applyAlignment="1" applyProtection="1">
      <x:alignment horizontal="left"/>
    </x:xf>
    <x:xf numFmtId="1" fontId="12" fillId="0" borderId="0" xfId="0" applyNumberFormat="1" applyFont="1" applyFill="1" applyBorder="1" applyAlignment="1">
      <x:alignment horizontal="right" vertical="center"/>
    </x:xf>
    <x:xf numFmtId="0" fontId="11" fillId="0" borderId="0" xfId="0" applyNumberFormat="1" applyFont="1" applyFill="1" applyBorder="1" applyAlignment="1" applyProtection="1">
      <x:alignment horizontal="left"/>
    </x:xf>
    <x:xf numFmtId="0" fontId="11" fillId="0" borderId="0" xfId="0" applyFont="1" applyFill="1" applyBorder="1" applyAlignment="1" applyProtection="1">
      <x:alignment horizontal="left"/>
    </x:xf>
    <x:xf numFmtId="0" fontId="12" fillId="0" borderId="0" xfId="0" applyFont="1" applyFill="1" applyBorder="1" applyAlignment="1" applyProtection="1">
      <x:alignment horizontal="right"/>
    </x:xf>
    <x:xf numFmtId="0" fontId="18" fillId="0" borderId="0" xfId="0" applyFont="1" applyFill="1" applyBorder="1" applyProtection="1"/>
    <x:xf numFmtId="44" fontId="19" fillId="0" borderId="0" xfId="0" applyNumberFormat="1" applyFont="1" applyFill="1" applyBorder="1" applyAlignment="1" applyProtection="1"/>
    <x:xf numFmtId="0" fontId="11" fillId="0" borderId="0" xfId="0" applyFont="1" applyFill="1" applyAlignment="1" applyProtection="1"/>
    <x:xf numFmtId="49" fontId="19" fillId="0" borderId="0" xfId="0" applyNumberFormat="1" applyFont="1" applyFill="1" applyBorder="1" applyAlignment="1" applyProtection="1"/>
    <x:xf numFmtId="4" fontId="15" fillId="7" borderId="17" xfId="0" applyNumberFormat="1" applyFont="1" applyFill="1" applyBorder="1" applyAlignment="1" applyProtection="1">
      <x:alignment vertical="center"/>
      <x:protection locked="0"/>
    </x:xf>
    <x:xf numFmtId="0" fontId="12" fillId="0" borderId="16" xfId="0" applyFont="1" applyFill="1" applyBorder="1" applyAlignment="1" applyProtection="1">
      <x:alignment vertical="center"/>
    </x:xf>
    <x:xf numFmtId="49" fontId="16" fillId="7" borderId="12" xfId="5" applyNumberFormat="1" applyFont="1" applyFill="1" applyBorder="1" applyAlignment="1" applyProtection="1">
      <x:alignment vertical="center"/>
      <x:protection locked="0"/>
    </x:xf>
    <x:xf numFmtId="11" fontId="16" fillId="8" borderId="17" xfId="5" applyNumberFormat="1" applyFont="1" applyFill="1" applyBorder="1" applyAlignment="1" applyProtection="1">
      <x:alignment vertical="center"/>
      <x:protection locked="0"/>
    </x:xf>
    <x:xf numFmtId="0" fontId="11" fillId="0" borderId="23" xfId="0" applyFont="1" applyFill="1" applyBorder="1" applyAlignment="1" applyProtection="1"/>
    <x:xf numFmtId="0" fontId="11" fillId="0" borderId="24" xfId="0" applyFont="1" applyFill="1" applyBorder="1" applyAlignment="1" applyProtection="1"/>
    <x:xf numFmtId="44" fontId="21" fillId="0" borderId="0" xfId="0" applyNumberFormat="1" applyFont="1" applyFill="1" applyBorder="1" applyAlignment="1" applyProtection="1"/>
    <x:xf numFmtId="1" fontId="21" fillId="0" borderId="0" xfId="0" applyNumberFormat="1" applyFont="1" applyFill="1" applyBorder="1" applyAlignment="1" applyProtection="1"/>
    <x:xf numFmtId="3" fontId="21" fillId="0" borderId="0" xfId="0" applyNumberFormat="1" applyFont="1" applyFill="1" applyBorder="1" applyAlignment="1" applyProtection="1"/>
    <x:xf numFmtId="1" fontId="11" fillId="0" borderId="0" xfId="0" applyNumberFormat="1" applyFont="1" applyFill="1" applyBorder="1" applyProtection="1"/>
    <x:xf numFmtId="0" fontId="0" fillId="0" borderId="0" xfId="0" applyFont="1"/>
    <x:xf numFmtId="44" fontId="21" fillId="4" borderId="0" xfId="0" applyNumberFormat="1" applyFont="1" applyFill="1" applyBorder="1" applyAlignment="1" applyProtection="1"/>
    <x:xf numFmtId="44" fontId="21" fillId="4" borderId="0" xfId="0" applyNumberFormat="1" applyFont="1" applyFill="1" applyBorder="1" applyAlignment="1" applyProtection="1">
      <x:alignment wrapText="1"/>
    </x:xf>
    <x:xf numFmtId="0" fontId="22" fillId="0" borderId="2" xfId="2" applyFont="1" applyFill="1" applyAlignment="1" applyProtection="1"/>
    <x:xf numFmtId="0" fontId="22" fillId="0" borderId="2" xfId="2" applyFont="1" applyFill="1" applyProtection="1"/>
    <x:xf numFmtId="0" fontId="17" fillId="10" borderId="21" xfId="4" applyFont="1" applyFill="1" applyBorder="1" applyAlignment="1" applyProtection="1">
      <x:alignment horizontal="left" vertical="top"/>
      <x:protection locked="0"/>
    </x:xf>
    <x:xf numFmtId="0" fontId="17" fillId="10" borderId="26" xfId="4" applyFont="1" applyFill="1" applyBorder="1" applyAlignment="1" applyProtection="1">
      <x:alignment horizontal="left" vertical="top"/>
      <x:protection locked="0"/>
    </x:xf>
    <x:xf numFmtId="166" fontId="10" fillId="0" borderId="2" xfId="2" applyNumberFormat="1" applyFont="1" applyFill="1" applyProtection="1"/>
    <x:xf numFmtId="167" fontId="15" fillId="9" borderId="12" xfId="0" applyNumberFormat="1" applyFont="1" applyFill="1" applyBorder="1" applyAlignment="1" applyProtection="1">
      <x:alignment vertical="center"/>
    </x:xf>
    <x:xf numFmtId="168" fontId="15" fillId="9" borderId="20" xfId="0" applyNumberFormat="1" applyFont="1" applyFill="1" applyBorder="1" applyAlignment="1" applyProtection="1">
      <x:alignment horizontal="left" vertical="center"/>
    </x:xf>
    <x:xf numFmtId="168" fontId="15" fillId="9" borderId="12" xfId="0" applyNumberFormat="1" applyFont="1" applyFill="1" applyBorder="1" applyAlignment="1" applyProtection="1">
      <x:alignment horizontal="left" vertical="center"/>
    </x:xf>
    <x:xf numFmtId="0" fontId="14" fillId="6" borderId="0" xfId="0" applyFont="1" applyFill="1" applyBorder="1" applyAlignment="1" applyProtection="1">
      <x:alignment horizontal="left" wrapText="1"/>
    </x:xf>
    <x:xf numFmtId="166" fontId="8" fillId="0" borderId="0" xfId="0" applyNumberFormat="1" applyFont="1" applyFill="1" applyBorder="1" applyAlignment="1" applyProtection="1">
      <x:alignment horizontal="right"/>
    </x:xf>
    <x:xf numFmtId="166" fontId="0" fillId="0" borderId="0" xfId="0" applyNumberFormat="1" applyFill="1" applyBorder="1"/>
    <x:xf numFmtId="166" fontId="10" fillId="0" borderId="0" xfId="2" applyNumberFormat="1" applyFont="1" applyFill="1" applyBorder="1" applyAlignment="1" applyProtection="1">
      <x:alignment horizontal="left"/>
    </x:xf>
    <x:xf numFmtId="166" fontId="10" fillId="0" borderId="0" xfId="2" applyNumberFormat="1" applyFont="1" applyFill="1" applyBorder="1" applyAlignment="1" applyProtection="1">
      <x:alignment vertical="top"/>
    </x:xf>
    <x:xf numFmtId="166" fontId="11" fillId="0" borderId="0" xfId="0" applyNumberFormat="1" applyFont="1" applyFill="1" applyProtection="1"/>
    <x:xf numFmtId="166" fontId="14" fillId="11" borderId="0" xfId="0" applyNumberFormat="1" applyFont="1" applyFill="1" applyBorder="1" applyAlignment="1" applyProtection="1">
      <x:alignment horizontal="left" wrapText="1"/>
    </x:xf>
    <x:xf numFmtId="166" fontId="6" fillId="11" borderId="0" xfId="0" applyNumberFormat="1" applyFont="1" applyFill="1" applyBorder="1" applyProtection="1"/>
    <x:xf numFmtId="166" fontId="16" fillId="11" borderId="0" xfId="5" applyNumberFormat="1" applyFont="1" applyFill="1" applyBorder="1" applyAlignment="1" applyProtection="1">
      <x:alignment horizontal="left" vertical="center"/>
      <x:protection locked="0"/>
    </x:xf>
    <x:xf numFmtId="166" fontId="6" fillId="11" borderId="0" xfId="0" applyNumberFormat="1" applyFont="1" applyFill="1" applyProtection="1"/>
    <x:xf numFmtId="166" fontId="17" fillId="11" borderId="0" xfId="4" applyNumberFormat="1" applyFont="1" applyFill="1" applyBorder="1" applyAlignment="1" applyProtection="1">
      <x:alignment horizontal="left" vertical="top"/>
      <x:protection locked="0"/>
    </x:xf>
    <x:xf numFmtId="166" fontId="20" fillId="11" borderId="0" xfId="0" applyNumberFormat="1" applyFont="1" applyFill="1" applyBorder="1" applyAlignment="1" applyProtection="1">
      <x:alignment horizontal="left" vertical="top"/>
    </x:xf>
    <x:xf numFmtId="166" fontId="15" fillId="11" borderId="0" xfId="0" applyNumberFormat="1" applyFont="1" applyFill="1" applyBorder="1" applyAlignment="1" applyProtection="1">
      <x:alignment vertical="center" wrapText="1"/>
    </x:xf>
    <x:xf numFmtId="166" fontId="15" fillId="11" borderId="0" xfId="0" applyNumberFormat="1" applyFont="1" applyFill="1" applyBorder="1" applyAlignment="1" applyProtection="1">
      <x:alignment horizontal="left" vertical="top" wrapText="1"/>
    </x:xf>
    <x:xf numFmtId="166" fontId="20" fillId="11" borderId="0" xfId="0" applyNumberFormat="1" applyFont="1" applyFill="1" applyBorder="1" applyAlignment="1" applyProtection="1">
      <x:alignment horizontal="left" vertical="top" wrapText="1"/>
    </x:xf>
    <x:xf numFmtId="166" fontId="15" fillId="11" borderId="0" xfId="0" applyNumberFormat="1" applyFont="1" applyFill="1" applyBorder="1" applyAlignment="1" applyProtection="1">
      <x:alignment horizontal="left" vertical="top"/>
    </x:xf>
    <x:xf numFmtId="166" fontId="0" fillId="0" borderId="0" xfId="0" applyNumberFormat="1" applyFill="1"/>
    <x:xf numFmtId="0" fontId="14" fillId="6" borderId="0" xfId="0" applyFont="1" applyFill="1" applyBorder="1" applyAlignment="1" applyProtection="1">
      <x:alignment horizontal="left" wrapText="1"/>
    </x:xf>
    <x:xf numFmtId="166" fontId="16" fillId="11" borderId="0" xfId="5" applyNumberFormat="1" applyFont="1" applyFill="1" applyBorder="1" applyAlignment="1" applyProtection="1">
      <x:alignment vertical="center"/>
    </x:xf>
    <x:xf numFmtId="1" fontId="15" fillId="0" borderId="12" xfId="0" applyNumberFormat="1" applyFont="1" applyFill="1" applyBorder="1" applyAlignment="1" applyProtection="1">
      <x:alignment horizontal="right" vertical="center"/>
    </x:xf>
    <x:xf numFmtId="49" fontId="15" fillId="0" borderId="12" xfId="0" applyNumberFormat="1" applyFont="1" applyFill="1" applyBorder="1" applyAlignment="1" applyProtection="1">
      <x:alignment horizontal="left" vertical="center"/>
    </x:xf>
    <x:xf numFmtId="49" fontId="15" fillId="0" borderId="12" xfId="0" applyNumberFormat="1" applyFont="1" applyFill="1" applyBorder="1" applyAlignment="1" applyProtection="1">
      <x:alignment vertical="center" wrapText="1"/>
    </x:xf>
    <x:xf numFmtId="49" fontId="15" fillId="0" borderId="12" xfId="0" applyNumberFormat="1" applyFont="1" applyFill="1" applyBorder="1" applyAlignment="1" applyProtection="1">
      <x:alignment vertical="center"/>
    </x:xf>
    <x:xf numFmtId="49" fontId="15" fillId="0" borderId="12" xfId="0" applyNumberFormat="1" applyFont="1" applyFill="1" applyBorder="1" applyAlignment="1" applyProtection="1">
      <x:alignment horizontal="left" vertical="center"/>
      <x:protection locked="0"/>
    </x:xf>
    <x:xf numFmtId="49" fontId="16" fillId="0" borderId="12" xfId="5" applyNumberFormat="1" applyFont="1" applyFill="1" applyBorder="1" applyAlignment="1" applyProtection="1">
      <x:alignment vertical="center"/>
    </x:xf>
    <x:xf numFmtId="0" fontId="25" fillId="5" borderId="3" xfId="4" applyFont="1" applyFill="1" applyAlignment="1" applyProtection="1">
      <x:alignment horizontal="left"/>
      <x:protection locked="0"/>
    </x:xf>
    <x:xf numFmtId="4" fontId="25" fillId="5" borderId="6" xfId="4" applyNumberFormat="1" applyFont="1" applyFill="1" applyBorder="1" applyAlignment="1" applyProtection="1">
      <x:alignment horizontal="right"/>
      <x:protection locked="0"/>
    </x:xf>
    <x:xf numFmtId="167" fontId="26" fillId="5" borderId="3" xfId="4" applyNumberFormat="1" applyFont="1" applyFill="1" applyAlignment="1" applyProtection="1">
      <x:alignment horizontal="right"/>
      <x:protection locked="0"/>
    </x:xf>
    <x:xf numFmtId="0" fontId="26" fillId="5" borderId="3" xfId="4" applyFont="1" applyFill="1" applyAlignment="1" applyProtection="1">
      <x:alignment horizontal="right"/>
      <x:protection locked="0"/>
    </x:xf>
    <x:xf numFmtId="0" fontId="26" fillId="10" borderId="14" xfId="4" applyFont="1" applyFill="1" applyBorder="1" applyAlignment="1" applyProtection="1">
      <x:alignment horizontal="left"/>
      <x:protection locked="0"/>
    </x:xf>
    <x:xf numFmtId="168" fontId="26" fillId="10" borderId="14" xfId="4" applyNumberFormat="1" applyFont="1" applyFill="1" applyBorder="1" applyAlignment="1" applyProtection="1">
      <x:alignment horizontal="left"/>
      <x:protection locked="0"/>
    </x:xf>
    <x:xf numFmtId="168" fontId="26" fillId="10" borderId="15" xfId="4" applyNumberFormat="1" applyFont="1" applyFill="1" applyBorder="1" applyAlignment="1" applyProtection="1">
      <x:alignment horizontal="left"/>
      <x:protection locked="0"/>
    </x:xf>
    <x:xf numFmtId="167" fontId="26" fillId="10" borderId="19" xfId="4" applyNumberFormat="1" applyFont="1" applyFill="1" applyBorder="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2" fontId="15" fillId="0" borderId="12" xfId="0" applyNumberFormat="1" applyFont="1" applyFill="1" applyBorder="1" applyAlignment="1" applyProtection="1">
      <x:alignment horizontal="right" vertical="center"/>
    </x:xf>
    <x:xf numFmtId="49" fontId="15" fillId="7" borderId="18" xfId="0" applyNumberFormat="1" applyFont="1" applyFill="1" applyBorder="1" applyAlignment="1" applyProtection="1">
      <x:alignment horizontal="right" vertical="center"/>
      <x:protection locked="0"/>
    </x:xf>
    <x:xf numFmtId="49" fontId="15" fillId="7" borderId="17" xfId="0" applyNumberFormat="1" applyFont="1" applyFill="1" applyBorder="1" applyAlignment="1" applyProtection="1">
      <x:alignment vertical="center"/>
    </x:xf>
    <x:xf numFmtId="49" fontId="15" fillId="7" borderId="12" xfId="0" applyNumberFormat="1" applyFont="1" applyFill="1" applyBorder="1" applyAlignment="1" applyProtection="1">
      <x:alignment vertical="center"/>
      <x:protection locked="0"/>
    </x:xf>
    <x:xf numFmtId="0" fontId="0" fillId="0" borderId="27" xfId="0" applyBorder="1"/>
    <x:xf numFmtId="0" fontId="0" fillId="0" borderId="0" xfId="0" applyBorder="1"/>
    <x:xf numFmtId="0" fontId="0" fillId="0" borderId="28" xfId="0" applyBorder="1"/>
    <x:xf numFmtId="49" fontId="0" fillId="0" borderId="0" xfId="0" applyNumberFormat="1" applyBorder="1"/>
    <x:xf numFmtId="0" fontId="3" fillId="0" borderId="4" xfId="3" applyFont="1" applyFill="1" applyBorder="1" applyAlignment="1" applyProtection="1">
      <x:alignment vertical="top" wrapText="1"/>
    </x:xf>
    <x:xf numFmtId="0" fontId="3" fillId="0" borderId="0" xfId="3" applyFont="1" applyFill="1" applyBorder="1" applyAlignment="1" applyProtection="1">
      <x:alignment vertical="top" wrapText="1"/>
    </x:xf>
    <x:xf numFmtId="0" fontId="29" fillId="0" borderId="0" xfId="0" applyFont="1" applyFill="1" applyBorder="1" applyAlignment="1" applyProtection="1">
      <x:alignment wrapText="1"/>
    </x:xf>
    <x:xf numFmtId="0" fontId="29" fillId="0" borderId="0" xfId="0" applyFont="1" applyFill="1" applyBorder="1" applyAlignment="1" applyProtection="1">
      <x:alignment horizontal="left" wrapText="1"/>
    </x:xf>
    <x:xf numFmtId="0" fontId="10" fillId="0" borderId="2" xfId="2" applyFont="1" applyFill="1" applyAlignment="1" applyProtection="1"/>
    <x:xf numFmtId="0" fontId="28" fillId="0" borderId="0" xfId="0" applyFont="1" applyFill="1" applyBorder="1" applyAlignment="1" applyProtection="1">
      <x:alignment wrapText="1"/>
    </x:xf>
    <x:xf numFmtId="0" fontId="28" fillId="0" borderId="29" xfId="0" applyFont="1" applyFill="1" applyBorder="1" applyAlignment="1" applyProtection="1">
      <x:alignment wrapText="1"/>
    </x:xf>
    <x:xf numFmtId="1" fontId="15" fillId="9" borderId="0" xfId="0" applyNumberFormat="1" applyFont="1" applyFill="1" applyBorder="1" applyAlignment="1" applyProtection="1">
      <x:alignment horizontal="left" vertical="top" wrapText="1"/>
    </x:xf>
    <x:xf numFmtId="165" fontId="14" fillId="6" borderId="0" xfId="0" applyNumberFormat="1" applyFont="1" applyFill="1" applyBorder="1" applyAlignment="1" applyProtection="1">
      <x:alignment horizontal="left" wrapText="1"/>
    </x:xf>
    <x:xf numFmtId="1" fontId="20" fillId="9" borderId="0" xfId="0" applyNumberFormat="1" applyFont="1" applyFill="1" applyBorder="1" applyAlignment="1" applyProtection="1">
      <x:alignment horizontal="left" vertical="top"/>
    </x:xf>
    <x:xf numFmtId="1" fontId="15" fillId="9" borderId="0" xfId="0" applyNumberFormat="1" applyFont="1" applyFill="1" applyBorder="1" applyAlignment="1" applyProtection="1">
      <x:alignment horizontal="left" vertical="top"/>
    </x:xf>
    <x:xf numFmtId="1" fontId="20" fillId="9" borderId="0" xfId="0" applyNumberFormat="1" applyFont="1" applyFill="1" applyBorder="1" applyAlignment="1" applyProtection="1">
      <x:alignment horizontal="left" vertical="top" wrapText="1"/>
    </x:xf>
    <x:xf numFmtId="165" fontId="14" fillId="6" borderId="19" xfId="0" applyNumberFormat="1" applyFont="1" applyFill="1" applyBorder="1" applyAlignment="1" applyProtection="1">
      <x:alignment horizontal="left" vertical="center" wrapText="1"/>
    </x:xf>
    <x:xf numFmtId="49" fontId="16" fillId="7" borderId="21" xfId="5" applyNumberFormat="1" applyFont="1" applyFill="1" applyBorder="1" applyAlignment="1" applyProtection="1">
      <x:alignment horizontal="left" vertical="center"/>
      <x:protection locked="0"/>
    </x:xf>
    <x:xf numFmtId="49" fontId="16" fillId="7" borderId="22" xfId="5" applyNumberFormat="1" applyFont="1" applyFill="1" applyBorder="1" applyAlignment="1" applyProtection="1">
      <x:alignment horizontal="left" vertical="center"/>
      <x:protection locked="0"/>
    </x:xf>
    <x:xf numFmtId="0" fontId="20" fillId="0" borderId="25" xfId="0" applyNumberFormat="1" applyFont="1" applyFill="1" applyBorder="1" applyAlignment="1" applyProtection="1">
      <x:alignment horizontal="left" vertical="center"/>
    </x:xf>
    <x:xf numFmtId="0" fontId="20" fillId="0" borderId="20" xfId="0" applyNumberFormat="1" applyFont="1" applyFill="1" applyBorder="1" applyAlignment="1" applyProtection="1">
      <x:alignment horizontal="left" vertical="center"/>
    </x:xf>
    <x:xf numFmtId="0" fontId="15" fillId="0" borderId="12" xfId="0" applyNumberFormat="1" applyFont="1" applyFill="1" applyBorder="1" applyAlignment="1" applyProtection="1">
      <x:alignment horizontal="left" vertical="center"/>
    </x:xf>
    <x:xf numFmtId="0" fontId="20" fillId="0" borderId="12" xfId="0" applyNumberFormat="1" applyFont="1" applyFill="1" applyBorder="1" applyAlignment="1" applyProtection="1">
      <x:alignment horizontal="left" vertical="center"/>
    </x:xf>
    <x:xf numFmtId="0" fontId="24" fillId="9" borderId="19" xfId="0" applyNumberFormat="1" applyFont="1" applyFill="1" applyBorder="1" applyAlignment="1" applyProtection="1">
      <x:alignment horizontal="left" vertical="center"/>
    </x:xf>
    <x:xf numFmtId="0" fontId="26" fillId="10" borderId="22" xfId="4" applyFont="1" applyFill="1" applyBorder="1" applyAlignment="1" applyProtection="1">
      <x:alignment horizontal="left" vertical="top"/>
      <x:protection locked="0"/>
    </x:xf>
    <x:xf numFmtId="0" fontId="26" fillId="10" borderId="21" xfId="4" applyFont="1" applyFill="1" applyBorder="1" applyAlignment="1" applyProtection="1">
      <x:alignment horizontal="left"/>
      <x:protection locked="0"/>
    </x:xf>
    <x:xf numFmtId="0" fontId="26" fillId="10" borderId="22" xfId="4" applyFont="1" applyFill="1" applyBorder="1" applyAlignment="1" applyProtection="1">
      <x:alignment horizontal="left"/>
      <x:protection locked="0"/>
    </x:xf>
    <x:xf numFmtId="0" fontId="26" fillId="10" borderId="26" xfId="4" applyFont="1" applyFill="1" applyBorder="1" applyAlignment="1" applyProtection="1">
      <x:alignment horizontal="left"/>
      <x:protection locked="0"/>
    </x:xf>
    <x:xf numFmtId="0" fontId="14" fillId="6" borderId="0" xfId="0" applyFont="1" applyFill="1" applyBorder="1" applyAlignment="1" applyProtection="1">
      <x:alignment horizontal="left" wrapText="1"/>
    </x:xf>
    <x:xf numFmtId="0" fontId="22" fillId="0" borderId="5" xfId="2" applyFont="1" applyFill="1" applyBorder="1" applyAlignment="1" applyProtection="1">
      <x:alignment horizontal="left"/>
    </x:xf>
    <x:xf numFmtId="49" fontId="10" fillId="0" borderId="2" xfId="2" applyNumberFormat="1" applyFont="1" applyFill="1" applyAlignment="1" applyProtection="1">
      <x:alignment horizontal="left"/>
    </x:xf>
    <x:xf numFmtId="0" fontId="30" fillId="0" borderId="0" xfId="6" applyFill="1" applyBorder="1" applyAlignment="1" applyProtection="1">
      <x:alignment horizontal="left" wrapText="1"/>
    </x:xf>
    <x:xf numFmtId="0" fontId="28" fillId="0" borderId="0" xfId="0" applyFont="1" applyFill="1" applyBorder="1" applyAlignment="1" applyProtection="1">
      <x:alignment horizontal="left" wrapText="1"/>
    </x:xf>
    <x:xf numFmtId="0" fontId="28" fillId="0" borderId="29" xfId="0" applyFont="1" applyFill="1" applyBorder="1" applyAlignment="1" applyProtection="1">
      <x:alignment horizontal="left" wrapText="1"/>
    </x:xf>
    <x:xf numFmtId="0" fontId="13" fillId="0" borderId="0" xfId="0" applyFont="1" applyFill="1" applyAlignment="1" applyProtection="1">
      <x:alignment horizontal="left"/>
    </x:xf>
    <x:xf numFmtId="0" fontId="22" fillId="0" borderId="2" xfId="2" applyFont="1" applyFill="1" applyAlignment="1" applyProtection="1">
      <x:alignment horizontal="left"/>
    </x:xf>
    <x:xf numFmtId="4" fontId="25" fillId="5" borderId="8" xfId="4" applyNumberFormat="1" applyFont="1" applyFill="1" applyBorder="1" applyAlignment="1" applyProtection="1">
      <x:alignment horizontal="left"/>
      <x:protection locked="0"/>
    </x:xf>
    <x:xf numFmtId="4" fontId="25" fillId="5" borderId="9" xfId="4" applyNumberFormat="1" applyFont="1" applyFill="1" applyBorder="1" applyAlignment="1" applyProtection="1">
      <x:alignment horizontal="left"/>
      <x:protection locked="0"/>
    </x:xf>
    <x:xf numFmtId="4" fontId="25" fillId="5" borderId="10" xfId="4" applyNumberFormat="1" applyFont="1" applyFill="1" applyBorder="1" applyAlignment="1" applyProtection="1">
      <x:alignment horizontal="left"/>
      <x:protection locked="0"/>
    </x:xf>
    <x:xf numFmtId="0" fontId="23" fillId="0" borderId="2" xfId="2" applyFont="1" applyFill="1" applyAlignment="1" applyProtection="1">
      <x:alignment horizontal="left"/>
    </x:xf>
    <x:xf numFmtId="49" fontId="10" fillId="0" borderId="2" xfId="2" applyNumberFormat="1" applyFont="1" applyFill="1" applyAlignment="1" applyProtection="1">
      <x:alignment horizontal="left"/>
      <x:protection locked="0"/>
    </x:xf>
    <x:xf numFmtId="0" fontId="3" fillId="0" borderId="7" xfId="2" applyFont="1" applyFill="1" applyBorder="1" applyAlignment="1" applyProtection="1">
      <x:alignment horizontal="left"/>
    </x:xf>
    <x:xf numFmtId="0" fontId="9" fillId="0" borderId="0" xfId="0" applyFont="1" applyFill="1" applyBorder="1" applyAlignment="1" applyProtection="1">
      <x:alignment horizontal="right"/>
    </x:xf>
    <x:xf numFmtId="0" fontId="8" fillId="0" borderId="0" xfId="0" applyFont="1" applyFill="1" applyBorder="1" applyAlignment="1" applyProtection="1">
      <x:alignment horizontal="right"/>
    </x:xf>
    <x:xf numFmtId="0" fontId="2" fillId="0" borderId="1" xfId="1" applyFont="1" applyFill="1" applyAlignment="1" applyProtection="1">
      <x:alignment horizontal="left"/>
    </x:xf>
    <x:xf numFmtId="49" fontId="3" fillId="0" borderId="2" xfId="2" applyNumberFormat="1" applyFont="1" applyFill="1" applyAlignment="1" applyProtection="1">
      <x:alignment horizontal="left" wrapText="1"/>
    </x:xf>
    <x:xf numFmtId="169" fontId="10" fillId="0" borderId="2" xfId="2" applyNumberFormat="1" applyFont="1" applyFill="1" applyAlignment="1" applyProtection="1">
      <x:alignment horizontal="left"/>
    </x:xf>
    <x:xf numFmtId="49" fontId="10" fillId="0" borderId="5" xfId="2" applyNumberFormat="1" applyFont="1" applyFill="1" applyBorder="1" applyAlignment="1" applyProtection="1">
      <x:alignment horizontal="left"/>
    </x:xf>
    <x:xf numFmtId="170" fontId="10" fillId="0" borderId="2" xfId="2" applyNumberFormat="1" applyFont="1" applyFill="1" applyAlignment="1" applyProtection="1">
      <x:alignment horizontal="left"/>
    </x:xf>
    <x:xf numFmtId="0" fontId="3" fillId="0" borderId="4" xfId="3" applyFont="1" applyFill="1" applyBorder="1" applyAlignment="1" applyProtection="1">
      <x:alignment horizontal="left" wrapText="1"/>
    </x:xf>
    <x:xf numFmtId="0" fontId="3" fillId="0" borderId="2" xfId="2" applyFont="1" applyFill="1" applyAlignment="1" applyProtection="1">
      <x:alignment horizontal="left" wrapText="1"/>
    </x:xf>
    <x:xf numFmtId="0"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22"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166" fontId="10"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32" fillId="0" borderId="0" xfId="0" applyNumberFormat="1" applyFill="1" applyBorder="0" applyAlignment="1" applyProtection="1">
      <x:alignment horizontal="left" vertical="bottom" textRotation="0" wrapText="0" indent="1" relativeIndent="0" justifyLastLine="0" shrinkToFit="0" readingOrder="0"/>
      <x:protection locked="1" hidden="0"/>
    </x:xf>
    <x:xf numFmtId="0" fontId="3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7"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9" fillId="0" borderId="0" xfId="0" applyNumberFormat="1" applyFill="1" applyBorder="0" applyAlignment="1" applyProtection="1">
      <x:alignment horizontal="right" vertical="bottom" textRotation="0" wrapText="0" indent="0" relativeIndent="0" justifyLastLine="0" shrinkToFit="0" readingOrder="0"/>
      <x:protection locked="1" hidden="0"/>
    </x:xf>
    <x:xf numFmtId="0"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 fillId="0" borderId="1" xfId="0" applyNumberFormat="1" applyFill="1" applyBorder="1" applyAlignment="1" applyProtection="1">
      <x:alignment horizontal="left" vertical="bottom" textRotation="0" wrapText="0" indent="0" relativeIndent="0" justifyLastLine="0" shrinkToFit="0" readingOrder="0"/>
      <x:protection locked="1" hidden="0"/>
    </x:xf>
    <x:xf numFmtId="0"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3" fillId="0" borderId="0" xfId="0" applyNumberFormat="1" applyFill="1" applyBorder="0" applyAlignment="1" applyProtection="1">
      <x:alignment horizontal="general" vertical="top" textRotation="0" wrapText="1" indent="0" relativeIndent="0" justifyLastLine="0" shrinkToFit="0" readingOrder="0"/>
      <x:protection locked="1" hidden="0"/>
    </x:xf>
    <x:xf numFmtId="0"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2" fillId="0" borderId="0" xfId="0" applyNumberFormat="1" applyFill="1" applyBorder="0" applyAlignment="1" applyProtection="1">
      <x:alignment horizontal="general" vertical="top" textRotation="0" wrapText="0" indent="0" relativeIndent="0" justifyLastLine="0" shrinkToFit="0" readingOrder="0"/>
      <x:protection locked="1" hidden="0"/>
    </x:xf>
    <x:xf numFmtId="17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10" fillId="0" borderId="2" xfId="0" applyNumberFormat="1" applyFill="1" applyBorder="1" applyAlignment="1" applyProtection="1">
      <x:alignment horizontal="general" vertical="top" textRotation="0" wrapText="0" indent="0" relativeIndent="0" justifyLastLine="0" shrinkToFit="0" readingOrder="0"/>
      <x:protection locked="1" hidden="0"/>
    </x:xf>
    <x:xf numFmtId="166" fontId="10" fillId="0" borderId="0" xfId="0" applyNumberFormat="1" applyFill="1" applyBorder="0" applyAlignment="1" applyProtection="1">
      <x:alignment horizontal="general" vertical="top" textRotation="0" wrapText="0" indent="0" relativeIndent="0" justifyLastLine="0" shrinkToFit="0" readingOrder="0"/>
      <x:protection locked="1" hidden="0"/>
    </x:xf>
    <x:xf numFmtId="0" fontId="29"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29"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30"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22"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5" fillId="5" borderId="3" xfId="0" applyNumberFormat="1" applyFill="0" applyBorder="1" applyAlignment="1" applyProtection="1">
      <x:alignment horizontal="left" vertical="bottom" textRotation="0" wrapText="0" indent="0" relativeIndent="0" justifyLastLine="0" shrinkToFit="0" readingOrder="0"/>
      <x:protection locked="0" hidden="0"/>
    </x:xf>
    <x:xf numFmtId="0" fontId="10" fillId="0" borderId="2" xfId="0" applyNumberFormat="1" applyFill="1" applyBorder="1" applyAlignment="1" applyProtection="1">
      <x:alignment horizontal="right" vertical="bottom" textRotation="0" wrapText="0" indent="0" relativeIndent="0" justifyLastLine="0" shrinkToFit="0" readingOrder="0"/>
      <x:protection locked="1" hidden="0"/>
    </x:xf>
    <x:xf numFmtId="4" fontId="25" fillId="5" borderId="6" xfId="0" applyNumberFormat="1" applyFill="0" applyBorder="1" applyAlignment="1" applyProtection="1">
      <x:alignment horizontal="right" vertical="bottom" textRotation="0" wrapText="0" indent="0" relativeIndent="0" justifyLastLine="0" shrinkToFit="0" readingOrder="0"/>
      <x:protection locked="0" hidden="0"/>
    </x:xf>
    <x:xf numFmtId="0" fontId="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 fontId="25" fillId="5" borderId="8"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9"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10" xfId="0" applyNumberFormat="1" applyFill="0" applyBorder="1" applyAlignment="1" applyProtection="1">
      <x:alignment horizontal="left" vertical="bottom" textRotation="0" wrapText="0" indent="0" relativeIndent="0" justifyLastLine="0" shrinkToFit="0" readingOrder="0"/>
      <x:protection locked="0" hidden="0"/>
    </x:xf>
    <x:xf numFmtId="0" fontId="2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0" hidden="0"/>
    </x:xf>
    <x:xf numFmtId="0"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166"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167"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0" fontId="12"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6"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5" fontId="14" fillId="6" borderId="11" xfId="0" applyNumberFormat="1" applyFill="0" applyBorder="1" applyAlignment="1" applyProtection="1">
      <x:alignment horizontal="left" vertical="bottom" textRotation="0" wrapText="1" indent="0" relativeIndent="0" justifyLastLine="0" shrinkToFit="0" readingOrder="0"/>
      <x:protection locked="1" hidden="0"/>
    </x:xf>
    <x:xf numFmtId="165"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general"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166" fontId="14" fillId="11" borderId="0" xfId="0" applyNumberFormat="1" applyFill="0" applyBorder="0" applyAlignment="1" applyProtection="1">
      <x:alignment horizontal="left" vertical="bottom" textRotation="0" wrapText="1" indent="0" relativeIndent="0" justifyLastLine="0" shrinkToFit="0" readingOrder="0"/>
      <x:protection locked="1" hidden="0"/>
    </x:xf>
    <x:xf numFmtId="1"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lef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1"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2"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12" borderId="18" xfId="0" applyNumberFormat="1" applyFill="0" applyBorder="1" applyAlignment="1" applyProtection="1">
      <x:alignment horizontal="right" vertical="center" textRotation="0" wrapText="0" indent="0" relativeIndent="0" justifyLastLine="0" shrinkToFit="0" readingOrder="0"/>
      <x:protection locked="1" hidden="0"/>
    </x:xf>
    <x:xf numFmtId="167"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11" fontId="16" fillId="8" borderId="17" xfId="0" applyNumberFormat="1" applyFill="0" applyBorder="1" applyAlignment="1" applyProtection="1">
      <x:alignment horizontal="general"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general" vertical="center" textRotation="0" wrapText="0" indent="0" relativeIndent="0" justifyLastLine="0" shrinkToFit="0" readingOrder="0"/>
      <x:protection locked="1" hidden="0"/>
    </x:xf>
    <x:xf numFmtId="172"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172"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172"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167" fontId="15" fillId="9"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49"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1"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0" indent="0" relativeIndent="0" justifyLastLine="0" shrinkToFit="0" readingOrder="0"/>
      <x:protection locked="1" hidden="0"/>
    </x:xf>
    <x:xf numFmtId="1" fontId="20"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15" fillId="9" borderId="0" xfId="0" applyNumberFormat="1" applyFill="0" applyBorder="0" applyAlignment="1" applyProtection="1">
      <x:alignment horizontal="general" vertical="center" textRotation="0" wrapText="1" indent="0" relativeIndent="0" justifyLastLine="0" shrinkToFit="0" readingOrder="0"/>
      <x:protection locked="1" hidden="0"/>
    </x:xf>
    <x:xf numFmtId="166" fontId="15" fillId="11" borderId="0" xfId="0" applyNumberFormat="1" applyFill="0" applyBorder="0" applyAlignment="1" applyProtection="1">
      <x:alignment horizontal="general" vertical="center" textRotation="0" wrapText="1" indent="0" relativeIndent="0" justifyLastLine="0" shrinkToFit="0" readingOrder="0"/>
      <x:protection locked="1" hidden="0"/>
    </x:xf>
    <x:xf numFmtId="1" fontId="20"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0" indent="0" relativeIndent="0" justifyLastLine="0" shrinkToFit="0" readingOrder="0"/>
      <x:protection locked="1" hidden="0"/>
    </x:xf>
    <x:xf numFmtId="0" fontId="3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6" fontId="33" fillId="11" borderId="0" xfId="0" applyNumberFormat="1" applyFill="0" applyBorder="0" applyAlignment="1" applyProtection="1">
      <x:alignment horizontal="general" vertical="bottom" textRotation="0" wrapText="0" indent="0" relativeIndent="0" justifyLastLine="0" shrinkToFit="0" readingOrder="0"/>
      <x:protection locked="1" hidden="0"/>
    </x:xf>
    <x:xf numFmtId="165" fontId="14" fillId="6" borderId="19" xfId="0" applyNumberFormat="1" applyFill="0" applyBorder="1" applyAlignment="1" applyProtection="1">
      <x:alignment horizontal="left" vertical="center" textRotation="0" wrapText="1" indent="0" relativeIndent="0" justifyLastLine="0" shrinkToFit="0" readingOrder="0"/>
      <x:protection locked="1" hidden="0"/>
    </x:xf>
    <x:xf numFmtId="0" fontId="17" fillId="10" borderId="21" xfId="0" applyNumberFormat="1" applyFill="0" applyBorder="1" applyAlignment="1" applyProtection="1">
      <x:alignment horizontal="left" vertical="top"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top" textRotation="0" wrapText="0" indent="0" relativeIndent="0" justifyLastLine="0" shrinkToFit="0" readingOrder="0"/>
      <x:protection locked="0" hidden="0"/>
    </x:xf>
    <x:xf numFmtId="0" fontId="17" fillId="10" borderId="26" xfId="0" applyNumberFormat="1" applyFill="0" applyBorder="1" applyAlignment="1" applyProtection="1">
      <x:alignment horizontal="left" vertical="top" textRotation="0" wrapText="0" indent="0" relativeIndent="0" justifyLastLine="0" shrinkToFit="0" readingOrder="0"/>
      <x:protection locked="0" hidden="0"/>
    </x:xf>
    <x:xf numFmtId="166" fontId="17" fillId="11" borderId="0" xfId="0" applyNumberFormat="1" applyFill="0" applyBorder="0" applyAlignment="1" applyProtection="1">
      <x:alignment horizontal="left" vertical="top" textRotation="0" wrapText="0" indent="0" relativeIndent="0" justifyLastLine="0" shrinkToFit="0" readingOrder="0"/>
      <x:protection locked="0" hidden="0"/>
    </x:xf>
    <x:xf numFmtId="0" fontId="24" fillId="9" borderId="19" xfId="0" applyNumberFormat="1" applyFill="0" applyBorder="1" applyAlignment="1" applyProtection="1">
      <x:alignment horizontal="left" vertical="center" textRotation="0" wrapText="0" indent="0" relativeIndent="0" justifyLastLine="0" shrinkToFit="0" readingOrder="0"/>
      <x:protection locked="1" hidden="0"/>
    </x:xf>
    <x:xf numFmtId="1"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3"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9"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1"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0" fontId="24" fillId="0" borderId="23"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12" xfId="0" applyNumberFormat="1" applyFill="0" applyBorder="1" applyAlignment="1" applyProtection="1">
      <x:alignment horizontal="left" vertical="center" textRotation="0" wrapText="0" indent="0" relativeIndent="0" justifyLastLine="0" shrinkToFit="0" readingOrder="0"/>
      <x:protection locked="1" hidden="0"/>
    </x:xf>
    <x:xf numFmtId="0" fontId="24" fillId="0" borderId="24"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20" xfId="0" applyNumberFormat="1" applyFill="0" applyBorder="1" applyAlignment="1" applyProtection="1">
      <x:alignment horizontal="left" vertical="center" textRotation="0" wrapText="0" indent="0" relativeIndent="0" justifyLastLine="0" shrinkToFit="0" readingOrder="0"/>
      <x:protection locked="1" hidden="0"/>
    </x:xf>
    <x:xf numFmtId="49" fontId="15" fillId="9" borderId="12" xfId="0" applyNumberFormat="1" applyFill="0" applyBorder="1" applyAlignment="1" applyProtection="1">
      <x:alignment horizontal="right" vertical="center" textRotation="0" wrapText="0" indent="0" relativeIndent="0" justifyLastLine="0" shrinkToFit="0" readingOrder="0"/>
      <x:protection locked="1" hidden="0"/>
    </x:xf>
    <x:xf numFmtId="0" fontId="26" fillId="10" borderId="21"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6"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5" xfId="0" applyNumberFormat="1" applyFill="0" applyBorder="1" applyAlignment="1" applyProtection="1">
      <x:alignment horizontal="left" vertical="bottom" textRotation="0" wrapText="0" indent="0" relativeIndent="0" justifyLastLine="0" shrinkToFit="0" readingOrder="0"/>
      <x:protection locked="0" hidden="0"/>
    </x:xf>
    <x:xf numFmtId="167" fontId="26" fillId="10" borderId="19" xfId="0" applyNumberFormat="1" applyFill="0" applyBorder="1" applyAlignment="1" applyProtection="1">
      <x:alignment horizontal="left" vertical="bottom" textRotation="0" wrapText="0" indent="0" relativeIndent="0" justifyLastLine="0" shrinkToFit="0" readingOrder="0"/>
      <x:protection locked="1" hidden="0"/>
    </x:xf>
    <x:xf numFmtId="49" fontId="16" fillId="3" borderId="21" xfId="0" applyNumberFormat="1" applyFill="0" applyBorder="1" applyAlignment="1" applyProtection="1">
      <x:alignment horizontal="left" vertical="center" textRotation="0" wrapText="0" indent="0" relativeIndent="0" justifyLastLine="0" shrinkToFit="0" readingOrder="0"/>
      <x:protection locked="0" hidden="0"/>
    </x:xf>
    <x:xf numFmtId="49" fontId="16" fillId="3" borderId="22" xfId="0" applyNumberFormat="1" applyFill="0" applyBorder="1" applyAlignment="1" applyProtection="1">
      <x:alignment horizontal="left"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left" vertical="center" textRotation="0" wrapText="0" indent="0" relativeIndent="0" justifyLastLine="0" shrinkToFit="0" readingOrder="0"/>
      <x:protection locked="0" hidden="0"/>
    </x:xf>
    <x:xf numFmtId="1" fontId="12" fillId="0" borderId="0" xfId="0" applyNumberFormat="1" applyFill="1" applyBorder="0" applyAlignment="1" applyProtection="1">
      <x:alignment horizontal="right" vertical="center" textRotation="0" wrapText="0" indent="0" relativeIndent="0" justifyLastLine="0" shrinkToFit="0" readingOrder="0"/>
      <x:protection locked="1" hidden="0"/>
    </x:xf>
    <x:xf numFmtId="0" fontId="24"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right" vertical="bottom"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0" fontId="0" fillId="0" borderId="27" xfId="0" applyNumberFormat="1" applyFill="1" applyBorder="1" applyAlignment="1" applyProtection="1">
      <x:alignment horizontal="general" vertical="bottom" textRotation="0" wrapText="0" indent="0" relativeIndent="0" justifyLastLine="0" shrinkToFit="0" readingOrder="0"/>
      <x:protection locked="1" hidden="0"/>
    </x:xf>
    <x:xf numFmtId="49"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0" fillId="0" borderId="28" xfId="0" applyNumberFormat="1" applyFill="1" applyBorder="1" applyAlignment="1" applyProtection="1">
      <x:alignment horizontal="general" vertical="bottom" textRotation="0" wrapText="0" indent="0" relativeIndent="0" justifyLastLine="0" shrinkToFit="0" readingOrder="0"/>
      <x:protection locked="1" hidden="0"/>
    </x:xf>
  </x:cellXfs>
  <x:cellStyles count="7">
    <x:cellStyle name="40% - Accent1" xfId="5" builtinId="31"/>
    <x:cellStyle name="Calculation" xfId="4" builtinId="22"/>
    <x:cellStyle name="Heading 1" xfId="1" builtinId="16"/>
    <x:cellStyle name="Heading 3" xfId="2" builtinId="18"/>
    <x:cellStyle name="Heading 4" xfId="3" builtinId="19"/>
    <x:cellStyle name="Hyperlink" xfId="6" builtinId="8"/>
    <x:cellStyle name="Normal" xfId="0" builtinId="0"/>
  </x:cellStyles>
  <x:tableStyles count="0" defaultTableStyle="TableStyleMedium2" defaultPivotStyle="PivotStyleLight16"/>
  <x:colors>
    <x:mruColors>
      <x:color rgb="FFEDF3F3"/>
      <x:color rgb="FFD6DCE0"/>
      <x:color rgb="FF9DBEC3"/>
      <x:color rgb="FF4B7279"/>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43259</xdr:colOff>
      <xdr:row>0</xdr:row>
      <xdr:rowOff>57150</xdr:rowOff>
    </xdr:from>
    <xdr:to>
      <xdr:col>3</xdr:col>
      <xdr:colOff>328893</xdr:colOff>
      <xdr:row>0</xdr:row>
      <xdr:rowOff>544041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59" y="57150"/>
          <a:ext cx="1693217" cy="48689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Type="http://schemas.openxmlformats.org/officeDocument/2006/relationships/drawing" Target="../drawings/drawing1.xml" Id="rId3" /><Relationship Type="http://schemas.openxmlformats.org/officeDocument/2006/relationships/printerSettings" Target="../printerSettings/printerSettings1.bin" Id="rId2" /><Relationship Type="http://schemas.openxmlformats.org/officeDocument/2006/relationships/hyperlink" Target="mailto:seachef@seachef.com" TargetMode="External" Id="rId8" /></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x14="http://schemas.microsoft.com/office/spreadsheetml/2009/9/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00000000-0001-0000-0000-000000000000}" mc:Ignorable="x14ac xr xr2 xr3">
  <x:sheetPr codeName="Sheet1">
    <x:outlinePr summaryBelow="1" summaryRight="1"/>
  </x:sheetPr>
  <x:dimension ref="A1:W58"/>
  <x:sheetViews>
    <x:sheetView showGridLines="0" tabSelected="1" zoomScale="90" zoomScaleNormal="90" workbookViewId="0">
      <x:selection activeCell="S4" sqref="S4 S4:S4"/>
    </x:sheetView>
  </x:sheetViews>
  <x:sheetFormatPr defaultColWidth="9.140625" defaultRowHeight="15" x14ac:dyDescent="0.25"/>
  <x:cols>
    <x:col min="1" max="1" width="7" style="147" customWidth="1"/>
    <x:col min="2" max="2" width="4.855469" style="147" hidden="1" customWidth="1"/>
    <x:col min="3" max="3" width="14.140625" style="147" customWidth="1"/>
    <x:col min="4" max="4" width="27.425781" style="147" customWidth="1"/>
    <x:col min="5" max="5" width="16.710938" style="147" hidden="1" customWidth="1"/>
    <x:col min="6" max="6" width="12.710938" style="147" customWidth="1"/>
    <x:col min="7" max="7" width="9.425781" style="147" customWidth="1"/>
    <x:col min="8" max="9" width="7.425781" style="147" customWidth="1"/>
    <x:col min="10" max="10" width="12.285156" style="147" customWidth="1"/>
    <x:col min="11" max="11" width="9.285156" style="147" customWidth="1"/>
    <x:col min="12" max="12" width="2.425781" style="147" hidden="1" customWidth="1"/>
    <x:col min="13" max="13" width="13.855469" style="147" customWidth="1"/>
    <x:col min="14" max="14" width="9.855469" style="147" customWidth="1"/>
    <x:col min="15" max="15" width="8.425781" style="147" customWidth="1"/>
    <x:col min="16" max="16" width="15.285156" style="147" customWidth="1"/>
    <x:col min="17" max="17" width="24.140625" style="147" customWidth="1"/>
    <x:col min="18" max="18" width="8.855469" style="147" hidden="1" customWidth="1"/>
    <x:col min="19" max="19" width="18.570312" style="147" customWidth="1"/>
    <x:col min="20" max="20" width="9.140625" style="147" hidden="1" customWidth="1"/>
    <x:col min="21" max="21" width="9.140625" style="159" customWidth="1"/>
    <x:col min="22" max="22" width="9.140625" style="147" customWidth="1"/>
    <x:col min="23" max="23" width="9.140625" style="147" hidden="1" customWidth="1"/>
    <x:col min="24" max="16384" width="9.140625" style="147" customWidth="1"/>
  </x:cols>
  <x:sheetData>
    <x:row r="1" spans="1:23" customFormat="1" ht="51" customHeight="1" x14ac:dyDescent="0.75">
      <x:c r="A1" s="153" t="s"/>
      <x:c r="B1" s="153" t="s"/>
      <x:c r="C1" s="153" t="s"/>
      <x:c r="D1" s="154" t="s"/>
      <x:c r="E1" s="155" t="s"/>
      <x:c r="F1" s="155" t="s"/>
      <x:c r="G1" s="155" t="s"/>
      <x:c r="H1" s="154" t="s"/>
      <x:c r="I1" s="154" t="s"/>
      <x:c r="J1" s="154" t="s"/>
      <x:c r="K1" s="155" t="s"/>
      <x:c r="L1" s="155" t="s"/>
      <x:c r="M1" s="156" t="s">
        <x:v>0</x:v>
      </x:c>
      <x:c r="N1" s="157" t="s"/>
      <x:c r="O1" s="157" t="s"/>
      <x:c r="P1" s="157" t="s"/>
      <x:c r="Q1" s="157" t="s"/>
      <x:c r="R1" s="157" t="s"/>
      <x:c r="S1" s="157" t="s"/>
      <x:c r="T1" s="157" t="s"/>
      <x:c r="U1" s="158" t="s"/>
    </x:row>
    <x:row r="2" spans="1:23" customFormat="1" ht="5.25" customHeight="1" x14ac:dyDescent="0.25">
      <x:c r="U2" s="159" t="s"/>
    </x:row>
    <x:row r="3" spans="1:23" customFormat="1" ht="15.75" customHeight="1" thickBot="1" x14ac:dyDescent="0.35">
      <x:c r="A3" s="160" t="s">
        <x:v>1</x:v>
      </x:c>
      <x:c r="B3" s="160" t="s"/>
      <x:c r="C3" s="160" t="s"/>
      <x:c r="D3" s="160" t="s"/>
      <x:c r="E3" s="160" t="s"/>
      <x:c r="U3" s="159" t="s"/>
    </x:row>
    <x:row r="4" spans="1:23" customFormat="1" ht="22.5" customHeight="1" thickTop="1" thickBot="1" x14ac:dyDescent="0.3">
      <x:c r="A4" s="149" t="s">
        <x:v>2</x:v>
      </x:c>
      <x:c r="B4" s="149" t="s"/>
      <x:c r="C4" s="149" t="s"/>
      <x:c r="D4" s="149" t="s"/>
      <x:c r="E4" s="149" t="s"/>
      <x:c r="F4" s="149" t="s"/>
      <x:c r="G4" s="149" t="s"/>
      <x:c r="H4" s="148" t="s"/>
      <x:c r="I4" s="148" t="s"/>
      <x:c r="J4" s="148" t="s"/>
      <x:c r="M4" s="150" t="s">
        <x:v>3</x:v>
      </x:c>
      <x:c r="N4" s="150" t="s"/>
      <x:c r="O4" s="151" t="s">
        <x:v>4</x:v>
      </x:c>
      <x:c r="P4" s="151" t="s"/>
      <x:c r="Q4" s="151" t="s"/>
      <x:c r="R4" s="148" t="s"/>
      <x:c r="S4" s="148" t="s"/>
      <x:c r="T4" s="148" t="s"/>
      <x:c r="U4" s="152" t="s"/>
    </x:row>
    <x:row r="5" spans="1:23" customFormat="1" ht="13.5" customHeight="1" thickBot="1" x14ac:dyDescent="0.3">
      <x:c r="A5" s="145" t="s">
        <x:v>5</x:v>
      </x:c>
      <x:c r="B5" s="145" t="s"/>
      <x:c r="C5" s="145" t="s"/>
      <x:c r="D5" s="145" t="s"/>
      <x:c r="E5" s="145" t="s"/>
      <x:c r="F5" s="145" t="s"/>
      <x:c r="G5" s="145" t="s"/>
      <x:c r="H5" s="100" t="s"/>
      <x:c r="I5" s="100" t="s"/>
      <x:c r="J5" s="100" t="s"/>
      <x:c r="L5" s="154" t="s"/>
      <x:c r="M5" s="125" t="s">
        <x:v>6</x:v>
      </x:c>
      <x:c r="N5" s="125" t="s"/>
      <x:c r="O5" s="151" t="s">
        <x:v>7</x:v>
      </x:c>
      <x:c r="P5" s="151" t="s"/>
      <x:c r="Q5" s="151" t="s"/>
      <x:c r="R5" s="148" t="s"/>
      <x:c r="S5" s="148" t="s"/>
      <x:c r="T5" s="148" t="s"/>
      <x:c r="U5" s="152" t="s"/>
    </x:row>
    <x:row r="6" spans="1:23" customFormat="1" ht="13.5" customHeight="1" thickBot="1" x14ac:dyDescent="0.3">
      <x:c r="A6" s="161" t="s">
        <x:v>8</x:v>
      </x:c>
      <x:c r="B6" s="161" t="s"/>
      <x:c r="C6" s="161" t="s"/>
      <x:c r="D6" s="161" t="s"/>
      <x:c r="E6" s="161" t="s"/>
      <x:c r="F6" s="161" t="s"/>
      <x:c r="G6" s="161" t="s"/>
      <x:c r="H6" s="162" t="s"/>
      <x:c r="I6" s="162" t="s"/>
      <x:c r="J6" s="162" t="s"/>
      <x:c r="K6" s="163" t="s"/>
      <x:c r="L6" s="163" t="s"/>
      <x:c r="M6" s="150" t="s">
        <x:v>9</x:v>
      </x:c>
      <x:c r="N6" s="150" t="s"/>
      <x:c r="O6" s="164">
        <x:v>43894</x:v>
      </x:c>
      <x:c r="P6" s="164" t="s"/>
      <x:c r="Q6" s="164" t="s"/>
      <x:c r="R6" s="148" t="s"/>
      <x:c r="S6" s="148" t="s"/>
      <x:c r="T6" s="148" t="s"/>
      <x:c r="U6" s="152" t="s"/>
    </x:row>
    <x:row r="7" spans="1:23" customFormat="1" ht="13.5" customHeight="1" thickBot="1" x14ac:dyDescent="0.3">
      <x:c r="A7" s="165" t="s">
        <x:v>10</x:v>
      </x:c>
      <x:c r="B7" s="165" t="s"/>
      <x:c r="C7" s="165" t="s"/>
      <x:c r="D7" s="165" t="s"/>
      <x:c r="E7" s="165" t="s"/>
      <x:c r="F7" s="165" t="s"/>
      <x:c r="G7" s="165" t="s"/>
      <x:c r="H7" s="162" t="s"/>
      <x:c r="I7" s="162" t="s"/>
      <x:c r="J7" s="162" t="s"/>
      <x:c r="K7" s="163" t="s"/>
      <x:c r="L7" s="163" t="s"/>
      <x:c r="M7" s="150" t="s"/>
      <x:c r="N7" s="150" t="s"/>
      <x:c r="O7" s="143" t="s"/>
      <x:c r="P7" s="143" t="s"/>
      <x:c r="Q7" s="143" t="s"/>
      <x:c r="R7" s="143" t="s"/>
      <x:c r="S7" s="148" t="s"/>
      <x:c r="T7" s="148" t="s"/>
      <x:c r="U7" s="152" t="s"/>
    </x:row>
    <x:row r="8" spans="1:23" customFormat="1" ht="13.5" customHeight="1" thickBot="1" x14ac:dyDescent="0.3">
      <x:c r="A8" s="165" t="s">
        <x:v>11</x:v>
      </x:c>
      <x:c r="B8" s="165" t="s"/>
      <x:c r="C8" s="165" t="s"/>
      <x:c r="D8" s="165" t="s"/>
      <x:c r="E8" s="165" t="s"/>
      <x:c r="F8" s="165" t="s"/>
      <x:c r="G8" s="165" t="s"/>
      <x:c r="H8" s="162" t="s"/>
      <x:c r="I8" s="162" t="s"/>
      <x:c r="J8" s="162" t="s"/>
      <x:c r="K8" s="166" t="s"/>
      <x:c r="L8" s="166" t="s"/>
      <x:c r="M8" s="150" t="s">
        <x:v>12</x:v>
      </x:c>
      <x:c r="N8" s="150" t="s"/>
      <x:c r="O8" s="167">
        <x:v>43894</x:v>
      </x:c>
      <x:c r="P8" s="167" t="s"/>
      <x:c r="Q8" s="148" t="s"/>
      <x:c r="R8" s="168" t="s"/>
      <x:c r="S8" s="168" t="s"/>
      <x:c r="T8" s="168" t="s"/>
      <x:c r="U8" s="169" t="s"/>
    </x:row>
    <x:row r="9" spans="1:23" customFormat="1" ht="15" customHeight="1" thickBot="1" x14ac:dyDescent="0.3">
      <x:c r="A9" s="165" t="s">
        <x:v>13</x:v>
      </x:c>
      <x:c r="B9" s="165" t="s"/>
      <x:c r="C9" s="165" t="s"/>
      <x:c r="D9" s="165" t="s"/>
      <x:c r="E9" s="165" t="s"/>
      <x:c r="F9" s="165" t="s"/>
      <x:c r="G9" s="165" t="s"/>
      <x:c r="H9" s="170" t="s"/>
      <x:c r="I9" s="171" t="s"/>
      <x:c r="J9" s="166" t="s"/>
      <x:c r="K9" s="166" t="s"/>
      <x:c r="L9" s="172" t="s">
        <x:v>14</x:v>
      </x:c>
      <x:c r="M9" s="172" t="s"/>
      <x:c r="N9" s="143" t="s"/>
      <x:c r="O9" s="143" t="s">
        <x:v>15</x:v>
      </x:c>
      <x:c r="P9" s="143" t="s"/>
      <x:c r="Q9" s="143" t="s"/>
      <x:c r="R9" s="168" t="s"/>
      <x:c r="S9" s="168" t="s"/>
    </x:row>
    <x:row r="10" spans="1:23" customFormat="1" ht="15" customHeight="1" thickBot="1" x14ac:dyDescent="0.3">
      <x:c r="A10" s="173" t="s">
        <x:v>16</x:v>
      </x:c>
      <x:c r="B10" s="173" t="s">
        <x:v>16</x:v>
      </x:c>
      <x:c r="C10" s="174" t="s">
        <x:v>17</x:v>
      </x:c>
      <x:c r="D10" s="165" t="s"/>
      <x:c r="E10" s="165" t="s"/>
      <x:c r="F10" s="162" t="s"/>
      <x:c r="G10" s="162" t="s"/>
      <x:c r="H10" s="162" t="s"/>
      <x:c r="I10" s="162" t="s"/>
      <x:c r="J10" s="162" t="s"/>
      <x:c r="K10" s="166" t="s"/>
      <x:c r="L10" s="166" t="s"/>
      <x:c r="M10" s="175" t="s">
        <x:v>18</x:v>
      </x:c>
      <x:c r="N10" s="175" t="s"/>
      <x:c r="O10" s="164">
        <x:v>43901.5</x:v>
      </x:c>
      <x:c r="P10" s="164" t="s"/>
      <x:c r="Q10" s="172" t="s"/>
      <x:c r="R10" s="168" t="s"/>
      <x:c r="S10" s="168" t="s"/>
      <x:c r="T10" s="168" t="s"/>
      <x:c r="U10" s="169" t="s"/>
    </x:row>
    <x:row r="11" spans="1:23" customFormat="1" ht="15" customHeight="1" thickBot="1" x14ac:dyDescent="0.3">
      <x:c r="A11" s="106" t="s">
        <x:v>19</x:v>
      </x:c>
      <x:c r="B11" s="162" t="s"/>
      <x:c r="C11" s="129" t="s">
        <x:v>20</x:v>
      </x:c>
      <x:c r="D11" s="129" t="s"/>
      <x:c r="E11" s="129" t="s"/>
      <x:c r="F11" s="129" t="s"/>
      <x:c r="G11" s="129" t="s"/>
      <x:c r="H11" s="162" t="s"/>
      <x:c r="I11" s="162" t="s"/>
      <x:c r="J11" s="162" t="s"/>
      <x:c r="K11" s="166" t="s"/>
      <x:c r="L11" s="166" t="s"/>
      <x:c r="M11" s="175" t="s">
        <x:v>21</x:v>
      </x:c>
      <x:c r="N11" s="175" t="s"/>
      <x:c r="O11" s="176" t="s">
        <x:v>22</x:v>
      </x:c>
      <x:c r="P11" s="177" t="s">
        <x:v>23</x:v>
      </x:c>
      <x:c r="Q11" s="178" t="n">
        <x:v>6</x:v>
      </x:c>
      <x:c r="R11" s="168" t="s"/>
      <x:c r="S11" s="168" t="s"/>
      <x:c r="T11" s="168" t="s"/>
      <x:c r="U11" s="169" t="s"/>
    </x:row>
    <x:row r="12" spans="1:23" customFormat="1" ht="15.75" customHeight="1" thickBot="1" x14ac:dyDescent="0.3">
      <x:c r="A12" s="137" t="s">
        <x:v>24</x:v>
      </x:c>
      <x:c r="B12" s="137" t="s"/>
      <x:c r="C12" s="137" t="s"/>
      <x:c r="D12" s="137" t="s"/>
      <x:c r="E12" s="179" t="s"/>
      <x:c r="F12" s="179" t="s"/>
      <x:c r="G12" s="179" t="s"/>
      <x:c r="H12" s="179" t="s"/>
      <x:c r="I12" s="179" t="s"/>
      <x:c r="J12" s="179" t="s"/>
      <x:c r="K12" s="163" t="s"/>
      <x:c r="L12" s="163" t="s"/>
      <x:c r="M12" s="150" t="s">
        <x:v>25</x:v>
      </x:c>
      <x:c r="N12" s="150" t="s"/>
      <x:c r="O12" s="180" t="s"/>
      <x:c r="P12" s="181" t="s"/>
      <x:c r="Q12" s="182" t="s"/>
      <x:c r="R12" s="168" t="s"/>
      <x:c r="S12" s="168" t="s"/>
      <x:c r="T12" s="168" t="s"/>
      <x:c r="U12" s="169" t="s"/>
    </x:row>
    <x:row r="13" spans="1:23" customFormat="1" ht="15.75" customHeight="1" thickBot="1" x14ac:dyDescent="0.3">
      <x:c r="A13" s="125" t="s">
        <x:v>26</x:v>
      </x:c>
      <x:c r="B13" s="125" t="s"/>
      <x:c r="C13" s="125" t="s"/>
      <x:c r="D13" s="151" t="s">
        <x:v>27</x:v>
      </x:c>
      <x:c r="E13" s="151" t="s"/>
      <x:c r="F13" s="151" t="s"/>
      <x:c r="G13" s="151" t="s"/>
      <x:c r="H13" s="151" t="s"/>
      <x:c r="I13" s="151" t="s"/>
      <x:c r="J13" s="151" t="s"/>
      <x:c r="K13" s="163" t="s"/>
      <x:c r="L13" s="163" t="s"/>
      <x:c r="M13" s="183" t="s"/>
      <x:c r="N13" s="183" t="s"/>
      <x:c r="O13" s="184" t="s"/>
      <x:c r="P13" s="184" t="s"/>
      <x:c r="Q13" s="184" t="s"/>
      <x:c r="R13" s="184" t="s"/>
      <x:c r="S13" s="168" t="s"/>
      <x:c r="T13" s="168" t="s"/>
      <x:c r="U13" s="169" t="s"/>
    </x:row>
    <x:row r="14" spans="1:23" customFormat="1" ht="16.5" customHeight="1" thickBot="1" x14ac:dyDescent="0.3">
      <x:c r="A14" s="125" t="s">
        <x:v>28</x:v>
      </x:c>
      <x:c r="B14" s="125" t="s"/>
      <x:c r="C14" s="125" t="s"/>
      <x:c r="D14" s="151" t="s">
        <x:v>29</x:v>
      </x:c>
      <x:c r="E14" s="151" t="s"/>
      <x:c r="F14" s="151" t="s"/>
      <x:c r="G14" s="151" t="s"/>
      <x:c r="H14" s="151" t="s"/>
      <x:c r="I14" s="151" t="s"/>
      <x:c r="J14" s="151" t="s"/>
      <x:c r="K14" s="163" t="s"/>
      <x:c r="L14" s="163" t="s"/>
      <x:c r="M14" s="125" t="s">
        <x:v>30</x:v>
      </x:c>
      <x:c r="N14" s="125" t="s"/>
      <x:c r="O14" s="185" t="s">
        <x:v>31</x:v>
      </x:c>
      <x:c r="P14" s="172" t="s"/>
      <x:c r="Q14" s="186" t="s"/>
      <x:c r="R14" s="148" t="s"/>
      <x:c r="S14" s="168" t="s"/>
      <x:c r="T14" s="168" t="s"/>
      <x:c r="U14" s="169" t="s"/>
    </x:row>
    <x:row r="15" spans="1:23" customFormat="1" ht="15.75" customHeight="1" thickBot="1" x14ac:dyDescent="0.3">
      <x:c r="A15" s="125" t="s">
        <x:v>32</x:v>
      </x:c>
      <x:c r="B15" s="125" t="s"/>
      <x:c r="C15" s="125" t="s"/>
      <x:c r="D15" s="151" t="s"/>
      <x:c r="E15" s="151" t="s"/>
      <x:c r="F15" s="151" t="s"/>
      <x:c r="G15" s="151" t="s"/>
      <x:c r="H15" s="151" t="s"/>
      <x:c r="I15" s="151" t="s"/>
      <x:c r="J15" s="151" t="s"/>
      <x:c r="K15" s="163" t="s"/>
      <x:c r="L15" s="163" t="s"/>
      <x:c r="M15" s="125" t="s">
        <x:v>33</x:v>
      </x:c>
      <x:c r="N15" s="125" t="s"/>
      <x:c r="O15" s="187" t="n">
        <x:v>0</x:v>
      </x:c>
      <x:c r="P15" s="22" t="s"/>
      <x:c r="Q15" s="186" t="s">
        <x:v>34</x:v>
      </x:c>
      <x:c r="R15" s="148" t="s"/>
      <x:c r="S15" s="168" t="s"/>
      <x:c r="T15" s="168" t="s"/>
      <x:c r="U15" s="169" t="s"/>
    </x:row>
    <x:row r="16" spans="1:23" customFormat="1" ht="15.75" customHeight="1" thickBot="1" x14ac:dyDescent="0.3">
      <x:c r="A16" s="125" t="s">
        <x:v>35</x:v>
      </x:c>
      <x:c r="B16" s="125" t="s"/>
      <x:c r="C16" s="125" t="s"/>
      <x:c r="D16" s="151" t="s">
        <x:v>36</x:v>
      </x:c>
      <x:c r="E16" s="151" t="s"/>
      <x:c r="F16" s="151" t="s"/>
      <x:c r="G16" s="151" t="s"/>
      <x:c r="H16" s="151" t="s"/>
      <x:c r="I16" s="151" t="s"/>
      <x:c r="J16" s="151" t="s"/>
      <x:c r="K16" s="163" t="s"/>
      <x:c r="L16" s="163" t="s"/>
      <x:c r="M16" s="125" t="s">
        <x:v>37</x:v>
      </x:c>
      <x:c r="N16" s="125" t="s"/>
      <x:c r="O16" s="187" t="n">
        <x:v>0</x:v>
      </x:c>
      <x:c r="P16" s="22" t="s"/>
      <x:c r="Q16" s="172" t="s"/>
      <x:c r="R16" s="148" t="s"/>
      <x:c r="S16" s="168" t="s"/>
      <x:c r="T16" s="168" t="s"/>
      <x:c r="U16" s="169" t="s"/>
    </x:row>
    <x:row r="17" spans="1:23" customFormat="1" ht="13.5" customHeight="1" thickBot="1" x14ac:dyDescent="0.3">
      <x:c r="A17" s="125" t="s">
        <x:v>38</x:v>
      </x:c>
      <x:c r="B17" s="125" t="s"/>
      <x:c r="C17" s="125" t="s"/>
      <x:c r="D17" s="151" t="s">
        <x:v>39</x:v>
      </x:c>
      <x:c r="E17" s="151" t="s"/>
      <x:c r="F17" s="151" t="s"/>
      <x:c r="G17" s="151" t="s"/>
      <x:c r="H17" s="151" t="s"/>
      <x:c r="I17" s="151" t="s"/>
      <x:c r="J17" s="151" t="s"/>
      <x:c r="K17" s="163" t="s"/>
      <x:c r="L17" s="163" t="s"/>
      <x:c r="M17" s="188" t="s"/>
      <x:c r="N17" s="188" t="s"/>
      <x:c r="O17" s="188" t="s"/>
      <x:c r="P17" s="188" t="s"/>
      <x:c r="Q17" s="188" t="s"/>
      <x:c r="R17" s="188" t="s"/>
      <x:c r="S17" s="188" t="s"/>
      <x:c r="T17" s="163" t="s"/>
      <x:c r="U17" s="189" t="s"/>
    </x:row>
    <x:row r="18" spans="1:23" customFormat="1" ht="13.5" customHeight="1" x14ac:dyDescent="0.25">
      <x:c r="A18" s="163" t="s"/>
      <x:c r="B18" s="163" t="s"/>
      <x:c r="C18" s="163" t="s"/>
      <x:c r="D18" s="190" t="s"/>
      <x:c r="E18" s="191" t="s"/>
      <x:c r="F18" s="191" t="s"/>
      <x:c r="G18" s="190" t="s"/>
      <x:c r="H18" s="191" t="s"/>
      <x:c r="I18" s="191" t="s"/>
      <x:c r="J18" s="191" t="s"/>
      <x:c r="K18" s="191" t="s"/>
      <x:c r="L18" s="191" t="s"/>
      <x:c r="M18" s="190" t="s"/>
      <x:c r="N18" s="192" t="s"/>
      <x:c r="O18" s="163" t="s"/>
      <x:c r="P18" s="190" t="s"/>
      <x:c r="Q18" s="193" t="s"/>
      <x:c r="R18" s="190" t="s"/>
      <x:c r="S18" s="193" t="s"/>
      <x:c r="T18" s="163" t="s"/>
      <x:c r="U18" s="189" t="s"/>
    </x:row>
    <x:row r="19" spans="1:23" customFormat="1" ht="27" customHeight="1" x14ac:dyDescent="0.25">
      <x:c r="A19" s="194" t="s">
        <x:v>40</x:v>
      </x:c>
      <x:c r="B19" s="195" t="s"/>
      <x:c r="C19" s="195" t="s">
        <x:v>41</x:v>
      </x:c>
      <x:c r="D19" s="195" t="s">
        <x:v>42</x:v>
      </x:c>
      <x:c r="E19" s="195" t="s"/>
      <x:c r="F19" s="196" t="s">
        <x:v>43</x:v>
      </x:c>
      <x:c r="G19" s="197" t="s">
        <x:v>44</x:v>
      </x:c>
      <x:c r="H19" s="197" t="s">
        <x:v>45</x:v>
      </x:c>
      <x:c r="I19" s="197" t="s">
        <x:v>46</x:v>
      </x:c>
      <x:c r="J19" s="197" t="s">
        <x:v>47</x:v>
      </x:c>
      <x:c r="K19" s="197" t="s">
        <x:v>48</x:v>
      </x:c>
      <x:c r="L19" s="197" t="str">
        <x:f> CONCATENATE("Unit Price ", "( ",Currency, " )")</x:f>
      </x:c>
      <x:c r="M19" s="197" t="s"/>
      <x:c r="N19" s="197" t="s">
        <x:v>49</x:v>
      </x:c>
      <x:c r="O19" s="197" t="s">
        <x:v>50</x:v>
      </x:c>
      <x:c r="P19" s="197" t="s">
        <x:v>51</x:v>
      </x:c>
      <x:c r="Q19" s="197" t="s">
        <x:v>52</x:v>
      </x:c>
      <x:c r="R19" s="197" t="s"/>
      <x:c r="S19" s="197" t="s">
        <x:v>53</x:v>
      </x:c>
      <x:c r="T19" s="197" t="s"/>
      <x:c r="U19" s="198" t="s"/>
    </x:row>
    <x:row r="20" spans="1:23" x14ac:dyDescent="0.25">
      <x:c r="A20" s="199" t="s"/>
      <x:c r="B20" s="199" t="n">
        <x:v>0</x:v>
      </x:c>
      <x:c r="C20" s="200" t="s">
        <x:v>54</x:v>
      </x:c>
      <x:c r="D20" s="201" t="s"/>
      <x:c r="E20" s="202" t="s"/>
      <x:c r="F20" s="200" t="s"/>
      <x:c r="G20" s="203" t="s"/>
      <x:c r="H20" s="200" t="s"/>
      <x:c r="I20" s="200" t="s"/>
      <x:c r="J20" s="202" t="s"/>
      <x:c r="K20" s="204" t="s"/>
      <x:c r="L20" s="205" t="s"/>
      <x:c r="M20" s="206" t="s"/>
      <x:c r="N20" s="202" t="s"/>
      <x:c r="O20" s="202" t="s"/>
      <x:c r="P20" s="207" t="s"/>
      <x:c r="Q20" s="208" t="s"/>
      <x:c r="R20" s="208" t="s"/>
      <x:c r="S20" s="208" t="s"/>
      <x:c r="T20" s="209" t="s"/>
      <x:c r="U20" s="210" t="s"/>
    </x:row>
    <x:row r="21" spans="1:23" x14ac:dyDescent="0.25">
      <x:c r="A21" s="76" t="n">
        <x:v>1</x:v>
      </x:c>
      <x:c r="B21" s="76" t="n">
        <x:v>5210866</x:v>
      </x:c>
      <x:c r="C21" s="77" t="s">
        <x:v>55</x:v>
      </x:c>
      <x:c r="D21" s="78" t="s">
        <x:v>56</x:v>
      </x:c>
      <x:c r="E21" s="79" t="s"/>
      <x:c r="F21" s="77" t="s">
        <x:v>57</x:v>
      </x:c>
      <x:c r="G21" s="92" t="n">
        <x:v>500</x:v>
      </x:c>
      <x:c r="H21" s="80" t="s">
        <x:v>58</x:v>
      </x:c>
      <x:c r="I21" s="80" t="s"/>
      <x:c r="J21" s="79" t="n">
        <x:v>0</x:v>
      </x:c>
      <x:c r="K21" s="211" t="n">
        <x:v>6</x:v>
      </x:c>
      <x:c r="L21" s="212" t="s"/>
      <x:c r="M21" s="213" t="n">
        <x:v>0</x:v>
      </x:c>
      <x:c r="N21" s="214" t="n">
        <x:v>0</x:v>
      </x:c>
      <x:c r="O21" s="214" t="n">
        <x:v>0</x:v>
      </x:c>
      <x:c r="P21" s="215">
        <x:f>ROUND(((K21*M21) - (K21*M21*N21/100)) + (((K21*M21) - (K21*M21*N21/100)) * O21/100), 2)</x:f>
      </x:c>
      <x:c r="Q21" s="216" t="s"/>
      <x:c r="R21" s="216" t="s"/>
      <x:c r="S21" s="81" t="s"/>
      <x:c r="T21" s="209" t="s"/>
      <x:c r="U21" s="210" t="s"/>
    </x:row>
    <x:row r="22" spans="1:23" x14ac:dyDescent="0.25">
      <x:c r="A22" s="76" t="n">
        <x:v>2</x:v>
      </x:c>
      <x:c r="B22" s="76" t="n">
        <x:v>5210586</x:v>
      </x:c>
      <x:c r="C22" s="77" t="s">
        <x:v>59</x:v>
      </x:c>
      <x:c r="D22" s="78" t="s">
        <x:v>60</x:v>
      </x:c>
      <x:c r="E22" s="79" t="s"/>
      <x:c r="F22" s="77" t="s">
        <x:v>57</x:v>
      </x:c>
      <x:c r="G22" s="92" t="n">
        <x:v>1</x:v>
      </x:c>
      <x:c r="H22" s="80" t="s">
        <x:v>61</x:v>
      </x:c>
      <x:c r="I22" s="80" t="s"/>
      <x:c r="J22" s="79" t="n">
        <x:v>0</x:v>
      </x:c>
      <x:c r="K22" s="211" t="n">
        <x:v>60</x:v>
      </x:c>
      <x:c r="L22" s="212" t="s"/>
      <x:c r="M22" s="213" t="n">
        <x:v>0</x:v>
      </x:c>
      <x:c r="N22" s="214" t="n">
        <x:v>0</x:v>
      </x:c>
      <x:c r="O22" s="214" t="n">
        <x:v>0</x:v>
      </x:c>
      <x:c r="P22" s="215" t="s">
        <x:f>ROUND(((K22*M22) - (K22*M22*N22/100)) + (((K22*M22) - (K22*M22*N22/100)) * O22/100), 2)</x:f>
      </x:c>
      <x:c r="Q22" s="216" t="s"/>
      <x:c r="R22" s="216" t="s"/>
      <x:c r="S22" s="81" t="s"/>
      <x:c r="T22" s="209" t="s"/>
      <x:c r="U22" s="210" t="s"/>
    </x:row>
    <x:row r="23" spans="1:23" x14ac:dyDescent="0.25">
      <x:c r="A23" s="76" t="n">
        <x:v>3</x:v>
      </x:c>
      <x:c r="B23" s="76" t="n">
        <x:v>5341958</x:v>
      </x:c>
      <x:c r="C23" s="77" t="s">
        <x:v>62</x:v>
      </x:c>
      <x:c r="D23" s="78" t="s">
        <x:v>63</x:v>
      </x:c>
      <x:c r="E23" s="79" t="s"/>
      <x:c r="F23" s="77" t="s">
        <x:v>57</x:v>
      </x:c>
      <x:c r="G23" s="92" t="n">
        <x:v>1</x:v>
      </x:c>
      <x:c r="H23" s="80" t="s">
        <x:v>61</x:v>
      </x:c>
      <x:c r="I23" s="80" t="s"/>
      <x:c r="J23" s="79" t="n">
        <x:v>0</x:v>
      </x:c>
      <x:c r="K23" s="211" t="n">
        <x:v>50</x:v>
      </x:c>
      <x:c r="L23" s="212" t="s"/>
      <x:c r="M23" s="213" t="n">
        <x:v>0</x:v>
      </x:c>
      <x:c r="N23" s="214" t="n">
        <x:v>0</x:v>
      </x:c>
      <x:c r="O23" s="214" t="n">
        <x:v>0</x:v>
      </x:c>
      <x:c r="P23" s="215">
        <x:f>ROUND(((K23*M23) - (K23*M23*N23/100)) + (((K23*M23) - (K23*M23*N23/100)) * O23/100), 2)</x:f>
      </x:c>
      <x:c r="Q23" s="216" t="s"/>
      <x:c r="R23" s="216" t="s"/>
      <x:c r="S23" s="81" t="s"/>
      <x:c r="T23" s="209" t="s"/>
      <x:c r="U23" s="210" t="s"/>
    </x:row>
    <x:row r="24" spans="1:23" x14ac:dyDescent="0.25">
      <x:c r="A24" s="76" t="n">
        <x:v>4</x:v>
      </x:c>
      <x:c r="B24" s="76" t="n">
        <x:v>5210879</x:v>
      </x:c>
      <x:c r="C24" s="77" t="s">
        <x:v>64</x:v>
      </x:c>
      <x:c r="D24" s="78" t="s">
        <x:v>65</x:v>
      </x:c>
      <x:c r="E24" s="79" t="s"/>
      <x:c r="F24" s="77" t="s">
        <x:v>66</x:v>
      </x:c>
      <x:c r="G24" s="92" t="n">
        <x:v>500</x:v>
      </x:c>
      <x:c r="H24" s="80" t="s">
        <x:v>58</x:v>
      </x:c>
      <x:c r="I24" s="80" t="s"/>
      <x:c r="J24" s="79" t="n">
        <x:v>0</x:v>
      </x:c>
      <x:c r="K24" s="211" t="n">
        <x:v>24</x:v>
      </x:c>
      <x:c r="L24" s="212" t="s"/>
      <x:c r="M24" s="213" t="n">
        <x:v>0</x:v>
      </x:c>
      <x:c r="N24" s="214" t="n">
        <x:v>0</x:v>
      </x:c>
      <x:c r="O24" s="214" t="n">
        <x:v>0</x:v>
      </x:c>
      <x:c r="P24" s="215">
        <x:f>ROUND(((K24*M24) - (K24*M24*N24/100)) + (((K24*M24) - (K24*M24*N24/100)) * O24/100), 2)</x:f>
      </x:c>
      <x:c r="Q24" s="216" t="s"/>
      <x:c r="R24" s="216" t="s"/>
      <x:c r="S24" s="81" t="s"/>
      <x:c r="T24" s="209" t="s"/>
      <x:c r="U24" s="210" t="s"/>
    </x:row>
    <x:row r="25" spans="1:23" x14ac:dyDescent="0.25">
      <x:c r="A25" s="76" t="n">
        <x:v>5</x:v>
      </x:c>
      <x:c r="B25" s="76" t="n">
        <x:v>5211290</x:v>
      </x:c>
      <x:c r="C25" s="77" t="s">
        <x:v>67</x:v>
      </x:c>
      <x:c r="D25" s="78" t="s">
        <x:v>68</x:v>
      </x:c>
      <x:c r="E25" s="79" t="s"/>
      <x:c r="F25" s="77" t="s">
        <x:v>66</x:v>
      </x:c>
      <x:c r="G25" s="92" t="n">
        <x:v>500</x:v>
      </x:c>
      <x:c r="H25" s="80" t="s">
        <x:v>58</x:v>
      </x:c>
      <x:c r="I25" s="80" t="s"/>
      <x:c r="J25" s="79" t="n">
        <x:v>0</x:v>
      </x:c>
      <x:c r="K25" s="211" t="n">
        <x:v>24</x:v>
      </x:c>
      <x:c r="L25" s="212" t="s"/>
      <x:c r="M25" s="213" t="n">
        <x:v>0</x:v>
      </x:c>
      <x:c r="N25" s="214" t="n">
        <x:v>0</x:v>
      </x:c>
      <x:c r="O25" s="214" t="n">
        <x:v>0</x:v>
      </x:c>
      <x:c r="P25" s="215">
        <x:f>ROUND(((K25*M25) - (K25*M25*N25/100)) + (((K25*M25) - (K25*M25*N25/100)) * O25/100), 2)</x:f>
      </x:c>
      <x:c r="Q25" s="216" t="s"/>
      <x:c r="R25" s="216" t="s"/>
      <x:c r="S25" s="81" t="s"/>
      <x:c r="T25" s="209" t="s"/>
      <x:c r="U25" s="210" t="s"/>
    </x:row>
    <x:row r="26" spans="1:23" x14ac:dyDescent="0.25">
      <x:c r="A26" s="76" t="n">
        <x:v>6</x:v>
      </x:c>
      <x:c r="B26" s="76" t="n">
        <x:v>7646813</x:v>
      </x:c>
      <x:c r="C26" s="77" t="s">
        <x:v>69</x:v>
      </x:c>
      <x:c r="D26" s="78" t="s">
        <x:v>70</x:v>
      </x:c>
      <x:c r="E26" s="79" t="s"/>
      <x:c r="F26" s="77" t="s">
        <x:v>71</x:v>
      </x:c>
      <x:c r="G26" s="92" t="n">
        <x:v>100</x:v>
      </x:c>
      <x:c r="H26" s="80" t="s">
        <x:v>58</x:v>
      </x:c>
      <x:c r="I26" s="80" t="s"/>
      <x:c r="J26" s="79" t="n">
        <x:v>0</x:v>
      </x:c>
      <x:c r="K26" s="211" t="n">
        <x:v>24</x:v>
      </x:c>
      <x:c r="L26" s="212" t="s"/>
      <x:c r="M26" s="213" t="n">
        <x:v>0</x:v>
      </x:c>
      <x:c r="N26" s="214" t="n">
        <x:v>0</x:v>
      </x:c>
      <x:c r="O26" s="214" t="n">
        <x:v>0</x:v>
      </x:c>
      <x:c r="P26" s="215">
        <x:f>ROUND(((K26*M26) - (K26*M26*N26/100)) + (((K26*M26) - (K26*M26*N26/100)) * O26/100), 2)</x:f>
      </x:c>
      <x:c r="Q26" s="216" t="s"/>
      <x:c r="R26" s="216" t="s"/>
      <x:c r="S26" s="81" t="s"/>
      <x:c r="T26" s="209" t="s"/>
      <x:c r="U26" s="210" t="s"/>
    </x:row>
    <x:row r="27" spans="1:23" x14ac:dyDescent="0.25">
      <x:c r="A27" s="76" t="n">
        <x:v>7</x:v>
      </x:c>
      <x:c r="B27" s="76" t="n">
        <x:v>5211296</x:v>
      </x:c>
      <x:c r="C27" s="77" t="s">
        <x:v>72</x:v>
      </x:c>
      <x:c r="D27" s="78" t="s">
        <x:v>73</x:v>
      </x:c>
      <x:c r="E27" s="79" t="s"/>
      <x:c r="F27" s="77" t="s">
        <x:v>66</x:v>
      </x:c>
      <x:c r="G27" s="92" t="n">
        <x:v>200</x:v>
      </x:c>
      <x:c r="H27" s="80" t="s">
        <x:v>58</x:v>
      </x:c>
      <x:c r="I27" s="80" t="s"/>
      <x:c r="J27" s="79" t="n">
        <x:v>0</x:v>
      </x:c>
      <x:c r="K27" s="211" t="n">
        <x:v>24</x:v>
      </x:c>
      <x:c r="L27" s="212" t="s"/>
      <x:c r="M27" s="213" t="n">
        <x:v>0</x:v>
      </x:c>
      <x:c r="N27" s="214" t="n">
        <x:v>0</x:v>
      </x:c>
      <x:c r="O27" s="214" t="n">
        <x:v>0</x:v>
      </x:c>
      <x:c r="P27" s="215">
        <x:f>ROUND(((K27*M27) - (K27*M27*N27/100)) + (((K27*M27) - (K27*M27*N27/100)) * O27/100), 2)</x:f>
      </x:c>
      <x:c r="Q27" s="216" t="s"/>
      <x:c r="R27" s="216" t="s"/>
      <x:c r="S27" s="81" t="s"/>
      <x:c r="T27" s="209" t="s"/>
      <x:c r="U27" s="210" t="s"/>
    </x:row>
    <x:row r="28" spans="1:23" x14ac:dyDescent="0.25">
      <x:c r="A28" s="76" t="n">
        <x:v>8</x:v>
      </x:c>
      <x:c r="B28" s="76" t="n">
        <x:v>5210942</x:v>
      </x:c>
      <x:c r="C28" s="77" t="s">
        <x:v>74</x:v>
      </x:c>
      <x:c r="D28" s="78" t="s">
        <x:v>75</x:v>
      </x:c>
      <x:c r="E28" s="79" t="s"/>
      <x:c r="F28" s="77" t="s">
        <x:v>66</x:v>
      </x:c>
      <x:c r="G28" s="92" t="n">
        <x:v>500</x:v>
      </x:c>
      <x:c r="H28" s="80" t="s">
        <x:v>58</x:v>
      </x:c>
      <x:c r="I28" s="80" t="s"/>
      <x:c r="J28" s="79" t="n">
        <x:v>0</x:v>
      </x:c>
      <x:c r="K28" s="211" t="n">
        <x:v>24</x:v>
      </x:c>
      <x:c r="L28" s="212" t="s"/>
      <x:c r="M28" s="213" t="n">
        <x:v>0</x:v>
      </x:c>
      <x:c r="N28" s="214" t="n">
        <x:v>0</x:v>
      </x:c>
      <x:c r="O28" s="214" t="n">
        <x:v>0</x:v>
      </x:c>
      <x:c r="P28" s="215">
        <x:f>ROUND(((K28*M28) - (K28*M28*N28/100)) + (((K28*M28) - (K28*M28*N28/100)) * O28/100), 2)</x:f>
      </x:c>
      <x:c r="Q28" s="216" t="s"/>
      <x:c r="R28" s="216" t="s"/>
      <x:c r="S28" s="81" t="s"/>
      <x:c r="T28" s="209" t="s"/>
      <x:c r="U28" s="210" t="s"/>
    </x:row>
    <x:row r="29" spans="1:23" x14ac:dyDescent="0.25">
      <x:c r="A29" s="76" t="n">
        <x:v>9</x:v>
      </x:c>
      <x:c r="B29" s="76" t="n">
        <x:v>5328367</x:v>
      </x:c>
      <x:c r="C29" s="77" t="s">
        <x:v>76</x:v>
      </x:c>
      <x:c r="D29" s="78" t="s">
        <x:v>77</x:v>
      </x:c>
      <x:c r="E29" s="79" t="s"/>
      <x:c r="F29" s="77" t="s">
        <x:v>66</x:v>
      </x:c>
      <x:c r="G29" s="92" t="n">
        <x:v>500</x:v>
      </x:c>
      <x:c r="H29" s="80" t="s">
        <x:v>58</x:v>
      </x:c>
      <x:c r="I29" s="80" t="s"/>
      <x:c r="J29" s="79" t="n">
        <x:v>0</x:v>
      </x:c>
      <x:c r="K29" s="211" t="n">
        <x:v>12</x:v>
      </x:c>
      <x:c r="L29" s="212" t="s"/>
      <x:c r="M29" s="213" t="n">
        <x:v>0</x:v>
      </x:c>
      <x:c r="N29" s="214" t="n">
        <x:v>0</x:v>
      </x:c>
      <x:c r="O29" s="214" t="n">
        <x:v>0</x:v>
      </x:c>
      <x:c r="P29" s="215">
        <x:f>ROUND(((K29*M29) - (K29*M29*N29/100)) + (((K29*M29) - (K29*M29*N29/100)) * O29/100), 2)</x:f>
      </x:c>
      <x:c r="Q29" s="216" t="s"/>
      <x:c r="R29" s="216" t="s"/>
      <x:c r="S29" s="81" t="s"/>
      <x:c r="T29" s="209" t="s"/>
      <x:c r="U29" s="210" t="s"/>
    </x:row>
    <x:row r="30" spans="1:23" x14ac:dyDescent="0.25">
      <x:c r="A30" s="76" t="n">
        <x:v>10</x:v>
      </x:c>
      <x:c r="B30" s="76" t="n">
        <x:v>6430938</x:v>
      </x:c>
      <x:c r="C30" s="77" t="s">
        <x:v>78</x:v>
      </x:c>
      <x:c r="D30" s="78" t="s">
        <x:v>79</x:v>
      </x:c>
      <x:c r="E30" s="79" t="s"/>
      <x:c r="F30" s="77" t="s">
        <x:v>66</x:v>
      </x:c>
      <x:c r="G30" s="92" t="n">
        <x:v>500</x:v>
      </x:c>
      <x:c r="H30" s="80" t="s">
        <x:v>58</x:v>
      </x:c>
      <x:c r="I30" s="80" t="s"/>
      <x:c r="J30" s="79" t="n">
        <x:v>0</x:v>
      </x:c>
      <x:c r="K30" s="211" t="n">
        <x:v>24</x:v>
      </x:c>
      <x:c r="L30" s="212" t="s"/>
      <x:c r="M30" s="213" t="n">
        <x:v>0</x:v>
      </x:c>
      <x:c r="N30" s="214" t="n">
        <x:v>0</x:v>
      </x:c>
      <x:c r="O30" s="214" t="n">
        <x:v>0</x:v>
      </x:c>
      <x:c r="P30" s="215">
        <x:f>ROUND(((K30*M30) - (K30*M30*N30/100)) + (((K30*M30) - (K30*M30*N30/100)) * O30/100), 2)</x:f>
      </x:c>
      <x:c r="Q30" s="216" t="s"/>
      <x:c r="R30" s="216" t="s"/>
      <x:c r="S30" s="81" t="s"/>
      <x:c r="T30" s="209" t="s"/>
      <x:c r="U30" s="210" t="s"/>
    </x:row>
    <x:row r="31" spans="1:23" x14ac:dyDescent="0.25">
      <x:c r="A31" s="76" t="n">
        <x:v>11</x:v>
      </x:c>
      <x:c r="B31" s="76" t="n">
        <x:v>9422074</x:v>
      </x:c>
      <x:c r="C31" s="77" t="s">
        <x:v>80</x:v>
      </x:c>
      <x:c r="D31" s="78" t="s">
        <x:v>81</x:v>
      </x:c>
      <x:c r="E31" s="79" t="s"/>
      <x:c r="F31" s="77" t="s">
        <x:v>82</x:v>
      </x:c>
      <x:c r="G31" s="92" t="n">
        <x:v>1</x:v>
      </x:c>
      <x:c r="H31" s="80" t="s">
        <x:v>61</x:v>
      </x:c>
      <x:c r="I31" s="80" t="s"/>
      <x:c r="J31" s="79" t="n">
        <x:v>0</x:v>
      </x:c>
      <x:c r="K31" s="211" t="n">
        <x:v>90</x:v>
      </x:c>
      <x:c r="L31" s="212" t="s"/>
      <x:c r="M31" s="213" t="n">
        <x:v>0</x:v>
      </x:c>
      <x:c r="N31" s="214" t="n">
        <x:v>0</x:v>
      </x:c>
      <x:c r="O31" s="214" t="n">
        <x:v>0</x:v>
      </x:c>
      <x:c r="P31" s="215">
        <x:f>ROUND(((K31*M31) - (K31*M31*N31/100)) + (((K31*M31) - (K31*M31*N31/100)) * O31/100), 2)</x:f>
      </x:c>
      <x:c r="Q31" s="216" t="s"/>
      <x:c r="R31" s="216" t="s"/>
      <x:c r="S31" s="81" t="s"/>
      <x:c r="T31" s="209" t="s"/>
      <x:c r="U31" s="210" t="s"/>
    </x:row>
    <x:row r="32" spans="1:23" x14ac:dyDescent="0.25">
      <x:c r="A32" s="76" t="n">
        <x:v>12</x:v>
      </x:c>
      <x:c r="B32" s="76" t="n">
        <x:v>5211117</x:v>
      </x:c>
      <x:c r="C32" s="77" t="s">
        <x:v>83</x:v>
      </x:c>
      <x:c r="D32" s="78" t="s">
        <x:v>84</x:v>
      </x:c>
      <x:c r="E32" s="79" t="s"/>
      <x:c r="F32" s="77" t="s">
        <x:v>66</x:v>
      </x:c>
      <x:c r="G32" s="92" t="n">
        <x:v>100</x:v>
      </x:c>
      <x:c r="H32" s="80" t="s">
        <x:v>58</x:v>
      </x:c>
      <x:c r="I32" s="80" t="s"/>
      <x:c r="J32" s="79" t="n">
        <x:v>0</x:v>
      </x:c>
      <x:c r="K32" s="211" t="n">
        <x:v>24</x:v>
      </x:c>
      <x:c r="L32" s="212" t="s"/>
      <x:c r="M32" s="213" t="n">
        <x:v>0</x:v>
      </x:c>
      <x:c r="N32" s="214" t="n">
        <x:v>0</x:v>
      </x:c>
      <x:c r="O32" s="214" t="n">
        <x:v>0</x:v>
      </x:c>
      <x:c r="P32" s="215">
        <x:f>ROUND(((K32*M32) - (K32*M32*N32/100)) + (((K32*M32) - (K32*M32*N32/100)) * O32/100), 2)</x:f>
      </x:c>
      <x:c r="Q32" s="216" t="s"/>
      <x:c r="R32" s="216" t="s"/>
      <x:c r="S32" s="81" t="s"/>
      <x:c r="T32" s="209" t="s"/>
      <x:c r="U32" s="210" t="s"/>
    </x:row>
    <x:row r="33" spans="1:23" x14ac:dyDescent="0.25">
      <x:c r="A33" s="76" t="n">
        <x:v>13</x:v>
      </x:c>
      <x:c r="B33" s="76" t="n">
        <x:v>5211141</x:v>
      </x:c>
      <x:c r="C33" s="77" t="s">
        <x:v>85</x:v>
      </x:c>
      <x:c r="D33" s="78" t="s">
        <x:v>86</x:v>
      </x:c>
      <x:c r="E33" s="79" t="s"/>
      <x:c r="F33" s="77" t="s">
        <x:v>66</x:v>
      </x:c>
      <x:c r="G33" s="92" t="n">
        <x:v>500</x:v>
      </x:c>
      <x:c r="H33" s="80" t="s">
        <x:v>58</x:v>
      </x:c>
      <x:c r="I33" s="80" t="s"/>
      <x:c r="J33" s="79" t="n">
        <x:v>0</x:v>
      </x:c>
      <x:c r="K33" s="211" t="n">
        <x:v>10</x:v>
      </x:c>
      <x:c r="L33" s="212" t="s"/>
      <x:c r="M33" s="213" t="n">
        <x:v>0</x:v>
      </x:c>
      <x:c r="N33" s="214" t="n">
        <x:v>0</x:v>
      </x:c>
      <x:c r="O33" s="214" t="n">
        <x:v>0</x:v>
      </x:c>
      <x:c r="P33" s="215">
        <x:f>ROUND(((K33*M33) - (K33*M33*N33/100)) + (((K33*M33) - (K33*M33*N33/100)) * O33/100), 2)</x:f>
      </x:c>
      <x:c r="Q33" s="216" t="s"/>
      <x:c r="R33" s="216" t="s"/>
      <x:c r="S33" s="81" t="s"/>
      <x:c r="T33" s="209" t="s"/>
      <x:c r="U33" s="210" t="s"/>
    </x:row>
    <x:row r="34" spans="1:23" x14ac:dyDescent="0.25">
      <x:c r="A34" s="76" t="n">
        <x:v>14</x:v>
      </x:c>
      <x:c r="B34" s="76" t="n">
        <x:v>5210530</x:v>
      </x:c>
      <x:c r="C34" s="77" t="s">
        <x:v>87</x:v>
      </x:c>
      <x:c r="D34" s="78" t="s">
        <x:v>88</x:v>
      </x:c>
      <x:c r="E34" s="79" t="s"/>
      <x:c r="F34" s="77" t="s">
        <x:v>89</x:v>
      </x:c>
      <x:c r="G34" s="92" t="n">
        <x:v>400</x:v>
      </x:c>
      <x:c r="H34" s="80" t="s">
        <x:v>58</x:v>
      </x:c>
      <x:c r="I34" s="80" t="s"/>
      <x:c r="J34" s="79" t="n">
        <x:v>0</x:v>
      </x:c>
      <x:c r="K34" s="211" t="n">
        <x:v>50</x:v>
      </x:c>
      <x:c r="L34" s="212" t="s"/>
      <x:c r="M34" s="213" t="n">
        <x:v>0</x:v>
      </x:c>
      <x:c r="N34" s="214" t="n">
        <x:v>0</x:v>
      </x:c>
      <x:c r="O34" s="214" t="n">
        <x:v>0</x:v>
      </x:c>
      <x:c r="P34" s="215">
        <x:f>ROUND(((K34*M34) - (K34*M34*N34/100)) + (((K34*M34) - (K34*M34*N34/100)) * O34/100), 2)</x:f>
      </x:c>
      <x:c r="Q34" s="216" t="s"/>
      <x:c r="R34" s="216" t="s"/>
      <x:c r="S34" s="81" t="s"/>
      <x:c r="T34" s="209" t="s"/>
      <x:c r="U34" s="210" t="s"/>
    </x:row>
    <x:row r="35" spans="1:23" x14ac:dyDescent="0.25">
      <x:c r="A35" s="76" t="n">
        <x:v>15</x:v>
      </x:c>
      <x:c r="B35" s="76" t="n">
        <x:v>5211045</x:v>
      </x:c>
      <x:c r="C35" s="77" t="s">
        <x:v>90</x:v>
      </x:c>
      <x:c r="D35" s="78" t="s">
        <x:v>91</x:v>
      </x:c>
      <x:c r="E35" s="79" t="s"/>
      <x:c r="F35" s="77" t="s">
        <x:v>66</x:v>
      </x:c>
      <x:c r="G35" s="92" t="n">
        <x:v>500</x:v>
      </x:c>
      <x:c r="H35" s="80" t="s">
        <x:v>58</x:v>
      </x:c>
      <x:c r="I35" s="80" t="s"/>
      <x:c r="J35" s="79" t="n">
        <x:v>0</x:v>
      </x:c>
      <x:c r="K35" s="211" t="n">
        <x:v>6</x:v>
      </x:c>
      <x:c r="L35" s="212" t="s"/>
      <x:c r="M35" s="213" t="n">
        <x:v>0</x:v>
      </x:c>
      <x:c r="N35" s="214" t="n">
        <x:v>0</x:v>
      </x:c>
      <x:c r="O35" s="214" t="n">
        <x:v>0</x:v>
      </x:c>
      <x:c r="P35" s="215">
        <x:f>ROUND(((K35*M35) - (K35*M35*N35/100)) + (((K35*M35) - (K35*M35*N35/100)) * O35/100), 2)</x:f>
      </x:c>
      <x:c r="Q35" s="216" t="s"/>
      <x:c r="R35" s="216" t="s"/>
      <x:c r="S35" s="81" t="s"/>
      <x:c r="T35" s="209" t="s"/>
      <x:c r="U35" s="210" t="s"/>
    </x:row>
    <x:row r="36" spans="1:23" x14ac:dyDescent="0.25">
      <x:c r="A36" s="76" t="n">
        <x:v>16</x:v>
      </x:c>
      <x:c r="B36" s="76" t="n">
        <x:v>6977885</x:v>
      </x:c>
      <x:c r="C36" s="77" t="s">
        <x:v>92</x:v>
      </x:c>
      <x:c r="D36" s="78" t="s">
        <x:v>93</x:v>
      </x:c>
      <x:c r="E36" s="79" t="s"/>
      <x:c r="F36" s="77" t="s">
        <x:v>94</x:v>
      </x:c>
      <x:c r="G36" s="92" t="n">
        <x:v>18</x:v>
      </x:c>
      <x:c r="H36" s="80" t="s">
        <x:v>95</x:v>
      </x:c>
      <x:c r="I36" s="80" t="s"/>
      <x:c r="J36" s="79" t="n">
        <x:v>0</x:v>
      </x:c>
      <x:c r="K36" s="211" t="n">
        <x:v>100</x:v>
      </x:c>
      <x:c r="L36" s="212" t="s"/>
      <x:c r="M36" s="213" t="n">
        <x:v>0</x:v>
      </x:c>
      <x:c r="N36" s="214" t="n">
        <x:v>0</x:v>
      </x:c>
      <x:c r="O36" s="214" t="n">
        <x:v>0</x:v>
      </x:c>
      <x:c r="P36" s="215">
        <x:f>ROUND(((K36*M36) - (K36*M36*N36/100)) + (((K36*M36) - (K36*M36*N36/100)) * O36/100), 2)</x:f>
      </x:c>
      <x:c r="Q36" s="216" t="s"/>
      <x:c r="R36" s="216" t="s"/>
      <x:c r="S36" s="81" t="s"/>
      <x:c r="T36" s="209" t="s"/>
      <x:c r="U36" s="210" t="s"/>
    </x:row>
    <x:row r="37" spans="1:23" x14ac:dyDescent="0.25">
      <x:c r="A37" s="76" t="n">
        <x:v>17</x:v>
      </x:c>
      <x:c r="B37" s="76" t="n">
        <x:v>5210929</x:v>
      </x:c>
      <x:c r="C37" s="77" t="s">
        <x:v>96</x:v>
      </x:c>
      <x:c r="D37" s="78" t="s">
        <x:v>97</x:v>
      </x:c>
      <x:c r="E37" s="79" t="s"/>
      <x:c r="F37" s="77" t="s">
        <x:v>98</x:v>
      </x:c>
      <x:c r="G37" s="92" t="n">
        <x:v>500</x:v>
      </x:c>
      <x:c r="H37" s="80" t="s">
        <x:v>58</x:v>
      </x:c>
      <x:c r="I37" s="80" t="s"/>
      <x:c r="J37" s="79" t="n">
        <x:v>0</x:v>
      </x:c>
      <x:c r="K37" s="211" t="n">
        <x:v>4</x:v>
      </x:c>
      <x:c r="L37" s="212" t="s"/>
      <x:c r="M37" s="213" t="n">
        <x:v>0</x:v>
      </x:c>
      <x:c r="N37" s="214" t="n">
        <x:v>0</x:v>
      </x:c>
      <x:c r="O37" s="214" t="n">
        <x:v>0</x:v>
      </x:c>
      <x:c r="P37" s="215">
        <x:f>ROUND(((K37*M37) - (K37*M37*N37/100)) + (((K37*M37) - (K37*M37*N37/100)) * O37/100), 2)</x:f>
      </x:c>
      <x:c r="Q37" s="216" t="s"/>
      <x:c r="R37" s="216" t="s"/>
      <x:c r="S37" s="81" t="s"/>
      <x:c r="T37" s="209" t="s"/>
      <x:c r="U37" s="210" t="s"/>
    </x:row>
    <x:row r="38" spans="1:23" x14ac:dyDescent="0.25">
      <x:c r="A38" s="76" t="n">
        <x:v>18</x:v>
      </x:c>
      <x:c r="B38" s="76" t="n">
        <x:v>5210880</x:v>
      </x:c>
      <x:c r="C38" s="77" t="s">
        <x:v>99</x:v>
      </x:c>
      <x:c r="D38" s="78" t="s">
        <x:v>100</x:v>
      </x:c>
      <x:c r="E38" s="79" t="s"/>
      <x:c r="F38" s="77" t="s">
        <x:v>101</x:v>
      </x:c>
      <x:c r="G38" s="92" t="n">
        <x:v>1</x:v>
      </x:c>
      <x:c r="H38" s="80" t="s">
        <x:v>95</x:v>
      </x:c>
      <x:c r="I38" s="80" t="s"/>
      <x:c r="J38" s="79" t="n">
        <x:v>0</x:v>
      </x:c>
      <x:c r="K38" s="211" t="n">
        <x:v>24</x:v>
      </x:c>
      <x:c r="L38" s="212" t="s"/>
      <x:c r="M38" s="213" t="n">
        <x:v>0</x:v>
      </x:c>
      <x:c r="N38" s="214" t="n">
        <x:v>0</x:v>
      </x:c>
      <x:c r="O38" s="214" t="n">
        <x:v>0</x:v>
      </x:c>
      <x:c r="P38" s="215">
        <x:f>ROUND(((K38*M38) - (K38*M38*N38/100)) + (((K38*M38) - (K38*M38*N38/100)) * O38/100), 2)</x:f>
      </x:c>
      <x:c r="Q38" s="216" t="s"/>
      <x:c r="R38" s="216" t="s"/>
      <x:c r="S38" s="81" t="s"/>
      <x:c r="T38" s="209" t="s"/>
      <x:c r="U38" s="210" t="s"/>
    </x:row>
    <x:row r="39" spans="1:23" x14ac:dyDescent="0.25">
      <x:c r="A39" s="76" t="n">
        <x:v>19</x:v>
      </x:c>
      <x:c r="B39" s="76" t="n">
        <x:v>5210881</x:v>
      </x:c>
      <x:c r="C39" s="77" t="s">
        <x:v>102</x:v>
      </x:c>
      <x:c r="D39" s="78" t="s">
        <x:v>103</x:v>
      </x:c>
      <x:c r="E39" s="79" t="s"/>
      <x:c r="F39" s="77" t="s">
        <x:v>66</x:v>
      </x:c>
      <x:c r="G39" s="92" t="n">
        <x:v>1</x:v>
      </x:c>
      <x:c r="H39" s="80" t="s">
        <x:v>104</x:v>
      </x:c>
      <x:c r="I39" s="80" t="s"/>
      <x:c r="J39" s="79" t="n">
        <x:v>0</x:v>
      </x:c>
      <x:c r="K39" s="211" t="n">
        <x:v>12</x:v>
      </x:c>
      <x:c r="L39" s="212" t="s"/>
      <x:c r="M39" s="213" t="n">
        <x:v>0</x:v>
      </x:c>
      <x:c r="N39" s="214" t="n">
        <x:v>0</x:v>
      </x:c>
      <x:c r="O39" s="214" t="n">
        <x:v>0</x:v>
      </x:c>
      <x:c r="P39" s="215">
        <x:f>ROUND(((K39*M39) - (K39*M39*N39/100)) + (((K39*M39) - (K39*M39*N39/100)) * O39/100), 2)</x:f>
      </x:c>
      <x:c r="Q39" s="216" t="s"/>
      <x:c r="R39" s="216" t="s"/>
      <x:c r="S39" s="81" t="s"/>
      <x:c r="T39" s="209" t="s"/>
      <x:c r="U39" s="210" t="s"/>
    </x:row>
    <x:row r="40" spans="1:23" x14ac:dyDescent="0.25">
      <x:c r="A40" s="76" t="n">
        <x:v>20</x:v>
      </x:c>
      <x:c r="B40" s="76" t="n">
        <x:v>5210527</x:v>
      </x:c>
      <x:c r="C40" s="77" t="s">
        <x:v>105</x:v>
      </x:c>
      <x:c r="D40" s="78" t="s">
        <x:v>106</x:v>
      </x:c>
      <x:c r="E40" s="79" t="s"/>
      <x:c r="F40" s="77" t="s">
        <x:v>66</x:v>
      </x:c>
      <x:c r="G40" s="92" t="n">
        <x:v>100</x:v>
      </x:c>
      <x:c r="H40" s="80" t="s">
        <x:v>58</x:v>
      </x:c>
      <x:c r="I40" s="80" t="s"/>
      <x:c r="J40" s="79" t="n">
        <x:v>0</x:v>
      </x:c>
      <x:c r="K40" s="211" t="n">
        <x:v>60</x:v>
      </x:c>
      <x:c r="L40" s="212" t="s"/>
      <x:c r="M40" s="213" t="n">
        <x:v>0</x:v>
      </x:c>
      <x:c r="N40" s="214" t="n">
        <x:v>0</x:v>
      </x:c>
      <x:c r="O40" s="214" t="n">
        <x:v>0</x:v>
      </x:c>
      <x:c r="P40" s="215">
        <x:f>ROUND(((K40*M40) - (K40*M40*N40/100)) + (((K40*M40) - (K40*M40*N40/100)) * O40/100), 2)</x:f>
      </x:c>
      <x:c r="Q40" s="216" t="s"/>
      <x:c r="R40" s="216" t="s"/>
      <x:c r="S40" s="81" t="s"/>
      <x:c r="T40" s="209" t="s"/>
      <x:c r="U40" s="210" t="s"/>
    </x:row>
    <x:row r="41" spans="1:23" x14ac:dyDescent="0.25">
      <x:c r="A41" s="76" t="n">
        <x:v>21</x:v>
      </x:c>
      <x:c r="B41" s="76" t="n">
        <x:v>9655218</x:v>
      </x:c>
      <x:c r="C41" s="77" t="s">
        <x:v>107</x:v>
      </x:c>
      <x:c r="D41" s="78" t="s">
        <x:v>108</x:v>
      </x:c>
      <x:c r="E41" s="79" t="s"/>
      <x:c r="F41" s="77" t="s">
        <x:v>66</x:v>
      </x:c>
      <x:c r="G41" s="92" t="n">
        <x:v>1</x:v>
      </x:c>
      <x:c r="H41" s="80" t="s">
        <x:v>95</x:v>
      </x:c>
      <x:c r="I41" s="80" t="s"/>
      <x:c r="J41" s="79" t="n">
        <x:v>0</x:v>
      </x:c>
      <x:c r="K41" s="211" t="n">
        <x:v>100</x:v>
      </x:c>
      <x:c r="L41" s="212" t="s"/>
      <x:c r="M41" s="213" t="n">
        <x:v>0</x:v>
      </x:c>
      <x:c r="N41" s="214" t="n">
        <x:v>0</x:v>
      </x:c>
      <x:c r="O41" s="214" t="n">
        <x:v>0</x:v>
      </x:c>
      <x:c r="P41" s="215">
        <x:f>ROUND(((K41*M41) - (K41*M41*N41/100)) + (((K41*M41) - (K41*M41*N41/100)) * O41/100), 2)</x:f>
      </x:c>
      <x:c r="Q41" s="216" t="s"/>
      <x:c r="R41" s="216" t="s"/>
      <x:c r="S41" s="81" t="s"/>
      <x:c r="T41" s="209" t="s"/>
      <x:c r="U41" s="210" t="s"/>
    </x:row>
    <x:row r="42" spans="1:23" x14ac:dyDescent="0.25">
      <x:c r="A42" s="76" t="n">
        <x:v>22</x:v>
      </x:c>
      <x:c r="B42" s="76" t="n">
        <x:v>5211043</x:v>
      </x:c>
      <x:c r="C42" s="77" t="s">
        <x:v>109</x:v>
      </x:c>
      <x:c r="D42" s="78" t="s">
        <x:v>110</x:v>
      </x:c>
      <x:c r="E42" s="79" t="s"/>
      <x:c r="F42" s="77" t="s">
        <x:v>111</x:v>
      </x:c>
      <x:c r="G42" s="92" t="n">
        <x:v>1</x:v>
      </x:c>
      <x:c r="H42" s="80" t="s">
        <x:v>95</x:v>
      </x:c>
      <x:c r="I42" s="80" t="s"/>
      <x:c r="J42" s="79" t="n">
        <x:v>0</x:v>
      </x:c>
      <x:c r="K42" s="211" t="n">
        <x:v>120</x:v>
      </x:c>
      <x:c r="L42" s="212" t="s"/>
      <x:c r="M42" s="213" t="n">
        <x:v>0</x:v>
      </x:c>
      <x:c r="N42" s="214" t="n">
        <x:v>0</x:v>
      </x:c>
      <x:c r="O42" s="214" t="n">
        <x:v>0</x:v>
      </x:c>
      <x:c r="P42" s="215">
        <x:f>ROUND(((K42*M42) - (K42*M42*N42/100)) + (((K42*M42) - (K42*M42*N42/100)) * O42/100), 2)</x:f>
      </x:c>
      <x:c r="Q42" s="216" t="s"/>
      <x:c r="R42" s="216" t="s"/>
      <x:c r="S42" s="81" t="s"/>
      <x:c r="T42" s="209" t="s"/>
      <x:c r="U42" s="210" t="s"/>
    </x:row>
    <x:row r="43" spans="1:23" x14ac:dyDescent="0.25">
      <x:c r="A43" s="76" t="n">
        <x:v>23</x:v>
      </x:c>
      <x:c r="B43" s="76" t="n">
        <x:v>5211077</x:v>
      </x:c>
      <x:c r="C43" s="77" t="s">
        <x:v>112</x:v>
      </x:c>
      <x:c r="D43" s="78" t="s">
        <x:v>113</x:v>
      </x:c>
      <x:c r="E43" s="79" t="s"/>
      <x:c r="F43" s="77" t="s">
        <x:v>66</x:v>
      </x:c>
      <x:c r="G43" s="92" t="n">
        <x:v>1</x:v>
      </x:c>
      <x:c r="H43" s="80" t="s">
        <x:v>104</x:v>
      </x:c>
      <x:c r="I43" s="80" t="s"/>
      <x:c r="J43" s="79" t="n">
        <x:v>0</x:v>
      </x:c>
      <x:c r="K43" s="211" t="n">
        <x:v>2</x:v>
      </x:c>
      <x:c r="L43" s="212" t="s"/>
      <x:c r="M43" s="213" t="n">
        <x:v>0</x:v>
      </x:c>
      <x:c r="N43" s="214" t="n">
        <x:v>0</x:v>
      </x:c>
      <x:c r="O43" s="214" t="n">
        <x:v>0</x:v>
      </x:c>
      <x:c r="P43" s="215">
        <x:f>ROUND(((K43*M43) - (K43*M43*N43/100)) + (((K43*M43) - (K43*M43*N43/100)) * O43/100), 2)</x:f>
      </x:c>
      <x:c r="Q43" s="216" t="s"/>
      <x:c r="R43" s="216" t="s"/>
      <x:c r="S43" s="81" t="s"/>
      <x:c r="T43" s="209" t="s"/>
      <x:c r="U43" s="210" t="s"/>
    </x:row>
    <x:row r="44" spans="1:23" x14ac:dyDescent="0.25">
      <x:c r="A44" s="76" t="n">
        <x:v>24</x:v>
      </x:c>
      <x:c r="B44" s="76" t="n">
        <x:v>5211086</x:v>
      </x:c>
      <x:c r="C44" s="77" t="s">
        <x:v>114</x:v>
      </x:c>
      <x:c r="D44" s="78" t="s">
        <x:v>115</x:v>
      </x:c>
      <x:c r="E44" s="79" t="s"/>
      <x:c r="F44" s="77" t="s">
        <x:v>66</x:v>
      </x:c>
      <x:c r="G44" s="92" t="n">
        <x:v>1</x:v>
      </x:c>
      <x:c r="H44" s="80" t="s">
        <x:v>104</x:v>
      </x:c>
      <x:c r="I44" s="80" t="s"/>
      <x:c r="J44" s="79" t="n">
        <x:v>0</x:v>
      </x:c>
      <x:c r="K44" s="211" t="n">
        <x:v>10</x:v>
      </x:c>
      <x:c r="L44" s="212" t="s"/>
      <x:c r="M44" s="213" t="n">
        <x:v>0</x:v>
      </x:c>
      <x:c r="N44" s="214" t="n">
        <x:v>0</x:v>
      </x:c>
      <x:c r="O44" s="214" t="n">
        <x:v>0</x:v>
      </x:c>
      <x:c r="P44" s="215">
        <x:f>ROUND(((K44*M44) - (K44*M44*N44/100)) + (((K44*M44) - (K44*M44*N44/100)) * O44/100), 2)</x:f>
      </x:c>
      <x:c r="Q44" s="216" t="s"/>
      <x:c r="R44" s="216" t="s"/>
      <x:c r="S44" s="81" t="s"/>
      <x:c r="T44" s="209" t="s"/>
      <x:c r="U44" s="210" t="s"/>
    </x:row>
    <x:row r="45" spans="1:23" x14ac:dyDescent="0.25">
      <x:c r="A45" s="76" t="n">
        <x:v>25</x:v>
      </x:c>
      <x:c r="B45" s="76" t="n">
        <x:v>5210528</x:v>
      </x:c>
      <x:c r="C45" s="77" t="s">
        <x:v>116</x:v>
      </x:c>
      <x:c r="D45" s="78" t="s">
        <x:v>117</x:v>
      </x:c>
      <x:c r="E45" s="79" t="s"/>
      <x:c r="F45" s="77" t="s">
        <x:v>66</x:v>
      </x:c>
      <x:c r="G45" s="92" t="n">
        <x:v>100</x:v>
      </x:c>
      <x:c r="H45" s="80" t="s">
        <x:v>58</x:v>
      </x:c>
      <x:c r="I45" s="80" t="s"/>
      <x:c r="J45" s="79" t="n">
        <x:v>0</x:v>
      </x:c>
      <x:c r="K45" s="211" t="n">
        <x:v>15</x:v>
      </x:c>
      <x:c r="L45" s="212" t="s"/>
      <x:c r="M45" s="213" t="n">
        <x:v>0</x:v>
      </x:c>
      <x:c r="N45" s="214" t="n">
        <x:v>0</x:v>
      </x:c>
      <x:c r="O45" s="214" t="n">
        <x:v>0</x:v>
      </x:c>
      <x:c r="P45" s="215">
        <x:f>ROUND(((K45*M45) - (K45*M45*N45/100)) + (((K45*M45) - (K45*M45*N45/100)) * O45/100), 2)</x:f>
      </x:c>
      <x:c r="Q45" s="216" t="s"/>
      <x:c r="R45" s="216" t="s"/>
      <x:c r="S45" s="81" t="s"/>
      <x:c r="T45" s="209" t="s"/>
      <x:c r="U45" s="210" t="s"/>
    </x:row>
    <x:row r="46" spans="1:23" x14ac:dyDescent="0.25">
      <x:c r="A46" s="76" t="n">
        <x:v>26</x:v>
      </x:c>
      <x:c r="B46" s="76" t="n">
        <x:v>5211144</x:v>
      </x:c>
      <x:c r="C46" s="77" t="s">
        <x:v>118</x:v>
      </x:c>
      <x:c r="D46" s="78" t="s">
        <x:v>119</x:v>
      </x:c>
      <x:c r="E46" s="79" t="s"/>
      <x:c r="F46" s="77" t="s">
        <x:v>66</x:v>
      </x:c>
      <x:c r="G46" s="92" t="n">
        <x:v>1</x:v>
      </x:c>
      <x:c r="H46" s="80" t="s">
        <x:v>95</x:v>
      </x:c>
      <x:c r="I46" s="80" t="s"/>
      <x:c r="J46" s="79" t="n">
        <x:v>0</x:v>
      </x:c>
      <x:c r="K46" s="211" t="n">
        <x:v>15</x:v>
      </x:c>
      <x:c r="L46" s="212" t="s"/>
      <x:c r="M46" s="213" t="n">
        <x:v>0</x:v>
      </x:c>
      <x:c r="N46" s="214" t="n">
        <x:v>0</x:v>
      </x:c>
      <x:c r="O46" s="214" t="n">
        <x:v>0</x:v>
      </x:c>
      <x:c r="P46" s="215">
        <x:f>ROUND(((K46*M46) - (K46*M46*N46/100)) + (((K46*M46) - (K46*M46*N46/100)) * O46/100), 2)</x:f>
      </x:c>
      <x:c r="Q46" s="216" t="s"/>
      <x:c r="R46" s="216" t="s"/>
      <x:c r="S46" s="81" t="s"/>
      <x:c r="T46" s="209" t="s"/>
      <x:c r="U46" s="210" t="s"/>
    </x:row>
    <x:row r="47" spans="1:23" x14ac:dyDescent="0.25">
      <x:c r="A47" s="76" t="n">
        <x:v>27</x:v>
      </x:c>
      <x:c r="B47" s="76" t="n">
        <x:v>5211195</x:v>
      </x:c>
      <x:c r="C47" s="77" t="s">
        <x:v>120</x:v>
      </x:c>
      <x:c r="D47" s="78" t="s">
        <x:v>121</x:v>
      </x:c>
      <x:c r="E47" s="79" t="s"/>
      <x:c r="F47" s="77" t="s">
        <x:v>66</x:v>
      </x:c>
      <x:c r="G47" s="92" t="n">
        <x:v>1</x:v>
      </x:c>
      <x:c r="H47" s="80" t="s">
        <x:v>95</x:v>
      </x:c>
      <x:c r="I47" s="80" t="s"/>
      <x:c r="J47" s="79" t="n">
        <x:v>0</x:v>
      </x:c>
      <x:c r="K47" s="211" t="n">
        <x:v>12</x:v>
      </x:c>
      <x:c r="L47" s="212" t="s"/>
      <x:c r="M47" s="213" t="n">
        <x:v>0</x:v>
      </x:c>
      <x:c r="N47" s="214" t="n">
        <x:v>0</x:v>
      </x:c>
      <x:c r="O47" s="214" t="n">
        <x:v>0</x:v>
      </x:c>
      <x:c r="P47" s="215">
        <x:f>ROUND(((K47*M47) - (K47*M47*N47/100)) + (((K47*M47) - (K47*M47*N47/100)) * O47/100), 2)</x:f>
      </x:c>
      <x:c r="Q47" s="216" t="s"/>
      <x:c r="R47" s="216" t="s"/>
      <x:c r="S47" s="81" t="s"/>
      <x:c r="T47" s="209" t="s"/>
      <x:c r="U47" s="210" t="s"/>
    </x:row>
    <x:row r="48" spans="1:23" x14ac:dyDescent="0.25">
      <x:c r="A48" s="76" t="n">
        <x:v>28</x:v>
      </x:c>
      <x:c r="B48" s="76" t="n">
        <x:v>5211190</x:v>
      </x:c>
      <x:c r="C48" s="77" t="s">
        <x:v>122</x:v>
      </x:c>
      <x:c r="D48" s="78" t="s">
        <x:v>123</x:v>
      </x:c>
      <x:c r="E48" s="79" t="s"/>
      <x:c r="F48" s="77" t="s">
        <x:v>124</x:v>
      </x:c>
      <x:c r="G48" s="92" t="n">
        <x:v>100</x:v>
      </x:c>
      <x:c r="H48" s="80" t="s">
        <x:v>58</x:v>
      </x:c>
      <x:c r="I48" s="80" t="s"/>
      <x:c r="J48" s="79" t="n">
        <x:v>0</x:v>
      </x:c>
      <x:c r="K48" s="211" t="n">
        <x:v>3</x:v>
      </x:c>
      <x:c r="L48" s="212" t="s"/>
      <x:c r="M48" s="213" t="n">
        <x:v>0</x:v>
      </x:c>
      <x:c r="N48" s="214" t="n">
        <x:v>0</x:v>
      </x:c>
      <x:c r="O48" s="214" t="n">
        <x:v>0</x:v>
      </x:c>
      <x:c r="P48" s="215">
        <x:f>ROUND(((K48*M48) - (K48*M48*N48/100)) + (((K48*M48) - (K48*M48*N48/100)) * O48/100), 2)</x:f>
      </x:c>
      <x:c r="Q48" s="216" t="s"/>
      <x:c r="R48" s="216" t="s"/>
      <x:c r="S48" s="81" t="s"/>
      <x:c r="T48" s="209" t="s"/>
      <x:c r="U48" s="210" t="s"/>
    </x:row>
    <x:row r="49" spans="1:23" x14ac:dyDescent="0.25">
      <x:c r="A49" s="76" t="n">
        <x:v>29</x:v>
      </x:c>
      <x:c r="B49" s="76" t="n">
        <x:v>5210632</x:v>
      </x:c>
      <x:c r="C49" s="77" t="s">
        <x:v>125</x:v>
      </x:c>
      <x:c r="D49" s="78" t="s">
        <x:v>126</x:v>
      </x:c>
      <x:c r="E49" s="79" t="s"/>
      <x:c r="F49" s="77" t="s">
        <x:v>127</x:v>
      </x:c>
      <x:c r="G49" s="92" t="n">
        <x:v>1</x:v>
      </x:c>
      <x:c r="H49" s="80" t="s">
        <x:v>61</x:v>
      </x:c>
      <x:c r="I49" s="80" t="s"/>
      <x:c r="J49" s="79" t="n">
        <x:v>0</x:v>
      </x:c>
      <x:c r="K49" s="211" t="n">
        <x:v>4</x:v>
      </x:c>
      <x:c r="L49" s="212" t="s"/>
      <x:c r="M49" s="213" t="n">
        <x:v>0</x:v>
      </x:c>
      <x:c r="N49" s="214" t="n">
        <x:v>0</x:v>
      </x:c>
      <x:c r="O49" s="214" t="n">
        <x:v>0</x:v>
      </x:c>
      <x:c r="P49" s="215">
        <x:f>ROUND(((K49*M49) - (K49*M49*N49/100)) + (((K49*M49) - (K49*M49*N49/100)) * O49/100), 2)</x:f>
      </x:c>
      <x:c r="Q49" s="216" t="s"/>
      <x:c r="R49" s="216" t="s"/>
      <x:c r="S49" s="81" t="s"/>
      <x:c r="T49" s="209" t="s"/>
      <x:c r="U49" s="210" t="s"/>
    </x:row>
    <x:row r="50" spans="1:23" x14ac:dyDescent="0.25">
      <x:c r="A50" s="76" t="n">
        <x:v>30</x:v>
      </x:c>
      <x:c r="B50" s="76" t="n">
        <x:v>5210832</x:v>
      </x:c>
      <x:c r="C50" s="77" t="s">
        <x:v>128</x:v>
      </x:c>
      <x:c r="D50" s="78" t="s">
        <x:v>129</x:v>
      </x:c>
      <x:c r="E50" s="79" t="s"/>
      <x:c r="F50" s="77" t="s">
        <x:v>66</x:v>
      </x:c>
      <x:c r="G50" s="92" t="n">
        <x:v>1</x:v>
      </x:c>
      <x:c r="H50" s="80" t="s">
        <x:v>104</x:v>
      </x:c>
      <x:c r="I50" s="80" t="s"/>
      <x:c r="J50" s="79" t="n">
        <x:v>0</x:v>
      </x:c>
      <x:c r="K50" s="211" t="n">
        <x:v>25</x:v>
      </x:c>
      <x:c r="L50" s="212" t="s"/>
      <x:c r="M50" s="213" t="n">
        <x:v>0</x:v>
      </x:c>
      <x:c r="N50" s="214" t="n">
        <x:v>0</x:v>
      </x:c>
      <x:c r="O50" s="214" t="n">
        <x:v>0</x:v>
      </x:c>
      <x:c r="P50" s="215">
        <x:f>ROUND(((K50*M50) - (K50*M50*N50/100)) + (((K50*M50) - (K50*M50*N50/100)) * O50/100), 2)</x:f>
      </x:c>
      <x:c r="Q50" s="216" t="s"/>
      <x:c r="R50" s="216" t="s"/>
      <x:c r="S50" s="81" t="s"/>
      <x:c r="T50" s="209" t="s"/>
      <x:c r="U50" s="210" t="s"/>
    </x:row>
    <x:row r="51" spans="1:23" x14ac:dyDescent="0.25">
      <x:c r="A51" s="76" t="n">
        <x:v>31</x:v>
      </x:c>
      <x:c r="B51" s="76" t="n">
        <x:v>5210984</x:v>
      </x:c>
      <x:c r="C51" s="77" t="s">
        <x:v>130</x:v>
      </x:c>
      <x:c r="D51" s="78" t="s">
        <x:v>131</x:v>
      </x:c>
      <x:c r="E51" s="79" t="s"/>
      <x:c r="F51" s="77" t="s">
        <x:v>132</x:v>
      </x:c>
      <x:c r="G51" s="92" t="n">
        <x:v>1</x:v>
      </x:c>
      <x:c r="H51" s="80" t="s">
        <x:v>104</x:v>
      </x:c>
      <x:c r="I51" s="80" t="s"/>
      <x:c r="J51" s="79" t="n">
        <x:v>0</x:v>
      </x:c>
      <x:c r="K51" s="211" t="n">
        <x:v>10</x:v>
      </x:c>
      <x:c r="L51" s="212" t="s"/>
      <x:c r="M51" s="213" t="n">
        <x:v>0</x:v>
      </x:c>
      <x:c r="N51" s="214" t="n">
        <x:v>0</x:v>
      </x:c>
      <x:c r="O51" s="214" t="n">
        <x:v>0</x:v>
      </x:c>
      <x:c r="P51" s="215">
        <x:f>ROUND(((K51*M51) - (K51*M51*N51/100)) + (((K51*M51) - (K51*M51*N51/100)) * O51/100), 2)</x:f>
      </x:c>
      <x:c r="Q51" s="216" t="s"/>
      <x:c r="R51" s="216" t="s"/>
      <x:c r="S51" s="81" t="s"/>
      <x:c r="T51" s="209" t="s"/>
      <x:c r="U51" s="210" t="s"/>
    </x:row>
    <x:row r="52" spans="1:23" x14ac:dyDescent="0.25">
      <x:c r="A52" s="76" t="n">
        <x:v>32</x:v>
      </x:c>
      <x:c r="B52" s="76" t="n">
        <x:v>5210698</x:v>
      </x:c>
      <x:c r="C52" s="77" t="s">
        <x:v>133</x:v>
      </x:c>
      <x:c r="D52" s="78" t="s">
        <x:v>134</x:v>
      </x:c>
      <x:c r="E52" s="79" t="s"/>
      <x:c r="F52" s="77" t="s">
        <x:v>94</x:v>
      </x:c>
      <x:c r="G52" s="92" t="n">
        <x:v>1</x:v>
      </x:c>
      <x:c r="H52" s="80" t="s">
        <x:v>104</x:v>
      </x:c>
      <x:c r="I52" s="80" t="s"/>
      <x:c r="J52" s="79" t="n">
        <x:v>0</x:v>
      </x:c>
      <x:c r="K52" s="211" t="n">
        <x:v>10</x:v>
      </x:c>
      <x:c r="L52" s="212" t="s"/>
      <x:c r="M52" s="213" t="n">
        <x:v>0</x:v>
      </x:c>
      <x:c r="N52" s="214" t="n">
        <x:v>0</x:v>
      </x:c>
      <x:c r="O52" s="214" t="n">
        <x:v>0</x:v>
      </x:c>
      <x:c r="P52" s="215">
        <x:f>ROUND(((K52*M52) - (K52*M52*N52/100)) + (((K52*M52) - (K52*M52*N52/100)) * O52/100), 2)</x:f>
      </x:c>
      <x:c r="Q52" s="216" t="s"/>
      <x:c r="R52" s="216" t="s"/>
      <x:c r="S52" s="81" t="s"/>
      <x:c r="T52" s="209" t="s"/>
      <x:c r="U52" s="210" t="s"/>
    </x:row>
    <x:row r="53" spans="1:23" x14ac:dyDescent="0.25">
      <x:c r="A53" s="76" t="n">
        <x:v>33</x:v>
      </x:c>
      <x:c r="B53" s="76" t="n">
        <x:v>5210854</x:v>
      </x:c>
      <x:c r="C53" s="77" t="s">
        <x:v>135</x:v>
      </x:c>
      <x:c r="D53" s="78" t="s">
        <x:v>136</x:v>
      </x:c>
      <x:c r="E53" s="79" t="s"/>
      <x:c r="F53" s="77" t="s">
        <x:v>94</x:v>
      </x:c>
      <x:c r="G53" s="92" t="n">
        <x:v>100</x:v>
      </x:c>
      <x:c r="H53" s="80" t="s">
        <x:v>58</x:v>
      </x:c>
      <x:c r="I53" s="80" t="s"/>
      <x:c r="J53" s="79" t="n">
        <x:v>0</x:v>
      </x:c>
      <x:c r="K53" s="211" t="n">
        <x:v>2</x:v>
      </x:c>
      <x:c r="L53" s="212" t="s"/>
      <x:c r="M53" s="213" t="n">
        <x:v>0</x:v>
      </x:c>
      <x:c r="N53" s="214" t="n">
        <x:v>0</x:v>
      </x:c>
      <x:c r="O53" s="214" t="n">
        <x:v>0</x:v>
      </x:c>
      <x:c r="P53" s="215">
        <x:f>ROUND(((K53*M53) - (K53*M53*N53/100)) + (((K53*M53) - (K53*M53*N53/100)) * O53/100), 2)</x:f>
      </x:c>
      <x:c r="Q53" s="216" t="s"/>
      <x:c r="R53" s="216" t="s"/>
      <x:c r="S53" s="81" t="s"/>
      <x:c r="T53" s="209" t="s"/>
      <x:c r="U53" s="210" t="s"/>
    </x:row>
    <x:row r="54" spans="1:23" x14ac:dyDescent="0.25">
      <x:c r="A54" s="76" t="n">
        <x:v>34</x:v>
      </x:c>
      <x:c r="B54" s="76" t="n">
        <x:v>5210827</x:v>
      </x:c>
      <x:c r="C54" s="77" t="s">
        <x:v>137</x:v>
      </x:c>
      <x:c r="D54" s="78" t="s">
        <x:v>138</x:v>
      </x:c>
      <x:c r="E54" s="79" t="s"/>
      <x:c r="F54" s="77" t="s">
        <x:v>94</x:v>
      </x:c>
      <x:c r="G54" s="92" t="n">
        <x:v>1</x:v>
      </x:c>
      <x:c r="H54" s="80" t="s">
        <x:v>104</x:v>
      </x:c>
      <x:c r="I54" s="80" t="s"/>
      <x:c r="J54" s="79" t="n">
        <x:v>0</x:v>
      </x:c>
      <x:c r="K54" s="211" t="n">
        <x:v>8</x:v>
      </x:c>
      <x:c r="L54" s="212" t="s"/>
      <x:c r="M54" s="213" t="n">
        <x:v>0</x:v>
      </x:c>
      <x:c r="N54" s="214" t="n">
        <x:v>0</x:v>
      </x:c>
      <x:c r="O54" s="214" t="n">
        <x:v>0</x:v>
      </x:c>
      <x:c r="P54" s="215">
        <x:f>ROUND(((K54*M54) - (K54*M54*N54/100)) + (((K54*M54) - (K54*M54*N54/100)) * O54/100), 2)</x:f>
      </x:c>
      <x:c r="Q54" s="216" t="s"/>
      <x:c r="R54" s="216" t="s"/>
      <x:c r="S54" s="81" t="s"/>
      <x:c r="T54" s="209" t="s"/>
      <x:c r="U54" s="210" t="s"/>
    </x:row>
    <x:row r="55" spans="1:23" x14ac:dyDescent="0.25">
      <x:c r="A55" s="76" t="n">
        <x:v>35</x:v>
      </x:c>
      <x:c r="B55" s="76" t="n">
        <x:v>5317268</x:v>
      </x:c>
      <x:c r="C55" s="77" t="s">
        <x:v>139</x:v>
      </x:c>
      <x:c r="D55" s="78" t="s">
        <x:v>140</x:v>
      </x:c>
      <x:c r="E55" s="79" t="s"/>
      <x:c r="F55" s="77" t="s">
        <x:v>94</x:v>
      </x:c>
      <x:c r="G55" s="92" t="n">
        <x:v>1</x:v>
      </x:c>
      <x:c r="H55" s="80" t="s">
        <x:v>104</x:v>
      </x:c>
      <x:c r="I55" s="80" t="s"/>
      <x:c r="J55" s="79" t="n">
        <x:v>0</x:v>
      </x:c>
      <x:c r="K55" s="211" t="n">
        <x:v>5</x:v>
      </x:c>
      <x:c r="L55" s="212" t="s"/>
      <x:c r="M55" s="213" t="n">
        <x:v>0</x:v>
      </x:c>
      <x:c r="N55" s="214" t="n">
        <x:v>0</x:v>
      </x:c>
      <x:c r="O55" s="214" t="n">
        <x:v>0</x:v>
      </x:c>
      <x:c r="P55" s="215">
        <x:f>ROUND(((K55*M55) - (K55*M55*N55/100)) + (((K55*M55) - (K55*M55*N55/100)) * O55/100), 2)</x:f>
      </x:c>
      <x:c r="Q55" s="216" t="s"/>
      <x:c r="R55" s="216" t="s"/>
      <x:c r="S55" s="81" t="s"/>
      <x:c r="T55" s="209" t="s"/>
      <x:c r="U55" s="210" t="s"/>
    </x:row>
    <x:row r="56" spans="1:23" x14ac:dyDescent="0.25">
      <x:c r="A56" s="76" t="n">
        <x:v>36</x:v>
      </x:c>
      <x:c r="B56" s="76" t="n">
        <x:v>6133528</x:v>
      </x:c>
      <x:c r="C56" s="77" t="s">
        <x:v>141</x:v>
      </x:c>
      <x:c r="D56" s="78" t="s">
        <x:v>142</x:v>
      </x:c>
      <x:c r="E56" s="79" t="s"/>
      <x:c r="F56" s="77" t="s">
        <x:v>94</x:v>
      </x:c>
      <x:c r="G56" s="92" t="n">
        <x:v>1</x:v>
      </x:c>
      <x:c r="H56" s="80" t="s">
        <x:v>104</x:v>
      </x:c>
      <x:c r="I56" s="80" t="s"/>
      <x:c r="J56" s="79" t="n">
        <x:v>0</x:v>
      </x:c>
      <x:c r="K56" s="211" t="n">
        <x:v>20</x:v>
      </x:c>
      <x:c r="L56" s="212" t="s"/>
      <x:c r="M56" s="213" t="n">
        <x:v>0</x:v>
      </x:c>
      <x:c r="N56" s="214" t="n">
        <x:v>0</x:v>
      </x:c>
      <x:c r="O56" s="214" t="n">
        <x:v>0</x:v>
      </x:c>
      <x:c r="P56" s="215">
        <x:f>ROUND(((K56*M56) - (K56*M56*N56/100)) + (((K56*M56) - (K56*M56*N56/100)) * O56/100), 2)</x:f>
      </x:c>
      <x:c r="Q56" s="216" t="s"/>
      <x:c r="R56" s="216" t="s"/>
      <x:c r="S56" s="81" t="s"/>
      <x:c r="T56" s="209" t="s"/>
      <x:c r="U56" s="210" t="s"/>
    </x:row>
    <x:row r="57" spans="1:23" x14ac:dyDescent="0.25">
      <x:c r="A57" s="76" t="n">
        <x:v>37</x:v>
      </x:c>
      <x:c r="B57" s="76" t="n">
        <x:v>5210779</x:v>
      </x:c>
      <x:c r="C57" s="77" t="s">
        <x:v>143</x:v>
      </x:c>
      <x:c r="D57" s="78" t="s">
        <x:v>144</x:v>
      </x:c>
      <x:c r="E57" s="79" t="s"/>
      <x:c r="F57" s="77" t="s">
        <x:v>94</x:v>
      </x:c>
      <x:c r="G57" s="92" t="n">
        <x:v>1</x:v>
      </x:c>
      <x:c r="H57" s="80" t="s">
        <x:v>104</x:v>
      </x:c>
      <x:c r="I57" s="80" t="s"/>
      <x:c r="J57" s="79" t="n">
        <x:v>0</x:v>
      </x:c>
      <x:c r="K57" s="211" t="n">
        <x:v>10</x:v>
      </x:c>
      <x:c r="L57" s="212" t="s"/>
      <x:c r="M57" s="213" t="n">
        <x:v>0</x:v>
      </x:c>
      <x:c r="N57" s="214" t="n">
        <x:v>0</x:v>
      </x:c>
      <x:c r="O57" s="214" t="n">
        <x:v>0</x:v>
      </x:c>
      <x:c r="P57" s="215">
        <x:f>ROUND(((K57*M57) - (K57*M57*N57/100)) + (((K57*M57) - (K57*M57*N57/100)) * O57/100), 2)</x:f>
      </x:c>
      <x:c r="Q57" s="216" t="s"/>
      <x:c r="R57" s="216" t="s"/>
      <x:c r="S57" s="81" t="s"/>
      <x:c r="T57" s="209" t="s"/>
      <x:c r="U57" s="210" t="s"/>
    </x:row>
    <x:row r="58" spans="1:23" x14ac:dyDescent="0.25">
      <x:c r="A58" s="76" t="n">
        <x:v>38</x:v>
      </x:c>
      <x:c r="B58" s="76" t="n">
        <x:v>5210559</x:v>
      </x:c>
      <x:c r="C58" s="77" t="s">
        <x:v>145</x:v>
      </x:c>
      <x:c r="D58" s="78" t="s">
        <x:v>146</x:v>
      </x:c>
      <x:c r="E58" s="79" t="s"/>
      <x:c r="F58" s="77" t="s">
        <x:v>147</x:v>
      </x:c>
      <x:c r="G58" s="92" t="n">
        <x:v>1</x:v>
      </x:c>
      <x:c r="H58" s="80" t="s">
        <x:v>104</x:v>
      </x:c>
      <x:c r="I58" s="80" t="s"/>
      <x:c r="J58" s="79" t="n">
        <x:v>0</x:v>
      </x:c>
      <x:c r="K58" s="211" t="n">
        <x:v>15</x:v>
      </x:c>
      <x:c r="L58" s="212" t="s"/>
      <x:c r="M58" s="213" t="n">
        <x:v>0</x:v>
      </x:c>
      <x:c r="N58" s="214" t="n">
        <x:v>0</x:v>
      </x:c>
      <x:c r="O58" s="214" t="n">
        <x:v>0</x:v>
      </x:c>
      <x:c r="P58" s="215">
        <x:f>ROUND(((K58*M58) - (K58*M58*N58/100)) + (((K58*M58) - (K58*M58*N58/100)) * O58/100), 2)</x:f>
      </x:c>
      <x:c r="Q58" s="216" t="s"/>
      <x:c r="R58" s="216" t="s"/>
      <x:c r="S58" s="81" t="s"/>
      <x:c r="T58" s="209" t="s"/>
      <x:c r="U58" s="210" t="s"/>
    </x:row>
    <x:row r="59" spans="1:23">
      <x:c r="A59" s="76" t="n">
        <x:v>39</x:v>
      </x:c>
      <x:c r="B59" s="76" t="n">
        <x:v>5210568</x:v>
      </x:c>
      <x:c r="C59" s="77" t="s">
        <x:v>148</x:v>
      </x:c>
      <x:c r="D59" s="78" t="s">
        <x:v>149</x:v>
      </x:c>
      <x:c r="E59" s="79" t="s"/>
      <x:c r="F59" s="77" t="s">
        <x:v>147</x:v>
      </x:c>
      <x:c r="G59" s="92" t="n">
        <x:v>1</x:v>
      </x:c>
      <x:c r="H59" s="80" t="s">
        <x:v>104</x:v>
      </x:c>
      <x:c r="I59" s="80" t="s"/>
      <x:c r="J59" s="79" t="n">
        <x:v>0</x:v>
      </x:c>
      <x:c r="K59" s="211" t="n">
        <x:v>30</x:v>
      </x:c>
      <x:c r="L59" s="212" t="s"/>
      <x:c r="M59" s="213" t="n">
        <x:v>0</x:v>
      </x:c>
      <x:c r="N59" s="214" t="n">
        <x:v>0</x:v>
      </x:c>
      <x:c r="O59" s="214" t="n">
        <x:v>0</x:v>
      </x:c>
      <x:c r="P59" s="215">
        <x:f>ROUND(((K59*M59) - (K59*M59*N59/100)) + (((K59*M59) - (K59*M59*N59/100)) * O59/100), 2)</x:f>
      </x:c>
      <x:c r="Q59" s="216" t="s"/>
      <x:c r="R59" s="216" t="s"/>
      <x:c r="S59" s="81" t="s"/>
      <x:c r="T59" s="209" t="s"/>
      <x:c r="U59" s="210" t="s"/>
    </x:row>
    <x:row r="60" spans="1:23">
      <x:c r="A60" s="76" t="n">
        <x:v>40</x:v>
      </x:c>
      <x:c r="B60" s="76" t="n">
        <x:v>5210693</x:v>
      </x:c>
      <x:c r="C60" s="77" t="s">
        <x:v>150</x:v>
      </x:c>
      <x:c r="D60" s="78" t="s">
        <x:v>151</x:v>
      </x:c>
      <x:c r="E60" s="79" t="s"/>
      <x:c r="F60" s="77" t="s">
        <x:v>147</x:v>
      </x:c>
      <x:c r="G60" s="92" t="n">
        <x:v>1</x:v>
      </x:c>
      <x:c r="H60" s="80" t="s">
        <x:v>104</x:v>
      </x:c>
      <x:c r="I60" s="80" t="s"/>
      <x:c r="J60" s="79" t="n">
        <x:v>0</x:v>
      </x:c>
      <x:c r="K60" s="211" t="n">
        <x:v>15</x:v>
      </x:c>
      <x:c r="L60" s="212" t="s"/>
      <x:c r="M60" s="213" t="n">
        <x:v>0</x:v>
      </x:c>
      <x:c r="N60" s="214" t="n">
        <x:v>0</x:v>
      </x:c>
      <x:c r="O60" s="214" t="n">
        <x:v>0</x:v>
      </x:c>
      <x:c r="P60" s="215">
        <x:f>ROUND(((K60*M60) - (K60*M60*N60/100)) + (((K60*M60) - (K60*M60*N60/100)) * O60/100), 2)</x:f>
      </x:c>
      <x:c r="Q60" s="216" t="s"/>
      <x:c r="R60" s="216" t="s"/>
      <x:c r="S60" s="81" t="s"/>
      <x:c r="T60" s="209" t="s"/>
      <x:c r="U60" s="210" t="s"/>
    </x:row>
    <x:row r="61" spans="1:23">
      <x:c r="A61" s="76" t="n">
        <x:v>41</x:v>
      </x:c>
      <x:c r="B61" s="76" t="n">
        <x:v>5210704</x:v>
      </x:c>
      <x:c r="C61" s="77" t="s">
        <x:v>152</x:v>
      </x:c>
      <x:c r="D61" s="78" t="s">
        <x:v>153</x:v>
      </x:c>
      <x:c r="E61" s="79" t="s"/>
      <x:c r="F61" s="77" t="s">
        <x:v>147</x:v>
      </x:c>
      <x:c r="G61" s="92" t="n">
        <x:v>1</x:v>
      </x:c>
      <x:c r="H61" s="80" t="s">
        <x:v>104</x:v>
      </x:c>
      <x:c r="I61" s="80" t="s"/>
      <x:c r="J61" s="79" t="n">
        <x:v>0</x:v>
      </x:c>
      <x:c r="K61" s="211" t="n">
        <x:v>30</x:v>
      </x:c>
      <x:c r="L61" s="212" t="s"/>
      <x:c r="M61" s="213" t="n">
        <x:v>0</x:v>
      </x:c>
      <x:c r="N61" s="214" t="n">
        <x:v>0</x:v>
      </x:c>
      <x:c r="O61" s="214" t="n">
        <x:v>0</x:v>
      </x:c>
      <x:c r="P61" s="215">
        <x:f>ROUND(((K61*M61) - (K61*M61*N61/100)) + (((K61*M61) - (K61*M61*N61/100)) * O61/100), 2)</x:f>
      </x:c>
      <x:c r="Q61" s="216" t="s"/>
      <x:c r="R61" s="216" t="s"/>
      <x:c r="S61" s="81" t="s"/>
      <x:c r="T61" s="209" t="s"/>
      <x:c r="U61" s="210" t="s"/>
    </x:row>
    <x:row r="62" spans="1:23">
      <x:c r="A62" s="76" t="n">
        <x:v>42</x:v>
      </x:c>
      <x:c r="B62" s="76" t="n">
        <x:v>5210707</x:v>
      </x:c>
      <x:c r="C62" s="77" t="s">
        <x:v>154</x:v>
      </x:c>
      <x:c r="D62" s="78" t="s">
        <x:v>155</x:v>
      </x:c>
      <x:c r="E62" s="79" t="s"/>
      <x:c r="F62" s="77" t="s">
        <x:v>147</x:v>
      </x:c>
      <x:c r="G62" s="92" t="n">
        <x:v>1</x:v>
      </x:c>
      <x:c r="H62" s="80" t="s">
        <x:v>104</x:v>
      </x:c>
      <x:c r="I62" s="80" t="s"/>
      <x:c r="J62" s="79" t="n">
        <x:v>0</x:v>
      </x:c>
      <x:c r="K62" s="211" t="n">
        <x:v>15</x:v>
      </x:c>
      <x:c r="L62" s="212" t="s"/>
      <x:c r="M62" s="213" t="n">
        <x:v>0</x:v>
      </x:c>
      <x:c r="N62" s="214" t="n">
        <x:v>0</x:v>
      </x:c>
      <x:c r="O62" s="214" t="n">
        <x:v>0</x:v>
      </x:c>
      <x:c r="P62" s="215">
        <x:f>ROUND(((K62*M62) - (K62*M62*N62/100)) + (((K62*M62) - (K62*M62*N62/100)) * O62/100), 2)</x:f>
      </x:c>
      <x:c r="Q62" s="216" t="s"/>
      <x:c r="R62" s="216" t="s"/>
      <x:c r="S62" s="81" t="s"/>
      <x:c r="T62" s="209" t="s"/>
      <x:c r="U62" s="210" t="s"/>
    </x:row>
    <x:row r="63" spans="1:23">
      <x:c r="A63" s="76" t="n">
        <x:v>43</x:v>
      </x:c>
      <x:c r="B63" s="76" t="n">
        <x:v>5234106</x:v>
      </x:c>
      <x:c r="C63" s="77" t="s">
        <x:v>156</x:v>
      </x:c>
      <x:c r="D63" s="78" t="s">
        <x:v>157</x:v>
      </x:c>
      <x:c r="E63" s="79" t="s"/>
      <x:c r="F63" s="77" t="s">
        <x:v>158</x:v>
      </x:c>
      <x:c r="G63" s="92" t="n">
        <x:v>1</x:v>
      </x:c>
      <x:c r="H63" s="80" t="s">
        <x:v>104</x:v>
      </x:c>
      <x:c r="I63" s="80" t="s"/>
      <x:c r="J63" s="79" t="n">
        <x:v>0</x:v>
      </x:c>
      <x:c r="K63" s="211" t="n">
        <x:v>20</x:v>
      </x:c>
      <x:c r="L63" s="212" t="s"/>
      <x:c r="M63" s="213" t="n">
        <x:v>0</x:v>
      </x:c>
      <x:c r="N63" s="214" t="n">
        <x:v>0</x:v>
      </x:c>
      <x:c r="O63" s="214" t="n">
        <x:v>0</x:v>
      </x:c>
      <x:c r="P63" s="215">
        <x:f>ROUND(((K63*M63) - (K63*M63*N63/100)) + (((K63*M63) - (K63*M63*N63/100)) * O63/100), 2)</x:f>
      </x:c>
      <x:c r="Q63" s="216" t="s"/>
      <x:c r="R63" s="216" t="s"/>
      <x:c r="S63" s="81" t="s"/>
      <x:c r="T63" s="209" t="s"/>
      <x:c r="U63" s="210" t="s"/>
    </x:row>
    <x:row r="64" spans="1:23">
      <x:c r="A64" s="76" t="n">
        <x:v>44</x:v>
      </x:c>
      <x:c r="B64" s="76" t="n">
        <x:v>5210710</x:v>
      </x:c>
      <x:c r="C64" s="77" t="s">
        <x:v>159</x:v>
      </x:c>
      <x:c r="D64" s="78" t="s">
        <x:v>160</x:v>
      </x:c>
      <x:c r="E64" s="79" t="s"/>
      <x:c r="F64" s="77" t="s">
        <x:v>147</x:v>
      </x:c>
      <x:c r="G64" s="92" t="n">
        <x:v>1</x:v>
      </x:c>
      <x:c r="H64" s="80" t="s">
        <x:v>104</x:v>
      </x:c>
      <x:c r="I64" s="80" t="s"/>
      <x:c r="J64" s="79" t="n">
        <x:v>0</x:v>
      </x:c>
      <x:c r="K64" s="211" t="n">
        <x:v>20</x:v>
      </x:c>
      <x:c r="L64" s="212" t="s"/>
      <x:c r="M64" s="213" t="n">
        <x:v>0</x:v>
      </x:c>
      <x:c r="N64" s="214" t="n">
        <x:v>0</x:v>
      </x:c>
      <x:c r="O64" s="214" t="n">
        <x:v>0</x:v>
      </x:c>
      <x:c r="P64" s="215">
        <x:f>ROUND(((K64*M64) - (K64*M64*N64/100)) + (((K64*M64) - (K64*M64*N64/100)) * O64/100), 2)</x:f>
      </x:c>
      <x:c r="Q64" s="216" t="s"/>
      <x:c r="R64" s="216" t="s"/>
      <x:c r="S64" s="81" t="s"/>
      <x:c r="T64" s="209" t="s"/>
      <x:c r="U64" s="210" t="s"/>
    </x:row>
    <x:row r="65" spans="1:23">
      <x:c r="A65" s="76" t="n">
        <x:v>45</x:v>
      </x:c>
      <x:c r="B65" s="76" t="n">
        <x:v>5210716</x:v>
      </x:c>
      <x:c r="C65" s="77" t="s">
        <x:v>161</x:v>
      </x:c>
      <x:c r="D65" s="78" t="s">
        <x:v>162</x:v>
      </x:c>
      <x:c r="E65" s="79" t="s"/>
      <x:c r="F65" s="77" t="s">
        <x:v>147</x:v>
      </x:c>
      <x:c r="G65" s="92" t="n">
        <x:v>1</x:v>
      </x:c>
      <x:c r="H65" s="80" t="s">
        <x:v>104</x:v>
      </x:c>
      <x:c r="I65" s="80" t="s"/>
      <x:c r="J65" s="79" t="n">
        <x:v>0</x:v>
      </x:c>
      <x:c r="K65" s="211" t="n">
        <x:v>20</x:v>
      </x:c>
      <x:c r="L65" s="212" t="s"/>
      <x:c r="M65" s="213" t="n">
        <x:v>0</x:v>
      </x:c>
      <x:c r="N65" s="214" t="n">
        <x:v>0</x:v>
      </x:c>
      <x:c r="O65" s="214" t="n">
        <x:v>0</x:v>
      </x:c>
      <x:c r="P65" s="215">
        <x:f>ROUND(((K65*M65) - (K65*M65*N65/100)) + (((K65*M65) - (K65*M65*N65/100)) * O65/100), 2)</x:f>
      </x:c>
      <x:c r="Q65" s="216" t="s"/>
      <x:c r="R65" s="216" t="s"/>
      <x:c r="S65" s="81" t="s"/>
      <x:c r="T65" s="209" t="s"/>
      <x:c r="U65" s="210" t="s"/>
    </x:row>
    <x:row r="66" spans="1:23">
      <x:c r="A66" s="76" t="n">
        <x:v>46</x:v>
      </x:c>
      <x:c r="B66" s="76" t="n">
        <x:v>5210723</x:v>
      </x:c>
      <x:c r="C66" s="77" t="s">
        <x:v>163</x:v>
      </x:c>
      <x:c r="D66" s="78" t="s">
        <x:v>164</x:v>
      </x:c>
      <x:c r="E66" s="79" t="s"/>
      <x:c r="F66" s="77" t="s">
        <x:v>147</x:v>
      </x:c>
      <x:c r="G66" s="92" t="n">
        <x:v>1</x:v>
      </x:c>
      <x:c r="H66" s="80" t="s">
        <x:v>104</x:v>
      </x:c>
      <x:c r="I66" s="80" t="s"/>
      <x:c r="J66" s="79" t="n">
        <x:v>0</x:v>
      </x:c>
      <x:c r="K66" s="211" t="n">
        <x:v>10</x:v>
      </x:c>
      <x:c r="L66" s="212" t="s"/>
      <x:c r="M66" s="213" t="n">
        <x:v>0</x:v>
      </x:c>
      <x:c r="N66" s="214" t="n">
        <x:v>0</x:v>
      </x:c>
      <x:c r="O66" s="214" t="n">
        <x:v>0</x:v>
      </x:c>
      <x:c r="P66" s="215">
        <x:f>ROUND(((K66*M66) - (K66*M66*N66/100)) + (((K66*M66) - (K66*M66*N66/100)) * O66/100), 2)</x:f>
      </x:c>
      <x:c r="Q66" s="216" t="s"/>
      <x:c r="R66" s="216" t="s"/>
      <x:c r="S66" s="81" t="s"/>
      <x:c r="T66" s="209" t="s"/>
      <x:c r="U66" s="210" t="s"/>
    </x:row>
    <x:row r="67" spans="1:23">
      <x:c r="A67" s="76" t="n">
        <x:v>47</x:v>
      </x:c>
      <x:c r="B67" s="76" t="n">
        <x:v>5210606</x:v>
      </x:c>
      <x:c r="C67" s="77" t="s">
        <x:v>165</x:v>
      </x:c>
      <x:c r="D67" s="78" t="s">
        <x:v>166</x:v>
      </x:c>
      <x:c r="E67" s="79" t="s"/>
      <x:c r="F67" s="77" t="s">
        <x:v>167</x:v>
      </x:c>
      <x:c r="G67" s="92" t="n">
        <x:v>1</x:v>
      </x:c>
      <x:c r="H67" s="80" t="s">
        <x:v>104</x:v>
      </x:c>
      <x:c r="I67" s="80" t="s"/>
      <x:c r="J67" s="79" t="n">
        <x:v>0</x:v>
      </x:c>
      <x:c r="K67" s="211" t="n">
        <x:v>90</x:v>
      </x:c>
      <x:c r="L67" s="212" t="s"/>
      <x:c r="M67" s="213" t="n">
        <x:v>0</x:v>
      </x:c>
      <x:c r="N67" s="214" t="n">
        <x:v>0</x:v>
      </x:c>
      <x:c r="O67" s="214" t="n">
        <x:v>0</x:v>
      </x:c>
      <x:c r="P67" s="215">
        <x:f>ROUND(((K67*M67) - (K67*M67*N67/100)) + (((K67*M67) - (K67*M67*N67/100)) * O67/100), 2)</x:f>
      </x:c>
      <x:c r="Q67" s="216" t="s"/>
      <x:c r="R67" s="216" t="s"/>
      <x:c r="S67" s="81" t="s"/>
      <x:c r="T67" s="209" t="s"/>
      <x:c r="U67" s="210" t="s"/>
    </x:row>
    <x:row r="68" spans="1:23">
      <x:c r="A68" s="76" t="n">
        <x:v>48</x:v>
      </x:c>
      <x:c r="B68" s="76" t="n">
        <x:v>5210629</x:v>
      </x:c>
      <x:c r="C68" s="77" t="s">
        <x:v>168</x:v>
      </x:c>
      <x:c r="D68" s="78" t="s">
        <x:v>169</x:v>
      </x:c>
      <x:c r="E68" s="79" t="s"/>
      <x:c r="F68" s="77" t="s">
        <x:v>167</x:v>
      </x:c>
      <x:c r="G68" s="92" t="n">
        <x:v>1</x:v>
      </x:c>
      <x:c r="H68" s="80" t="s">
        <x:v>104</x:v>
      </x:c>
      <x:c r="I68" s="80" t="s"/>
      <x:c r="J68" s="79" t="n">
        <x:v>0</x:v>
      </x:c>
      <x:c r="K68" s="211" t="n">
        <x:v>20</x:v>
      </x:c>
      <x:c r="L68" s="212" t="s"/>
      <x:c r="M68" s="213" t="n">
        <x:v>0</x:v>
      </x:c>
      <x:c r="N68" s="214" t="n">
        <x:v>0</x:v>
      </x:c>
      <x:c r="O68" s="214" t="n">
        <x:v>0</x:v>
      </x:c>
      <x:c r="P68" s="215">
        <x:f>ROUND(((K68*M68) - (K68*M68*N68/100)) + (((K68*M68) - (K68*M68*N68/100)) * O68/100), 2)</x:f>
      </x:c>
      <x:c r="Q68" s="216" t="s"/>
      <x:c r="R68" s="216" t="s"/>
      <x:c r="S68" s="81" t="s"/>
      <x:c r="T68" s="209" t="s"/>
      <x:c r="U68" s="210" t="s"/>
    </x:row>
    <x:row r="69" spans="1:23">
      <x:c r="A69" s="76" t="n">
        <x:v>49</x:v>
      </x:c>
      <x:c r="B69" s="76" t="n">
        <x:v>5684976</x:v>
      </x:c>
      <x:c r="C69" s="77" t="s">
        <x:v>170</x:v>
      </x:c>
      <x:c r="D69" s="78" t="s">
        <x:v>171</x:v>
      </x:c>
      <x:c r="E69" s="79" t="s"/>
      <x:c r="F69" s="77" t="s">
        <x:v>172</x:v>
      </x:c>
      <x:c r="G69" s="92" t="n">
        <x:v>1</x:v>
      </x:c>
      <x:c r="H69" s="80" t="s">
        <x:v>104</x:v>
      </x:c>
      <x:c r="I69" s="80" t="s"/>
      <x:c r="J69" s="79" t="n">
        <x:v>0</x:v>
      </x:c>
      <x:c r="K69" s="211" t="n">
        <x:v>2</x:v>
      </x:c>
      <x:c r="L69" s="212" t="s"/>
      <x:c r="M69" s="213" t="n">
        <x:v>0</x:v>
      </x:c>
      <x:c r="N69" s="214" t="n">
        <x:v>0</x:v>
      </x:c>
      <x:c r="O69" s="214" t="n">
        <x:v>0</x:v>
      </x:c>
      <x:c r="P69" s="215">
        <x:f>ROUND(((K69*M69) - (K69*M69*N69/100)) + (((K69*M69) - (K69*M69*N69/100)) * O69/100), 2)</x:f>
      </x:c>
      <x:c r="Q69" s="216" t="s"/>
      <x:c r="R69" s="216" t="s"/>
      <x:c r="S69" s="81" t="s"/>
      <x:c r="T69" s="209" t="s"/>
      <x:c r="U69" s="210" t="s"/>
    </x:row>
    <x:row r="70" spans="1:23">
      <x:c r="A70" s="76" t="n">
        <x:v>50</x:v>
      </x:c>
      <x:c r="B70" s="76" t="n">
        <x:v>5210671</x:v>
      </x:c>
      <x:c r="C70" s="77" t="s">
        <x:v>173</x:v>
      </x:c>
      <x:c r="D70" s="78" t="s">
        <x:v>174</x:v>
      </x:c>
      <x:c r="E70" s="79" t="s"/>
      <x:c r="F70" s="77" t="s">
        <x:v>175</x:v>
      </x:c>
      <x:c r="G70" s="92" t="n">
        <x:v>1</x:v>
      </x:c>
      <x:c r="H70" s="80" t="s">
        <x:v>104</x:v>
      </x:c>
      <x:c r="I70" s="80" t="s"/>
      <x:c r="J70" s="79" t="n">
        <x:v>0</x:v>
      </x:c>
      <x:c r="K70" s="211" t="n">
        <x:v>20</x:v>
      </x:c>
      <x:c r="L70" s="212" t="s"/>
      <x:c r="M70" s="213" t="n">
        <x:v>0</x:v>
      </x:c>
      <x:c r="N70" s="214" t="n">
        <x:v>0</x:v>
      </x:c>
      <x:c r="O70" s="214" t="n">
        <x:v>0</x:v>
      </x:c>
      <x:c r="P70" s="215">
        <x:f>ROUND(((K70*M70) - (K70*M70*N70/100)) + (((K70*M70) - (K70*M70*N70/100)) * O70/100), 2)</x:f>
      </x:c>
      <x:c r="Q70" s="216" t="s"/>
      <x:c r="R70" s="216" t="s"/>
      <x:c r="S70" s="81" t="s"/>
      <x:c r="T70" s="209" t="s"/>
      <x:c r="U70" s="210" t="s"/>
    </x:row>
    <x:row r="71" spans="1:23">
      <x:c r="A71" s="76" t="n">
        <x:v>51</x:v>
      </x:c>
      <x:c r="B71" s="76" t="n">
        <x:v>5210676</x:v>
      </x:c>
      <x:c r="C71" s="77" t="s">
        <x:v>176</x:v>
      </x:c>
      <x:c r="D71" s="78" t="s">
        <x:v>177</x:v>
      </x:c>
      <x:c r="E71" s="79" t="s"/>
      <x:c r="F71" s="77" t="s">
        <x:v>175</x:v>
      </x:c>
      <x:c r="G71" s="92" t="n">
        <x:v>1</x:v>
      </x:c>
      <x:c r="H71" s="80" t="s">
        <x:v>104</x:v>
      </x:c>
      <x:c r="I71" s="80" t="s"/>
      <x:c r="J71" s="79" t="n">
        <x:v>0</x:v>
      </x:c>
      <x:c r="K71" s="211" t="n">
        <x:v>20</x:v>
      </x:c>
      <x:c r="L71" s="212" t="s"/>
      <x:c r="M71" s="213" t="n">
        <x:v>0</x:v>
      </x:c>
      <x:c r="N71" s="214" t="n">
        <x:v>0</x:v>
      </x:c>
      <x:c r="O71" s="214" t="n">
        <x:v>0</x:v>
      </x:c>
      <x:c r="P71" s="215">
        <x:f>ROUND(((K71*M71) - (K71*M71*N71/100)) + (((K71*M71) - (K71*M71*N71/100)) * O71/100), 2)</x:f>
      </x:c>
      <x:c r="Q71" s="216" t="s"/>
      <x:c r="R71" s="216" t="s"/>
      <x:c r="S71" s="81" t="s"/>
      <x:c r="T71" s="209" t="s"/>
      <x:c r="U71" s="210" t="s"/>
    </x:row>
    <x:row r="72" spans="1:23">
      <x:c r="A72" s="76" t="n">
        <x:v>52</x:v>
      </x:c>
      <x:c r="B72" s="76" t="n">
        <x:v>5210681</x:v>
      </x:c>
      <x:c r="C72" s="77" t="s">
        <x:v>178</x:v>
      </x:c>
      <x:c r="D72" s="78" t="s">
        <x:v>179</x:v>
      </x:c>
      <x:c r="E72" s="79" t="s"/>
      <x:c r="F72" s="77" t="s">
        <x:v>175</x:v>
      </x:c>
      <x:c r="G72" s="92" t="n">
        <x:v>1</x:v>
      </x:c>
      <x:c r="H72" s="80" t="s">
        <x:v>104</x:v>
      </x:c>
      <x:c r="I72" s="80" t="s"/>
      <x:c r="J72" s="79" t="n">
        <x:v>0</x:v>
      </x:c>
      <x:c r="K72" s="211" t="n">
        <x:v>20</x:v>
      </x:c>
      <x:c r="L72" s="212" t="s"/>
      <x:c r="M72" s="213" t="n">
        <x:v>0</x:v>
      </x:c>
      <x:c r="N72" s="214" t="n">
        <x:v>0</x:v>
      </x:c>
      <x:c r="O72" s="214" t="n">
        <x:v>0</x:v>
      </x:c>
      <x:c r="P72" s="215">
        <x:f>ROUND(((K72*M72) - (K72*M72*N72/100)) + (((K72*M72) - (K72*M72*N72/100)) * O72/100), 2)</x:f>
      </x:c>
      <x:c r="Q72" s="216" t="s"/>
      <x:c r="R72" s="216" t="s"/>
      <x:c r="S72" s="81" t="s"/>
      <x:c r="T72" s="209" t="s"/>
      <x:c r="U72" s="210" t="s"/>
    </x:row>
    <x:row r="73" spans="1:23">
      <x:c r="A73" s="76" t="n">
        <x:v>53</x:v>
      </x:c>
      <x:c r="B73" s="76" t="n">
        <x:v>6000446</x:v>
      </x:c>
      <x:c r="C73" s="77" t="s">
        <x:v>180</x:v>
      </x:c>
      <x:c r="D73" s="78" t="s">
        <x:v>181</x:v>
      </x:c>
      <x:c r="E73" s="79" t="s"/>
      <x:c r="F73" s="77" t="s">
        <x:v>172</x:v>
      </x:c>
      <x:c r="G73" s="92" t="n">
        <x:v>1</x:v>
      </x:c>
      <x:c r="H73" s="80" t="s">
        <x:v>104</x:v>
      </x:c>
      <x:c r="I73" s="80" t="s"/>
      <x:c r="J73" s="79" t="n">
        <x:v>0</x:v>
      </x:c>
      <x:c r="K73" s="211" t="n">
        <x:v>20</x:v>
      </x:c>
      <x:c r="L73" s="212" t="s"/>
      <x:c r="M73" s="213" t="n">
        <x:v>0</x:v>
      </x:c>
      <x:c r="N73" s="214" t="n">
        <x:v>0</x:v>
      </x:c>
      <x:c r="O73" s="214" t="n">
        <x:v>0</x:v>
      </x:c>
      <x:c r="P73" s="215">
        <x:f>ROUND(((K73*M73) - (K73*M73*N73/100)) + (((K73*M73) - (K73*M73*N73/100)) * O73/100), 2)</x:f>
      </x:c>
      <x:c r="Q73" s="216" t="s"/>
      <x:c r="R73" s="216" t="s"/>
      <x:c r="S73" s="81" t="s"/>
      <x:c r="T73" s="209" t="s"/>
      <x:c r="U73" s="210" t="s"/>
    </x:row>
    <x:row r="74" spans="1:23">
      <x:c r="A74" s="76" t="n">
        <x:v>54</x:v>
      </x:c>
      <x:c r="B74" s="76" t="n">
        <x:v>5557778</x:v>
      </x:c>
      <x:c r="C74" s="77" t="s">
        <x:v>182</x:v>
      </x:c>
      <x:c r="D74" s="78" t="s">
        <x:v>183</x:v>
      </x:c>
      <x:c r="E74" s="79" t="s"/>
      <x:c r="F74" s="77" t="s">
        <x:v>172</x:v>
      </x:c>
      <x:c r="G74" s="92" t="n">
        <x:v>1</x:v>
      </x:c>
      <x:c r="H74" s="80" t="s">
        <x:v>104</x:v>
      </x:c>
      <x:c r="I74" s="80" t="s"/>
      <x:c r="J74" s="79" t="n">
        <x:v>0</x:v>
      </x:c>
      <x:c r="K74" s="211" t="n">
        <x:v>20</x:v>
      </x:c>
      <x:c r="L74" s="212" t="s"/>
      <x:c r="M74" s="213" t="n">
        <x:v>0</x:v>
      </x:c>
      <x:c r="N74" s="214" t="n">
        <x:v>0</x:v>
      </x:c>
      <x:c r="O74" s="214" t="n">
        <x:v>0</x:v>
      </x:c>
      <x:c r="P74" s="215">
        <x:f>ROUND(((K74*M74) - (K74*M74*N74/100)) + (((K74*M74) - (K74*M74*N74/100)) * O74/100), 2)</x:f>
      </x:c>
      <x:c r="Q74" s="216" t="s"/>
      <x:c r="R74" s="216" t="s"/>
      <x:c r="S74" s="81" t="s"/>
      <x:c r="T74" s="209" t="s"/>
      <x:c r="U74" s="210" t="s"/>
    </x:row>
    <x:row r="75" spans="1:23">
      <x:c r="A75" s="76" t="n">
        <x:v>55</x:v>
      </x:c>
      <x:c r="B75" s="76" t="n">
        <x:v>5210745</x:v>
      </x:c>
      <x:c r="C75" s="77" t="s">
        <x:v>184</x:v>
      </x:c>
      <x:c r="D75" s="78" t="s">
        <x:v>185</x:v>
      </x:c>
      <x:c r="E75" s="79" t="s"/>
      <x:c r="F75" s="77" t="s">
        <x:v>175</x:v>
      </x:c>
      <x:c r="G75" s="92" t="n">
        <x:v>1</x:v>
      </x:c>
      <x:c r="H75" s="80" t="s">
        <x:v>104</x:v>
      </x:c>
      <x:c r="I75" s="80" t="s"/>
      <x:c r="J75" s="79" t="n">
        <x:v>0</x:v>
      </x:c>
      <x:c r="K75" s="211" t="n">
        <x:v>20</x:v>
      </x:c>
      <x:c r="L75" s="212" t="s"/>
      <x:c r="M75" s="213" t="n">
        <x:v>0</x:v>
      </x:c>
      <x:c r="N75" s="214" t="n">
        <x:v>0</x:v>
      </x:c>
      <x:c r="O75" s="214" t="n">
        <x:v>0</x:v>
      </x:c>
      <x:c r="P75" s="215">
        <x:f>ROUND(((K75*M75) - (K75*M75*N75/100)) + (((K75*M75) - (K75*M75*N75/100)) * O75/100), 2)</x:f>
      </x:c>
      <x:c r="Q75" s="216" t="s"/>
      <x:c r="R75" s="216" t="s"/>
      <x:c r="S75" s="81" t="s"/>
      <x:c r="T75" s="209" t="s"/>
      <x:c r="U75" s="210" t="s"/>
    </x:row>
    <x:row r="76" spans="1:23">
      <x:c r="A76" s="76" t="n">
        <x:v>56</x:v>
      </x:c>
      <x:c r="B76" s="76" t="n">
        <x:v>5210764</x:v>
      </x:c>
      <x:c r="C76" s="77" t="s">
        <x:v>186</x:v>
      </x:c>
      <x:c r="D76" s="78" t="s">
        <x:v>187</x:v>
      </x:c>
      <x:c r="E76" s="79" t="s"/>
      <x:c r="F76" s="77" t="s">
        <x:v>175</x:v>
      </x:c>
      <x:c r="G76" s="92" t="n">
        <x:v>1</x:v>
      </x:c>
      <x:c r="H76" s="80" t="s">
        <x:v>104</x:v>
      </x:c>
      <x:c r="I76" s="80" t="s"/>
      <x:c r="J76" s="79" t="n">
        <x:v>0</x:v>
      </x:c>
      <x:c r="K76" s="211" t="n">
        <x:v>20</x:v>
      </x:c>
      <x:c r="L76" s="212" t="s"/>
      <x:c r="M76" s="213" t="n">
        <x:v>0</x:v>
      </x:c>
      <x:c r="N76" s="214" t="n">
        <x:v>0</x:v>
      </x:c>
      <x:c r="O76" s="214" t="n">
        <x:v>0</x:v>
      </x:c>
      <x:c r="P76" s="215">
        <x:f>ROUND(((K76*M76) - (K76*M76*N76/100)) + (((K76*M76) - (K76*M76*N76/100)) * O76/100), 2)</x:f>
      </x:c>
      <x:c r="Q76" s="216" t="s"/>
      <x:c r="R76" s="216" t="s"/>
      <x:c r="S76" s="81" t="s"/>
      <x:c r="T76" s="209" t="s"/>
      <x:c r="U76" s="210" t="s"/>
    </x:row>
    <x:row r="77" spans="1:23">
      <x:c r="A77" s="76" t="n">
        <x:v>57</x:v>
      </x:c>
      <x:c r="B77" s="76" t="n">
        <x:v>5210778</x:v>
      </x:c>
      <x:c r="C77" s="77" t="s">
        <x:v>188</x:v>
      </x:c>
      <x:c r="D77" s="78" t="s">
        <x:v>189</x:v>
      </x:c>
      <x:c r="E77" s="79" t="s"/>
      <x:c r="F77" s="77" t="s">
        <x:v>175</x:v>
      </x:c>
      <x:c r="G77" s="92" t="n">
        <x:v>1</x:v>
      </x:c>
      <x:c r="H77" s="80" t="s">
        <x:v>104</x:v>
      </x:c>
      <x:c r="I77" s="80" t="s"/>
      <x:c r="J77" s="79" t="n">
        <x:v>0</x:v>
      </x:c>
      <x:c r="K77" s="211" t="n">
        <x:v>15</x:v>
      </x:c>
      <x:c r="L77" s="212" t="s"/>
      <x:c r="M77" s="213" t="n">
        <x:v>0</x:v>
      </x:c>
      <x:c r="N77" s="214" t="n">
        <x:v>0</x:v>
      </x:c>
      <x:c r="O77" s="214" t="n">
        <x:v>0</x:v>
      </x:c>
      <x:c r="P77" s="215">
        <x:f>ROUND(((K77*M77) - (K77*M77*N77/100)) + (((K77*M77) - (K77*M77*N77/100)) * O77/100), 2)</x:f>
      </x:c>
      <x:c r="Q77" s="216" t="s"/>
      <x:c r="R77" s="216" t="s"/>
      <x:c r="S77" s="81" t="s"/>
      <x:c r="T77" s="209" t="s"/>
      <x:c r="U77" s="210" t="s"/>
    </x:row>
    <x:row r="78" spans="1:23">
      <x:c r="A78" s="76" t="n">
        <x:v>58</x:v>
      </x:c>
      <x:c r="B78" s="76" t="n">
        <x:v>5210638</x:v>
      </x:c>
      <x:c r="C78" s="77" t="s">
        <x:v>190</x:v>
      </x:c>
      <x:c r="D78" s="78" t="s">
        <x:v>191</x:v>
      </x:c>
      <x:c r="E78" s="79" t="s"/>
      <x:c r="F78" s="77" t="s">
        <x:v>66</x:v>
      </x:c>
      <x:c r="G78" s="92" t="n">
        <x:v>1</x:v>
      </x:c>
      <x:c r="H78" s="80" t="s">
        <x:v>104</x:v>
      </x:c>
      <x:c r="I78" s="80" t="s"/>
      <x:c r="J78" s="79" t="n">
        <x:v>0</x:v>
      </x:c>
      <x:c r="K78" s="211" t="n">
        <x:v>20</x:v>
      </x:c>
      <x:c r="L78" s="212" t="s"/>
      <x:c r="M78" s="213" t="n">
        <x:v>0</x:v>
      </x:c>
      <x:c r="N78" s="214" t="n">
        <x:v>0</x:v>
      </x:c>
      <x:c r="O78" s="214" t="n">
        <x:v>0</x:v>
      </x:c>
      <x:c r="P78" s="215">
        <x:f>ROUND(((K78*M78) - (K78*M78*N78/100)) + (((K78*M78) - (K78*M78*N78/100)) * O78/100), 2)</x:f>
      </x:c>
      <x:c r="Q78" s="216" t="s"/>
      <x:c r="R78" s="216" t="s"/>
      <x:c r="S78" s="81" t="s"/>
      <x:c r="T78" s="209" t="s"/>
      <x:c r="U78" s="210" t="s"/>
    </x:row>
    <x:row r="79" spans="1:23">
      <x:c r="A79" s="76" t="n">
        <x:v>59</x:v>
      </x:c>
      <x:c r="B79" s="76" t="n">
        <x:v>6136105</x:v>
      </x:c>
      <x:c r="C79" s="77" t="s">
        <x:v>192</x:v>
      </x:c>
      <x:c r="D79" s="78" t="s">
        <x:v>193</x:v>
      </x:c>
      <x:c r="E79" s="79" t="s"/>
      <x:c r="F79" s="77" t="s">
        <x:v>66</x:v>
      </x:c>
      <x:c r="G79" s="92" t="n">
        <x:v>1</x:v>
      </x:c>
      <x:c r="H79" s="80" t="s">
        <x:v>104</x:v>
      </x:c>
      <x:c r="I79" s="80" t="s"/>
      <x:c r="J79" s="79" t="n">
        <x:v>0</x:v>
      </x:c>
      <x:c r="K79" s="211" t="n">
        <x:v>20</x:v>
      </x:c>
      <x:c r="L79" s="212" t="s"/>
      <x:c r="M79" s="213" t="n">
        <x:v>0</x:v>
      </x:c>
      <x:c r="N79" s="214" t="n">
        <x:v>0</x:v>
      </x:c>
      <x:c r="O79" s="214" t="n">
        <x:v>0</x:v>
      </x:c>
      <x:c r="P79" s="215">
        <x:f>ROUND(((K79*M79) - (K79*M79*N79/100)) + (((K79*M79) - (K79*M79*N79/100)) * O79/100), 2)</x:f>
      </x:c>
      <x:c r="Q79" s="216" t="s"/>
      <x:c r="R79" s="216" t="s"/>
      <x:c r="S79" s="81" t="s"/>
      <x:c r="T79" s="209" t="s"/>
      <x:c r="U79" s="210" t="s"/>
    </x:row>
    <x:row r="80" spans="1:23">
      <x:c r="A80" s="76" t="n">
        <x:v>60</x:v>
      </x:c>
      <x:c r="B80" s="76" t="n">
        <x:v>5684971</x:v>
      </x:c>
      <x:c r="C80" s="77" t="s">
        <x:v>194</x:v>
      </x:c>
      <x:c r="D80" s="78" t="s">
        <x:v>195</x:v>
      </x:c>
      <x:c r="E80" s="79" t="s"/>
      <x:c r="F80" s="77" t="s">
        <x:v>124</x:v>
      </x:c>
      <x:c r="G80" s="92" t="n">
        <x:v>1</x:v>
      </x:c>
      <x:c r="H80" s="80" t="s">
        <x:v>104</x:v>
      </x:c>
      <x:c r="I80" s="80" t="s"/>
      <x:c r="J80" s="79" t="n">
        <x:v>0</x:v>
      </x:c>
      <x:c r="K80" s="211" t="n">
        <x:v>12</x:v>
      </x:c>
      <x:c r="L80" s="212" t="s"/>
      <x:c r="M80" s="213" t="n">
        <x:v>0</x:v>
      </x:c>
      <x:c r="N80" s="214" t="n">
        <x:v>0</x:v>
      </x:c>
      <x:c r="O80" s="214" t="n">
        <x:v>0</x:v>
      </x:c>
      <x:c r="P80" s="215">
        <x:f>ROUND(((K80*M80) - (K80*M80*N80/100)) + (((K80*M80) - (K80*M80*N80/100)) * O80/100), 2)</x:f>
      </x:c>
      <x:c r="Q80" s="216" t="s"/>
      <x:c r="R80" s="216" t="s"/>
      <x:c r="S80" s="81" t="s"/>
      <x:c r="T80" s="209" t="s"/>
      <x:c r="U80" s="210" t="s"/>
    </x:row>
    <x:row r="81" spans="1:23">
      <x:c r="A81" s="76" t="n">
        <x:v>61</x:v>
      </x:c>
      <x:c r="B81" s="76" t="n">
        <x:v>5211009</x:v>
      </x:c>
      <x:c r="C81" s="77" t="s">
        <x:v>196</x:v>
      </x:c>
      <x:c r="D81" s="78" t="s">
        <x:v>197</x:v>
      </x:c>
      <x:c r="E81" s="79" t="s"/>
      <x:c r="F81" s="77" t="s">
        <x:v>198</x:v>
      </x:c>
      <x:c r="G81" s="92" t="n">
        <x:v>1</x:v>
      </x:c>
      <x:c r="H81" s="80" t="s">
        <x:v>104</x:v>
      </x:c>
      <x:c r="I81" s="80" t="s"/>
      <x:c r="J81" s="79" t="n">
        <x:v>0</x:v>
      </x:c>
      <x:c r="K81" s="211" t="n">
        <x:v>150</x:v>
      </x:c>
      <x:c r="L81" s="212" t="s"/>
      <x:c r="M81" s="213" t="n">
        <x:v>0</x:v>
      </x:c>
      <x:c r="N81" s="214" t="n">
        <x:v>0</x:v>
      </x:c>
      <x:c r="O81" s="214" t="n">
        <x:v>0</x:v>
      </x:c>
      <x:c r="P81" s="215">
        <x:f>ROUND(((K81*M81) - (K81*M81*N81/100)) + (((K81*M81) - (K81*M81*N81/100)) * O81/100), 2)</x:f>
      </x:c>
      <x:c r="Q81" s="216" t="s"/>
      <x:c r="R81" s="216" t="s"/>
      <x:c r="S81" s="81" t="s"/>
      <x:c r="T81" s="209" t="s"/>
      <x:c r="U81" s="210" t="s"/>
    </x:row>
    <x:row r="82" spans="1:23">
      <x:c r="A82" s="76" t="n">
        <x:v>62</x:v>
      </x:c>
      <x:c r="B82" s="76" t="n">
        <x:v>5210838</x:v>
      </x:c>
      <x:c r="C82" s="77" t="s">
        <x:v>199</x:v>
      </x:c>
      <x:c r="D82" s="78" t="s">
        <x:v>200</x:v>
      </x:c>
      <x:c r="E82" s="79" t="s"/>
      <x:c r="F82" s="77" t="s">
        <x:v>201</x:v>
      </x:c>
      <x:c r="G82" s="92" t="n">
        <x:v>1</x:v>
      </x:c>
      <x:c r="H82" s="80" t="s">
        <x:v>95</x:v>
      </x:c>
      <x:c r="I82" s="80" t="s"/>
      <x:c r="J82" s="79" t="n">
        <x:v>0</x:v>
      </x:c>
      <x:c r="K82" s="211" t="n">
        <x:v>12</x:v>
      </x:c>
      <x:c r="L82" s="212" t="s"/>
      <x:c r="M82" s="213" t="n">
        <x:v>0</x:v>
      </x:c>
      <x:c r="N82" s="214" t="n">
        <x:v>0</x:v>
      </x:c>
      <x:c r="O82" s="214" t="n">
        <x:v>0</x:v>
      </x:c>
      <x:c r="P82" s="215">
        <x:f>ROUND(((K82*M82) - (K82*M82*N82/100)) + (((K82*M82) - (K82*M82*N82/100)) * O82/100), 2)</x:f>
      </x:c>
      <x:c r="Q82" s="216" t="s"/>
      <x:c r="R82" s="216" t="s"/>
      <x:c r="S82" s="81" t="s"/>
      <x:c r="T82" s="209" t="s"/>
      <x:c r="U82" s="210" t="s"/>
    </x:row>
    <x:row r="83" spans="1:23">
      <x:c r="A83" s="76" t="n">
        <x:v>63</x:v>
      </x:c>
      <x:c r="B83" s="76" t="n">
        <x:v>5211053</x:v>
      </x:c>
      <x:c r="C83" s="77" t="s">
        <x:v>202</x:v>
      </x:c>
      <x:c r="D83" s="78" t="s">
        <x:v>203</x:v>
      </x:c>
      <x:c r="E83" s="79" t="s"/>
      <x:c r="F83" s="77" t="s">
        <x:v>201</x:v>
      </x:c>
      <x:c r="G83" s="92" t="n">
        <x:v>1</x:v>
      </x:c>
      <x:c r="H83" s="80" t="s">
        <x:v>95</x:v>
      </x:c>
      <x:c r="I83" s="80" t="s"/>
      <x:c r="J83" s="79" t="n">
        <x:v>0</x:v>
      </x:c>
      <x:c r="K83" s="211" t="n">
        <x:v>12</x:v>
      </x:c>
      <x:c r="L83" s="212" t="s"/>
      <x:c r="M83" s="213" t="n">
        <x:v>0</x:v>
      </x:c>
      <x:c r="N83" s="214" t="n">
        <x:v>0</x:v>
      </x:c>
      <x:c r="O83" s="214" t="n">
        <x:v>0</x:v>
      </x:c>
      <x:c r="P83" s="215">
        <x:f>ROUND(((K83*M83) - (K83*M83*N83/100)) + (((K83*M83) - (K83*M83*N83/100)) * O83/100), 2)</x:f>
      </x:c>
      <x:c r="Q83" s="216" t="s"/>
      <x:c r="R83" s="216" t="s"/>
      <x:c r="S83" s="81" t="s"/>
      <x:c r="T83" s="209" t="s"/>
      <x:c r="U83" s="210" t="s"/>
    </x:row>
    <x:row r="84" spans="1:23">
      <x:c r="A84" s="76" t="n">
        <x:v>64</x:v>
      </x:c>
      <x:c r="B84" s="76" t="n">
        <x:v>5211065</x:v>
      </x:c>
      <x:c r="C84" s="77" t="s">
        <x:v>204</x:v>
      </x:c>
      <x:c r="D84" s="78" t="s">
        <x:v>205</x:v>
      </x:c>
      <x:c r="E84" s="79" t="s"/>
      <x:c r="F84" s="77" t="s">
        <x:v>201</x:v>
      </x:c>
      <x:c r="G84" s="92" t="n">
        <x:v>1</x:v>
      </x:c>
      <x:c r="H84" s="80" t="s">
        <x:v>95</x:v>
      </x:c>
      <x:c r="I84" s="80" t="s"/>
      <x:c r="J84" s="79" t="n">
        <x:v>0</x:v>
      </x:c>
      <x:c r="K84" s="211" t="n">
        <x:v>12</x:v>
      </x:c>
      <x:c r="L84" s="212" t="s"/>
      <x:c r="M84" s="213" t="n">
        <x:v>0</x:v>
      </x:c>
      <x:c r="N84" s="214" t="n">
        <x:v>0</x:v>
      </x:c>
      <x:c r="O84" s="214" t="n">
        <x:v>0</x:v>
      </x:c>
      <x:c r="P84" s="215">
        <x:f>ROUND(((K84*M84) - (K84*M84*N84/100)) + (((K84*M84) - (K84*M84*N84/100)) * O84/100), 2)</x:f>
      </x:c>
      <x:c r="Q84" s="216" t="s"/>
      <x:c r="R84" s="216" t="s"/>
      <x:c r="S84" s="81" t="s"/>
      <x:c r="T84" s="209" t="s"/>
      <x:c r="U84" s="210" t="s"/>
    </x:row>
    <x:row r="85" spans="1:23">
      <x:c r="A85" s="76" t="n">
        <x:v>65</x:v>
      </x:c>
      <x:c r="B85" s="76" t="n">
        <x:v>5211088</x:v>
      </x:c>
      <x:c r="C85" s="77" t="s">
        <x:v>206</x:v>
      </x:c>
      <x:c r="D85" s="78" t="s">
        <x:v>207</x:v>
      </x:c>
      <x:c r="E85" s="79" t="s"/>
      <x:c r="F85" s="77" t="s">
        <x:v>201</x:v>
      </x:c>
      <x:c r="G85" s="92" t="n">
        <x:v>1</x:v>
      </x:c>
      <x:c r="H85" s="80" t="s">
        <x:v>95</x:v>
      </x:c>
      <x:c r="I85" s="80" t="s"/>
      <x:c r="J85" s="79" t="n">
        <x:v>0</x:v>
      </x:c>
      <x:c r="K85" s="211" t="n">
        <x:v>12</x:v>
      </x:c>
      <x:c r="L85" s="212" t="s"/>
      <x:c r="M85" s="213" t="n">
        <x:v>0</x:v>
      </x:c>
      <x:c r="N85" s="214" t="n">
        <x:v>0</x:v>
      </x:c>
      <x:c r="O85" s="214" t="n">
        <x:v>0</x:v>
      </x:c>
      <x:c r="P85" s="215">
        <x:f>ROUND(((K85*M85) - (K85*M85*N85/100)) + (((K85*M85) - (K85*M85*N85/100)) * O85/100), 2)</x:f>
      </x:c>
      <x:c r="Q85" s="216" t="s"/>
      <x:c r="R85" s="216" t="s"/>
      <x:c r="S85" s="81" t="s"/>
      <x:c r="T85" s="209" t="s"/>
      <x:c r="U85" s="210" t="s"/>
    </x:row>
    <x:row r="86" spans="1:23">
      <x:c r="A86" s="76" t="n">
        <x:v>66</x:v>
      </x:c>
      <x:c r="B86" s="76" t="n">
        <x:v>5211172</x:v>
      </x:c>
      <x:c r="C86" s="77" t="s">
        <x:v>208</x:v>
      </x:c>
      <x:c r="D86" s="78" t="s">
        <x:v>209</x:v>
      </x:c>
      <x:c r="E86" s="79" t="s"/>
      <x:c r="F86" s="77" t="s">
        <x:v>201</x:v>
      </x:c>
      <x:c r="G86" s="92" t="n">
        <x:v>1</x:v>
      </x:c>
      <x:c r="H86" s="80" t="s">
        <x:v>95</x:v>
      </x:c>
      <x:c r="I86" s="80" t="s"/>
      <x:c r="J86" s="79" t="n">
        <x:v>0</x:v>
      </x:c>
      <x:c r="K86" s="211" t="n">
        <x:v>24</x:v>
      </x:c>
      <x:c r="L86" s="212" t="s"/>
      <x:c r="M86" s="213" t="n">
        <x:v>0</x:v>
      </x:c>
      <x:c r="N86" s="214" t="n">
        <x:v>0</x:v>
      </x:c>
      <x:c r="O86" s="214" t="n">
        <x:v>0</x:v>
      </x:c>
      <x:c r="P86" s="215">
        <x:f>ROUND(((K86*M86) - (K86*M86*N86/100)) + (((K86*M86) - (K86*M86*N86/100)) * O86/100), 2)</x:f>
      </x:c>
      <x:c r="Q86" s="216" t="s"/>
      <x:c r="R86" s="216" t="s"/>
      <x:c r="S86" s="81" t="s"/>
      <x:c r="T86" s="209" t="s"/>
      <x:c r="U86" s="210" t="s"/>
    </x:row>
    <x:row r="87" spans="1:23">
      <x:c r="A87" s="76" t="n">
        <x:v>67</x:v>
      </x:c>
      <x:c r="B87" s="76" t="n">
        <x:v>5997390</x:v>
      </x:c>
      <x:c r="C87" s="77" t="s">
        <x:v>210</x:v>
      </x:c>
      <x:c r="D87" s="78" t="s">
        <x:v>211</x:v>
      </x:c>
      <x:c r="E87" s="79" t="s"/>
      <x:c r="F87" s="77" t="s">
        <x:v>132</x:v>
      </x:c>
      <x:c r="G87" s="92" t="n">
        <x:v>1</x:v>
      </x:c>
      <x:c r="H87" s="80" t="s">
        <x:v>104</x:v>
      </x:c>
      <x:c r="I87" s="80" t="s"/>
      <x:c r="J87" s="79" t="n">
        <x:v>0</x:v>
      </x:c>
      <x:c r="K87" s="211" t="n">
        <x:v>60</x:v>
      </x:c>
      <x:c r="L87" s="212" t="s"/>
      <x:c r="M87" s="213" t="n">
        <x:v>0</x:v>
      </x:c>
      <x:c r="N87" s="214" t="n">
        <x:v>0</x:v>
      </x:c>
      <x:c r="O87" s="214" t="n">
        <x:v>0</x:v>
      </x:c>
      <x:c r="P87" s="215">
        <x:f>ROUND(((K87*M87) - (K87*M87*N87/100)) + (((K87*M87) - (K87*M87*N87/100)) * O87/100), 2)</x:f>
      </x:c>
      <x:c r="Q87" s="216" t="s"/>
      <x:c r="R87" s="216" t="s"/>
      <x:c r="S87" s="81" t="s"/>
      <x:c r="T87" s="209" t="s"/>
      <x:c r="U87" s="210" t="s"/>
    </x:row>
    <x:row r="88" spans="1:23">
      <x:c r="A88" s="76" t="n">
        <x:v>68</x:v>
      </x:c>
      <x:c r="B88" s="76" t="n">
        <x:v>5211288</x:v>
      </x:c>
      <x:c r="C88" s="77" t="s">
        <x:v>212</x:v>
      </x:c>
      <x:c r="D88" s="78" t="s">
        <x:v>213</x:v>
      </x:c>
      <x:c r="E88" s="79" t="s"/>
      <x:c r="F88" s="77" t="s">
        <x:v>66</x:v>
      </x:c>
      <x:c r="G88" s="92" t="n">
        <x:v>1</x:v>
      </x:c>
      <x:c r="H88" s="80" t="s">
        <x:v>104</x:v>
      </x:c>
      <x:c r="I88" s="80" t="s"/>
      <x:c r="J88" s="79" t="n">
        <x:v>0</x:v>
      </x:c>
      <x:c r="K88" s="211" t="n">
        <x:v>4</x:v>
      </x:c>
      <x:c r="L88" s="212" t="s"/>
      <x:c r="M88" s="213" t="n">
        <x:v>0</x:v>
      </x:c>
      <x:c r="N88" s="214" t="n">
        <x:v>0</x:v>
      </x:c>
      <x:c r="O88" s="214" t="n">
        <x:v>0</x:v>
      </x:c>
      <x:c r="P88" s="215">
        <x:f>ROUND(((K88*M88) - (K88*M88*N88/100)) + (((K88*M88) - (K88*M88*N88/100)) * O88/100), 2)</x:f>
      </x:c>
      <x:c r="Q88" s="216" t="s"/>
      <x:c r="R88" s="216" t="s"/>
      <x:c r="S88" s="81" t="s"/>
      <x:c r="T88" s="209" t="s"/>
      <x:c r="U88" s="210" t="s"/>
    </x:row>
    <x:row r="89" spans="1:23">
      <x:c r="A89" s="76" t="n">
        <x:v>69</x:v>
      </x:c>
      <x:c r="B89" s="76" t="n">
        <x:v>5210623</x:v>
      </x:c>
      <x:c r="C89" s="77" t="s">
        <x:v>214</x:v>
      </x:c>
      <x:c r="D89" s="78" t="s">
        <x:v>215</x:v>
      </x:c>
      <x:c r="E89" s="79" t="s"/>
      <x:c r="F89" s="77" t="s">
        <x:v>216</x:v>
      </x:c>
      <x:c r="G89" s="92" t="n">
        <x:v>1</x:v>
      </x:c>
      <x:c r="H89" s="80" t="s">
        <x:v>61</x:v>
      </x:c>
      <x:c r="I89" s="80" t="s"/>
      <x:c r="J89" s="79" t="n">
        <x:v>0</x:v>
      </x:c>
      <x:c r="K89" s="211" t="n">
        <x:v>60</x:v>
      </x:c>
      <x:c r="L89" s="212" t="s"/>
      <x:c r="M89" s="213" t="n">
        <x:v>0</x:v>
      </x:c>
      <x:c r="N89" s="214" t="n">
        <x:v>0</x:v>
      </x:c>
      <x:c r="O89" s="214" t="n">
        <x:v>0</x:v>
      </x:c>
      <x:c r="P89" s="215">
        <x:f>ROUND(((K89*M89) - (K89*M89*N89/100)) + (((K89*M89) - (K89*M89*N89/100)) * O89/100), 2)</x:f>
      </x:c>
      <x:c r="Q89" s="216" t="s"/>
      <x:c r="R89" s="216" t="s"/>
      <x:c r="S89" s="81" t="s"/>
      <x:c r="T89" s="209" t="s"/>
      <x:c r="U89" s="210" t="s"/>
    </x:row>
    <x:row r="90" spans="1:23">
      <x:c r="A90" s="76" t="n">
        <x:v>70</x:v>
      </x:c>
      <x:c r="B90" s="76" t="n">
        <x:v>5210409</x:v>
      </x:c>
      <x:c r="C90" s="77" t="s">
        <x:v>217</x:v>
      </x:c>
      <x:c r="D90" s="78" t="s">
        <x:v>218</x:v>
      </x:c>
      <x:c r="E90" s="79" t="s"/>
      <x:c r="F90" s="77" t="s">
        <x:v>219</x:v>
      </x:c>
      <x:c r="G90" s="92" t="n">
        <x:v>250</x:v>
      </x:c>
      <x:c r="H90" s="80" t="s">
        <x:v>58</x:v>
      </x:c>
      <x:c r="I90" s="80" t="s"/>
      <x:c r="J90" s="79" t="n">
        <x:v>0</x:v>
      </x:c>
      <x:c r="K90" s="211" t="n">
        <x:v>12</x:v>
      </x:c>
      <x:c r="L90" s="212" t="s"/>
      <x:c r="M90" s="213" t="n">
        <x:v>0</x:v>
      </x:c>
      <x:c r="N90" s="214" t="n">
        <x:v>0</x:v>
      </x:c>
      <x:c r="O90" s="214" t="n">
        <x:v>0</x:v>
      </x:c>
      <x:c r="P90" s="215">
        <x:f>ROUND(((K90*M90) - (K90*M90*N90/100)) + (((K90*M90) - (K90*M90*N90/100)) * O90/100), 2)</x:f>
      </x:c>
      <x:c r="Q90" s="216" t="s"/>
      <x:c r="R90" s="216" t="s"/>
      <x:c r="S90" s="81" t="s"/>
      <x:c r="T90" s="209" t="s"/>
      <x:c r="U90" s="210" t="s"/>
    </x:row>
    <x:row r="91" spans="1:23">
      <x:c r="A91" s="76" t="n">
        <x:v>71</x:v>
      </x:c>
      <x:c r="B91" s="76" t="n">
        <x:v>5210852</x:v>
      </x:c>
      <x:c r="C91" s="77" t="s">
        <x:v>220</x:v>
      </x:c>
      <x:c r="D91" s="78" t="s">
        <x:v>221</x:v>
      </x:c>
      <x:c r="E91" s="79" t="s"/>
      <x:c r="F91" s="77" t="s">
        <x:v>66</x:v>
      </x:c>
      <x:c r="G91" s="92" t="n">
        <x:v>500</x:v>
      </x:c>
      <x:c r="H91" s="80" t="s">
        <x:v>58</x:v>
      </x:c>
      <x:c r="I91" s="80" t="s"/>
      <x:c r="J91" s="79" t="n">
        <x:v>0</x:v>
      </x:c>
      <x:c r="K91" s="211" t="n">
        <x:v>24</x:v>
      </x:c>
      <x:c r="L91" s="212" t="s"/>
      <x:c r="M91" s="213" t="n">
        <x:v>0</x:v>
      </x:c>
      <x:c r="N91" s="214" t="n">
        <x:v>0</x:v>
      </x:c>
      <x:c r="O91" s="214" t="n">
        <x:v>0</x:v>
      </x:c>
      <x:c r="P91" s="215">
        <x:f>ROUND(((K91*M91) - (K91*M91*N91/100)) + (((K91*M91) - (K91*M91*N91/100)) * O91/100), 2)</x:f>
      </x:c>
      <x:c r="Q91" s="216" t="s"/>
      <x:c r="R91" s="216" t="s"/>
      <x:c r="S91" s="81" t="s"/>
      <x:c r="T91" s="209" t="s"/>
      <x:c r="U91" s="210" t="s"/>
    </x:row>
    <x:row r="92" spans="1:23">
      <x:c r="A92" s="76" t="n">
        <x:v>72</x:v>
      </x:c>
      <x:c r="B92" s="76" t="n">
        <x:v>5210902</x:v>
      </x:c>
      <x:c r="C92" s="77" t="s">
        <x:v>222</x:v>
      </x:c>
      <x:c r="D92" s="78" t="s">
        <x:v>223</x:v>
      </x:c>
      <x:c r="E92" s="79" t="s"/>
      <x:c r="F92" s="77" t="s">
        <x:v>66</x:v>
      </x:c>
      <x:c r="G92" s="92" t="n">
        <x:v>500</x:v>
      </x:c>
      <x:c r="H92" s="80" t="s">
        <x:v>58</x:v>
      </x:c>
      <x:c r="I92" s="80" t="s"/>
      <x:c r="J92" s="79" t="n">
        <x:v>0</x:v>
      </x:c>
      <x:c r="K92" s="211" t="n">
        <x:v>24</x:v>
      </x:c>
      <x:c r="L92" s="212" t="s"/>
      <x:c r="M92" s="213" t="n">
        <x:v>0</x:v>
      </x:c>
      <x:c r="N92" s="214" t="n">
        <x:v>0</x:v>
      </x:c>
      <x:c r="O92" s="214" t="n">
        <x:v>0</x:v>
      </x:c>
      <x:c r="P92" s="215">
        <x:f>ROUND(((K92*M92) - (K92*M92*N92/100)) + (((K92*M92) - (K92*M92*N92/100)) * O92/100), 2)</x:f>
      </x:c>
      <x:c r="Q92" s="216" t="s"/>
      <x:c r="R92" s="216" t="s"/>
      <x:c r="S92" s="81" t="s"/>
      <x:c r="T92" s="209" t="s"/>
      <x:c r="U92" s="210" t="s"/>
    </x:row>
    <x:row r="93" spans="1:23">
      <x:c r="A93" s="76" t="n">
        <x:v>73</x:v>
      </x:c>
      <x:c r="B93" s="76" t="n">
        <x:v>5210432</x:v>
      </x:c>
      <x:c r="C93" s="77" t="s">
        <x:v>224</x:v>
      </x:c>
      <x:c r="D93" s="78" t="s">
        <x:v>225</x:v>
      </x:c>
      <x:c r="E93" s="79" t="s"/>
      <x:c r="F93" s="77" t="s">
        <x:v>132</x:v>
      </x:c>
      <x:c r="G93" s="92" t="n">
        <x:v>500</x:v>
      </x:c>
      <x:c r="H93" s="80" t="s">
        <x:v>226</x:v>
      </x:c>
      <x:c r="I93" s="80" t="s"/>
      <x:c r="J93" s="79" t="n">
        <x:v>0</x:v>
      </x:c>
      <x:c r="K93" s="211" t="n">
        <x:v>12</x:v>
      </x:c>
      <x:c r="L93" s="212" t="s"/>
      <x:c r="M93" s="213" t="n">
        <x:v>0</x:v>
      </x:c>
      <x:c r="N93" s="214" t="n">
        <x:v>0</x:v>
      </x:c>
      <x:c r="O93" s="214" t="n">
        <x:v>0</x:v>
      </x:c>
      <x:c r="P93" s="215">
        <x:f>ROUND(((K93*M93) - (K93*M93*N93/100)) + (((K93*M93) - (K93*M93*N93/100)) * O93/100), 2)</x:f>
      </x:c>
      <x:c r="Q93" s="216" t="s"/>
      <x:c r="R93" s="216" t="s"/>
      <x:c r="S93" s="81" t="s"/>
      <x:c r="T93" s="209" t="s"/>
      <x:c r="U93" s="210" t="s"/>
    </x:row>
    <x:row r="94" spans="1:23">
      <x:c r="A94" s="76" t="n">
        <x:v>74</x:v>
      </x:c>
      <x:c r="B94" s="76" t="n">
        <x:v>7658280</x:v>
      </x:c>
      <x:c r="C94" s="77" t="s">
        <x:v>227</x:v>
      </x:c>
      <x:c r="D94" s="78" t="s">
        <x:v>228</x:v>
      </x:c>
      <x:c r="E94" s="79" t="s"/>
      <x:c r="F94" s="77" t="s">
        <x:v>132</x:v>
      </x:c>
      <x:c r="G94" s="92" t="n">
        <x:v>100</x:v>
      </x:c>
      <x:c r="H94" s="80" t="s">
        <x:v>58</x:v>
      </x:c>
      <x:c r="I94" s="80" t="s"/>
      <x:c r="J94" s="79" t="n">
        <x:v>0</x:v>
      </x:c>
      <x:c r="K94" s="211" t="n">
        <x:v>24</x:v>
      </x:c>
      <x:c r="L94" s="212" t="s"/>
      <x:c r="M94" s="213" t="n">
        <x:v>0</x:v>
      </x:c>
      <x:c r="N94" s="214" t="n">
        <x:v>0</x:v>
      </x:c>
      <x:c r="O94" s="214" t="n">
        <x:v>0</x:v>
      </x:c>
      <x:c r="P94" s="215">
        <x:f>ROUND(((K94*M94) - (K94*M94*N94/100)) + (((K94*M94) - (K94*M94*N94/100)) * O94/100), 2)</x:f>
      </x:c>
      <x:c r="Q94" s="216" t="s"/>
      <x:c r="R94" s="216" t="s"/>
      <x:c r="S94" s="81" t="s"/>
      <x:c r="T94" s="209" t="s"/>
      <x:c r="U94" s="210" t="s"/>
    </x:row>
    <x:row r="95" spans="1:23">
      <x:c r="A95" s="76" t="n">
        <x:v>75</x:v>
      </x:c>
      <x:c r="B95" s="76" t="n">
        <x:v>5235687</x:v>
      </x:c>
      <x:c r="C95" s="77" t="s">
        <x:v>229</x:v>
      </x:c>
      <x:c r="D95" s="78" t="s">
        <x:v>230</x:v>
      </x:c>
      <x:c r="E95" s="79" t="s"/>
      <x:c r="F95" s="77" t="s">
        <x:v>132</x:v>
      </x:c>
      <x:c r="G95" s="92" t="n">
        <x:v>250</x:v>
      </x:c>
      <x:c r="H95" s="80" t="s">
        <x:v>58</x:v>
      </x:c>
      <x:c r="I95" s="80" t="s"/>
      <x:c r="J95" s="79" t="n">
        <x:v>0</x:v>
      </x:c>
      <x:c r="K95" s="211" t="n">
        <x:v>12</x:v>
      </x:c>
      <x:c r="L95" s="212" t="s"/>
      <x:c r="M95" s="213" t="n">
        <x:v>0</x:v>
      </x:c>
      <x:c r="N95" s="214" t="n">
        <x:v>0</x:v>
      </x:c>
      <x:c r="O95" s="214" t="n">
        <x:v>0</x:v>
      </x:c>
      <x:c r="P95" s="215">
        <x:f>ROUND(((K95*M95) - (K95*M95*N95/100)) + (((K95*M95) - (K95*M95*N95/100)) * O95/100), 2)</x:f>
      </x:c>
      <x:c r="Q95" s="216" t="s"/>
      <x:c r="R95" s="216" t="s"/>
      <x:c r="S95" s="81" t="s"/>
      <x:c r="T95" s="209" t="s"/>
      <x:c r="U95" s="210" t="s"/>
    </x:row>
    <x:row r="96" spans="1:23">
      <x:c r="A96" s="76" t="n">
        <x:v>76</x:v>
      </x:c>
      <x:c r="B96" s="76" t="n">
        <x:v>5210445</x:v>
      </x:c>
      <x:c r="C96" s="77" t="s">
        <x:v>231</x:v>
      </x:c>
      <x:c r="D96" s="78" t="s">
        <x:v>232</x:v>
      </x:c>
      <x:c r="E96" s="79" t="s"/>
      <x:c r="F96" s="77" t="s">
        <x:v>66</x:v>
      </x:c>
      <x:c r="G96" s="92" t="n">
        <x:v>500</x:v>
      </x:c>
      <x:c r="H96" s="80" t="s">
        <x:v>58</x:v>
      </x:c>
      <x:c r="I96" s="80" t="s"/>
      <x:c r="J96" s="79" t="n">
        <x:v>0</x:v>
      </x:c>
      <x:c r="K96" s="211" t="n">
        <x:v>12</x:v>
      </x:c>
      <x:c r="L96" s="212" t="s"/>
      <x:c r="M96" s="213" t="n">
        <x:v>0</x:v>
      </x:c>
      <x:c r="N96" s="214" t="n">
        <x:v>0</x:v>
      </x:c>
      <x:c r="O96" s="214" t="n">
        <x:v>0</x:v>
      </x:c>
      <x:c r="P96" s="215">
        <x:f>ROUND(((K96*M96) - (K96*M96*N96/100)) + (((K96*M96) - (K96*M96*N96/100)) * O96/100), 2)</x:f>
      </x:c>
      <x:c r="Q96" s="216" t="s"/>
      <x:c r="R96" s="216" t="s"/>
      <x:c r="S96" s="81" t="s"/>
      <x:c r="T96" s="209" t="s"/>
      <x:c r="U96" s="210" t="s"/>
    </x:row>
    <x:row r="97" spans="1:23">
      <x:c r="A97" s="76" t="n">
        <x:v>77</x:v>
      </x:c>
      <x:c r="B97" s="76" t="n">
        <x:v>5210526</x:v>
      </x:c>
      <x:c r="C97" s="77" t="s">
        <x:v>233</x:v>
      </x:c>
      <x:c r="D97" s="78" t="s">
        <x:v>234</x:v>
      </x:c>
      <x:c r="E97" s="79" t="s"/>
      <x:c r="F97" s="77" t="s">
        <x:v>66</x:v>
      </x:c>
      <x:c r="G97" s="92" t="n">
        <x:v>400</x:v>
      </x:c>
      <x:c r="H97" s="80" t="s">
        <x:v>58</x:v>
      </x:c>
      <x:c r="I97" s="80" t="s"/>
      <x:c r="J97" s="79" t="n">
        <x:v>0</x:v>
      </x:c>
      <x:c r="K97" s="211" t="n">
        <x:v>24</x:v>
      </x:c>
      <x:c r="L97" s="212" t="s"/>
      <x:c r="M97" s="213" t="n">
        <x:v>0</x:v>
      </x:c>
      <x:c r="N97" s="214" t="n">
        <x:v>0</x:v>
      </x:c>
      <x:c r="O97" s="214" t="n">
        <x:v>0</x:v>
      </x:c>
      <x:c r="P97" s="215">
        <x:f>ROUND(((K97*M97) - (K97*M97*N97/100)) + (((K97*M97) - (K97*M97*N97/100)) * O97/100), 2)</x:f>
      </x:c>
      <x:c r="Q97" s="216" t="s"/>
      <x:c r="R97" s="216" t="s"/>
      <x:c r="S97" s="81" t="s"/>
      <x:c r="T97" s="209" t="s"/>
      <x:c r="U97" s="210" t="s"/>
    </x:row>
    <x:row r="98" spans="1:23">
      <x:c r="A98" s="76" t="n">
        <x:v>78</x:v>
      </x:c>
      <x:c r="B98" s="76" t="n">
        <x:v>6142843</x:v>
      </x:c>
      <x:c r="C98" s="77" t="s">
        <x:v>235</x:v>
      </x:c>
      <x:c r="D98" s="78" t="s">
        <x:v>236</x:v>
      </x:c>
      <x:c r="E98" s="79" t="s"/>
      <x:c r="F98" s="77" t="s">
        <x:v>66</x:v>
      </x:c>
      <x:c r="G98" s="92" t="n">
        <x:v>500</x:v>
      </x:c>
      <x:c r="H98" s="80" t="s">
        <x:v>58</x:v>
      </x:c>
      <x:c r="I98" s="80" t="s"/>
      <x:c r="J98" s="79" t="n">
        <x:v>0</x:v>
      </x:c>
      <x:c r="K98" s="211" t="n">
        <x:v>12</x:v>
      </x:c>
      <x:c r="L98" s="212" t="s"/>
      <x:c r="M98" s="213" t="n">
        <x:v>0</x:v>
      </x:c>
      <x:c r="N98" s="214" t="n">
        <x:v>0</x:v>
      </x:c>
      <x:c r="O98" s="214" t="n">
        <x:v>0</x:v>
      </x:c>
      <x:c r="P98" s="215">
        <x:f>ROUND(((K98*M98) - (K98*M98*N98/100)) + (((K98*M98) - (K98*M98*N98/100)) * O98/100), 2)</x:f>
      </x:c>
      <x:c r="Q98" s="216" t="s"/>
      <x:c r="R98" s="216" t="s"/>
      <x:c r="S98" s="81" t="s"/>
      <x:c r="T98" s="209" t="s"/>
      <x:c r="U98" s="210" t="s"/>
    </x:row>
    <x:row r="99" spans="1:23">
      <x:c r="A99" s="76" t="n">
        <x:v>79</x:v>
      </x:c>
      <x:c r="B99" s="76" t="n">
        <x:v>6427895</x:v>
      </x:c>
      <x:c r="C99" s="77" t="s">
        <x:v>237</x:v>
      </x:c>
      <x:c r="D99" s="78" t="s">
        <x:v>238</x:v>
      </x:c>
      <x:c r="E99" s="79" t="s"/>
      <x:c r="F99" s="77" t="s">
        <x:v>132</x:v>
      </x:c>
      <x:c r="G99" s="92" t="n">
        <x:v>250</x:v>
      </x:c>
      <x:c r="H99" s="80" t="s">
        <x:v>58</x:v>
      </x:c>
      <x:c r="I99" s="80" t="s"/>
      <x:c r="J99" s="79" t="n">
        <x:v>0</x:v>
      </x:c>
      <x:c r="K99" s="211" t="n">
        <x:v>12</x:v>
      </x:c>
      <x:c r="L99" s="212" t="s"/>
      <x:c r="M99" s="213" t="n">
        <x:v>0</x:v>
      </x:c>
      <x:c r="N99" s="214" t="n">
        <x:v>0</x:v>
      </x:c>
      <x:c r="O99" s="214" t="n">
        <x:v>0</x:v>
      </x:c>
      <x:c r="P99" s="215">
        <x:f>ROUND(((K99*M99) - (K99*M99*N99/100)) + (((K99*M99) - (K99*M99*N99/100)) * O99/100), 2)</x:f>
      </x:c>
      <x:c r="Q99" s="216" t="s"/>
      <x:c r="R99" s="216" t="s"/>
      <x:c r="S99" s="81" t="s"/>
      <x:c r="T99" s="209" t="s"/>
      <x:c r="U99" s="210" t="s"/>
    </x:row>
    <x:row r="100" spans="1:23">
      <x:c r="A100" s="76" t="n">
        <x:v>80</x:v>
      </x:c>
      <x:c r="B100" s="76" t="n">
        <x:v>5210492</x:v>
      </x:c>
      <x:c r="C100" s="77" t="s">
        <x:v>239</x:v>
      </x:c>
      <x:c r="D100" s="78" t="s">
        <x:v>240</x:v>
      </x:c>
      <x:c r="E100" s="79" t="s"/>
      <x:c r="F100" s="77" t="s">
        <x:v>241</x:v>
      </x:c>
      <x:c r="G100" s="92" t="n">
        <x:v>500</x:v>
      </x:c>
      <x:c r="H100" s="80" t="s">
        <x:v>226</x:v>
      </x:c>
      <x:c r="I100" s="80" t="s"/>
      <x:c r="J100" s="79" t="n">
        <x:v>0</x:v>
      </x:c>
      <x:c r="K100" s="211" t="n">
        <x:v>24</x:v>
      </x:c>
      <x:c r="L100" s="212" t="s"/>
      <x:c r="M100" s="213" t="n">
        <x:v>0</x:v>
      </x:c>
      <x:c r="N100" s="214" t="n">
        <x:v>0</x:v>
      </x:c>
      <x:c r="O100" s="214" t="n">
        <x:v>0</x:v>
      </x:c>
      <x:c r="P100" s="215">
        <x:f>ROUND(((K100*M100) - (K100*M100*N100/100)) + (((K100*M100) - (K100*M100*N100/100)) * O100/100), 2)</x:f>
      </x:c>
      <x:c r="Q100" s="216" t="s"/>
      <x:c r="R100" s="216" t="s"/>
      <x:c r="S100" s="81" t="s"/>
      <x:c r="T100" s="209" t="s"/>
      <x:c r="U100" s="210" t="s"/>
    </x:row>
    <x:row r="101" spans="1:23">
      <x:c r="A101" s="76" t="n">
        <x:v>81</x:v>
      </x:c>
      <x:c r="B101" s="76" t="n">
        <x:v>5210577</x:v>
      </x:c>
      <x:c r="C101" s="77" t="s">
        <x:v>242</x:v>
      </x:c>
      <x:c r="D101" s="78" t="s">
        <x:v>243</x:v>
      </x:c>
      <x:c r="E101" s="79" t="s"/>
      <x:c r="F101" s="77" t="s">
        <x:v>66</x:v>
      </x:c>
      <x:c r="G101" s="92" t="n">
        <x:v>1</x:v>
      </x:c>
      <x:c r="H101" s="80" t="s">
        <x:v>104</x:v>
      </x:c>
      <x:c r="I101" s="80" t="s"/>
      <x:c r="J101" s="79" t="n">
        <x:v>0</x:v>
      </x:c>
      <x:c r="K101" s="211" t="n">
        <x:v>6</x:v>
      </x:c>
      <x:c r="L101" s="212" t="s"/>
      <x:c r="M101" s="213" t="n">
        <x:v>0</x:v>
      </x:c>
      <x:c r="N101" s="214" t="n">
        <x:v>0</x:v>
      </x:c>
      <x:c r="O101" s="214" t="n">
        <x:v>0</x:v>
      </x:c>
      <x:c r="P101" s="215">
        <x:f>ROUND(((K101*M101) - (K101*M101*N101/100)) + (((K101*M101) - (K101*M101*N101/100)) * O101/100), 2)</x:f>
      </x:c>
      <x:c r="Q101" s="216" t="s"/>
      <x:c r="R101" s="216" t="s"/>
      <x:c r="S101" s="81" t="s"/>
      <x:c r="T101" s="209" t="s"/>
      <x:c r="U101" s="210" t="s"/>
    </x:row>
    <x:row r="102" spans="1:23">
      <x:c r="A102" s="76" t="n">
        <x:v>82</x:v>
      </x:c>
      <x:c r="B102" s="76" t="n">
        <x:v>5210581</x:v>
      </x:c>
      <x:c r="C102" s="77" t="s">
        <x:v>244</x:v>
      </x:c>
      <x:c r="D102" s="78" t="s">
        <x:v>245</x:v>
      </x:c>
      <x:c r="E102" s="79" t="s"/>
      <x:c r="F102" s="77" t="s">
        <x:v>66</x:v>
      </x:c>
      <x:c r="G102" s="92" t="n">
        <x:v>1</x:v>
      </x:c>
      <x:c r="H102" s="80" t="s">
        <x:v>104</x:v>
      </x:c>
      <x:c r="I102" s="80" t="s"/>
      <x:c r="J102" s="79" t="n">
        <x:v>0</x:v>
      </x:c>
      <x:c r="K102" s="211" t="n">
        <x:v>6</x:v>
      </x:c>
      <x:c r="L102" s="212" t="s"/>
      <x:c r="M102" s="213" t="n">
        <x:v>0</x:v>
      </x:c>
      <x:c r="N102" s="214" t="n">
        <x:v>0</x:v>
      </x:c>
      <x:c r="O102" s="214" t="n">
        <x:v>0</x:v>
      </x:c>
      <x:c r="P102" s="215">
        <x:f>ROUND(((K102*M102) - (K102*M102*N102/100)) + (((K102*M102) - (K102*M102*N102/100)) * O102/100), 2)</x:f>
      </x:c>
      <x:c r="Q102" s="216" t="s"/>
      <x:c r="R102" s="216" t="s"/>
      <x:c r="S102" s="81" t="s"/>
      <x:c r="T102" s="209" t="s"/>
      <x:c r="U102" s="210" t="s"/>
    </x:row>
    <x:row r="103" spans="1:23">
      <x:c r="A103" s="76" t="n">
        <x:v>83</x:v>
      </x:c>
      <x:c r="B103" s="76" t="n">
        <x:v>5210724</x:v>
      </x:c>
      <x:c r="C103" s="77" t="s">
        <x:v>246</x:v>
      </x:c>
      <x:c r="D103" s="78" t="s">
        <x:v>247</x:v>
      </x:c>
      <x:c r="E103" s="79" t="s"/>
      <x:c r="F103" s="77" t="s">
        <x:v>66</x:v>
      </x:c>
      <x:c r="G103" s="92" t="n">
        <x:v>1</x:v>
      </x:c>
      <x:c r="H103" s="80" t="s">
        <x:v>104</x:v>
      </x:c>
      <x:c r="I103" s="80" t="s"/>
      <x:c r="J103" s="79" t="n">
        <x:v>0</x:v>
      </x:c>
      <x:c r="K103" s="211" t="n">
        <x:v>10</x:v>
      </x:c>
      <x:c r="L103" s="212" t="s"/>
      <x:c r="M103" s="213" t="n">
        <x:v>0</x:v>
      </x:c>
      <x:c r="N103" s="214" t="n">
        <x:v>0</x:v>
      </x:c>
      <x:c r="O103" s="214" t="n">
        <x:v>0</x:v>
      </x:c>
      <x:c r="P103" s="215">
        <x:f>ROUND(((K103*M103) - (K103*M103*N103/100)) + (((K103*M103) - (K103*M103*N103/100)) * O103/100), 2)</x:f>
      </x:c>
      <x:c r="Q103" s="216" t="s"/>
      <x:c r="R103" s="216" t="s"/>
      <x:c r="S103" s="81" t="s"/>
      <x:c r="T103" s="209" t="s"/>
      <x:c r="U103" s="210" t="s"/>
    </x:row>
    <x:row r="104" spans="1:23">
      <x:c r="A104" s="76" t="n">
        <x:v>84</x:v>
      </x:c>
      <x:c r="B104" s="76" t="n">
        <x:v>5211130</x:v>
      </x:c>
      <x:c r="C104" s="77" t="s">
        <x:v>248</x:v>
      </x:c>
      <x:c r="D104" s="78" t="s">
        <x:v>249</x:v>
      </x:c>
      <x:c r="E104" s="79" t="s"/>
      <x:c r="F104" s="77" t="s">
        <x:v>66</x:v>
      </x:c>
      <x:c r="G104" s="92" t="n">
        <x:v>250</x:v>
      </x:c>
      <x:c r="H104" s="80" t="s">
        <x:v>58</x:v>
      </x:c>
      <x:c r="I104" s="80" t="s"/>
      <x:c r="J104" s="79" t="n">
        <x:v>0</x:v>
      </x:c>
      <x:c r="K104" s="211" t="n">
        <x:v>24</x:v>
      </x:c>
      <x:c r="L104" s="212" t="s"/>
      <x:c r="M104" s="213" t="n">
        <x:v>0</x:v>
      </x:c>
      <x:c r="N104" s="214" t="n">
        <x:v>0</x:v>
      </x:c>
      <x:c r="O104" s="214" t="n">
        <x:v>0</x:v>
      </x:c>
      <x:c r="P104" s="215">
        <x:f>ROUND(((K104*M104) - (K104*M104*N104/100)) + (((K104*M104) - (K104*M104*N104/100)) * O104/100), 2)</x:f>
      </x:c>
      <x:c r="Q104" s="216" t="s"/>
      <x:c r="R104" s="216" t="s"/>
      <x:c r="S104" s="81" t="s"/>
      <x:c r="T104" s="209" t="s"/>
      <x:c r="U104" s="210" t="s"/>
    </x:row>
    <x:row r="105" spans="1:23">
      <x:c r="A105" s="76" t="n">
        <x:v>85</x:v>
      </x:c>
      <x:c r="B105" s="76" t="n">
        <x:v>5317288</x:v>
      </x:c>
      <x:c r="C105" s="77" t="s">
        <x:v>250</x:v>
      </x:c>
      <x:c r="D105" s="78" t="s">
        <x:v>251</x:v>
      </x:c>
      <x:c r="E105" s="79" t="s"/>
      <x:c r="F105" s="77" t="s">
        <x:v>66</x:v>
      </x:c>
      <x:c r="G105" s="92" t="n">
        <x:v>1</x:v>
      </x:c>
      <x:c r="H105" s="80" t="s">
        <x:v>104</x:v>
      </x:c>
      <x:c r="I105" s="80" t="s"/>
      <x:c r="J105" s="79" t="n">
        <x:v>0</x:v>
      </x:c>
      <x:c r="K105" s="211" t="n">
        <x:v>5</x:v>
      </x:c>
      <x:c r="L105" s="212" t="s"/>
      <x:c r="M105" s="213" t="n">
        <x:v>0</x:v>
      </x:c>
      <x:c r="N105" s="214" t="n">
        <x:v>0</x:v>
      </x:c>
      <x:c r="O105" s="214" t="n">
        <x:v>0</x:v>
      </x:c>
      <x:c r="P105" s="215">
        <x:f>ROUND(((K105*M105) - (K105*M105*N105/100)) + (((K105*M105) - (K105*M105*N105/100)) * O105/100), 2)</x:f>
      </x:c>
      <x:c r="Q105" s="216" t="s"/>
      <x:c r="R105" s="216" t="s"/>
      <x:c r="S105" s="81" t="s"/>
      <x:c r="T105" s="209" t="s"/>
      <x:c r="U105" s="210" t="s"/>
    </x:row>
    <x:row r="106" spans="1:23">
      <x:c r="A106" s="76" t="n">
        <x:v>86</x:v>
      </x:c>
      <x:c r="B106" s="76" t="n">
        <x:v>5211178</x:v>
      </x:c>
      <x:c r="C106" s="77" t="s">
        <x:v>252</x:v>
      </x:c>
      <x:c r="D106" s="78" t="s">
        <x:v>253</x:v>
      </x:c>
      <x:c r="E106" s="79" t="s"/>
      <x:c r="F106" s="77" t="s">
        <x:v>66</x:v>
      </x:c>
      <x:c r="G106" s="92" t="n">
        <x:v>500</x:v>
      </x:c>
      <x:c r="H106" s="80" t="s">
        <x:v>58</x:v>
      </x:c>
      <x:c r="I106" s="80" t="s"/>
      <x:c r="J106" s="79" t="n">
        <x:v>0</x:v>
      </x:c>
      <x:c r="K106" s="211" t="n">
        <x:v>24</x:v>
      </x:c>
      <x:c r="L106" s="212" t="s"/>
      <x:c r="M106" s="213" t="n">
        <x:v>0</x:v>
      </x:c>
      <x:c r="N106" s="214" t="n">
        <x:v>0</x:v>
      </x:c>
      <x:c r="O106" s="214" t="n">
        <x:v>0</x:v>
      </x:c>
      <x:c r="P106" s="215">
        <x:f>ROUND(((K106*M106) - (K106*M106*N106/100)) + (((K106*M106) - (K106*M106*N106/100)) * O106/100), 2)</x:f>
      </x:c>
      <x:c r="Q106" s="216" t="s"/>
      <x:c r="R106" s="216" t="s"/>
      <x:c r="S106" s="81" t="s"/>
      <x:c r="T106" s="209" t="s"/>
      <x:c r="U106" s="210" t="s"/>
    </x:row>
    <x:row r="107" spans="1:23">
      <x:c r="A107" s="76" t="n">
        <x:v>87</x:v>
      </x:c>
      <x:c r="B107" s="76" t="n">
        <x:v>5211056</x:v>
      </x:c>
      <x:c r="C107" s="77" t="s">
        <x:v>254</x:v>
      </x:c>
      <x:c r="D107" s="78" t="s">
        <x:v>255</x:v>
      </x:c>
      <x:c r="E107" s="79" t="s"/>
      <x:c r="F107" s="77" t="s">
        <x:v>256</x:v>
      </x:c>
      <x:c r="G107" s="92" t="n">
        <x:v>500</x:v>
      </x:c>
      <x:c r="H107" s="80" t="s">
        <x:v>58</x:v>
      </x:c>
      <x:c r="I107" s="80" t="s"/>
      <x:c r="J107" s="79" t="n">
        <x:v>0</x:v>
      </x:c>
      <x:c r="K107" s="211" t="n">
        <x:v>12</x:v>
      </x:c>
      <x:c r="L107" s="212" t="s"/>
      <x:c r="M107" s="213" t="n">
        <x:v>0</x:v>
      </x:c>
      <x:c r="N107" s="214" t="n">
        <x:v>0</x:v>
      </x:c>
      <x:c r="O107" s="214" t="n">
        <x:v>0</x:v>
      </x:c>
      <x:c r="P107" s="215">
        <x:f>ROUND(((K107*M107) - (K107*M107*N107/100)) + (((K107*M107) - (K107*M107*N107/100)) * O107/100), 2)</x:f>
      </x:c>
      <x:c r="Q107" s="216" t="s"/>
      <x:c r="R107" s="216" t="s"/>
      <x:c r="S107" s="81" t="s"/>
      <x:c r="T107" s="209" t="s"/>
      <x:c r="U107" s="210" t="s"/>
    </x:row>
    <x:row r="108" spans="1:23">
      <x:c r="A108" s="76" t="n">
        <x:v>88</x:v>
      </x:c>
      <x:c r="B108" s="76" t="n">
        <x:v>5211082</x:v>
      </x:c>
      <x:c r="C108" s="77" t="s">
        <x:v>257</x:v>
      </x:c>
      <x:c r="D108" s="78" t="s">
        <x:v>258</x:v>
      </x:c>
      <x:c r="E108" s="79" t="s"/>
      <x:c r="F108" s="77" t="s">
        <x:v>132</x:v>
      </x:c>
      <x:c r="G108" s="92" t="n">
        <x:v>1</x:v>
      </x:c>
      <x:c r="H108" s="80" t="s">
        <x:v>104</x:v>
      </x:c>
      <x:c r="I108" s="80" t="s"/>
      <x:c r="J108" s="79" t="n">
        <x:v>0</x:v>
      </x:c>
      <x:c r="K108" s="211" t="n">
        <x:v>4</x:v>
      </x:c>
      <x:c r="L108" s="212" t="s"/>
      <x:c r="M108" s="213" t="n">
        <x:v>0</x:v>
      </x:c>
      <x:c r="N108" s="214" t="n">
        <x:v>0</x:v>
      </x:c>
      <x:c r="O108" s="214" t="n">
        <x:v>0</x:v>
      </x:c>
      <x:c r="P108" s="215">
        <x:f>ROUND(((K108*M108) - (K108*M108*N108/100)) + (((K108*M108) - (K108*M108*N108/100)) * O108/100), 2)</x:f>
      </x:c>
      <x:c r="Q108" s="216" t="s"/>
      <x:c r="R108" s="216" t="s"/>
      <x:c r="S108" s="81" t="s"/>
      <x:c r="T108" s="209" t="s"/>
      <x:c r="U108" s="210" t="s"/>
    </x:row>
    <x:row r="109" spans="1:23">
      <x:c r="A109" s="76" t="n">
        <x:v>89</x:v>
      </x:c>
      <x:c r="B109" s="76" t="n">
        <x:v>5210738</x:v>
      </x:c>
      <x:c r="C109" s="77" t="s">
        <x:v>259</x:v>
      </x:c>
      <x:c r="D109" s="78" t="s">
        <x:v>260</x:v>
      </x:c>
      <x:c r="E109" s="79" t="s"/>
      <x:c r="F109" s="77" t="s">
        <x:v>261</x:v>
      </x:c>
      <x:c r="G109" s="92" t="n">
        <x:v>1</x:v>
      </x:c>
      <x:c r="H109" s="80" t="s">
        <x:v>104</x:v>
      </x:c>
      <x:c r="I109" s="80" t="s"/>
      <x:c r="J109" s="79" t="n">
        <x:v>0</x:v>
      </x:c>
      <x:c r="K109" s="211" t="n">
        <x:v>10</x:v>
      </x:c>
      <x:c r="L109" s="212" t="s"/>
      <x:c r="M109" s="213" t="n">
        <x:v>0</x:v>
      </x:c>
      <x:c r="N109" s="214" t="n">
        <x:v>0</x:v>
      </x:c>
      <x:c r="O109" s="214" t="n">
        <x:v>0</x:v>
      </x:c>
      <x:c r="P109" s="215">
        <x:f>ROUND(((K109*M109) - (K109*M109*N109/100)) + (((K109*M109) - (K109*M109*N109/100)) * O109/100), 2)</x:f>
      </x:c>
      <x:c r="Q109" s="216" t="s"/>
      <x:c r="R109" s="216" t="s"/>
      <x:c r="S109" s="81" t="s"/>
      <x:c r="T109" s="209" t="s"/>
      <x:c r="U109" s="210" t="s"/>
    </x:row>
    <x:row r="110" spans="1:23">
      <x:c r="A110" s="76" t="n">
        <x:v>90</x:v>
      </x:c>
      <x:c r="B110" s="76" t="n">
        <x:v>5986323</x:v>
      </x:c>
      <x:c r="C110" s="77" t="s">
        <x:v>262</x:v>
      </x:c>
      <x:c r="D110" s="78" t="s">
        <x:v>263</x:v>
      </x:c>
      <x:c r="E110" s="79" t="s"/>
      <x:c r="F110" s="77" t="s">
        <x:v>132</x:v>
      </x:c>
      <x:c r="G110" s="92" t="n">
        <x:v>1</x:v>
      </x:c>
      <x:c r="H110" s="80" t="s">
        <x:v>104</x:v>
      </x:c>
      <x:c r="I110" s="80" t="s"/>
      <x:c r="J110" s="79" t="n">
        <x:v>0</x:v>
      </x:c>
      <x:c r="K110" s="211" t="n">
        <x:v>8</x:v>
      </x:c>
      <x:c r="L110" s="212" t="s"/>
      <x:c r="M110" s="213" t="n">
        <x:v>0</x:v>
      </x:c>
      <x:c r="N110" s="214" t="n">
        <x:v>0</x:v>
      </x:c>
      <x:c r="O110" s="214" t="n">
        <x:v>0</x:v>
      </x:c>
      <x:c r="P110" s="215">
        <x:f>ROUND(((K110*M110) - (K110*M110*N110/100)) + (((K110*M110) - (K110*M110*N110/100)) * O110/100), 2)</x:f>
      </x:c>
      <x:c r="Q110" s="216" t="s"/>
      <x:c r="R110" s="216" t="s"/>
      <x:c r="S110" s="81" t="s"/>
      <x:c r="T110" s="209" t="s"/>
      <x:c r="U110" s="210" t="s"/>
    </x:row>
    <x:row r="111" spans="1:23">
      <x:c r="A111" s="76" t="n">
        <x:v>91</x:v>
      </x:c>
      <x:c r="B111" s="76" t="n">
        <x:v>5211199</x:v>
      </x:c>
      <x:c r="C111" s="77" t="s">
        <x:v>264</x:v>
      </x:c>
      <x:c r="D111" s="78" t="s">
        <x:v>265</x:v>
      </x:c>
      <x:c r="E111" s="79" t="s"/>
      <x:c r="F111" s="77" t="s">
        <x:v>266</x:v>
      </x:c>
      <x:c r="G111" s="92" t="n">
        <x:v>1</x:v>
      </x:c>
      <x:c r="H111" s="80" t="s">
        <x:v>104</x:v>
      </x:c>
      <x:c r="I111" s="80" t="s"/>
      <x:c r="J111" s="79" t="n">
        <x:v>0</x:v>
      </x:c>
      <x:c r="K111" s="211" t="n">
        <x:v>10</x:v>
      </x:c>
      <x:c r="L111" s="212" t="s"/>
      <x:c r="M111" s="213" t="n">
        <x:v>0</x:v>
      </x:c>
      <x:c r="N111" s="214" t="n">
        <x:v>0</x:v>
      </x:c>
      <x:c r="O111" s="214" t="n">
        <x:v>0</x:v>
      </x:c>
      <x:c r="P111" s="215">
        <x:f>ROUND(((K111*M111) - (K111*M111*N111/100)) + (((K111*M111) - (K111*M111*N111/100)) * O111/100), 2)</x:f>
      </x:c>
      <x:c r="Q111" s="216" t="s"/>
      <x:c r="R111" s="216" t="s"/>
      <x:c r="S111" s="81" t="s"/>
      <x:c r="T111" s="209" t="s"/>
      <x:c r="U111" s="210" t="s"/>
    </x:row>
    <x:row r="112" spans="1:23">
      <x:c r="A112" s="76" t="s"/>
      <x:c r="B112" s="76" t="s"/>
      <x:c r="C112" s="77" t="s"/>
      <x:c r="D112" s="78" t="s"/>
      <x:c r="E112" s="79" t="s"/>
      <x:c r="F112" s="77" t="s"/>
      <x:c r="G112" s="92" t="s"/>
      <x:c r="H112" s="77" t="s"/>
      <x:c r="I112" s="77" t="s"/>
      <x:c r="J112" s="79" t="s"/>
      <x:c r="K112" s="217" t="s"/>
      <x:c r="L112" s="218" t="s"/>
      <x:c r="M112" s="219" t="s">
        <x:v>267</x:v>
      </x:c>
      <x:c r="N112" s="220" t="s"/>
      <x:c r="O112" s="220" t="s"/>
      <x:c r="P112" s="215">
        <x:f>SUM(P21:P111)</x:f>
      </x:c>
      <x:c r="Q112" s="221" t="s"/>
      <x:c r="R112" s="221" t="s"/>
      <x:c r="S112" s="81" t="s"/>
      <x:c r="T112" s="209" t="s"/>
      <x:c r="U112" s="210" t="s"/>
    </x:row>
    <x:row r="113" spans="1:23">
      <x:c r="A113" s="199" t="s"/>
      <x:c r="B113" s="199" t="s"/>
      <x:c r="C113" s="200" t="s">
        <x:v>268</x:v>
      </x:c>
      <x:c r="D113" s="201" t="s"/>
      <x:c r="E113" s="202" t="s"/>
      <x:c r="F113" s="200" t="s"/>
      <x:c r="G113" s="203" t="s"/>
      <x:c r="H113" s="200" t="s"/>
      <x:c r="I113" s="200" t="s"/>
      <x:c r="J113" s="202" t="s"/>
      <x:c r="K113" s="204" t="s"/>
      <x:c r="L113" s="205" t="s"/>
      <x:c r="M113" s="206" t="s"/>
      <x:c r="N113" s="202" t="s"/>
      <x:c r="O113" s="202" t="s"/>
      <x:c r="P113" s="207" t="s"/>
      <x:c r="Q113" s="208" t="s"/>
      <x:c r="R113" s="208" t="s"/>
      <x:c r="S113" s="208" t="s"/>
      <x:c r="T113" s="209" t="s"/>
      <x:c r="U113" s="210" t="s"/>
    </x:row>
    <x:row r="114" spans="1:23">
      <x:c r="A114" s="76" t="n">
        <x:v>1</x:v>
      </x:c>
      <x:c r="B114" s="76" t="n">
        <x:v>5444968</x:v>
      </x:c>
      <x:c r="C114" s="77" t="s">
        <x:v>269</x:v>
      </x:c>
      <x:c r="D114" s="78" t="s">
        <x:v>270</x:v>
      </x:c>
      <x:c r="E114" s="79" t="s"/>
      <x:c r="F114" s="77" t="s">
        <x:v>271</x:v>
      </x:c>
      <x:c r="G114" s="92" t="n">
        <x:v>24</x:v>
      </x:c>
      <x:c r="H114" s="80" t="s">
        <x:v>272</x:v>
      </x:c>
      <x:c r="I114" s="80" t="s"/>
      <x:c r="J114" s="79" t="n">
        <x:v>0</x:v>
      </x:c>
      <x:c r="K114" s="211" t="n">
        <x:v>5</x:v>
      </x:c>
      <x:c r="L114" s="212" t="s"/>
      <x:c r="M114" s="213" t="n">
        <x:v>0</x:v>
      </x:c>
      <x:c r="N114" s="214" t="n">
        <x:v>0</x:v>
      </x:c>
      <x:c r="O114" s="214" t="n">
        <x:v>0</x:v>
      </x:c>
      <x:c r="P114" s="215">
        <x:f>ROUND(((K114*M114) - (K114*M114*N114/100)) + (((K114*M114) - (K114*M114*N114/100)) * O114/100), 2)</x:f>
      </x:c>
      <x:c r="Q114" s="216" t="s"/>
      <x:c r="R114" s="216" t="s"/>
      <x:c r="S114" s="81" t="s"/>
      <x:c r="T114" s="209" t="s"/>
      <x:c r="U114" s="210" t="s"/>
    </x:row>
    <x:row r="115" spans="1:23">
      <x:c r="A115" s="76" t="s"/>
      <x:c r="B115" s="76" t="s"/>
      <x:c r="C115" s="77" t="s"/>
      <x:c r="D115" s="78" t="s"/>
      <x:c r="E115" s="79" t="s"/>
      <x:c r="F115" s="77" t="s"/>
      <x:c r="G115" s="92" t="s"/>
      <x:c r="H115" s="77" t="s"/>
      <x:c r="I115" s="77" t="s"/>
      <x:c r="J115" s="79" t="s"/>
      <x:c r="K115" s="217" t="s"/>
      <x:c r="L115" s="218" t="s"/>
      <x:c r="M115" s="219" t="s">
        <x:v>267</x:v>
      </x:c>
      <x:c r="N115" s="220" t="s"/>
      <x:c r="O115" s="220" t="s"/>
      <x:c r="P115" s="215">
        <x:f>SUM(P114:P114)</x:f>
      </x:c>
      <x:c r="Q115" s="221" t="s"/>
      <x:c r="R115" s="221" t="s"/>
      <x:c r="S115" s="81" t="s"/>
      <x:c r="T115" s="209" t="s"/>
      <x:c r="U115" s="210" t="s"/>
    </x:row>
    <x:row r="116" spans="1:23" hidden="1">
      <x:c r="A116" s="76" t="s"/>
      <x:c r="B116" s="76" t="s"/>
      <x:c r="C116" s="77" t="s"/>
      <x:c r="D116" s="78" t="s"/>
      <x:c r="E116" s="79" t="s"/>
      <x:c r="F116" s="77" t="s"/>
      <x:c r="G116" s="92" t="s"/>
      <x:c r="H116" s="80" t="s"/>
      <x:c r="I116" s="80" t="s"/>
      <x:c r="J116" s="79" t="s"/>
      <x:c r="K116" s="217" t="s"/>
      <x:c r="L116" s="212" t="s"/>
      <x:c r="M116" s="267" t="s"/>
      <x:c r="N116" s="268" t="s"/>
      <x:c r="O116" s="268" t="s"/>
      <x:c r="P116" s="215" t="s"/>
      <x:c r="Q116" s="216" t="s"/>
      <x:c r="R116" s="216" t="s"/>
      <x:c r="S116" s="81" t="s"/>
      <x:c r="T116" s="209" t="s"/>
      <x:c r="U116" s="210" t="s"/>
    </x:row>
    <x:row r="117" spans="1:23">
      <x:c r="A117" s="6" t="s"/>
      <x:c r="B117" s="264" t="s"/>
      <x:c r="C117" s="265" t="s"/>
      <x:c r="D117" s="265" t="s"/>
      <x:c r="E117" s="265" t="s"/>
      <x:c r="F117" s="265" t="s"/>
      <x:c r="G117" s="265" t="s"/>
      <x:c r="H117" s="266" t="s"/>
      <x:c r="I117" s="266" t="s"/>
      <x:c r="J117" s="266" t="s"/>
      <x:c r="K117" s="266" t="s"/>
      <x:c r="L117" s="37" t="s"/>
      <x:c r="M117" s="37" t="s"/>
      <x:c r="N117" s="266" t="s"/>
      <x:c r="O117" s="266" t="s"/>
      <x:c r="P117" s="266" t="s"/>
      <x:c r="Q117" s="266" t="s"/>
      <x:c r="R117" s="266" t="s"/>
      <x:c r="S117" s="266" t="s"/>
      <x:c r="T117" s="154" t="s"/>
      <x:c r="U117" s="234" t="s"/>
    </x:row>
    <x:row r="118" spans="1:23" customFormat="1" ht="12.75" customHeight="1">
      <x:c r="A118" s="195" t="s">
        <x:v>40</x:v>
      </x:c>
      <x:c r="B118" s="195" t="s"/>
      <x:c r="C118" s="195" t="s">
        <x:v>273</x:v>
      </x:c>
      <x:c r="D118" s="195" t="s"/>
      <x:c r="E118" s="195" t="s"/>
      <x:c r="F118" s="195" t="s"/>
      <x:c r="G118" s="195" t="s"/>
      <x:c r="H118" s="195" t="s"/>
      <x:c r="I118" s="195" t="s"/>
      <x:c r="J118" s="195" t="s"/>
      <x:c r="K118" s="197" t="s"/>
      <x:c r="L118" s="197" t="s">
        <x:v>274</x:v>
      </x:c>
      <x:c r="M118" s="197" t="s"/>
      <x:c r="N118" s="197" t="s">
        <x:v>49</x:v>
      </x:c>
      <x:c r="O118" s="197" t="s">
        <x:v>50</x:v>
      </x:c>
      <x:c r="P118" s="197" t="s">
        <x:v>275</x:v>
      </x:c>
      <x:c r="Q118" s="197" t="s">
        <x:v>52</x:v>
      </x:c>
      <x:c r="R118" s="197" t="s"/>
      <x:c r="S118" s="197" t="s"/>
      <x:c r="T118" s="197" t="s"/>
      <x:c r="U118" s="198" t="s"/>
    </x:row>
    <x:row r="119" spans="1:23">
      <x:c r="A119" s="253" t="n">
        <x:v>1</x:v>
      </x:c>
      <x:c r="B119" s="253" t="s"/>
      <x:c r="C119" s="254" t="s">
        <x:v>276</x:v>
      </x:c>
      <x:c r="D119" s="255" t="s">
        <x:v>276</x:v>
      </x:c>
      <x:c r="E119" s="255" t="s">
        <x:v>276</x:v>
      </x:c>
      <x:c r="F119" s="255" t="s">
        <x:v>276</x:v>
      </x:c>
      <x:c r="G119" s="255" t="s">
        <x:v>276</x:v>
      </x:c>
      <x:c r="H119" s="255" t="s">
        <x:v>276</x:v>
      </x:c>
      <x:c r="I119" s="255" t="s">
        <x:v>276</x:v>
      </x:c>
      <x:c r="J119" s="255" t="s">
        <x:v>276</x:v>
      </x:c>
      <x:c r="K119" s="256" t="s">
        <x:v>276</x:v>
      </x:c>
      <x:c r="L119" s="257" t="s"/>
      <x:c r="M119" s="258" t="n">
        <x:v>0</x:v>
      </x:c>
      <x:c r="N119" s="258" t="n">
        <x:v>0</x:v>
      </x:c>
      <x:c r="O119" s="259" t="n">
        <x:v>0</x:v>
      </x:c>
      <x:c r="P119" s="260">
        <x:f>ROUND((M119 -(M119*N119/100)+((M119-(M119*N119/100))*O119/100)), 2)</x:f>
      </x:c>
      <x:c r="Q119" s="261" t="s"/>
      <x:c r="R119" s="262" t="s"/>
      <x:c r="S119" s="262" t="s"/>
      <x:c r="T119" s="262" t="s"/>
      <x:c r="U119" s="263" t="s"/>
    </x:row>
    <x:row r="120" spans="1:23">
      <x:c r="A120" s="253" t="n">
        <x:v>2</x:v>
      </x:c>
      <x:c r="B120" s="253" t="s"/>
      <x:c r="C120" s="254" t="s">
        <x:v>277</x:v>
      </x:c>
      <x:c r="D120" s="255" t="s">
        <x:v>277</x:v>
      </x:c>
      <x:c r="E120" s="255" t="s">
        <x:v>277</x:v>
      </x:c>
      <x:c r="F120" s="255" t="s">
        <x:v>277</x:v>
      </x:c>
      <x:c r="G120" s="255" t="s">
        <x:v>277</x:v>
      </x:c>
      <x:c r="H120" s="255" t="s">
        <x:v>277</x:v>
      </x:c>
      <x:c r="I120" s="255" t="s">
        <x:v>277</x:v>
      </x:c>
      <x:c r="J120" s="255" t="s">
        <x:v>277</x:v>
      </x:c>
      <x:c r="K120" s="256" t="s">
        <x:v>277</x:v>
      </x:c>
      <x:c r="L120" s="257" t="s"/>
      <x:c r="M120" s="258" t="n">
        <x:v>0</x:v>
      </x:c>
      <x:c r="N120" s="258" t="n">
        <x:v>0</x:v>
      </x:c>
      <x:c r="O120" s="259" t="n">
        <x:v>0</x:v>
      </x:c>
      <x:c r="P120" s="260">
        <x:f>ROUND((M120 -(M120*N120/100)+((M120-(M120*N120/100))*O120/100)), 2)</x:f>
      </x:c>
      <x:c r="Q120" s="261" t="s"/>
      <x:c r="R120" s="262" t="s"/>
      <x:c r="S120" s="262" t="s"/>
      <x:c r="T120" s="262" t="s"/>
      <x:c r="U120" s="263" t="s">
        <x:v>278</x:v>
      </x:c>
    </x:row>
    <x:row r="121" spans="1:23">
      <x:c r="A121" s="253" t="n">
        <x:v>3</x:v>
      </x:c>
      <x:c r="B121" s="253" t="s"/>
      <x:c r="C121" s="254" t="s"/>
      <x:c r="D121" s="255" t="s"/>
      <x:c r="E121" s="255" t="s"/>
      <x:c r="F121" s="255" t="s"/>
      <x:c r="G121" s="255" t="s"/>
      <x:c r="H121" s="255" t="s"/>
      <x:c r="I121" s="255" t="s"/>
      <x:c r="J121" s="255" t="s"/>
      <x:c r="K121" s="256" t="s"/>
      <x:c r="L121" s="257" t="s"/>
      <x:c r="M121" s="258" t="n">
        <x:v>0</x:v>
      </x:c>
      <x:c r="N121" s="258" t="n">
        <x:v>0</x:v>
      </x:c>
      <x:c r="O121" s="259" t="n">
        <x:v>0</x:v>
      </x:c>
      <x:c r="P121" s="260">
        <x:f>ROUND((M121 -(M121*N121/100)+((M121-(M121*N121/100))*O121/100)), 2)</x:f>
      </x:c>
      <x:c r="Q121" s="261" t="s"/>
      <x:c r="R121" s="262" t="s"/>
      <x:c r="S121" s="262" t="s"/>
      <x:c r="T121" s="262" t="s"/>
      <x:c r="U121" s="263" t="s"/>
    </x:row>
    <x:row r="122" spans="1:23">
      <x:c r="A122" s="253" t="n">
        <x:v>4</x:v>
      </x:c>
      <x:c r="B122" s="253" t="s"/>
      <x:c r="C122" s="254" t="s"/>
      <x:c r="D122" s="255" t="s"/>
      <x:c r="E122" s="255" t="s"/>
      <x:c r="F122" s="255" t="s"/>
      <x:c r="G122" s="255" t="s"/>
      <x:c r="H122" s="255" t="s"/>
      <x:c r="I122" s="255" t="s"/>
      <x:c r="J122" s="255" t="s"/>
      <x:c r="K122" s="256" t="s"/>
      <x:c r="L122" s="257" t="s"/>
      <x:c r="M122" s="258" t="n">
        <x:v>0</x:v>
      </x:c>
      <x:c r="N122" s="258" t="n">
        <x:v>0</x:v>
      </x:c>
      <x:c r="O122" s="259" t="n">
        <x:v>0</x:v>
      </x:c>
      <x:c r="P122" s="260">
        <x:f>ROUND((M122 -(M122*N122/100)+((M122-(M122*N122/100))*O122/100)), 2)</x:f>
      </x:c>
      <x:c r="Q122" s="261" t="s"/>
      <x:c r="R122" s="262" t="s"/>
      <x:c r="S122" s="262" t="s"/>
      <x:c r="T122" s="262" t="s"/>
      <x:c r="U122" s="263" t="s"/>
    </x:row>
    <x:row r="123" spans="1:23" customFormat="1" ht="15.75" customHeight="1">
      <x:c r="A123" s="232" t="s"/>
      <x:c r="B123" s="232" t="s"/>
      <x:c r="C123" s="233" t="s"/>
      <x:c r="D123" s="233" t="s"/>
      <x:c r="E123" s="233" t="s"/>
      <x:c r="F123" s="233" t="s"/>
      <x:c r="G123" s="233" t="s"/>
      <x:c r="H123" s="163" t="s"/>
      <x:c r="I123" s="163" t="s"/>
      <x:c r="J123" s="163" t="s"/>
      <x:c r="K123" s="251" t="s"/>
      <x:c r="L123" s="115" t="s">
        <x:v>267</x:v>
      </x:c>
      <x:c r="M123" s="116" t="s">
        <x:v>267</x:v>
      </x:c>
      <x:c r="N123" s="117" t="s"/>
      <x:c r="O123" s="117" t="s"/>
      <x:c r="P123" s="252">
        <x:f>SUM(SubItemTotal)</x:f>
      </x:c>
      <x:c r="Q123" s="163" t="s"/>
      <x:c r="R123" s="163" t="s"/>
      <x:c r="S123" s="163" t="s"/>
      <x:c r="T123" s="154" t="s"/>
      <x:c r="U123" s="234" t="s"/>
    </x:row>
    <x:row r="124" spans="1:23" customFormat="1" ht="30" customHeight="1">
      <x:c r="A124" s="232" t="s"/>
      <x:c r="B124" s="232" t="s"/>
      <x:c r="C124" s="233" t="s"/>
      <x:c r="D124" s="233" t="s"/>
      <x:c r="E124" s="233" t="s"/>
      <x:c r="F124" s="233" t="s"/>
      <x:c r="G124" s="233" t="s"/>
      <x:c r="H124" s="163" t="s"/>
      <x:c r="I124" s="163" t="s"/>
      <x:c r="J124" s="163" t="s"/>
      <x:c r="K124" s="249" t="s"/>
      <x:c r="L124" s="118" t="s">
        <x:v>279</x:v>
      </x:c>
      <x:c r="M124" s="118" t="s">
        <x:v>279</x:v>
      </x:c>
      <x:c r="N124" s="117" t="s"/>
      <x:c r="O124" s="117" t="s"/>
      <x:c r="P124" s="250">
        <x:f>SUM(P119:P123)</x:f>
      </x:c>
      <x:c r="Q124" s="163" t="s"/>
      <x:c r="R124" s="163" t="s"/>
      <x:c r="S124" s="163" t="s"/>
      <x:c r="T124" s="154" t="s"/>
      <x:c r="U124" s="234" t="s"/>
    </x:row>
    <x:row r="125" spans="1:23" customFormat="1" ht="30" hidden="1" customHeight="1">
      <x:c r="A125" s="241" t="n">
        <x:v>0</x:v>
      </x:c>
      <x:c r="B125" s="241" t="n">
        <x:v>0</x:v>
      </x:c>
      <x:c r="C125" s="242" t="n">
        <x:v>0</x:v>
      </x:c>
      <x:c r="D125" s="233" t="s"/>
      <x:c r="E125" s="233" t="s"/>
      <x:c r="F125" s="243" t="n">
        <x:v>0</x:v>
      </x:c>
      <x:c r="G125" s="233" t="s"/>
      <x:c r="H125" s="233" t="s"/>
      <x:c r="I125" s="233" t="s"/>
      <x:c r="K125" s="244" t="s"/>
      <x:c r="L125" s="233" t="s"/>
      <x:c r="M125" s="245" t="s"/>
      <x:c r="O125" s="233" t="s"/>
      <x:c r="P125" s="246" t="s"/>
      <x:c r="Q125" s="247" t="s"/>
      <x:c r="R125" s="246" t="s"/>
      <x:c r="S125" s="248" t="s"/>
      <x:c r="T125" s="154" t="s"/>
      <x:c r="U125" s="234" t="s"/>
    </x:row>
    <x:row r="126" spans="1:23" customFormat="1" ht="30" customHeight="1">
      <x:c r="A126" s="241" t="s"/>
      <x:c r="B126" s="241" t="s"/>
      <x:c r="C126" s="242" t="s"/>
      <x:c r="D126" s="233" t="s"/>
      <x:c r="E126" s="233" t="s"/>
      <x:c r="F126" s="243" t="s"/>
      <x:c r="G126" s="233" t="s"/>
      <x:c r="H126" s="233" t="s"/>
      <x:c r="I126" s="233" t="s"/>
      <x:c r="K126" s="244" t="s"/>
      <x:c r="L126" s="233" t="s"/>
      <x:c r="M126" s="245" t="s"/>
      <x:c r="O126" s="233" t="s"/>
      <x:c r="P126" s="246" t="s"/>
      <x:c r="Q126" s="247" t="s"/>
      <x:c r="R126" s="246" t="s"/>
      <x:c r="S126" s="248" t="s"/>
      <x:c r="T126" s="154" t="s"/>
      <x:c r="U126" s="234" t="s"/>
    </x:row>
    <x:row r="127" spans="1:23" customFormat="1" ht="30" customHeight="1">
      <x:c r="A127" s="235" t="s">
        <x:v>280</x:v>
      </x:c>
      <x:c r="B127" s="235" t="s"/>
      <x:c r="C127" s="235" t="s"/>
      <x:c r="D127" s="235" t="s"/>
      <x:c r="E127" s="233" t="s"/>
      <x:c r="F127" s="240" t="s"/>
      <x:c r="G127" s="240" t="s"/>
      <x:c r="H127" s="240" t="s"/>
      <x:c r="I127" s="240" t="s"/>
      <x:c r="J127" s="240" t="s"/>
      <x:c r="K127" s="240" t="s"/>
      <x:c r="L127" s="240" t="s"/>
      <x:c r="M127" s="240" t="s"/>
      <x:c r="N127" s="240" t="s"/>
      <x:c r="O127" s="240" t="s"/>
      <x:c r="P127" s="240" t="s"/>
      <x:c r="Q127" s="240" t="s"/>
      <x:c r="R127" s="240" t="s"/>
      <x:c r="S127" s="240" t="s"/>
      <x:c r="T127" s="154" t="s"/>
      <x:c r="U127" s="234" t="s"/>
    </x:row>
    <x:row r="128" spans="1:23" customFormat="1" ht="18.75" customHeight="1">
      <x:c r="A128" s="235" t="s">
        <x:v>281</x:v>
      </x:c>
      <x:c r="B128" s="235" t="s"/>
      <x:c r="C128" s="235" t="s"/>
      <x:c r="D128" s="235" t="s"/>
      <x:c r="E128" s="233" t="s"/>
      <x:c r="F128" s="240" t="s"/>
      <x:c r="G128" s="240" t="s"/>
      <x:c r="H128" s="240" t="s"/>
      <x:c r="I128" s="240" t="s"/>
      <x:c r="J128" s="240" t="s"/>
      <x:c r="K128" s="240" t="s"/>
      <x:c r="L128" s="240" t="s"/>
      <x:c r="M128" s="240" t="s"/>
      <x:c r="N128" s="240" t="s"/>
      <x:c r="O128" s="240" t="s"/>
      <x:c r="P128" s="240" t="s"/>
      <x:c r="Q128" s="240" t="s"/>
      <x:c r="R128" s="240" t="s"/>
      <x:c r="S128" s="240" t="s"/>
      <x:c r="T128" s="154" t="s"/>
      <x:c r="U128" s="234" t="s"/>
    </x:row>
    <x:row r="129" spans="1:23" customFormat="1" ht="15.75" customHeight="1">
      <x:c r="A129" s="235" t="s">
        <x:v>52</x:v>
      </x:c>
      <x:c r="B129" s="235" t="s"/>
      <x:c r="C129" s="235" t="s"/>
      <x:c r="D129" s="235" t="s"/>
      <x:c r="E129" s="236" t="s"/>
      <x:c r="F129" s="237" t="s"/>
      <x:c r="G129" s="237" t="s"/>
      <x:c r="H129" s="237" t="s"/>
      <x:c r="I129" s="237" t="s"/>
      <x:c r="J129" s="237" t="s"/>
      <x:c r="K129" s="237" t="s"/>
      <x:c r="L129" s="237" t="s"/>
      <x:c r="M129" s="237" t="s"/>
      <x:c r="N129" s="237" t="s"/>
      <x:c r="O129" s="237" t="s"/>
      <x:c r="P129" s="237" t="s"/>
      <x:c r="Q129" s="237" t="s"/>
      <x:c r="R129" s="237" t="s"/>
      <x:c r="S129" s="237" t="s"/>
      <x:c r="T129" s="238" t="s"/>
      <x:c r="U129" s="239" t="s"/>
    </x:row>
    <x:row r="130" spans="1:23" customFormat="1" ht="15.75" customHeight="1">
      <x:c r="A130" s="232" t="s"/>
      <x:c r="B130" s="232" t="s"/>
      <x:c r="C130" s="232" t="s"/>
      <x:c r="D130" s="154" t="s"/>
      <x:c r="E130" s="154" t="s"/>
      <x:c r="F130" s="154" t="s"/>
      <x:c r="G130" s="154" t="s"/>
      <x:c r="H130" s="233" t="s"/>
      <x:c r="I130" s="233" t="s"/>
      <x:c r="J130" s="233" t="s"/>
      <x:c r="K130" s="233" t="s"/>
      <x:c r="L130" s="233" t="s"/>
      <x:c r="M130" s="233" t="s"/>
      <x:c r="N130" s="233" t="s"/>
      <x:c r="O130" s="233" t="s"/>
      <x:c r="P130" s="233" t="s"/>
      <x:c r="Q130" s="233" t="s"/>
      <x:c r="R130" s="233" t="s"/>
      <x:c r="S130" s="233" t="s"/>
      <x:c r="T130" s="154" t="s"/>
      <x:c r="U130" s="234" t="s"/>
    </x:row>
    <x:row r="131" spans="1:23" customFormat="1" ht="15" customHeight="1">
      <x:c r="A131" s="195" t="s">
        <x:v>282</x:v>
      </x:c>
      <x:c r="B131" s="195" t="s"/>
      <x:c r="C131" s="195" t="s"/>
      <x:c r="D131" s="195" t="s"/>
      <x:c r="E131" s="195" t="s"/>
      <x:c r="F131" s="195" t="s"/>
      <x:c r="G131" s="195" t="s"/>
      <x:c r="H131" s="195" t="s"/>
      <x:c r="I131" s="195" t="s"/>
      <x:c r="J131" s="195" t="s"/>
      <x:c r="K131" s="195" t="s"/>
      <x:c r="L131" s="195" t="s"/>
      <x:c r="M131" s="195" t="s"/>
      <x:c r="N131" s="195" t="s"/>
      <x:c r="O131" s="195" t="s"/>
      <x:c r="P131" s="195" t="s"/>
      <x:c r="Q131" s="195" t="s"/>
      <x:c r="R131" s="195" t="s"/>
      <x:c r="S131" s="195" t="s"/>
      <x:c r="T131" s="195" t="s"/>
      <x:c r="U131" s="198" t="s"/>
    </x:row>
    <x:row r="132" spans="1:23" customFormat="1" ht="12.75" customHeight="1">
      <x:c r="A132" s="230" t="s">
        <x:v>283</x:v>
      </x:c>
      <x:c r="B132" s="230" t="s"/>
      <x:c r="C132" s="230" t="s"/>
      <x:c r="D132" s="230" t="s"/>
      <x:c r="E132" s="230" t="s"/>
      <x:c r="F132" s="230" t="s"/>
      <x:c r="G132" s="230" t="s"/>
      <x:c r="H132" s="230" t="s"/>
      <x:c r="I132" s="230" t="s"/>
      <x:c r="J132" s="230" t="s"/>
      <x:c r="K132" s="230" t="s"/>
      <x:c r="L132" s="230" t="s"/>
      <x:c r="M132" s="230" t="s"/>
      <x:c r="N132" s="230" t="s"/>
      <x:c r="O132" s="230" t="s"/>
      <x:c r="P132" s="230" t="s"/>
      <x:c r="Q132" s="230" t="s"/>
      <x:c r="R132" s="230" t="s"/>
      <x:c r="S132" s="230" t="s"/>
      <x:c r="T132" s="230" t="s"/>
      <x:c r="U132" s="231" t="s"/>
    </x:row>
    <x:row r="133" spans="1:23" customFormat="1" ht="12.75" customHeight="1">
      <x:c r="A133" s="230" t="s">
        <x:v>284</x:v>
      </x:c>
      <x:c r="B133" s="230" t="s"/>
      <x:c r="C133" s="230" t="s"/>
      <x:c r="D133" s="230" t="s"/>
      <x:c r="E133" s="230" t="s"/>
      <x:c r="F133" s="230" t="s"/>
      <x:c r="G133" s="230" t="s"/>
      <x:c r="H133" s="230" t="s"/>
      <x:c r="I133" s="230" t="s"/>
      <x:c r="J133" s="230" t="s"/>
      <x:c r="K133" s="230" t="s"/>
      <x:c r="L133" s="230" t="s"/>
      <x:c r="M133" s="230" t="s"/>
      <x:c r="N133" s="230" t="s"/>
      <x:c r="O133" s="230" t="s"/>
      <x:c r="P133" s="230" t="s"/>
      <x:c r="Q133" s="230" t="s"/>
      <x:c r="R133" s="230" t="s"/>
      <x:c r="S133" s="230" t="s"/>
      <x:c r="T133" s="230" t="s"/>
      <x:c r="U133" s="231" t="s"/>
    </x:row>
    <x:row r="134" spans="1:23" customFormat="1" ht="7.5" customHeight="1">
      <x:c r="A134" s="228" t="s"/>
      <x:c r="B134" s="228" t="s"/>
      <x:c r="C134" s="228" t="s"/>
      <x:c r="D134" s="228" t="s"/>
      <x:c r="E134" s="228" t="s"/>
      <x:c r="F134" s="228" t="s"/>
      <x:c r="G134" s="228" t="s"/>
      <x:c r="H134" s="228" t="s"/>
      <x:c r="I134" s="228" t="s"/>
      <x:c r="J134" s="228" t="s"/>
      <x:c r="K134" s="228" t="s"/>
      <x:c r="L134" s="228" t="s"/>
      <x:c r="M134" s="228" t="s"/>
      <x:c r="N134" s="228" t="s"/>
      <x:c r="O134" s="228" t="s"/>
      <x:c r="P134" s="228" t="s"/>
      <x:c r="Q134" s="228" t="s"/>
      <x:c r="R134" s="228" t="s"/>
      <x:c r="S134" s="228" t="s"/>
      <x:c r="T134" s="228" t="s"/>
      <x:c r="U134" s="229" t="s"/>
    </x:row>
    <x:row r="135" spans="1:23" customFormat="1" ht="12.75" customHeight="1">
      <x:c r="A135" s="226" t="s">
        <x:v>285</x:v>
      </x:c>
      <x:c r="B135" s="226" t="s"/>
      <x:c r="C135" s="226" t="s"/>
      <x:c r="D135" s="226" t="s"/>
      <x:c r="E135" s="226" t="s"/>
      <x:c r="F135" s="226" t="s"/>
      <x:c r="G135" s="226" t="s"/>
      <x:c r="H135" s="226" t="s"/>
      <x:c r="I135" s="226" t="s"/>
      <x:c r="J135" s="226" t="s"/>
      <x:c r="K135" s="226" t="s"/>
      <x:c r="L135" s="226" t="s"/>
      <x:c r="M135" s="226" t="s"/>
      <x:c r="N135" s="226" t="s"/>
      <x:c r="O135" s="226" t="s"/>
      <x:c r="P135" s="226" t="s"/>
      <x:c r="Q135" s="226" t="s"/>
      <x:c r="R135" s="226" t="s"/>
      <x:c r="S135" s="226" t="s"/>
      <x:c r="T135" s="226" t="s"/>
      <x:c r="U135" s="227" t="s"/>
    </x:row>
    <x:row r="136" spans="1:23" customFormat="1" ht="12.75" customHeight="1">
      <x:c r="A136" s="226" t="s">
        <x:v>286</x:v>
      </x:c>
      <x:c r="B136" s="226" t="s"/>
      <x:c r="C136" s="226" t="s"/>
      <x:c r="D136" s="226" t="s"/>
      <x:c r="E136" s="226" t="s"/>
      <x:c r="F136" s="226" t="s"/>
      <x:c r="G136" s="226" t="s"/>
      <x:c r="H136" s="226" t="s"/>
      <x:c r="I136" s="226" t="s"/>
      <x:c r="J136" s="226" t="s"/>
      <x:c r="K136" s="226" t="s"/>
      <x:c r="L136" s="226" t="s"/>
      <x:c r="M136" s="226" t="s"/>
      <x:c r="N136" s="226" t="s"/>
      <x:c r="O136" s="226" t="s"/>
      <x:c r="P136" s="226" t="s"/>
      <x:c r="Q136" s="226" t="s"/>
      <x:c r="R136" s="226" t="s"/>
      <x:c r="S136" s="226" t="s"/>
      <x:c r="T136" s="226" t="s"/>
      <x:c r="U136" s="227" t="s"/>
    </x:row>
    <x:row r="137" spans="1:23" customFormat="1" ht="12.75" customHeight="1">
      <x:c r="A137" s="226" t="s">
        <x:v>287</x:v>
      </x:c>
      <x:c r="B137" s="226" t="s"/>
      <x:c r="C137" s="226" t="s"/>
      <x:c r="D137" s="226" t="s"/>
      <x:c r="E137" s="226" t="s"/>
      <x:c r="F137" s="226" t="s"/>
      <x:c r="G137" s="226" t="s"/>
      <x:c r="H137" s="226" t="s"/>
      <x:c r="I137" s="226" t="s"/>
      <x:c r="J137" s="226" t="s"/>
      <x:c r="K137" s="226" t="s"/>
      <x:c r="L137" s="226" t="s"/>
      <x:c r="M137" s="226" t="s"/>
      <x:c r="N137" s="226" t="s"/>
      <x:c r="O137" s="226" t="s"/>
      <x:c r="P137" s="226" t="s"/>
      <x:c r="Q137" s="226" t="s"/>
      <x:c r="R137" s="226" t="s"/>
      <x:c r="S137" s="226" t="s"/>
      <x:c r="T137" s="226" t="s"/>
      <x:c r="U137" s="227" t="s"/>
    </x:row>
    <x:row r="138" spans="1:23" customFormat="1" ht="7.5" customHeight="1">
      <x:c r="A138" s="226" t="s"/>
      <x:c r="B138" s="226" t="s"/>
      <x:c r="C138" s="226" t="s"/>
      <x:c r="D138" s="226" t="s"/>
      <x:c r="E138" s="226" t="s"/>
      <x:c r="F138" s="226" t="s"/>
      <x:c r="G138" s="226" t="s"/>
      <x:c r="H138" s="226" t="s"/>
      <x:c r="I138" s="226" t="s"/>
      <x:c r="J138" s="226" t="s"/>
      <x:c r="K138" s="226" t="s"/>
      <x:c r="L138" s="226" t="s"/>
      <x:c r="M138" s="226" t="s"/>
      <x:c r="N138" s="226" t="s"/>
      <x:c r="O138" s="226" t="s"/>
      <x:c r="P138" s="226" t="s"/>
      <x:c r="Q138" s="226" t="s"/>
      <x:c r="R138" s="226" t="s"/>
      <x:c r="S138" s="226" t="s"/>
      <x:c r="T138" s="226" t="s"/>
      <x:c r="U138" s="227" t="s"/>
    </x:row>
    <x:row r="139" spans="1:23" customFormat="1" ht="12.75" customHeight="1">
      <x:c r="A139" s="224" t="s">
        <x:v>288</x:v>
      </x:c>
      <x:c r="B139" s="224" t="s"/>
      <x:c r="C139" s="224" t="s"/>
      <x:c r="D139" s="224" t="s"/>
      <x:c r="E139" s="224" t="s"/>
      <x:c r="F139" s="224" t="s"/>
      <x:c r="G139" s="224" t="s"/>
      <x:c r="H139" s="224" t="s"/>
      <x:c r="I139" s="224" t="s"/>
      <x:c r="J139" s="224" t="s"/>
      <x:c r="K139" s="224" t="s"/>
      <x:c r="L139" s="224" t="s"/>
      <x:c r="M139" s="224" t="s"/>
      <x:c r="N139" s="224" t="s"/>
      <x:c r="O139" s="224" t="s"/>
      <x:c r="P139" s="224" t="s"/>
      <x:c r="Q139" s="224" t="s"/>
      <x:c r="R139" s="224" t="s"/>
      <x:c r="S139" s="224" t="s"/>
      <x:c r="T139" s="224" t="s"/>
      <x:c r="U139" s="225" t="s"/>
    </x:row>
    <x:row r="140" spans="1:23" customFormat="1" ht="12.75" customHeight="1">
      <x:c r="A140" s="222" t="s">
        <x:v>289</x:v>
      </x:c>
      <x:c r="B140" s="222" t="s"/>
      <x:c r="C140" s="222" t="s"/>
      <x:c r="D140" s="222" t="s"/>
      <x:c r="E140" s="222" t="s"/>
      <x:c r="F140" s="222" t="s"/>
      <x:c r="G140" s="222" t="s"/>
      <x:c r="H140" s="222" t="s"/>
      <x:c r="I140" s="222" t="s"/>
      <x:c r="J140" s="222" t="s"/>
      <x:c r="K140" s="222" t="s"/>
      <x:c r="L140" s="222" t="s"/>
      <x:c r="M140" s="222" t="s"/>
      <x:c r="N140" s="222" t="s"/>
      <x:c r="O140" s="222" t="s"/>
      <x:c r="P140" s="222" t="s"/>
      <x:c r="Q140" s="222" t="s"/>
      <x:c r="R140" s="222" t="s"/>
      <x:c r="S140" s="222" t="s"/>
      <x:c r="T140" s="222" t="s"/>
      <x:c r="U140" s="223" t="s"/>
    </x:row>
    <x:row r="141" spans="1:23" customFormat="1" ht="12.75" customHeight="1">
      <x:c r="A141" s="222" t="s">
        <x:v>290</x:v>
      </x:c>
      <x:c r="B141" s="222" t="s"/>
      <x:c r="C141" s="222" t="s"/>
      <x:c r="D141" s="222" t="s"/>
      <x:c r="E141" s="222" t="s"/>
      <x:c r="F141" s="222" t="s"/>
      <x:c r="G141" s="222" t="s"/>
      <x:c r="H141" s="222" t="s"/>
      <x:c r="I141" s="222" t="s"/>
      <x:c r="J141" s="222" t="s"/>
      <x:c r="K141" s="222" t="s"/>
      <x:c r="L141" s="222" t="s"/>
      <x:c r="M141" s="222" t="s"/>
      <x:c r="N141" s="222" t="s"/>
      <x:c r="O141" s="222" t="s"/>
      <x:c r="P141" s="222" t="s"/>
      <x:c r="Q141" s="222" t="s"/>
      <x:c r="R141" s="222" t="s"/>
      <x:c r="S141" s="222" t="s"/>
      <x:c r="T141" s="222" t="s"/>
      <x:c r="U141" s="223" t="s"/>
    </x:row>
    <x:row r="142" spans="1:23" customFormat="1" ht="12.75" customHeight="1">
      <x:c r="A142" s="226" t="s">
        <x:v>291</x:v>
      </x:c>
      <x:c r="B142" s="226" t="s"/>
      <x:c r="C142" s="226" t="s"/>
      <x:c r="D142" s="226" t="s"/>
      <x:c r="E142" s="226" t="s"/>
      <x:c r="F142" s="226" t="s"/>
      <x:c r="G142" s="226" t="s"/>
      <x:c r="H142" s="226" t="s"/>
      <x:c r="I142" s="226" t="s"/>
      <x:c r="J142" s="226" t="s"/>
      <x:c r="K142" s="226" t="s"/>
      <x:c r="L142" s="226" t="s"/>
      <x:c r="M142" s="226" t="s"/>
      <x:c r="N142" s="226" t="s"/>
      <x:c r="O142" s="226" t="s"/>
      <x:c r="P142" s="226" t="s"/>
      <x:c r="Q142" s="226" t="s"/>
      <x:c r="R142" s="226" t="s"/>
      <x:c r="S142" s="226" t="s"/>
      <x:c r="T142" s="226" t="s"/>
      <x:c r="U142" s="227" t="s"/>
    </x:row>
    <x:row r="143" spans="1:23" customFormat="1" ht="12.75" customHeight="1">
      <x:c r="A143" s="222" t="s">
        <x:v>292</x:v>
      </x:c>
      <x:c r="B143" s="222" t="s"/>
      <x:c r="C143" s="222" t="s"/>
      <x:c r="D143" s="222" t="s"/>
      <x:c r="E143" s="222" t="s"/>
      <x:c r="F143" s="222" t="s"/>
      <x:c r="G143" s="222" t="s"/>
      <x:c r="H143" s="222" t="s"/>
      <x:c r="I143" s="222" t="s"/>
      <x:c r="J143" s="222" t="s"/>
      <x:c r="K143" s="222" t="s"/>
      <x:c r="L143" s="222" t="s"/>
      <x:c r="M143" s="222" t="s"/>
      <x:c r="N143" s="222" t="s"/>
      <x:c r="O143" s="222" t="s"/>
      <x:c r="P143" s="222" t="s"/>
      <x:c r="Q143" s="222" t="s"/>
      <x:c r="R143" s="222" t="s"/>
      <x:c r="S143" s="222" t="s"/>
      <x:c r="T143" s="222" t="s"/>
      <x:c r="U143" s="223" t="s"/>
    </x:row>
    <x:row r="144" spans="1:23" customFormat="1" ht="12.75" customHeight="1">
      <x:c r="A144" s="222" t="s">
        <x:v>293</x:v>
      </x:c>
      <x:c r="B144" s="222" t="s"/>
      <x:c r="C144" s="222" t="s"/>
      <x:c r="D144" s="222" t="s"/>
      <x:c r="E144" s="222" t="s"/>
      <x:c r="F144" s="222" t="s"/>
      <x:c r="G144" s="222" t="s"/>
      <x:c r="H144" s="222" t="s"/>
      <x:c r="I144" s="222" t="s"/>
      <x:c r="J144" s="222" t="s"/>
      <x:c r="K144" s="222" t="s"/>
      <x:c r="L144" s="222" t="s"/>
      <x:c r="M144" s="222" t="s"/>
      <x:c r="N144" s="222" t="s"/>
      <x:c r="O144" s="222" t="s"/>
      <x:c r="P144" s="222" t="s"/>
      <x:c r="Q144" s="222" t="s"/>
      <x:c r="R144" s="222" t="s"/>
      <x:c r="S144" s="222" t="s"/>
      <x:c r="T144" s="222" t="s"/>
      <x:c r="U144" s="223" t="s"/>
    </x:row>
    <x:row r="145" spans="1:23" customFormat="1" ht="12" customHeight="1">
      <x:c r="A145" s="222" t="s">
        <x:v>294</x:v>
      </x:c>
      <x:c r="B145" s="222" t="s"/>
      <x:c r="C145" s="222" t="s"/>
      <x:c r="D145" s="222" t="s"/>
      <x:c r="E145" s="222" t="s"/>
      <x:c r="F145" s="222" t="s"/>
      <x:c r="G145" s="222" t="s"/>
      <x:c r="H145" s="222" t="s"/>
      <x:c r="I145" s="222" t="s"/>
      <x:c r="J145" s="222" t="s"/>
      <x:c r="K145" s="222" t="s"/>
      <x:c r="L145" s="222" t="s"/>
      <x:c r="M145" s="222" t="s"/>
      <x:c r="N145" s="222" t="s"/>
      <x:c r="O145" s="222" t="s"/>
      <x:c r="P145" s="222" t="s"/>
      <x:c r="Q145" s="222" t="s"/>
      <x:c r="R145" s="222" t="s"/>
      <x:c r="S145" s="222" t="s"/>
      <x:c r="T145" s="222" t="s"/>
      <x:c r="U145" s="227" t="s"/>
    </x:row>
    <x:row r="146" spans="1:23" customFormat="1" ht="12.75" customHeight="1">
      <x:c r="A146" s="224" t="s">
        <x:v>295</x:v>
      </x:c>
      <x:c r="B146" s="224" t="s"/>
      <x:c r="C146" s="224" t="s"/>
      <x:c r="D146" s="224" t="s"/>
      <x:c r="E146" s="224" t="s"/>
      <x:c r="F146" s="224" t="s"/>
      <x:c r="G146" s="224" t="s"/>
      <x:c r="H146" s="224" t="s"/>
      <x:c r="I146" s="224" t="s"/>
      <x:c r="J146" s="224" t="s"/>
      <x:c r="K146" s="224" t="s"/>
      <x:c r="L146" s="224" t="s"/>
      <x:c r="M146" s="224" t="s"/>
      <x:c r="N146" s="224" t="s"/>
      <x:c r="O146" s="224" t="s"/>
      <x:c r="P146" s="224" t="s"/>
      <x:c r="Q146" s="224" t="s"/>
      <x:c r="R146" s="224" t="s"/>
      <x:c r="S146" s="224" t="s"/>
      <x:c r="T146" s="224" t="s"/>
      <x:c r="U146" s="225" t="s"/>
    </x:row>
    <x:row r="147" spans="1:23" customFormat="1" ht="12.75" customHeight="1">
      <x:c r="A147" s="226" t="s">
        <x:v>296</x:v>
      </x:c>
      <x:c r="B147" s="226" t="s"/>
      <x:c r="C147" s="226" t="s"/>
      <x:c r="D147" s="226" t="s"/>
      <x:c r="E147" s="226" t="s"/>
      <x:c r="F147" s="226" t="s"/>
      <x:c r="G147" s="226" t="s"/>
      <x:c r="H147" s="226" t="s"/>
      <x:c r="I147" s="226" t="s"/>
      <x:c r="J147" s="226" t="s"/>
      <x:c r="K147" s="226" t="s"/>
      <x:c r="L147" s="226" t="s"/>
      <x:c r="M147" s="226" t="s"/>
      <x:c r="N147" s="226" t="s"/>
      <x:c r="O147" s="226" t="s"/>
      <x:c r="P147" s="226" t="s"/>
      <x:c r="Q147" s="226" t="s"/>
      <x:c r="R147" s="226" t="s"/>
      <x:c r="S147" s="226" t="s"/>
      <x:c r="T147" s="226" t="s"/>
      <x:c r="U147" s="227" t="s"/>
    </x:row>
    <x:row r="148" spans="1:23" customFormat="1" ht="12.75" customHeight="1">
      <x:c r="A148" s="226" t="s">
        <x:v>297</x:v>
      </x:c>
      <x:c r="B148" s="226" t="s"/>
      <x:c r="C148" s="226" t="s"/>
      <x:c r="D148" s="226" t="s"/>
      <x:c r="E148" s="226" t="s"/>
      <x:c r="F148" s="226" t="s"/>
      <x:c r="G148" s="226" t="s"/>
      <x:c r="H148" s="226" t="s"/>
      <x:c r="I148" s="226" t="s"/>
      <x:c r="J148" s="226" t="s"/>
      <x:c r="K148" s="226" t="s"/>
      <x:c r="L148" s="226" t="s"/>
      <x:c r="M148" s="226" t="s"/>
      <x:c r="N148" s="226" t="s"/>
      <x:c r="O148" s="226" t="s"/>
      <x:c r="P148" s="226" t="s"/>
      <x:c r="Q148" s="226" t="s"/>
      <x:c r="R148" s="226" t="s"/>
      <x:c r="S148" s="226" t="s"/>
      <x:c r="T148" s="226" t="s"/>
      <x:c r="U148" s="227" t="s"/>
    </x:row>
    <x:row r="149" spans="1:23" customFormat="1" ht="12.75" customHeight="1">
      <x:c r="A149" s="226" t="s">
        <x:v>298</x:v>
      </x:c>
      <x:c r="B149" s="226" t="s"/>
      <x:c r="C149" s="226" t="s"/>
      <x:c r="D149" s="226" t="s"/>
      <x:c r="E149" s="226" t="s"/>
      <x:c r="F149" s="226" t="s"/>
      <x:c r="G149" s="226" t="s"/>
      <x:c r="H149" s="226" t="s"/>
      <x:c r="I149" s="226" t="s"/>
      <x:c r="J149" s="226" t="s"/>
      <x:c r="K149" s="226" t="s"/>
      <x:c r="L149" s="226" t="s"/>
      <x:c r="M149" s="226" t="s"/>
      <x:c r="N149" s="226" t="s"/>
      <x:c r="O149" s="226" t="s"/>
      <x:c r="P149" s="226" t="s"/>
      <x:c r="Q149" s="226" t="s"/>
      <x:c r="R149" s="226" t="s"/>
      <x:c r="S149" s="226" t="s"/>
      <x:c r="T149" s="226" t="s"/>
      <x:c r="U149" s="227" t="s"/>
    </x:row>
    <x:row r="150" spans="1:23" customFormat="1" ht="12" customHeight="1">
      <x:c r="A150" s="226" t="s">
        <x:v>299</x:v>
      </x:c>
      <x:c r="B150" s="226" t="s"/>
      <x:c r="C150" s="226" t="s"/>
      <x:c r="D150" s="226" t="s"/>
      <x:c r="E150" s="226" t="s"/>
      <x:c r="F150" s="226" t="s"/>
      <x:c r="G150" s="226" t="s"/>
      <x:c r="H150" s="226" t="s"/>
      <x:c r="I150" s="226" t="s"/>
      <x:c r="J150" s="226" t="s"/>
      <x:c r="K150" s="226" t="s"/>
      <x:c r="L150" s="226" t="s"/>
      <x:c r="M150" s="226" t="s"/>
      <x:c r="N150" s="226" t="s"/>
      <x:c r="O150" s="226" t="s"/>
      <x:c r="P150" s="226" t="s"/>
      <x:c r="Q150" s="226" t="s"/>
      <x:c r="R150" s="226" t="s"/>
      <x:c r="S150" s="226" t="s"/>
      <x:c r="T150" s="226" t="s"/>
      <x:c r="U150" s="227" t="s"/>
    </x:row>
    <x:row r="151" spans="1:23" customFormat="1" ht="7.5" customHeight="1">
      <x:c r="A151" s="226" t="s"/>
      <x:c r="B151" s="226" t="s"/>
      <x:c r="C151" s="226" t="s"/>
      <x:c r="D151" s="226" t="s"/>
      <x:c r="E151" s="226" t="s"/>
      <x:c r="F151" s="226" t="s"/>
      <x:c r="G151" s="226" t="s"/>
      <x:c r="H151" s="226" t="s"/>
      <x:c r="I151" s="226" t="s"/>
      <x:c r="J151" s="226" t="s"/>
      <x:c r="K151" s="226" t="s"/>
      <x:c r="L151" s="226" t="s"/>
      <x:c r="M151" s="226" t="s"/>
      <x:c r="N151" s="226" t="s"/>
      <x:c r="O151" s="226" t="s"/>
      <x:c r="P151" s="226" t="s"/>
      <x:c r="Q151" s="226" t="s"/>
      <x:c r="R151" s="226" t="s"/>
      <x:c r="S151" s="226" t="s"/>
      <x:c r="T151" s="226" t="s"/>
      <x:c r="U151" s="227" t="s"/>
    </x:row>
    <x:row r="152" spans="1:23" customFormat="1" ht="12.75" customHeight="1">
      <x:c r="A152" s="224" t="s">
        <x:v>300</x:v>
      </x:c>
      <x:c r="B152" s="224" t="s"/>
      <x:c r="C152" s="224" t="s"/>
      <x:c r="D152" s="224" t="s"/>
      <x:c r="E152" s="224" t="s"/>
      <x:c r="F152" s="224" t="s"/>
      <x:c r="G152" s="224" t="s"/>
      <x:c r="H152" s="224" t="s"/>
      <x:c r="I152" s="224" t="s"/>
      <x:c r="J152" s="224" t="s"/>
      <x:c r="K152" s="224" t="s"/>
      <x:c r="L152" s="224" t="s"/>
      <x:c r="M152" s="224" t="s"/>
      <x:c r="N152" s="224" t="s"/>
      <x:c r="O152" s="224" t="s"/>
      <x:c r="P152" s="224" t="s"/>
      <x:c r="Q152" s="224" t="s"/>
      <x:c r="R152" s="224" t="s"/>
      <x:c r="S152" s="224" t="s"/>
      <x:c r="T152" s="224" t="s"/>
      <x:c r="U152" s="225" t="s"/>
    </x:row>
    <x:row r="153" spans="1:23" customFormat="1" ht="12" customHeight="1">
      <x:c r="A153" s="224" t="s">
        <x:v>301</x:v>
      </x:c>
      <x:c r="B153" s="224" t="s"/>
      <x:c r="C153" s="224" t="s"/>
      <x:c r="D153" s="224" t="s"/>
      <x:c r="E153" s="224" t="s"/>
      <x:c r="F153" s="224" t="s"/>
      <x:c r="G153" s="224" t="s"/>
      <x:c r="H153" s="224" t="s"/>
      <x:c r="I153" s="224" t="s"/>
      <x:c r="J153" s="224" t="s"/>
      <x:c r="K153" s="224" t="s"/>
      <x:c r="L153" s="224" t="s"/>
      <x:c r="M153" s="224" t="s"/>
      <x:c r="N153" s="224" t="s"/>
      <x:c r="O153" s="224" t="s"/>
      <x:c r="P153" s="224" t="s"/>
      <x:c r="Q153" s="224" t="s"/>
      <x:c r="R153" s="224" t="s"/>
      <x:c r="S153" s="224" t="s"/>
      <x:c r="T153" s="224" t="s"/>
      <x:c r="U153" s="225" t="s"/>
    </x:row>
    <x:row r="154" spans="1:23" customFormat="1" ht="12.75" customHeight="1">
      <x:c r="A154" s="222" t="s"/>
      <x:c r="B154" s="222" t="s"/>
      <x:c r="C154" s="222" t="s"/>
      <x:c r="D154" s="222" t="s"/>
      <x:c r="E154" s="222" t="s"/>
      <x:c r="F154" s="222" t="s"/>
      <x:c r="G154" s="222" t="s"/>
      <x:c r="H154" s="222" t="s"/>
      <x:c r="I154" s="222" t="s"/>
      <x:c r="J154" s="222" t="s"/>
      <x:c r="K154" s="222" t="s"/>
      <x:c r="L154" s="222" t="s"/>
      <x:c r="M154" s="222" t="s"/>
      <x:c r="N154" s="222" t="s"/>
      <x:c r="O154" s="222" t="s"/>
      <x:c r="P154" s="222" t="s"/>
      <x:c r="Q154" s="222" t="s"/>
      <x:c r="R154" s="222" t="s"/>
      <x:c r="S154" s="222" t="s"/>
      <x:c r="T154" s="222" t="s"/>
      <x:c r="U154" s="223" t="s"/>
    </x:row>
  </x:sheetData>
  <x:mergeCells count="90">
    <x:mergeCell ref="A5:G5"/>
    <x:mergeCell ref="A6:G6"/>
    <x:mergeCell ref="A7:G7"/>
    <x:mergeCell ref="A8:G8"/>
    <x:mergeCell ref="A9:G9"/>
    <x:mergeCell ref="M5:N5"/>
    <x:mergeCell ref="O5:Q5"/>
    <x:mergeCell ref="O10:P10"/>
    <x:mergeCell ref="M6:N6"/>
    <x:mergeCell ref="O6:Q6"/>
    <x:mergeCell ref="M7:N7"/>
    <x:mergeCell ref="O7:R7"/>
    <x:mergeCell ref="M8:N8"/>
    <x:mergeCell ref="O8:P8"/>
    <x:mergeCell ref="N9:Q9"/>
    <x:mergeCell ref="M1:T1"/>
    <x:mergeCell ref="A3:E3"/>
    <x:mergeCell ref="A4:G4"/>
    <x:mergeCell ref="M4:N4"/>
    <x:mergeCell ref="O4:Q4"/>
    <x:mergeCell ref="M12:N12"/>
    <x:mergeCell ref="O12:Q12"/>
    <x:mergeCell ref="A13:C13"/>
    <x:mergeCell ref="D13:J13"/>
    <x:mergeCell ref="M13:N13"/>
    <x:mergeCell ref="O13:R13"/>
    <x:mergeCell ref="A12:D12"/>
    <x:mergeCell ref="C10:E10"/>
    <x:mergeCell ref="C11:G11"/>
    <x:mergeCell ref="E18:F18"/>
    <x:mergeCell ref="H18:L18"/>
    <x:mergeCell ref="A14:C14"/>
    <x:mergeCell ref="D14:J14"/>
    <x:mergeCell ref="A17:C17"/>
    <x:mergeCell ref="D17:J17"/>
    <x:mergeCell ref="M14:N14"/>
    <x:mergeCell ref="A15:C15"/>
    <x:mergeCell ref="D15:J15"/>
    <x:mergeCell ref="M15:N15"/>
    <x:mergeCell ref="A16:C16"/>
    <x:mergeCell ref="D16:J16"/>
    <x:mergeCell ref="M16:N16"/>
    <x:mergeCell ref="D19:E19"/>
    <x:mergeCell ref="L19:M19"/>
    <x:mergeCell ref="Q19:R19"/>
    <x:mergeCell ref="S19:T19"/>
    <x:mergeCell ref="C118:H118"/>
    <x:mergeCell ref="L118:M118"/>
    <x:mergeCell ref="Q118:T118"/>
    <x:mergeCell ref="Q119:T119"/>
    <x:mergeCell ref="Q120:T120"/>
    <x:mergeCell ref="Q121:T121"/>
    <x:mergeCell ref="A133:T133"/>
    <x:mergeCell ref="A135:T135"/>
    <x:mergeCell ref="A129:D129"/>
    <x:mergeCell ref="Q122:T122"/>
    <x:mergeCell ref="L123:M123"/>
    <x:mergeCell ref="N123:O123"/>
    <x:mergeCell ref="L124:M124"/>
    <x:mergeCell ref="N124:O124"/>
    <x:mergeCell ref="F128:S128"/>
    <x:mergeCell ref="F127:S127"/>
    <x:mergeCell ref="A128:D128"/>
    <x:mergeCell ref="A127:D127"/>
    <x:mergeCell ref="F129:S129"/>
    <x:mergeCell ref="A140:T140"/>
    <x:mergeCell ref="A141:T141"/>
    <x:mergeCell ref="A136:T136"/>
    <x:mergeCell ref="A137:T137"/>
    <x:mergeCell ref="A138:T138"/>
    <x:mergeCell ref="A142:T142"/>
    <x:mergeCell ref="A131:T131"/>
    <x:mergeCell ref="A132:T132"/>
    <x:mergeCell ref="A154:T154"/>
    <x:mergeCell ref="A143:T143"/>
    <x:mergeCell ref="A144:T144"/>
    <x:mergeCell ref="A145:T145"/>
    <x:mergeCell ref="A146:T146"/>
    <x:mergeCell ref="A147:T147"/>
    <x:mergeCell ref="A148:T148"/>
    <x:mergeCell ref="A149:T149"/>
    <x:mergeCell ref="A150:T150"/>
    <x:mergeCell ref="A151:T151"/>
    <x:mergeCell ref="A152:T152"/>
    <x:mergeCell ref="A153:T153"/>
    <x:mergeCell ref="A139:T139"/>
    <x:mergeCell ref="C119:K119"/>
    <x:mergeCell ref="C120:K120"/>
    <x:mergeCell ref="C121:K121"/>
    <x:mergeCell ref="C122:K122"/>
  </x:mergeCells>
  <x:dataValidations disablePrompts="1" count="480">
    <x:dataValidation type="whole" errorStyle="stop" operator="between" allowBlank="1" showDropDown="0" showInputMessage="1" showErrorMessage="1" errorTitle="" error="" promptTitle="" prompt="" sqref="Q11:Q11">
      <x:formula1>1</x:formula1>
      <x:formula2>100</x:formula2>
    </x:dataValidation>
    <x:dataValidation type="list" errorStyle="stop" operator="between" allowBlank="1" showDropDown="0" showInputMessage="1" showErrorMessage="1" errorTitle="" error="" promptTitle="" prompt="" sqref="O11:O11">
      <x:formula1>"Credit, Cash"</x:formula1>
      <x:formula2/>
    </x:dataValidation>
    <x:dataValidation type="decimal" errorStyle="stop" operator="between" allowBlank="1" showDropDown="0" showInputMessage="1" showErrorMessage="1" errorTitle="" error="" promptTitle="" prompt="" sqref="N20:O20">
      <x:formula1>0</x:formula1>
      <x:formula2>100</x:formula2>
    </x:dataValidation>
    <x:dataValidation type="decimal" errorStyle="stop" operator="greaterThanOrEqual" allowBlank="1" showDropDown="0" showInputMessage="1" showErrorMessage="1" errorTitle="" error="" promptTitle="" prompt="" sqref="K20:L20">
      <x:formula1>0</x:formula1>
      <x:formula2/>
    </x:dataValidation>
    <x:dataValidation type="decimal" errorStyle="stop" operator="between" allowBlank="1" showDropDown="0" showInputMessage="1" showErrorMessage="1" errorTitle="" error="" promptTitle="" prompt="" sqref="$O$16:$O$16">
      <x:formula1>0</x:formula1>
      <x:formula2>100</x:formula2>
    </x:dataValidation>
    <x:dataValidation type="decimal" errorStyle="stop" operator="between" allowBlank="1" showDropDown="0" showInputMessage="1" showErrorMessage="1" errorTitle="" error="" promptTitle="" prompt="" sqref="$O$15:$O$15">
      <x:formula1>0</x:formula1>
      <x:formula2>100</x:formula2>
    </x:dataValidation>
    <x:dataValidation type="none" errorStyle="stop" operator="between" allowBlank="1" showDropDown="0" showInputMessage="1" showErrorMessage="1" errorTitle="" error="" promptTitle="" prompt="" sqref="P23:P23">
      <x:formula1/>
      <x:formula2/>
    </x:dataValidation>
    <x:dataValidation type="none" errorStyle="stop" operator="between" allowBlank="1" showDropDown="0" showInputMessage="1" showErrorMessage="1" errorTitle="" error="" promptTitle="" prompt="" sqref="P24:P24">
      <x:formula1/>
      <x:formula2/>
    </x:dataValidation>
    <x:dataValidation type="none" errorStyle="stop" operator="between" allowBlank="1" showDropDown="0" showInputMessage="1" showErrorMessage="1" errorTitle="" error="" promptTitle="" prompt="" sqref="P25:P25">
      <x:formula1/>
      <x:formula2/>
    </x:dataValidation>
    <x:dataValidation type="none" errorStyle="stop" operator="between" allowBlank="1" showDropDown="0" showInputMessage="1" showErrorMessage="1" errorTitle="" error="" promptTitle="" prompt="" sqref="P26:P26">
      <x:formula1/>
      <x:formula2/>
    </x:dataValidation>
    <x:dataValidation type="list" errorStyle="stop" operator="between" allowBlank="1" showDropDown="0" showInputMessage="1" showErrorMessage="1" errorTitle="" error="" promptTitle="" prompt="" sqref="H21:H21">
      <x:formula1>'MasterData'!$B$1:$B$14</x:formula1>
      <x:formula2/>
    </x:dataValidation>
    <x:dataValidation type="list" errorStyle="stop" operator="between" allowBlank="1" showDropDown="0" showInputMessage="1" showErrorMessage="1" errorTitle="" error="" promptTitle="" prompt="" sqref="I21:I21">
      <x:formula1>'MasterData'!$E$1:$E$10</x:formula1>
      <x:formula2/>
    </x:dataValidation>
    <x:dataValidation type="decimal" errorStyle="stop" operator="greaterThanOrEqual" allowBlank="1" showDropDown="0" showInputMessage="1" showErrorMessage="1" errorTitle="" error="" promptTitle="" prompt="" sqref="K21:K21">
      <x:formula1>0</x:formula1>
      <x:formula2/>
    </x:dataValidation>
    <x:dataValidation type="decimal" errorStyle="stop" operator="between" allowBlank="1" showDropDown="0" showInputMessage="1" showErrorMessage="1" errorTitle="" error="" promptTitle="" prompt="" sqref="N21:N21">
      <x:formula1>0</x:formula1>
      <x:formula2>100</x:formula2>
    </x:dataValidation>
    <x:dataValidation type="decimal" errorStyle="stop" operator="between" allowBlank="1" showDropDown="0" showInputMessage="1" showErrorMessage="1" errorTitle="" error="" promptTitle="" prompt="" sqref="O21:O21">
      <x:formula1>0</x:formula1>
      <x:formula2>100</x:formula2>
    </x:dataValidation>
    <x:dataValidation type="list" errorStyle="stop" operator="between" allowBlank="1" showDropDown="0" showInputMessage="1" showErrorMessage="1" errorTitle="" error="" promptTitle="" prompt="" sqref="H22:H22">
      <x:formula1>'MasterData'!$B$1:$B$14</x:formula1>
      <x:formula2/>
    </x:dataValidation>
    <x:dataValidation type="list" errorStyle="stop" operator="between" allowBlank="1" showDropDown="0" showInputMessage="1" showErrorMessage="1" errorTitle="" error="" promptTitle="" prompt="" sqref="I22:I22">
      <x:formula1>'MasterData'!$E$11:$E$20</x:formula1>
      <x:formula2/>
    </x:dataValidation>
    <x:dataValidation type="decimal" errorStyle="stop" operator="greaterThanOrEqual" allowBlank="1" showDropDown="0" showInputMessage="1" showErrorMessage="1" errorTitle="" error="" promptTitle="" prompt="" sqref="K22:K22">
      <x:formula1>0</x:formula1>
      <x:formula2/>
    </x:dataValidation>
    <x:dataValidation type="decimal" errorStyle="stop" operator="between" allowBlank="1" showDropDown="0" showInputMessage="1" showErrorMessage="1" errorTitle="" error="" promptTitle="" prompt="" sqref="N22:N22">
      <x:formula1>0</x:formula1>
      <x:formula2>100</x:formula2>
    </x:dataValidation>
    <x:dataValidation type="decimal" errorStyle="stop" operator="between" allowBlank="1" showDropDown="0" showInputMessage="1" showErrorMessage="1" errorTitle="" error="" promptTitle="" prompt="" sqref="O22:O22">
      <x:formula1>0</x:formula1>
      <x:formula2>100</x:formula2>
    </x:dataValidation>
    <x:dataValidation type="list" errorStyle="stop" operator="between" allowBlank="1" showDropDown="0" showInputMessage="1" showErrorMessage="1" errorTitle="" error="" promptTitle="" prompt="" sqref="H23:H23">
      <x:formula1>'MasterData'!$B$1:$B$14</x:formula1>
      <x:formula2/>
    </x:dataValidation>
    <x:dataValidation type="list" errorStyle="stop" operator="between" allowBlank="1" showDropDown="0" showInputMessage="1" showErrorMessage="1" errorTitle="" error="" promptTitle="" prompt="" sqref="I23:I23">
      <x:formula1>'MasterData'!$E$21:$E$30</x:formula1>
      <x:formula2/>
    </x:dataValidation>
    <x:dataValidation type="decimal" errorStyle="stop" operator="greaterThanOrEqual" allowBlank="1" showDropDown="0" showInputMessage="1" showErrorMessage="1" errorTitle="" error="" promptTitle="" prompt="" sqref="K23:K23">
      <x:formula1>0</x:formula1>
      <x:formula2/>
    </x:dataValidation>
    <x:dataValidation type="decimal" errorStyle="stop" operator="between" allowBlank="1" showDropDown="0" showInputMessage="1" showErrorMessage="1" errorTitle="" error="" promptTitle="" prompt="" sqref="N23:N23">
      <x:formula1>0</x:formula1>
      <x:formula2>100</x:formula2>
    </x:dataValidation>
    <x:dataValidation type="decimal" errorStyle="stop" operator="between" allowBlank="1" showDropDown="0" showInputMessage="1" showErrorMessage="1" errorTitle="" error="" promptTitle="" prompt="" sqref="O23:O23">
      <x:formula1>0</x:formula1>
      <x:formula2>100</x:formula2>
    </x:dataValidation>
    <x:dataValidation type="list" errorStyle="stop" operator="between" allowBlank="1" showDropDown="0" showInputMessage="1" showErrorMessage="1" errorTitle="" error="" promptTitle="" prompt="" sqref="H24:H24">
      <x:formula1>'MasterData'!$B$1:$B$14</x:formula1>
      <x:formula2/>
    </x:dataValidation>
    <x:dataValidation type="list" errorStyle="stop" operator="between" allowBlank="1" showDropDown="0" showInputMessage="1" showErrorMessage="1" errorTitle="" error="" promptTitle="" prompt="" sqref="I24:I24">
      <x:formula1>'MasterData'!$E$31:$E$40</x:formula1>
      <x:formula2/>
    </x:dataValidation>
    <x:dataValidation type="decimal" errorStyle="stop" operator="greaterThanOrEqual" allowBlank="1" showDropDown="0" showInputMessage="1" showErrorMessage="1" errorTitle="" error="" promptTitle="" prompt="" sqref="K24:K24">
      <x:formula1>0</x:formula1>
      <x:formula2/>
    </x:dataValidation>
    <x:dataValidation type="decimal" errorStyle="stop" operator="between" allowBlank="1" showDropDown="0" showInputMessage="1" showErrorMessage="1" errorTitle="" error="" promptTitle="" prompt="" sqref="N24:N24">
      <x:formula1>0</x:formula1>
      <x:formula2>100</x:formula2>
    </x:dataValidation>
    <x:dataValidation type="decimal" errorStyle="stop" operator="between" allowBlank="1" showDropDown="0" showInputMessage="1" showErrorMessage="1" errorTitle="" error="" promptTitle="" prompt="" sqref="O24:O24">
      <x:formula1>0</x:formula1>
      <x:formula2>100</x:formula2>
    </x:dataValidation>
    <x:dataValidation type="list" errorStyle="stop" operator="between" allowBlank="1" showDropDown="0" showInputMessage="1" showErrorMessage="1" errorTitle="" error="" promptTitle="" prompt="" sqref="H25:H25">
      <x:formula1>'MasterData'!$B$1:$B$14</x:formula1>
      <x:formula2/>
    </x:dataValidation>
    <x:dataValidation type="list" errorStyle="stop" operator="between" allowBlank="1" showDropDown="0" showInputMessage="1" showErrorMessage="1" errorTitle="" error="" promptTitle="" prompt="" sqref="I25:I25">
      <x:formula1>'MasterData'!$E$41:$E$50</x:formula1>
      <x:formula2/>
    </x:dataValidation>
    <x:dataValidation type="decimal" errorStyle="stop" operator="greaterThanOrEqual" allowBlank="1" showDropDown="0" showInputMessage="1" showErrorMessage="1" errorTitle="" error="" promptTitle="" prompt="" sqref="K25:K25">
      <x:formula1>0</x:formula1>
      <x:formula2/>
    </x:dataValidation>
    <x:dataValidation type="decimal" errorStyle="stop" operator="between" allowBlank="1" showDropDown="0" showInputMessage="1" showErrorMessage="1" errorTitle="" error="" promptTitle="" prompt="" sqref="N25:N25">
      <x:formula1>0</x:formula1>
      <x:formula2>100</x:formula2>
    </x:dataValidation>
    <x:dataValidation type="decimal" errorStyle="stop" operator="between" allowBlank="1" showDropDown="0" showInputMessage="1" showErrorMessage="1" errorTitle="" error="" promptTitle="" prompt="" sqref="O25:O25">
      <x:formula1>0</x:formula1>
      <x:formula2>100</x:formula2>
    </x:dataValidation>
    <x:dataValidation type="list" errorStyle="stop" operator="between" allowBlank="1" showDropDown="0" showInputMessage="1" showErrorMessage="1" errorTitle="" error="" promptTitle="" prompt="" sqref="H26:H26">
      <x:formula1>'MasterData'!$B$1:$B$14</x:formula1>
      <x:formula2/>
    </x:dataValidation>
    <x:dataValidation type="list" errorStyle="stop" operator="between" allowBlank="1" showDropDown="0" showInputMessage="1" showErrorMessage="1" errorTitle="" error="" promptTitle="" prompt="" sqref="I26:I26">
      <x:formula1>'MasterData'!$E$51:$E$60</x:formula1>
      <x:formula2/>
    </x:dataValidation>
    <x:dataValidation type="decimal" errorStyle="stop" operator="greaterThanOrEqual" allowBlank="1" showDropDown="0" showInputMessage="1" showErrorMessage="1" errorTitle="" error="" promptTitle="" prompt="" sqref="K26:K26">
      <x:formula1>0</x:formula1>
      <x:formula2/>
    </x:dataValidation>
    <x:dataValidation type="decimal" errorStyle="stop" operator="between" allowBlank="1" showDropDown="0" showInputMessage="1" showErrorMessage="1" errorTitle="" error="" promptTitle="" prompt="" sqref="N26:N26">
      <x:formula1>0</x:formula1>
      <x:formula2>100</x:formula2>
    </x:dataValidation>
    <x:dataValidation type="decimal" errorStyle="stop" operator="between" allowBlank="1" showDropDown="0" showInputMessage="1" showErrorMessage="1" errorTitle="" error="" promptTitle="" prompt="" sqref="O26:O26">
      <x:formula1>0</x:formula1>
      <x:formula2>100</x:formula2>
    </x:dataValidation>
    <x:dataValidation type="list" errorStyle="stop" operator="between" allowBlank="1" showDropDown="0" showInputMessage="1" showErrorMessage="1" errorTitle="" error="" promptTitle="" prompt="" sqref="H27:H27">
      <x:formula1>'MasterData'!$B$1:$B$14</x:formula1>
      <x:formula2/>
    </x:dataValidation>
    <x:dataValidation type="list" errorStyle="stop" operator="between" allowBlank="1" showDropDown="0" showInputMessage="1" showErrorMessage="1" errorTitle="" error="" promptTitle="" prompt="" sqref="I27:I27">
      <x:formula1>'MasterData'!$E$61:$E$70</x:formula1>
      <x:formula2/>
    </x:dataValidation>
    <x:dataValidation type="decimal" errorStyle="stop" operator="greaterThanOrEqual" allowBlank="1" showDropDown="0" showInputMessage="1" showErrorMessage="1" errorTitle="" error="" promptTitle="" prompt="" sqref="K27:K27">
      <x:formula1>0</x:formula1>
      <x:formula2/>
    </x:dataValidation>
    <x:dataValidation type="decimal" errorStyle="stop" operator="between" allowBlank="1" showDropDown="0" showInputMessage="1" showErrorMessage="1" errorTitle="" error="" promptTitle="" prompt="" sqref="N27:N27">
      <x:formula1>0</x:formula1>
      <x:formula2>100</x:formula2>
    </x:dataValidation>
    <x:dataValidation type="decimal" errorStyle="stop" operator="between" allowBlank="1" showDropDown="0" showInputMessage="1" showErrorMessage="1" errorTitle="" error="" promptTitle="" prompt="" sqref="O27:O27">
      <x:formula1>0</x:formula1>
      <x:formula2>100</x:formula2>
    </x:dataValidation>
    <x:dataValidation type="list" errorStyle="stop" operator="between" allowBlank="1" showDropDown="0" showInputMessage="1" showErrorMessage="1" errorTitle="" error="" promptTitle="" prompt="" sqref="H28:H28">
      <x:formula1>'MasterData'!$B$1:$B$14</x:formula1>
      <x:formula2/>
    </x:dataValidation>
    <x:dataValidation type="list" errorStyle="stop" operator="between" allowBlank="1" showDropDown="0" showInputMessage="1" showErrorMessage="1" errorTitle="" error="" promptTitle="" prompt="" sqref="I28:I28">
      <x:formula1>'MasterData'!$E$71:$E$80</x:formula1>
      <x:formula2/>
    </x:dataValidation>
    <x:dataValidation type="decimal" errorStyle="stop" operator="greaterThanOrEqual" allowBlank="1" showDropDown="0" showInputMessage="1" showErrorMessage="1" errorTitle="" error="" promptTitle="" prompt="" sqref="K28:K28">
      <x:formula1>0</x:formula1>
      <x:formula2/>
    </x:dataValidation>
    <x:dataValidation type="decimal" errorStyle="stop" operator="between" allowBlank="1" showDropDown="0" showInputMessage="1" showErrorMessage="1" errorTitle="" error="" promptTitle="" prompt="" sqref="N28:N28">
      <x:formula1>0</x:formula1>
      <x:formula2>100</x:formula2>
    </x:dataValidation>
    <x:dataValidation type="decimal" errorStyle="stop" operator="between" allowBlank="1" showDropDown="0" showInputMessage="1" showErrorMessage="1" errorTitle="" error="" promptTitle="" prompt="" sqref="O28:O28">
      <x:formula1>0</x:formula1>
      <x:formula2>100</x:formula2>
    </x:dataValidation>
    <x:dataValidation type="list" errorStyle="stop" operator="between" allowBlank="1" showDropDown="0" showInputMessage="1" showErrorMessage="1" errorTitle="" error="" promptTitle="" prompt="" sqref="H29:H29">
      <x:formula1>'MasterData'!$B$1:$B$14</x:formula1>
      <x:formula2/>
    </x:dataValidation>
    <x:dataValidation type="list" errorStyle="stop" operator="between" allowBlank="1" showDropDown="0" showInputMessage="1" showErrorMessage="1" errorTitle="" error="" promptTitle="" prompt="" sqref="I29:I29">
      <x:formula1>'MasterData'!$E$81:$E$90</x:formula1>
      <x:formula2/>
    </x:dataValidation>
    <x:dataValidation type="decimal" errorStyle="stop" operator="greaterThanOrEqual" allowBlank="1" showDropDown="0" showInputMessage="1" showErrorMessage="1" errorTitle="" error="" promptTitle="" prompt="" sqref="K29:K29">
      <x:formula1>0</x:formula1>
      <x:formula2/>
    </x:dataValidation>
    <x:dataValidation type="decimal" errorStyle="stop" operator="between" allowBlank="1" showDropDown="0" showInputMessage="1" showErrorMessage="1" errorTitle="" error="" promptTitle="" prompt="" sqref="N29:N29">
      <x:formula1>0</x:formula1>
      <x:formula2>100</x:formula2>
    </x:dataValidation>
    <x:dataValidation type="decimal" errorStyle="stop" operator="between" allowBlank="1" showDropDown="0" showInputMessage="1" showErrorMessage="1" errorTitle="" error="" promptTitle="" prompt="" sqref="O29:O29">
      <x:formula1>0</x:formula1>
      <x:formula2>100</x:formula2>
    </x:dataValidation>
    <x:dataValidation type="list" errorStyle="stop" operator="between" allowBlank="1" showDropDown="0" showInputMessage="1" showErrorMessage="1" errorTitle="" error="" promptTitle="" prompt="" sqref="H30:H30">
      <x:formula1>'MasterData'!$B$1:$B$14</x:formula1>
      <x:formula2/>
    </x:dataValidation>
    <x:dataValidation type="list" errorStyle="stop" operator="between" allowBlank="1" showDropDown="0" showInputMessage="1" showErrorMessage="1" errorTitle="" error="" promptTitle="" prompt="" sqref="I30:I30">
      <x:formula1>'MasterData'!$E$91:$E$100</x:formula1>
      <x:formula2/>
    </x:dataValidation>
    <x:dataValidation type="decimal" errorStyle="stop" operator="greaterThanOrEqual" allowBlank="1" showDropDown="0" showInputMessage="1" showErrorMessage="1" errorTitle="" error="" promptTitle="" prompt="" sqref="K30:K30">
      <x:formula1>0</x:formula1>
      <x:formula2/>
    </x:dataValidation>
    <x:dataValidation type="decimal" errorStyle="stop" operator="between" allowBlank="1" showDropDown="0" showInputMessage="1" showErrorMessage="1" errorTitle="" error="" promptTitle="" prompt="" sqref="N30:N30">
      <x:formula1>0</x:formula1>
      <x:formula2>100</x:formula2>
    </x:dataValidation>
    <x:dataValidation type="decimal" errorStyle="stop" operator="between" allowBlank="1" showDropDown="0" showInputMessage="1" showErrorMessage="1" errorTitle="" error="" promptTitle="" prompt="" sqref="O30:O30">
      <x:formula1>0</x:formula1>
      <x:formula2>100</x:formula2>
    </x:dataValidation>
    <x:dataValidation type="list" errorStyle="stop" operator="between" allowBlank="1" showDropDown="0" showInputMessage="1" showErrorMessage="1" errorTitle="" error="" promptTitle="" prompt="" sqref="H31:H31">
      <x:formula1>'MasterData'!$B$1:$B$14</x:formula1>
      <x:formula2/>
    </x:dataValidation>
    <x:dataValidation type="list" errorStyle="stop" operator="between" allowBlank="1" showDropDown="0" showInputMessage="1" showErrorMessage="1" errorTitle="" error="" promptTitle="" prompt="" sqref="I31:I31">
      <x:formula1>'MasterData'!$E$101:$E$110</x:formula1>
      <x:formula2/>
    </x:dataValidation>
    <x:dataValidation type="decimal" errorStyle="stop" operator="greaterThanOrEqual" allowBlank="1" showDropDown="0" showInputMessage="1" showErrorMessage="1" errorTitle="" error="" promptTitle="" prompt="" sqref="K31:K31">
      <x:formula1>0</x:formula1>
      <x:formula2/>
    </x:dataValidation>
    <x:dataValidation type="decimal" errorStyle="stop" operator="between" allowBlank="1" showDropDown="0" showInputMessage="1" showErrorMessage="1" errorTitle="" error="" promptTitle="" prompt="" sqref="N31:N31">
      <x:formula1>0</x:formula1>
      <x:formula2>100</x:formula2>
    </x:dataValidation>
    <x:dataValidation type="decimal" errorStyle="stop" operator="between" allowBlank="1" showDropDown="0" showInputMessage="1" showErrorMessage="1" errorTitle="" error="" promptTitle="" prompt="" sqref="O31:O31">
      <x:formula1>0</x:formula1>
      <x:formula2>100</x:formula2>
    </x:dataValidation>
    <x:dataValidation type="list" errorStyle="stop" operator="between" allowBlank="1" showDropDown="0" showInputMessage="1" showErrorMessage="1" errorTitle="" error="" promptTitle="" prompt="" sqref="H32:H32">
      <x:formula1>'MasterData'!$B$1:$B$14</x:formula1>
      <x:formula2/>
    </x:dataValidation>
    <x:dataValidation type="list" errorStyle="stop" operator="between" allowBlank="1" showDropDown="0" showInputMessage="1" showErrorMessage="1" errorTitle="" error="" promptTitle="" prompt="" sqref="I32:I32">
      <x:formula1>'MasterData'!$E$111:$E$120</x:formula1>
      <x:formula2/>
    </x:dataValidation>
    <x:dataValidation type="decimal" errorStyle="stop" operator="greaterThanOrEqual" allowBlank="1" showDropDown="0" showInputMessage="1" showErrorMessage="1" errorTitle="" error="" promptTitle="" prompt="" sqref="K32:K32">
      <x:formula1>0</x:formula1>
      <x:formula2/>
    </x:dataValidation>
    <x:dataValidation type="decimal" errorStyle="stop" operator="between" allowBlank="1" showDropDown="0" showInputMessage="1" showErrorMessage="1" errorTitle="" error="" promptTitle="" prompt="" sqref="N32:N32">
      <x:formula1>0</x:formula1>
      <x:formula2>100</x:formula2>
    </x:dataValidation>
    <x:dataValidation type="decimal" errorStyle="stop" operator="between" allowBlank="1" showDropDown="0" showInputMessage="1" showErrorMessage="1" errorTitle="" error="" promptTitle="" prompt="" sqref="O32:O32">
      <x:formula1>0</x:formula1>
      <x:formula2>100</x:formula2>
    </x:dataValidation>
    <x:dataValidation type="list" errorStyle="stop" operator="between" allowBlank="1" showDropDown="0" showInputMessage="1" showErrorMessage="1" errorTitle="" error="" promptTitle="" prompt="" sqref="H33:H33">
      <x:formula1>'MasterData'!$B$1:$B$14</x:formula1>
      <x:formula2/>
    </x:dataValidation>
    <x:dataValidation type="list" errorStyle="stop" operator="between" allowBlank="1" showDropDown="0" showInputMessage="1" showErrorMessage="1" errorTitle="" error="" promptTitle="" prompt="" sqref="I33:I33">
      <x:formula1>'MasterData'!$E$121:$E$130</x:formula1>
      <x:formula2/>
    </x:dataValidation>
    <x:dataValidation type="decimal" errorStyle="stop" operator="greaterThanOrEqual" allowBlank="1" showDropDown="0" showInputMessage="1" showErrorMessage="1" errorTitle="" error="" promptTitle="" prompt="" sqref="K33:K33">
      <x:formula1>0</x:formula1>
      <x:formula2/>
    </x:dataValidation>
    <x:dataValidation type="decimal" errorStyle="stop" operator="between" allowBlank="1" showDropDown="0" showInputMessage="1" showErrorMessage="1" errorTitle="" error="" promptTitle="" prompt="" sqref="N33:N33">
      <x:formula1>0</x:formula1>
      <x:formula2>100</x:formula2>
    </x:dataValidation>
    <x:dataValidation type="decimal" errorStyle="stop" operator="between" allowBlank="1" showDropDown="0" showInputMessage="1" showErrorMessage="1" errorTitle="" error="" promptTitle="" prompt="" sqref="O33:O33">
      <x:formula1>0</x:formula1>
      <x:formula2>100</x:formula2>
    </x:dataValidation>
    <x:dataValidation type="list" errorStyle="stop" operator="between" allowBlank="1" showDropDown="0" showInputMessage="1" showErrorMessage="1" errorTitle="" error="" promptTitle="" prompt="" sqref="H34:H34">
      <x:formula1>'MasterData'!$B$1:$B$14</x:formula1>
      <x:formula2/>
    </x:dataValidation>
    <x:dataValidation type="list" errorStyle="stop" operator="between" allowBlank="1" showDropDown="0" showInputMessage="1" showErrorMessage="1" errorTitle="" error="" promptTitle="" prompt="" sqref="I34:I34">
      <x:formula1>'MasterData'!$E$131:$E$140</x:formula1>
      <x:formula2/>
    </x:dataValidation>
    <x:dataValidation type="decimal" errorStyle="stop" operator="greaterThanOrEqual" allowBlank="1" showDropDown="0" showInputMessage="1" showErrorMessage="1" errorTitle="" error="" promptTitle="" prompt="" sqref="K34:K34">
      <x:formula1>0</x:formula1>
      <x:formula2/>
    </x:dataValidation>
    <x:dataValidation type="decimal" errorStyle="stop" operator="between" allowBlank="1" showDropDown="0" showInputMessage="1" showErrorMessage="1" errorTitle="" error="" promptTitle="" prompt="" sqref="N34:N34">
      <x:formula1>0</x:formula1>
      <x:formula2>100</x:formula2>
    </x:dataValidation>
    <x:dataValidation type="decimal" errorStyle="stop" operator="between" allowBlank="1" showDropDown="0" showInputMessage="1" showErrorMessage="1" errorTitle="" error="" promptTitle="" prompt="" sqref="O34:O34">
      <x:formula1>0</x:formula1>
      <x:formula2>100</x:formula2>
    </x:dataValidation>
    <x:dataValidation type="list" errorStyle="stop" operator="between" allowBlank="1" showDropDown="0" showInputMessage="1" showErrorMessage="1" errorTitle="" error="" promptTitle="" prompt="" sqref="H35:H35">
      <x:formula1>'MasterData'!$B$1:$B$14</x:formula1>
      <x:formula2/>
    </x:dataValidation>
    <x:dataValidation type="list" errorStyle="stop" operator="between" allowBlank="1" showDropDown="0" showInputMessage="1" showErrorMessage="1" errorTitle="" error="" promptTitle="" prompt="" sqref="I35:I35">
      <x:formula1>'MasterData'!$E$141:$E$150</x:formula1>
      <x:formula2/>
    </x:dataValidation>
    <x:dataValidation type="decimal" errorStyle="stop" operator="greaterThanOrEqual" allowBlank="1" showDropDown="0" showInputMessage="1" showErrorMessage="1" errorTitle="" error="" promptTitle="" prompt="" sqref="K35:K35">
      <x:formula1>0</x:formula1>
      <x:formula2/>
    </x:dataValidation>
    <x:dataValidation type="decimal" errorStyle="stop" operator="between" allowBlank="1" showDropDown="0" showInputMessage="1" showErrorMessage="1" errorTitle="" error="" promptTitle="" prompt="" sqref="N35:N35">
      <x:formula1>0</x:formula1>
      <x:formula2>100</x:formula2>
    </x:dataValidation>
    <x:dataValidation type="decimal" errorStyle="stop" operator="between" allowBlank="1" showDropDown="0" showInputMessage="1" showErrorMessage="1" errorTitle="" error="" promptTitle="" prompt="" sqref="O35:O35">
      <x:formula1>0</x:formula1>
      <x:formula2>100</x:formula2>
    </x:dataValidation>
    <x:dataValidation type="list" errorStyle="stop" operator="between" allowBlank="1" showDropDown="0" showInputMessage="1" showErrorMessage="1" errorTitle="" error="" promptTitle="" prompt="" sqref="H36:H36">
      <x:formula1>'MasterData'!$B$1:$B$14</x:formula1>
      <x:formula2/>
    </x:dataValidation>
    <x:dataValidation type="list" errorStyle="stop" operator="between" allowBlank="1" showDropDown="0" showInputMessage="1" showErrorMessage="1" errorTitle="" error="" promptTitle="" prompt="" sqref="I36:I36">
      <x:formula1>'MasterData'!$E$151:$E$160</x:formula1>
      <x:formula2/>
    </x:dataValidation>
    <x:dataValidation type="decimal" errorStyle="stop" operator="greaterThanOrEqual" allowBlank="1" showDropDown="0" showInputMessage="1" showErrorMessage="1" errorTitle="" error="" promptTitle="" prompt="" sqref="K36:K36">
      <x:formula1>0</x:formula1>
      <x:formula2/>
    </x:dataValidation>
    <x:dataValidation type="decimal" errorStyle="stop" operator="between" allowBlank="1" showDropDown="0" showInputMessage="1" showErrorMessage="1" errorTitle="" error="" promptTitle="" prompt="" sqref="N36:N36">
      <x:formula1>0</x:formula1>
      <x:formula2>100</x:formula2>
    </x:dataValidation>
    <x:dataValidation type="decimal" errorStyle="stop" operator="between" allowBlank="1" showDropDown="0" showInputMessage="1" showErrorMessage="1" errorTitle="" error="" promptTitle="" prompt="" sqref="O36:O36">
      <x:formula1>0</x:formula1>
      <x:formula2>100</x:formula2>
    </x:dataValidation>
    <x:dataValidation type="list" errorStyle="stop" operator="between" allowBlank="1" showDropDown="0" showInputMessage="1" showErrorMessage="1" errorTitle="" error="" promptTitle="" prompt="" sqref="H37:H37">
      <x:formula1>'MasterData'!$B$1:$B$14</x:formula1>
      <x:formula2/>
    </x:dataValidation>
    <x:dataValidation type="list" errorStyle="stop" operator="between" allowBlank="1" showDropDown="0" showInputMessage="1" showErrorMessage="1" errorTitle="" error="" promptTitle="" prompt="" sqref="I37:I37">
      <x:formula1>'MasterData'!$E$161:$E$170</x:formula1>
      <x:formula2/>
    </x:dataValidation>
    <x:dataValidation type="decimal" errorStyle="stop" operator="greaterThanOrEqual" allowBlank="1" showDropDown="0" showInputMessage="1" showErrorMessage="1" errorTitle="" error="" promptTitle="" prompt="" sqref="K37:K37">
      <x:formula1>0</x:formula1>
      <x:formula2/>
    </x:dataValidation>
    <x:dataValidation type="decimal" errorStyle="stop" operator="between" allowBlank="1" showDropDown="0" showInputMessage="1" showErrorMessage="1" errorTitle="" error="" promptTitle="" prompt="" sqref="N37:N37">
      <x:formula1>0</x:formula1>
      <x:formula2>100</x:formula2>
    </x:dataValidation>
    <x:dataValidation type="decimal" errorStyle="stop" operator="between" allowBlank="1" showDropDown="0" showInputMessage="1" showErrorMessage="1" errorTitle="" error="" promptTitle="" prompt="" sqref="O37:O37">
      <x:formula1>0</x:formula1>
      <x:formula2>100</x:formula2>
    </x:dataValidation>
    <x:dataValidation type="list" errorStyle="stop" operator="between" allowBlank="1" showDropDown="0" showInputMessage="1" showErrorMessage="1" errorTitle="" error="" promptTitle="" prompt="" sqref="H38:H38">
      <x:formula1>'MasterData'!$B$1:$B$14</x:formula1>
      <x:formula2/>
    </x:dataValidation>
    <x:dataValidation type="list" errorStyle="stop" operator="between" allowBlank="1" showDropDown="0" showInputMessage="1" showErrorMessage="1" errorTitle="" error="" promptTitle="" prompt="" sqref="I38:I38">
      <x:formula1>'MasterData'!$E$171:$E$180</x:formula1>
      <x:formula2/>
    </x:dataValidation>
    <x:dataValidation type="decimal" errorStyle="stop" operator="greaterThanOrEqual" allowBlank="1" showDropDown="0" showInputMessage="1" showErrorMessage="1" errorTitle="" error="" promptTitle="" prompt="" sqref="K38:K38">
      <x:formula1>0</x:formula1>
      <x:formula2/>
    </x:dataValidation>
    <x:dataValidation type="decimal" errorStyle="stop" operator="between" allowBlank="1" showDropDown="0" showInputMessage="1" showErrorMessage="1" errorTitle="" error="" promptTitle="" prompt="" sqref="N38:N38">
      <x:formula1>0</x:formula1>
      <x:formula2>100</x:formula2>
    </x:dataValidation>
    <x:dataValidation type="decimal" errorStyle="stop" operator="between" allowBlank="1" showDropDown="0" showInputMessage="1" showErrorMessage="1" errorTitle="" error="" promptTitle="" prompt="" sqref="O38:O38">
      <x:formula1>0</x:formula1>
      <x:formula2>100</x:formula2>
    </x:dataValidation>
    <x:dataValidation type="list" errorStyle="stop" operator="between" allowBlank="1" showDropDown="0" showInputMessage="1" showErrorMessage="1" errorTitle="" error="" promptTitle="" prompt="" sqref="H39:H39">
      <x:formula1>'MasterData'!$B$1:$B$14</x:formula1>
      <x:formula2/>
    </x:dataValidation>
    <x:dataValidation type="list" errorStyle="stop" operator="between" allowBlank="1" showDropDown="0" showInputMessage="1" showErrorMessage="1" errorTitle="" error="" promptTitle="" prompt="" sqref="I39:I39">
      <x:formula1>'MasterData'!$E$181:$E$190</x:formula1>
      <x:formula2/>
    </x:dataValidation>
    <x:dataValidation type="decimal" errorStyle="stop" operator="greaterThanOrEqual" allowBlank="1" showDropDown="0" showInputMessage="1" showErrorMessage="1" errorTitle="" error="" promptTitle="" prompt="" sqref="K39:K39">
      <x:formula1>0</x:formula1>
      <x:formula2/>
    </x:dataValidation>
    <x:dataValidation type="decimal" errorStyle="stop" operator="between" allowBlank="1" showDropDown="0" showInputMessage="1" showErrorMessage="1" errorTitle="" error="" promptTitle="" prompt="" sqref="N39:N39">
      <x:formula1>0</x:formula1>
      <x:formula2>100</x:formula2>
    </x:dataValidation>
    <x:dataValidation type="decimal" errorStyle="stop" operator="between" allowBlank="1" showDropDown="0" showInputMessage="1" showErrorMessage="1" errorTitle="" error="" promptTitle="" prompt="" sqref="O39:O39">
      <x:formula1>0</x:formula1>
      <x:formula2>100</x:formula2>
    </x:dataValidation>
    <x:dataValidation type="list" errorStyle="stop" operator="between" allowBlank="1" showDropDown="0" showInputMessage="1" showErrorMessage="1" errorTitle="" error="" promptTitle="" prompt="" sqref="H40:H40">
      <x:formula1>'MasterData'!$B$1:$B$14</x:formula1>
      <x:formula2/>
    </x:dataValidation>
    <x:dataValidation type="list" errorStyle="stop" operator="between" allowBlank="1" showDropDown="0" showInputMessage="1" showErrorMessage="1" errorTitle="" error="" promptTitle="" prompt="" sqref="I40:I40">
      <x:formula1>'MasterData'!$E$191:$E$200</x:formula1>
      <x:formula2/>
    </x:dataValidation>
    <x:dataValidation type="decimal" errorStyle="stop" operator="greaterThanOrEqual" allowBlank="1" showDropDown="0" showInputMessage="1" showErrorMessage="1" errorTitle="" error="" promptTitle="" prompt="" sqref="K40:K40">
      <x:formula1>0</x:formula1>
      <x:formula2/>
    </x:dataValidation>
    <x:dataValidation type="decimal" errorStyle="stop" operator="between" allowBlank="1" showDropDown="0" showInputMessage="1" showErrorMessage="1" errorTitle="" error="" promptTitle="" prompt="" sqref="N40:N40">
      <x:formula1>0</x:formula1>
      <x:formula2>100</x:formula2>
    </x:dataValidation>
    <x:dataValidation type="decimal" errorStyle="stop" operator="between" allowBlank="1" showDropDown="0" showInputMessage="1" showErrorMessage="1" errorTitle="" error="" promptTitle="" prompt="" sqref="O40:O40">
      <x:formula1>0</x:formula1>
      <x:formula2>100</x:formula2>
    </x:dataValidation>
    <x:dataValidation type="list" errorStyle="stop" operator="between" allowBlank="1" showDropDown="0" showInputMessage="1" showErrorMessage="1" errorTitle="" error="" promptTitle="" prompt="" sqref="H41:H41">
      <x:formula1>'MasterData'!$B$1:$B$14</x:formula1>
      <x:formula2/>
    </x:dataValidation>
    <x:dataValidation type="list" errorStyle="stop" operator="between" allowBlank="1" showDropDown="0" showInputMessage="1" showErrorMessage="1" errorTitle="" error="" promptTitle="" prompt="" sqref="I41:I41">
      <x:formula1>'MasterData'!$E$201:$E$210</x:formula1>
      <x:formula2/>
    </x:dataValidation>
    <x:dataValidation type="decimal" errorStyle="stop" operator="greaterThanOrEqual" allowBlank="1" showDropDown="0" showInputMessage="1" showErrorMessage="1" errorTitle="" error="" promptTitle="" prompt="" sqref="K41:K41">
      <x:formula1>0</x:formula1>
      <x:formula2/>
    </x:dataValidation>
    <x:dataValidation type="decimal" errorStyle="stop" operator="between" allowBlank="1" showDropDown="0" showInputMessage="1" showErrorMessage="1" errorTitle="" error="" promptTitle="" prompt="" sqref="N41:N41">
      <x:formula1>0</x:formula1>
      <x:formula2>100</x:formula2>
    </x:dataValidation>
    <x:dataValidation type="decimal" errorStyle="stop" operator="between" allowBlank="1" showDropDown="0" showInputMessage="1" showErrorMessage="1" errorTitle="" error="" promptTitle="" prompt="" sqref="O41:O41">
      <x:formula1>0</x:formula1>
      <x:formula2>100</x:formula2>
    </x:dataValidation>
    <x:dataValidation type="list" errorStyle="stop" operator="between" allowBlank="1" showDropDown="0" showInputMessage="1" showErrorMessage="1" errorTitle="" error="" promptTitle="" prompt="" sqref="H42:H42">
      <x:formula1>'MasterData'!$B$1:$B$14</x:formula1>
      <x:formula2/>
    </x:dataValidation>
    <x:dataValidation type="list" errorStyle="stop" operator="between" allowBlank="1" showDropDown="0" showInputMessage="1" showErrorMessage="1" errorTitle="" error="" promptTitle="" prompt="" sqref="I42:I42">
      <x:formula1>'MasterData'!$E$211:$E$220</x:formula1>
      <x:formula2/>
    </x:dataValidation>
    <x:dataValidation type="decimal" errorStyle="stop" operator="greaterThanOrEqual" allowBlank="1" showDropDown="0" showInputMessage="1" showErrorMessage="1" errorTitle="" error="" promptTitle="" prompt="" sqref="K42:K42">
      <x:formula1>0</x:formula1>
      <x:formula2/>
    </x:dataValidation>
    <x:dataValidation type="decimal" errorStyle="stop" operator="between" allowBlank="1" showDropDown="0" showInputMessage="1" showErrorMessage="1" errorTitle="" error="" promptTitle="" prompt="" sqref="N42:N42">
      <x:formula1>0</x:formula1>
      <x:formula2>100</x:formula2>
    </x:dataValidation>
    <x:dataValidation type="decimal" errorStyle="stop" operator="between" allowBlank="1" showDropDown="0" showInputMessage="1" showErrorMessage="1" errorTitle="" error="" promptTitle="" prompt="" sqref="O42:O42">
      <x:formula1>0</x:formula1>
      <x:formula2>100</x:formula2>
    </x:dataValidation>
    <x:dataValidation type="list" errorStyle="stop" operator="between" allowBlank="1" showDropDown="0" showInputMessage="1" showErrorMessage="1" errorTitle="" error="" promptTitle="" prompt="" sqref="H43:H43">
      <x:formula1>'MasterData'!$B$1:$B$14</x:formula1>
      <x:formula2/>
    </x:dataValidation>
    <x:dataValidation type="list" errorStyle="stop" operator="between" allowBlank="1" showDropDown="0" showInputMessage="1" showErrorMessage="1" errorTitle="" error="" promptTitle="" prompt="" sqref="I43:I43">
      <x:formula1>'MasterData'!$E$221:$E$230</x:formula1>
      <x:formula2/>
    </x:dataValidation>
    <x:dataValidation type="decimal" errorStyle="stop" operator="greaterThanOrEqual" allowBlank="1" showDropDown="0" showInputMessage="1" showErrorMessage="1" errorTitle="" error="" promptTitle="" prompt="" sqref="K43:K43">
      <x:formula1>0</x:formula1>
      <x:formula2/>
    </x:dataValidation>
    <x:dataValidation type="decimal" errorStyle="stop" operator="between" allowBlank="1" showDropDown="0" showInputMessage="1" showErrorMessage="1" errorTitle="" error="" promptTitle="" prompt="" sqref="N43:N43">
      <x:formula1>0</x:formula1>
      <x:formula2>100</x:formula2>
    </x:dataValidation>
    <x:dataValidation type="decimal" errorStyle="stop" operator="between" allowBlank="1" showDropDown="0" showInputMessage="1" showErrorMessage="1" errorTitle="" error="" promptTitle="" prompt="" sqref="O43:O43">
      <x:formula1>0</x:formula1>
      <x:formula2>100</x:formula2>
    </x:dataValidation>
    <x:dataValidation type="list" errorStyle="stop" operator="between" allowBlank="1" showDropDown="0" showInputMessage="1" showErrorMessage="1" errorTitle="" error="" promptTitle="" prompt="" sqref="H44:H44">
      <x:formula1>'MasterData'!$B$1:$B$14</x:formula1>
      <x:formula2/>
    </x:dataValidation>
    <x:dataValidation type="list" errorStyle="stop" operator="between" allowBlank="1" showDropDown="0" showInputMessage="1" showErrorMessage="1" errorTitle="" error="" promptTitle="" prompt="" sqref="I44:I44">
      <x:formula1>'MasterData'!$E$231:$E$240</x:formula1>
      <x:formula2/>
    </x:dataValidation>
    <x:dataValidation type="decimal" errorStyle="stop" operator="greaterThanOrEqual" allowBlank="1" showDropDown="0" showInputMessage="1" showErrorMessage="1" errorTitle="" error="" promptTitle="" prompt="" sqref="K44:K44">
      <x:formula1>0</x:formula1>
      <x:formula2/>
    </x:dataValidation>
    <x:dataValidation type="decimal" errorStyle="stop" operator="between" allowBlank="1" showDropDown="0" showInputMessage="1" showErrorMessage="1" errorTitle="" error="" promptTitle="" prompt="" sqref="N44:N44">
      <x:formula1>0</x:formula1>
      <x:formula2>100</x:formula2>
    </x:dataValidation>
    <x:dataValidation type="decimal" errorStyle="stop" operator="between" allowBlank="1" showDropDown="0" showInputMessage="1" showErrorMessage="1" errorTitle="" error="" promptTitle="" prompt="" sqref="O44:O44">
      <x:formula1>0</x:formula1>
      <x:formula2>100</x:formula2>
    </x:dataValidation>
    <x:dataValidation type="list" errorStyle="stop" operator="between" allowBlank="1" showDropDown="0" showInputMessage="1" showErrorMessage="1" errorTitle="" error="" promptTitle="" prompt="" sqref="H45:H45">
      <x:formula1>'MasterData'!$B$1:$B$14</x:formula1>
      <x:formula2/>
    </x:dataValidation>
    <x:dataValidation type="list" errorStyle="stop" operator="between" allowBlank="1" showDropDown="0" showInputMessage="1" showErrorMessage="1" errorTitle="" error="" promptTitle="" prompt="" sqref="I45:I45">
      <x:formula1>'MasterData'!$E$241:$E$250</x:formula1>
      <x:formula2/>
    </x:dataValidation>
    <x:dataValidation type="decimal" errorStyle="stop" operator="greaterThanOrEqual" allowBlank="1" showDropDown="0" showInputMessage="1" showErrorMessage="1" errorTitle="" error="" promptTitle="" prompt="" sqref="K45:K45">
      <x:formula1>0</x:formula1>
      <x:formula2/>
    </x:dataValidation>
    <x:dataValidation type="decimal" errorStyle="stop" operator="between" allowBlank="1" showDropDown="0" showInputMessage="1" showErrorMessage="1" errorTitle="" error="" promptTitle="" prompt="" sqref="N45:N45">
      <x:formula1>0</x:formula1>
      <x:formula2>100</x:formula2>
    </x:dataValidation>
    <x:dataValidation type="decimal" errorStyle="stop" operator="between" allowBlank="1" showDropDown="0" showInputMessage="1" showErrorMessage="1" errorTitle="" error="" promptTitle="" prompt="" sqref="O45:O45">
      <x:formula1>0</x:formula1>
      <x:formula2>100</x:formula2>
    </x:dataValidation>
    <x:dataValidation type="list" errorStyle="stop" operator="between" allowBlank="1" showDropDown="0" showInputMessage="1" showErrorMessage="1" errorTitle="" error="" promptTitle="" prompt="" sqref="H46:H46">
      <x:formula1>'MasterData'!$B$1:$B$14</x:formula1>
      <x:formula2/>
    </x:dataValidation>
    <x:dataValidation type="list" errorStyle="stop" operator="between" allowBlank="1" showDropDown="0" showInputMessage="1" showErrorMessage="1" errorTitle="" error="" promptTitle="" prompt="" sqref="I46:I46">
      <x:formula1>'MasterData'!$E$251:$E$260</x:formula1>
      <x:formula2/>
    </x:dataValidation>
    <x:dataValidation type="decimal" errorStyle="stop" operator="greaterThanOrEqual" allowBlank="1" showDropDown="0" showInputMessage="1" showErrorMessage="1" errorTitle="" error="" promptTitle="" prompt="" sqref="K46:K46">
      <x:formula1>0</x:formula1>
      <x:formula2/>
    </x:dataValidation>
    <x:dataValidation type="decimal" errorStyle="stop" operator="between" allowBlank="1" showDropDown="0" showInputMessage="1" showErrorMessage="1" errorTitle="" error="" promptTitle="" prompt="" sqref="N46:N46">
      <x:formula1>0</x:formula1>
      <x:formula2>100</x:formula2>
    </x:dataValidation>
    <x:dataValidation type="decimal" errorStyle="stop" operator="between" allowBlank="1" showDropDown="0" showInputMessage="1" showErrorMessage="1" errorTitle="" error="" promptTitle="" prompt="" sqref="O46:O46">
      <x:formula1>0</x:formula1>
      <x:formula2>100</x:formula2>
    </x:dataValidation>
    <x:dataValidation type="list" errorStyle="stop" operator="between" allowBlank="1" showDropDown="0" showInputMessage="1" showErrorMessage="1" errorTitle="" error="" promptTitle="" prompt="" sqref="H47:H47">
      <x:formula1>'MasterData'!$B$1:$B$14</x:formula1>
      <x:formula2/>
    </x:dataValidation>
    <x:dataValidation type="list" errorStyle="stop" operator="between" allowBlank="1" showDropDown="0" showInputMessage="1" showErrorMessage="1" errorTitle="" error="" promptTitle="" prompt="" sqref="I47:I47">
      <x:formula1>'MasterData'!$E$261:$E$270</x:formula1>
      <x:formula2/>
    </x:dataValidation>
    <x:dataValidation type="decimal" errorStyle="stop" operator="greaterThanOrEqual" allowBlank="1" showDropDown="0" showInputMessage="1" showErrorMessage="1" errorTitle="" error="" promptTitle="" prompt="" sqref="K47:K47">
      <x:formula1>0</x:formula1>
      <x:formula2/>
    </x:dataValidation>
    <x:dataValidation type="decimal" errorStyle="stop" operator="between" allowBlank="1" showDropDown="0" showInputMessage="1" showErrorMessage="1" errorTitle="" error="" promptTitle="" prompt="" sqref="N47:N47">
      <x:formula1>0</x:formula1>
      <x:formula2>100</x:formula2>
    </x:dataValidation>
    <x:dataValidation type="decimal" errorStyle="stop" operator="between" allowBlank="1" showDropDown="0" showInputMessage="1" showErrorMessage="1" errorTitle="" error="" promptTitle="" prompt="" sqref="O47:O47">
      <x:formula1>0</x:formula1>
      <x:formula2>100</x:formula2>
    </x:dataValidation>
    <x:dataValidation type="list" errorStyle="stop" operator="between" allowBlank="1" showDropDown="0" showInputMessage="1" showErrorMessage="1" errorTitle="" error="" promptTitle="" prompt="" sqref="H48:H48">
      <x:formula1>'MasterData'!$B$1:$B$14</x:formula1>
      <x:formula2/>
    </x:dataValidation>
    <x:dataValidation type="list" errorStyle="stop" operator="between" allowBlank="1" showDropDown="0" showInputMessage="1" showErrorMessage="1" errorTitle="" error="" promptTitle="" prompt="" sqref="I48:I48">
      <x:formula1>'MasterData'!$E$271:$E$280</x:formula1>
      <x:formula2/>
    </x:dataValidation>
    <x:dataValidation type="decimal" errorStyle="stop" operator="greaterThanOrEqual" allowBlank="1" showDropDown="0" showInputMessage="1" showErrorMessage="1" errorTitle="" error="" promptTitle="" prompt="" sqref="K48:K48">
      <x:formula1>0</x:formula1>
      <x:formula2/>
    </x:dataValidation>
    <x:dataValidation type="decimal" errorStyle="stop" operator="between" allowBlank="1" showDropDown="0" showInputMessage="1" showErrorMessage="1" errorTitle="" error="" promptTitle="" prompt="" sqref="N48:N48">
      <x:formula1>0</x:formula1>
      <x:formula2>100</x:formula2>
    </x:dataValidation>
    <x:dataValidation type="decimal" errorStyle="stop" operator="between" allowBlank="1" showDropDown="0" showInputMessage="1" showErrorMessage="1" errorTitle="" error="" promptTitle="" prompt="" sqref="O48:O48">
      <x:formula1>0</x:formula1>
      <x:formula2>100</x:formula2>
    </x:dataValidation>
    <x:dataValidation type="list" errorStyle="stop" operator="between" allowBlank="1" showDropDown="0" showInputMessage="1" showErrorMessage="1" errorTitle="" error="" promptTitle="" prompt="" sqref="H49:H49">
      <x:formula1>'MasterData'!$B$1:$B$14</x:formula1>
      <x:formula2/>
    </x:dataValidation>
    <x:dataValidation type="list" errorStyle="stop" operator="between" allowBlank="1" showDropDown="0" showInputMessage="1" showErrorMessage="1" errorTitle="" error="" promptTitle="" prompt="" sqref="I49:I49">
      <x:formula1>'MasterData'!$E$281:$E$290</x:formula1>
      <x:formula2/>
    </x:dataValidation>
    <x:dataValidation type="decimal" errorStyle="stop" operator="greaterThanOrEqual" allowBlank="1" showDropDown="0" showInputMessage="1" showErrorMessage="1" errorTitle="" error="" promptTitle="" prompt="" sqref="K49:K49">
      <x:formula1>0</x:formula1>
      <x:formula2/>
    </x:dataValidation>
    <x:dataValidation type="decimal" errorStyle="stop" operator="between" allowBlank="1" showDropDown="0" showInputMessage="1" showErrorMessage="1" errorTitle="" error="" promptTitle="" prompt="" sqref="N49:N49">
      <x:formula1>0</x:formula1>
      <x:formula2>100</x:formula2>
    </x:dataValidation>
    <x:dataValidation type="decimal" errorStyle="stop" operator="between" allowBlank="1" showDropDown="0" showInputMessage="1" showErrorMessage="1" errorTitle="" error="" promptTitle="" prompt="" sqref="O49:O49">
      <x:formula1>0</x:formula1>
      <x:formula2>100</x:formula2>
    </x:dataValidation>
    <x:dataValidation type="list" errorStyle="stop" operator="between" allowBlank="1" showDropDown="0" showInputMessage="1" showErrorMessage="1" errorTitle="" error="" promptTitle="" prompt="" sqref="H50:H50">
      <x:formula1>'MasterData'!$B$1:$B$14</x:formula1>
      <x:formula2/>
    </x:dataValidation>
    <x:dataValidation type="list" errorStyle="stop" operator="between" allowBlank="1" showDropDown="0" showInputMessage="1" showErrorMessage="1" errorTitle="" error="" promptTitle="" prompt="" sqref="I50:I50">
      <x:formula1>'MasterData'!$E$291:$E$300</x:formula1>
      <x:formula2/>
    </x:dataValidation>
    <x:dataValidation type="decimal" errorStyle="stop" operator="greaterThanOrEqual" allowBlank="1" showDropDown="0" showInputMessage="1" showErrorMessage="1" errorTitle="" error="" promptTitle="" prompt="" sqref="K50:K50">
      <x:formula1>0</x:formula1>
      <x:formula2/>
    </x:dataValidation>
    <x:dataValidation type="decimal" errorStyle="stop" operator="between" allowBlank="1" showDropDown="0" showInputMessage="1" showErrorMessage="1" errorTitle="" error="" promptTitle="" prompt="" sqref="N50:N50">
      <x:formula1>0</x:formula1>
      <x:formula2>100</x:formula2>
    </x:dataValidation>
    <x:dataValidation type="decimal" errorStyle="stop" operator="between" allowBlank="1" showDropDown="0" showInputMessage="1" showErrorMessage="1" errorTitle="" error="" promptTitle="" prompt="" sqref="O50:O50">
      <x:formula1>0</x:formula1>
      <x:formula2>100</x:formula2>
    </x:dataValidation>
    <x:dataValidation type="list" errorStyle="stop" operator="between" allowBlank="1" showDropDown="0" showInputMessage="1" showErrorMessage="1" errorTitle="" error="" promptTitle="" prompt="" sqref="H51:H51">
      <x:formula1>'MasterData'!$B$1:$B$14</x:formula1>
      <x:formula2/>
    </x:dataValidation>
    <x:dataValidation type="list" errorStyle="stop" operator="between" allowBlank="1" showDropDown="0" showInputMessage="1" showErrorMessage="1" errorTitle="" error="" promptTitle="" prompt="" sqref="I51:I51">
      <x:formula1>'MasterData'!$E$301:$E$310</x:formula1>
      <x:formula2/>
    </x:dataValidation>
    <x:dataValidation type="decimal" errorStyle="stop" operator="greaterThanOrEqual" allowBlank="1" showDropDown="0" showInputMessage="1" showErrorMessage="1" errorTitle="" error="" promptTitle="" prompt="" sqref="K51:K51">
      <x:formula1>0</x:formula1>
      <x:formula2/>
    </x:dataValidation>
    <x:dataValidation type="decimal" errorStyle="stop" operator="between" allowBlank="1" showDropDown="0" showInputMessage="1" showErrorMessage="1" errorTitle="" error="" promptTitle="" prompt="" sqref="N51:N51">
      <x:formula1>0</x:formula1>
      <x:formula2>100</x:formula2>
    </x:dataValidation>
    <x:dataValidation type="decimal" errorStyle="stop" operator="between" allowBlank="1" showDropDown="0" showInputMessage="1" showErrorMessage="1" errorTitle="" error="" promptTitle="" prompt="" sqref="O51:O51">
      <x:formula1>0</x:formula1>
      <x:formula2>100</x:formula2>
    </x:dataValidation>
    <x:dataValidation type="list" errorStyle="stop" operator="between" allowBlank="1" showDropDown="0" showInputMessage="1" showErrorMessage="1" errorTitle="" error="" promptTitle="" prompt="" sqref="H52:H52">
      <x:formula1>'MasterData'!$B$1:$B$14</x:formula1>
      <x:formula2/>
    </x:dataValidation>
    <x:dataValidation type="list" errorStyle="stop" operator="between" allowBlank="1" showDropDown="0" showInputMessage="1" showErrorMessage="1" errorTitle="" error="" promptTitle="" prompt="" sqref="I52:I52">
      <x:formula1>'MasterData'!$E$311:$E$320</x:formula1>
      <x:formula2/>
    </x:dataValidation>
    <x:dataValidation type="decimal" errorStyle="stop" operator="greaterThanOrEqual" allowBlank="1" showDropDown="0" showInputMessage="1" showErrorMessage="1" errorTitle="" error="" promptTitle="" prompt="" sqref="K52:K52">
      <x:formula1>0</x:formula1>
      <x:formula2/>
    </x:dataValidation>
    <x:dataValidation type="decimal" errorStyle="stop" operator="between" allowBlank="1" showDropDown="0" showInputMessage="1" showErrorMessage="1" errorTitle="" error="" promptTitle="" prompt="" sqref="N52:N52">
      <x:formula1>0</x:formula1>
      <x:formula2>100</x:formula2>
    </x:dataValidation>
    <x:dataValidation type="decimal" errorStyle="stop" operator="between" allowBlank="1" showDropDown="0" showInputMessage="1" showErrorMessage="1" errorTitle="" error="" promptTitle="" prompt="" sqref="O52:O52">
      <x:formula1>0</x:formula1>
      <x:formula2>100</x:formula2>
    </x:dataValidation>
    <x:dataValidation type="list" errorStyle="stop" operator="between" allowBlank="1" showDropDown="0" showInputMessage="1" showErrorMessage="1" errorTitle="" error="" promptTitle="" prompt="" sqref="H53:H53">
      <x:formula1>'MasterData'!$B$1:$B$14</x:formula1>
      <x:formula2/>
    </x:dataValidation>
    <x:dataValidation type="list" errorStyle="stop" operator="between" allowBlank="1" showDropDown="0" showInputMessage="1" showErrorMessage="1" errorTitle="" error="" promptTitle="" prompt="" sqref="I53:I53">
      <x:formula1>'MasterData'!$E$321:$E$330</x:formula1>
      <x:formula2/>
    </x:dataValidation>
    <x:dataValidation type="decimal" errorStyle="stop" operator="greaterThanOrEqual" allowBlank="1" showDropDown="0" showInputMessage="1" showErrorMessage="1" errorTitle="" error="" promptTitle="" prompt="" sqref="K53:K53">
      <x:formula1>0</x:formula1>
      <x:formula2/>
    </x:dataValidation>
    <x:dataValidation type="decimal" errorStyle="stop" operator="between" allowBlank="1" showDropDown="0" showInputMessage="1" showErrorMessage="1" errorTitle="" error="" promptTitle="" prompt="" sqref="N53:N53">
      <x:formula1>0</x:formula1>
      <x:formula2>100</x:formula2>
    </x:dataValidation>
    <x:dataValidation type="decimal" errorStyle="stop" operator="between" allowBlank="1" showDropDown="0" showInputMessage="1" showErrorMessage="1" errorTitle="" error="" promptTitle="" prompt="" sqref="O53:O53">
      <x:formula1>0</x:formula1>
      <x:formula2>100</x:formula2>
    </x:dataValidation>
    <x:dataValidation type="list" errorStyle="stop" operator="between" allowBlank="1" showDropDown="0" showInputMessage="1" showErrorMessage="1" errorTitle="" error="" promptTitle="" prompt="" sqref="H54:H54">
      <x:formula1>'MasterData'!$B$1:$B$14</x:formula1>
      <x:formula2/>
    </x:dataValidation>
    <x:dataValidation type="list" errorStyle="stop" operator="between" allowBlank="1" showDropDown="0" showInputMessage="1" showErrorMessage="1" errorTitle="" error="" promptTitle="" prompt="" sqref="I54:I54">
      <x:formula1>'MasterData'!$E$331:$E$340</x:formula1>
      <x:formula2/>
    </x:dataValidation>
    <x:dataValidation type="decimal" errorStyle="stop" operator="greaterThanOrEqual" allowBlank="1" showDropDown="0" showInputMessage="1" showErrorMessage="1" errorTitle="" error="" promptTitle="" prompt="" sqref="K54:K54">
      <x:formula1>0</x:formula1>
      <x:formula2/>
    </x:dataValidation>
    <x:dataValidation type="decimal" errorStyle="stop" operator="between" allowBlank="1" showDropDown="0" showInputMessage="1" showErrorMessage="1" errorTitle="" error="" promptTitle="" prompt="" sqref="N54:N54">
      <x:formula1>0</x:formula1>
      <x:formula2>100</x:formula2>
    </x:dataValidation>
    <x:dataValidation type="decimal" errorStyle="stop" operator="between" allowBlank="1" showDropDown="0" showInputMessage="1" showErrorMessage="1" errorTitle="" error="" promptTitle="" prompt="" sqref="O54:O54">
      <x:formula1>0</x:formula1>
      <x:formula2>100</x:formula2>
    </x:dataValidation>
    <x:dataValidation type="list" errorStyle="stop" operator="between" allowBlank="1" showDropDown="0" showInputMessage="1" showErrorMessage="1" errorTitle="" error="" promptTitle="" prompt="" sqref="H55:H55">
      <x:formula1>'MasterData'!$B$1:$B$14</x:formula1>
      <x:formula2/>
    </x:dataValidation>
    <x:dataValidation type="list" errorStyle="stop" operator="between" allowBlank="1" showDropDown="0" showInputMessage="1" showErrorMessage="1" errorTitle="" error="" promptTitle="" prompt="" sqref="I55:I55">
      <x:formula1>'MasterData'!$E$341:$E$350</x:formula1>
      <x:formula2/>
    </x:dataValidation>
    <x:dataValidation type="decimal" errorStyle="stop" operator="greaterThanOrEqual" allowBlank="1" showDropDown="0" showInputMessage="1" showErrorMessage="1" errorTitle="" error="" promptTitle="" prompt="" sqref="K55:K55">
      <x:formula1>0</x:formula1>
      <x:formula2/>
    </x:dataValidation>
    <x:dataValidation type="decimal" errorStyle="stop" operator="between" allowBlank="1" showDropDown="0" showInputMessage="1" showErrorMessage="1" errorTitle="" error="" promptTitle="" prompt="" sqref="N55:N55">
      <x:formula1>0</x:formula1>
      <x:formula2>100</x:formula2>
    </x:dataValidation>
    <x:dataValidation type="decimal" errorStyle="stop" operator="between" allowBlank="1" showDropDown="0" showInputMessage="1" showErrorMessage="1" errorTitle="" error="" promptTitle="" prompt="" sqref="O55:O55">
      <x:formula1>0</x:formula1>
      <x:formula2>100</x:formula2>
    </x:dataValidation>
    <x:dataValidation type="list" errorStyle="stop" operator="between" allowBlank="1" showDropDown="0" showInputMessage="1" showErrorMessage="1" errorTitle="" error="" promptTitle="" prompt="" sqref="H56:H56">
      <x:formula1>'MasterData'!$B$1:$B$14</x:formula1>
      <x:formula2/>
    </x:dataValidation>
    <x:dataValidation type="list" errorStyle="stop" operator="between" allowBlank="1" showDropDown="0" showInputMessage="1" showErrorMessage="1" errorTitle="" error="" promptTitle="" prompt="" sqref="I56:I56">
      <x:formula1>'MasterData'!$E$351:$E$360</x:formula1>
      <x:formula2/>
    </x:dataValidation>
    <x:dataValidation type="decimal" errorStyle="stop" operator="greaterThanOrEqual" allowBlank="1" showDropDown="0" showInputMessage="1" showErrorMessage="1" errorTitle="" error="" promptTitle="" prompt="" sqref="K56:K56">
      <x:formula1>0</x:formula1>
      <x:formula2/>
    </x:dataValidation>
    <x:dataValidation type="decimal" errorStyle="stop" operator="between" allowBlank="1" showDropDown="0" showInputMessage="1" showErrorMessage="1" errorTitle="" error="" promptTitle="" prompt="" sqref="N56:N56">
      <x:formula1>0</x:formula1>
      <x:formula2>100</x:formula2>
    </x:dataValidation>
    <x:dataValidation type="decimal" errorStyle="stop" operator="between" allowBlank="1" showDropDown="0" showInputMessage="1" showErrorMessage="1" errorTitle="" error="" promptTitle="" prompt="" sqref="O56:O56">
      <x:formula1>0</x:formula1>
      <x:formula2>100</x:formula2>
    </x:dataValidation>
    <x:dataValidation type="list" errorStyle="stop" operator="between" allowBlank="1" showDropDown="0" showInputMessage="1" showErrorMessage="1" errorTitle="" error="" promptTitle="" prompt="" sqref="H57:H57">
      <x:formula1>'MasterData'!$B$1:$B$14</x:formula1>
      <x:formula2/>
    </x:dataValidation>
    <x:dataValidation type="list" errorStyle="stop" operator="between" allowBlank="1" showDropDown="0" showInputMessage="1" showErrorMessage="1" errorTitle="" error="" promptTitle="" prompt="" sqref="I57:I57">
      <x:formula1>'MasterData'!$E$361:$E$370</x:formula1>
      <x:formula2/>
    </x:dataValidation>
    <x:dataValidation type="decimal" errorStyle="stop" operator="greaterThanOrEqual" allowBlank="1" showDropDown="0" showInputMessage="1" showErrorMessage="1" errorTitle="" error="" promptTitle="" prompt="" sqref="K57:K57">
      <x:formula1>0</x:formula1>
      <x:formula2/>
    </x:dataValidation>
    <x:dataValidation type="decimal" errorStyle="stop" operator="between" allowBlank="1" showDropDown="0" showInputMessage="1" showErrorMessage="1" errorTitle="" error="" promptTitle="" prompt="" sqref="N57:N57">
      <x:formula1>0</x:formula1>
      <x:formula2>100</x:formula2>
    </x:dataValidation>
    <x:dataValidation type="decimal" errorStyle="stop" operator="between" allowBlank="1" showDropDown="0" showInputMessage="1" showErrorMessage="1" errorTitle="" error="" promptTitle="" prompt="" sqref="O57:O57">
      <x:formula1>0</x:formula1>
      <x:formula2>100</x:formula2>
    </x:dataValidation>
    <x:dataValidation type="list" errorStyle="stop" operator="between" allowBlank="1" showDropDown="0" showInputMessage="1" showErrorMessage="1" errorTitle="" error="" promptTitle="" prompt="" sqref="H58:H58">
      <x:formula1>'MasterData'!$B$1:$B$14</x:formula1>
      <x:formula2/>
    </x:dataValidation>
    <x:dataValidation type="list" errorStyle="stop" operator="between" allowBlank="1" showDropDown="0" showInputMessage="1" showErrorMessage="1" errorTitle="" error="" promptTitle="" prompt="" sqref="I58:I58">
      <x:formula1>'MasterData'!$E$371:$E$380</x:formula1>
      <x:formula2/>
    </x:dataValidation>
    <x:dataValidation type="decimal" errorStyle="stop" operator="greaterThanOrEqual" allowBlank="1" showDropDown="0" showInputMessage="1" showErrorMessage="1" errorTitle="" error="" promptTitle="" prompt="" sqref="K58:K58">
      <x:formula1>0</x:formula1>
      <x:formula2/>
    </x:dataValidation>
    <x:dataValidation type="decimal" errorStyle="stop" operator="between" allowBlank="1" showDropDown="0" showInputMessage="1" showErrorMessage="1" errorTitle="" error="" promptTitle="" prompt="" sqref="N58:N58">
      <x:formula1>0</x:formula1>
      <x:formula2>100</x:formula2>
    </x:dataValidation>
    <x:dataValidation type="decimal" errorStyle="stop" operator="between" allowBlank="1" showDropDown="0" showInputMessage="1" showErrorMessage="1" errorTitle="" error="" promptTitle="" prompt="" sqref="O58:O58">
      <x:formula1>0</x:formula1>
      <x:formula2>100</x:formula2>
    </x:dataValidation>
    <x:dataValidation type="list" errorStyle="stop" operator="between" allowBlank="1" showDropDown="0" showInputMessage="1" showErrorMessage="1" errorTitle="" error="" promptTitle="" prompt="" sqref="H59:H59">
      <x:formula1>'MasterData'!$B$1:$B$14</x:formula1>
      <x:formula2/>
    </x:dataValidation>
    <x:dataValidation type="list" errorStyle="stop" operator="between" allowBlank="1" showDropDown="0" showInputMessage="1" showErrorMessage="1" errorTitle="" error="" promptTitle="" prompt="" sqref="I59:I59">
      <x:formula1>'MasterData'!$E$381:$E$390</x:formula1>
      <x:formula2/>
    </x:dataValidation>
    <x:dataValidation type="decimal" errorStyle="stop" operator="greaterThanOrEqual" allowBlank="1" showDropDown="0" showInputMessage="1" showErrorMessage="1" errorTitle="" error="" promptTitle="" prompt="" sqref="K59:K59">
      <x:formula1>0</x:formula1>
      <x:formula2/>
    </x:dataValidation>
    <x:dataValidation type="decimal" errorStyle="stop" operator="between" allowBlank="1" showDropDown="0" showInputMessage="1" showErrorMessage="1" errorTitle="" error="" promptTitle="" prompt="" sqref="N59:N59">
      <x:formula1>0</x:formula1>
      <x:formula2>100</x:formula2>
    </x:dataValidation>
    <x:dataValidation type="decimal" errorStyle="stop" operator="between" allowBlank="1" showDropDown="0" showInputMessage="1" showErrorMessage="1" errorTitle="" error="" promptTitle="" prompt="" sqref="O59:O59">
      <x:formula1>0</x:formula1>
      <x:formula2>100</x:formula2>
    </x:dataValidation>
    <x:dataValidation type="list" errorStyle="stop" operator="between" allowBlank="1" showDropDown="0" showInputMessage="1" showErrorMessage="1" errorTitle="" error="" promptTitle="" prompt="" sqref="H60:H60">
      <x:formula1>'MasterData'!$B$1:$B$14</x:formula1>
      <x:formula2/>
    </x:dataValidation>
    <x:dataValidation type="list" errorStyle="stop" operator="between" allowBlank="1" showDropDown="0" showInputMessage="1" showErrorMessage="1" errorTitle="" error="" promptTitle="" prompt="" sqref="I60:I60">
      <x:formula1>'MasterData'!$E$391:$E$400</x:formula1>
      <x:formula2/>
    </x:dataValidation>
    <x:dataValidation type="decimal" errorStyle="stop" operator="greaterThanOrEqual" allowBlank="1" showDropDown="0" showInputMessage="1" showErrorMessage="1" errorTitle="" error="" promptTitle="" prompt="" sqref="K60:K60">
      <x:formula1>0</x:formula1>
      <x:formula2/>
    </x:dataValidation>
    <x:dataValidation type="decimal" errorStyle="stop" operator="between" allowBlank="1" showDropDown="0" showInputMessage="1" showErrorMessage="1" errorTitle="" error="" promptTitle="" prompt="" sqref="N60:N60">
      <x:formula1>0</x:formula1>
      <x:formula2>100</x:formula2>
    </x:dataValidation>
    <x:dataValidation type="decimal" errorStyle="stop" operator="between" allowBlank="1" showDropDown="0" showInputMessage="1" showErrorMessage="1" errorTitle="" error="" promptTitle="" prompt="" sqref="O60:O60">
      <x:formula1>0</x:formula1>
      <x:formula2>100</x:formula2>
    </x:dataValidation>
    <x:dataValidation type="list" errorStyle="stop" operator="between" allowBlank="1" showDropDown="0" showInputMessage="1" showErrorMessage="1" errorTitle="" error="" promptTitle="" prompt="" sqref="H61:H61">
      <x:formula1>'MasterData'!$B$1:$B$14</x:formula1>
      <x:formula2/>
    </x:dataValidation>
    <x:dataValidation type="list" errorStyle="stop" operator="between" allowBlank="1" showDropDown="0" showInputMessage="1" showErrorMessage="1" errorTitle="" error="" promptTitle="" prompt="" sqref="I61:I61">
      <x:formula1>'MasterData'!$E$401:$E$410</x:formula1>
      <x:formula2/>
    </x:dataValidation>
    <x:dataValidation type="decimal" errorStyle="stop" operator="greaterThanOrEqual" allowBlank="1" showDropDown="0" showInputMessage="1" showErrorMessage="1" errorTitle="" error="" promptTitle="" prompt="" sqref="K61:K61">
      <x:formula1>0</x:formula1>
      <x:formula2/>
    </x:dataValidation>
    <x:dataValidation type="decimal" errorStyle="stop" operator="between" allowBlank="1" showDropDown="0" showInputMessage="1" showErrorMessage="1" errorTitle="" error="" promptTitle="" prompt="" sqref="N61:N61">
      <x:formula1>0</x:formula1>
      <x:formula2>100</x:formula2>
    </x:dataValidation>
    <x:dataValidation type="decimal" errorStyle="stop" operator="between" allowBlank="1" showDropDown="0" showInputMessage="1" showErrorMessage="1" errorTitle="" error="" promptTitle="" prompt="" sqref="O61:O61">
      <x:formula1>0</x:formula1>
      <x:formula2>100</x:formula2>
    </x:dataValidation>
    <x:dataValidation type="list" errorStyle="stop" operator="between" allowBlank="1" showDropDown="0" showInputMessage="1" showErrorMessage="1" errorTitle="" error="" promptTitle="" prompt="" sqref="H62:H62">
      <x:formula1>'MasterData'!$B$1:$B$14</x:formula1>
      <x:formula2/>
    </x:dataValidation>
    <x:dataValidation type="list" errorStyle="stop" operator="between" allowBlank="1" showDropDown="0" showInputMessage="1" showErrorMessage="1" errorTitle="" error="" promptTitle="" prompt="" sqref="I62:I62">
      <x:formula1>'MasterData'!$E$411:$E$420</x:formula1>
      <x:formula2/>
    </x:dataValidation>
    <x:dataValidation type="decimal" errorStyle="stop" operator="greaterThanOrEqual" allowBlank="1" showDropDown="0" showInputMessage="1" showErrorMessage="1" errorTitle="" error="" promptTitle="" prompt="" sqref="K62:K62">
      <x:formula1>0</x:formula1>
      <x:formula2/>
    </x:dataValidation>
    <x:dataValidation type="decimal" errorStyle="stop" operator="between" allowBlank="1" showDropDown="0" showInputMessage="1" showErrorMessage="1" errorTitle="" error="" promptTitle="" prompt="" sqref="N62:N62">
      <x:formula1>0</x:formula1>
      <x:formula2>100</x:formula2>
    </x:dataValidation>
    <x:dataValidation type="decimal" errorStyle="stop" operator="between" allowBlank="1" showDropDown="0" showInputMessage="1" showErrorMessage="1" errorTitle="" error="" promptTitle="" prompt="" sqref="O62:O62">
      <x:formula1>0</x:formula1>
      <x:formula2>100</x:formula2>
    </x:dataValidation>
    <x:dataValidation type="list" errorStyle="stop" operator="between" allowBlank="1" showDropDown="0" showInputMessage="1" showErrorMessage="1" errorTitle="" error="" promptTitle="" prompt="" sqref="H63:H63">
      <x:formula1>'MasterData'!$B$1:$B$14</x:formula1>
      <x:formula2/>
    </x:dataValidation>
    <x:dataValidation type="list" errorStyle="stop" operator="between" allowBlank="1" showDropDown="0" showInputMessage="1" showErrorMessage="1" errorTitle="" error="" promptTitle="" prompt="" sqref="I63:I63">
      <x:formula1>'MasterData'!$E$421:$E$430</x:formula1>
      <x:formula2/>
    </x:dataValidation>
    <x:dataValidation type="decimal" errorStyle="stop" operator="greaterThanOrEqual" allowBlank="1" showDropDown="0" showInputMessage="1" showErrorMessage="1" errorTitle="" error="" promptTitle="" prompt="" sqref="K63:K63">
      <x:formula1>0</x:formula1>
      <x:formula2/>
    </x:dataValidation>
    <x:dataValidation type="decimal" errorStyle="stop" operator="between" allowBlank="1" showDropDown="0" showInputMessage="1" showErrorMessage="1" errorTitle="" error="" promptTitle="" prompt="" sqref="N63:N63">
      <x:formula1>0</x:formula1>
      <x:formula2>100</x:formula2>
    </x:dataValidation>
    <x:dataValidation type="decimal" errorStyle="stop" operator="between" allowBlank="1" showDropDown="0" showInputMessage="1" showErrorMessage="1" errorTitle="" error="" promptTitle="" prompt="" sqref="O63:O63">
      <x:formula1>0</x:formula1>
      <x:formula2>100</x:formula2>
    </x:dataValidation>
    <x:dataValidation type="list" errorStyle="stop" operator="between" allowBlank="1" showDropDown="0" showInputMessage="1" showErrorMessage="1" errorTitle="" error="" promptTitle="" prompt="" sqref="H64:H64">
      <x:formula1>'MasterData'!$B$1:$B$14</x:formula1>
      <x:formula2/>
    </x:dataValidation>
    <x:dataValidation type="list" errorStyle="stop" operator="between" allowBlank="1" showDropDown="0" showInputMessage="1" showErrorMessage="1" errorTitle="" error="" promptTitle="" prompt="" sqref="I64:I64">
      <x:formula1>'MasterData'!$E$431:$E$440</x:formula1>
      <x:formula2/>
    </x:dataValidation>
    <x:dataValidation type="decimal" errorStyle="stop" operator="greaterThanOrEqual" allowBlank="1" showDropDown="0" showInputMessage="1" showErrorMessage="1" errorTitle="" error="" promptTitle="" prompt="" sqref="K64:K64">
      <x:formula1>0</x:formula1>
      <x:formula2/>
    </x:dataValidation>
    <x:dataValidation type="decimal" errorStyle="stop" operator="between" allowBlank="1" showDropDown="0" showInputMessage="1" showErrorMessage="1" errorTitle="" error="" promptTitle="" prompt="" sqref="N64:N64">
      <x:formula1>0</x:formula1>
      <x:formula2>100</x:formula2>
    </x:dataValidation>
    <x:dataValidation type="decimal" errorStyle="stop" operator="between" allowBlank="1" showDropDown="0" showInputMessage="1" showErrorMessage="1" errorTitle="" error="" promptTitle="" prompt="" sqref="O64:O64">
      <x:formula1>0</x:formula1>
      <x:formula2>100</x:formula2>
    </x:dataValidation>
    <x:dataValidation type="list" errorStyle="stop" operator="between" allowBlank="1" showDropDown="0" showInputMessage="1" showErrorMessage="1" errorTitle="" error="" promptTitle="" prompt="" sqref="H65:H65">
      <x:formula1>'MasterData'!$B$1:$B$14</x:formula1>
      <x:formula2/>
    </x:dataValidation>
    <x:dataValidation type="list" errorStyle="stop" operator="between" allowBlank="1" showDropDown="0" showInputMessage="1" showErrorMessage="1" errorTitle="" error="" promptTitle="" prompt="" sqref="I65:I65">
      <x:formula1>'MasterData'!$E$441:$E$450</x:formula1>
      <x:formula2/>
    </x:dataValidation>
    <x:dataValidation type="decimal" errorStyle="stop" operator="greaterThanOrEqual" allowBlank="1" showDropDown="0" showInputMessage="1" showErrorMessage="1" errorTitle="" error="" promptTitle="" prompt="" sqref="K65:K65">
      <x:formula1>0</x:formula1>
      <x:formula2/>
    </x:dataValidation>
    <x:dataValidation type="decimal" errorStyle="stop" operator="between" allowBlank="1" showDropDown="0" showInputMessage="1" showErrorMessage="1" errorTitle="" error="" promptTitle="" prompt="" sqref="N65:N65">
      <x:formula1>0</x:formula1>
      <x:formula2>100</x:formula2>
    </x:dataValidation>
    <x:dataValidation type="decimal" errorStyle="stop" operator="between" allowBlank="1" showDropDown="0" showInputMessage="1" showErrorMessage="1" errorTitle="" error="" promptTitle="" prompt="" sqref="O65:O65">
      <x:formula1>0</x:formula1>
      <x:formula2>100</x:formula2>
    </x:dataValidation>
    <x:dataValidation type="list" errorStyle="stop" operator="between" allowBlank="1" showDropDown="0" showInputMessage="1" showErrorMessage="1" errorTitle="" error="" promptTitle="" prompt="" sqref="H66:H66">
      <x:formula1>'MasterData'!$B$1:$B$14</x:formula1>
      <x:formula2/>
    </x:dataValidation>
    <x:dataValidation type="list" errorStyle="stop" operator="between" allowBlank="1" showDropDown="0" showInputMessage="1" showErrorMessage="1" errorTitle="" error="" promptTitle="" prompt="" sqref="I66:I66">
      <x:formula1>'MasterData'!$E$451:$E$460</x:formula1>
      <x:formula2/>
    </x:dataValidation>
    <x:dataValidation type="decimal" errorStyle="stop" operator="greaterThanOrEqual" allowBlank="1" showDropDown="0" showInputMessage="1" showErrorMessage="1" errorTitle="" error="" promptTitle="" prompt="" sqref="K66:K66">
      <x:formula1>0</x:formula1>
      <x:formula2/>
    </x:dataValidation>
    <x:dataValidation type="decimal" errorStyle="stop" operator="between" allowBlank="1" showDropDown="0" showInputMessage="1" showErrorMessage="1" errorTitle="" error="" promptTitle="" prompt="" sqref="N66:N66">
      <x:formula1>0</x:formula1>
      <x:formula2>100</x:formula2>
    </x:dataValidation>
    <x:dataValidation type="decimal" errorStyle="stop" operator="between" allowBlank="1" showDropDown="0" showInputMessage="1" showErrorMessage="1" errorTitle="" error="" promptTitle="" prompt="" sqref="O66:O66">
      <x:formula1>0</x:formula1>
      <x:formula2>100</x:formula2>
    </x:dataValidation>
    <x:dataValidation type="list" errorStyle="stop" operator="between" allowBlank="1" showDropDown="0" showInputMessage="1" showErrorMessage="1" errorTitle="" error="" promptTitle="" prompt="" sqref="H67:H67">
      <x:formula1>'MasterData'!$B$1:$B$14</x:formula1>
      <x:formula2/>
    </x:dataValidation>
    <x:dataValidation type="list" errorStyle="stop" operator="between" allowBlank="1" showDropDown="0" showInputMessage="1" showErrorMessage="1" errorTitle="" error="" promptTitle="" prompt="" sqref="I67:I67">
      <x:formula1>'MasterData'!$E$461:$E$470</x:formula1>
      <x:formula2/>
    </x:dataValidation>
    <x:dataValidation type="decimal" errorStyle="stop" operator="greaterThanOrEqual" allowBlank="1" showDropDown="0" showInputMessage="1" showErrorMessage="1" errorTitle="" error="" promptTitle="" prompt="" sqref="K67:K67">
      <x:formula1>0</x:formula1>
      <x:formula2/>
    </x:dataValidation>
    <x:dataValidation type="decimal" errorStyle="stop" operator="between" allowBlank="1" showDropDown="0" showInputMessage="1" showErrorMessage="1" errorTitle="" error="" promptTitle="" prompt="" sqref="N67:N67">
      <x:formula1>0</x:formula1>
      <x:formula2>100</x:formula2>
    </x:dataValidation>
    <x:dataValidation type="decimal" errorStyle="stop" operator="between" allowBlank="1" showDropDown="0" showInputMessage="1" showErrorMessage="1" errorTitle="" error="" promptTitle="" prompt="" sqref="O67:O67">
      <x:formula1>0</x:formula1>
      <x:formula2>100</x:formula2>
    </x:dataValidation>
    <x:dataValidation type="list" errorStyle="stop" operator="between" allowBlank="1" showDropDown="0" showInputMessage="1" showErrorMessage="1" errorTitle="" error="" promptTitle="" prompt="" sqref="H68:H68">
      <x:formula1>'MasterData'!$B$1:$B$14</x:formula1>
      <x:formula2/>
    </x:dataValidation>
    <x:dataValidation type="list" errorStyle="stop" operator="between" allowBlank="1" showDropDown="0" showInputMessage="1" showErrorMessage="1" errorTitle="" error="" promptTitle="" prompt="" sqref="I68:I68">
      <x:formula1>'MasterData'!$E$471:$E$480</x:formula1>
      <x:formula2/>
    </x:dataValidation>
    <x:dataValidation type="decimal" errorStyle="stop" operator="greaterThanOrEqual" allowBlank="1" showDropDown="0" showInputMessage="1" showErrorMessage="1" errorTitle="" error="" promptTitle="" prompt="" sqref="K68:K68">
      <x:formula1>0</x:formula1>
      <x:formula2/>
    </x:dataValidation>
    <x:dataValidation type="decimal" errorStyle="stop" operator="between" allowBlank="1" showDropDown="0" showInputMessage="1" showErrorMessage="1" errorTitle="" error="" promptTitle="" prompt="" sqref="N68:N68">
      <x:formula1>0</x:formula1>
      <x:formula2>100</x:formula2>
    </x:dataValidation>
    <x:dataValidation type="decimal" errorStyle="stop" operator="between" allowBlank="1" showDropDown="0" showInputMessage="1" showErrorMessage="1" errorTitle="" error="" promptTitle="" prompt="" sqref="O68:O68">
      <x:formula1>0</x:formula1>
      <x:formula2>100</x:formula2>
    </x:dataValidation>
    <x:dataValidation type="list" errorStyle="stop" operator="between" allowBlank="1" showDropDown="0" showInputMessage="1" showErrorMessage="1" errorTitle="" error="" promptTitle="" prompt="" sqref="H69:H69">
      <x:formula1>'MasterData'!$B$1:$B$14</x:formula1>
      <x:formula2/>
    </x:dataValidation>
    <x:dataValidation type="list" errorStyle="stop" operator="between" allowBlank="1" showDropDown="0" showInputMessage="1" showErrorMessage="1" errorTitle="" error="" promptTitle="" prompt="" sqref="I69:I69">
      <x:formula1>'MasterData'!$E$481:$E$490</x:formula1>
      <x:formula2/>
    </x:dataValidation>
    <x:dataValidation type="decimal" errorStyle="stop" operator="greaterThanOrEqual" allowBlank="1" showDropDown="0" showInputMessage="1" showErrorMessage="1" errorTitle="" error="" promptTitle="" prompt="" sqref="K69:K69">
      <x:formula1>0</x:formula1>
      <x:formula2/>
    </x:dataValidation>
    <x:dataValidation type="decimal" errorStyle="stop" operator="between" allowBlank="1" showDropDown="0" showInputMessage="1" showErrorMessage="1" errorTitle="" error="" promptTitle="" prompt="" sqref="N69:N69">
      <x:formula1>0</x:formula1>
      <x:formula2>100</x:formula2>
    </x:dataValidation>
    <x:dataValidation type="decimal" errorStyle="stop" operator="between" allowBlank="1" showDropDown="0" showInputMessage="1" showErrorMessage="1" errorTitle="" error="" promptTitle="" prompt="" sqref="O69:O69">
      <x:formula1>0</x:formula1>
      <x:formula2>100</x:formula2>
    </x:dataValidation>
    <x:dataValidation type="list" errorStyle="stop" operator="between" allowBlank="1" showDropDown="0" showInputMessage="1" showErrorMessage="1" errorTitle="" error="" promptTitle="" prompt="" sqref="H70:H70">
      <x:formula1>'MasterData'!$B$1:$B$14</x:formula1>
      <x:formula2/>
    </x:dataValidation>
    <x:dataValidation type="list" errorStyle="stop" operator="between" allowBlank="1" showDropDown="0" showInputMessage="1" showErrorMessage="1" errorTitle="" error="" promptTitle="" prompt="" sqref="I70:I70">
      <x:formula1>'MasterData'!$E$491:$E$500</x:formula1>
      <x:formula2/>
    </x:dataValidation>
    <x:dataValidation type="decimal" errorStyle="stop" operator="greaterThanOrEqual" allowBlank="1" showDropDown="0" showInputMessage="1" showErrorMessage="1" errorTitle="" error="" promptTitle="" prompt="" sqref="K70:K70">
      <x:formula1>0</x:formula1>
      <x:formula2/>
    </x:dataValidation>
    <x:dataValidation type="decimal" errorStyle="stop" operator="between" allowBlank="1" showDropDown="0" showInputMessage="1" showErrorMessage="1" errorTitle="" error="" promptTitle="" prompt="" sqref="N70:N70">
      <x:formula1>0</x:formula1>
      <x:formula2>100</x:formula2>
    </x:dataValidation>
    <x:dataValidation type="decimal" errorStyle="stop" operator="between" allowBlank="1" showDropDown="0" showInputMessage="1" showErrorMessage="1" errorTitle="" error="" promptTitle="" prompt="" sqref="O70:O70">
      <x:formula1>0</x:formula1>
      <x:formula2>100</x:formula2>
    </x:dataValidation>
    <x:dataValidation type="list" errorStyle="stop" operator="between" allowBlank="1" showDropDown="0" showInputMessage="1" showErrorMessage="1" errorTitle="" error="" promptTitle="" prompt="" sqref="H71:H71">
      <x:formula1>'MasterData'!$B$1:$B$14</x:formula1>
      <x:formula2/>
    </x:dataValidation>
    <x:dataValidation type="list" errorStyle="stop" operator="between" allowBlank="1" showDropDown="0" showInputMessage="1" showErrorMessage="1" errorTitle="" error="" promptTitle="" prompt="" sqref="I71:I71">
      <x:formula1>'MasterData'!$E$501:$E$510</x:formula1>
      <x:formula2/>
    </x:dataValidation>
    <x:dataValidation type="decimal" errorStyle="stop" operator="greaterThanOrEqual" allowBlank="1" showDropDown="0" showInputMessage="1" showErrorMessage="1" errorTitle="" error="" promptTitle="" prompt="" sqref="K71:K71">
      <x:formula1>0</x:formula1>
      <x:formula2/>
    </x:dataValidation>
    <x:dataValidation type="decimal" errorStyle="stop" operator="between" allowBlank="1" showDropDown="0" showInputMessage="1" showErrorMessage="1" errorTitle="" error="" promptTitle="" prompt="" sqref="N71:N71">
      <x:formula1>0</x:formula1>
      <x:formula2>100</x:formula2>
    </x:dataValidation>
    <x:dataValidation type="decimal" errorStyle="stop" operator="between" allowBlank="1" showDropDown="0" showInputMessage="1" showErrorMessage="1" errorTitle="" error="" promptTitle="" prompt="" sqref="O71:O71">
      <x:formula1>0</x:formula1>
      <x:formula2>100</x:formula2>
    </x:dataValidation>
    <x:dataValidation type="list" errorStyle="stop" operator="between" allowBlank="1" showDropDown="0" showInputMessage="1" showErrorMessage="1" errorTitle="" error="" promptTitle="" prompt="" sqref="H72:H72">
      <x:formula1>'MasterData'!$B$1:$B$14</x:formula1>
      <x:formula2/>
    </x:dataValidation>
    <x:dataValidation type="list" errorStyle="stop" operator="between" allowBlank="1" showDropDown="0" showInputMessage="1" showErrorMessage="1" errorTitle="" error="" promptTitle="" prompt="" sqref="I72:I72">
      <x:formula1>'MasterData'!$E$511:$E$520</x:formula1>
      <x:formula2/>
    </x:dataValidation>
    <x:dataValidation type="decimal" errorStyle="stop" operator="greaterThanOrEqual" allowBlank="1" showDropDown="0" showInputMessage="1" showErrorMessage="1" errorTitle="" error="" promptTitle="" prompt="" sqref="K72:K72">
      <x:formula1>0</x:formula1>
      <x:formula2/>
    </x:dataValidation>
    <x:dataValidation type="decimal" errorStyle="stop" operator="between" allowBlank="1" showDropDown="0" showInputMessage="1" showErrorMessage="1" errorTitle="" error="" promptTitle="" prompt="" sqref="N72:N72">
      <x:formula1>0</x:formula1>
      <x:formula2>100</x:formula2>
    </x:dataValidation>
    <x:dataValidation type="decimal" errorStyle="stop" operator="between" allowBlank="1" showDropDown="0" showInputMessage="1" showErrorMessage="1" errorTitle="" error="" promptTitle="" prompt="" sqref="O72:O72">
      <x:formula1>0</x:formula1>
      <x:formula2>100</x:formula2>
    </x:dataValidation>
    <x:dataValidation type="list" errorStyle="stop" operator="between" allowBlank="1" showDropDown="0" showInputMessage="1" showErrorMessage="1" errorTitle="" error="" promptTitle="" prompt="" sqref="H73:H73">
      <x:formula1>'MasterData'!$B$1:$B$14</x:formula1>
      <x:formula2/>
    </x:dataValidation>
    <x:dataValidation type="list" errorStyle="stop" operator="between" allowBlank="1" showDropDown="0" showInputMessage="1" showErrorMessage="1" errorTitle="" error="" promptTitle="" prompt="" sqref="I73:I73">
      <x:formula1>'MasterData'!$E$521:$E$530</x:formula1>
      <x:formula2/>
    </x:dataValidation>
    <x:dataValidation type="decimal" errorStyle="stop" operator="greaterThanOrEqual" allowBlank="1" showDropDown="0" showInputMessage="1" showErrorMessage="1" errorTitle="" error="" promptTitle="" prompt="" sqref="K73:K73">
      <x:formula1>0</x:formula1>
      <x:formula2/>
    </x:dataValidation>
    <x:dataValidation type="decimal" errorStyle="stop" operator="between" allowBlank="1" showDropDown="0" showInputMessage="1" showErrorMessage="1" errorTitle="" error="" promptTitle="" prompt="" sqref="N73:N73">
      <x:formula1>0</x:formula1>
      <x:formula2>100</x:formula2>
    </x:dataValidation>
    <x:dataValidation type="decimal" errorStyle="stop" operator="between" allowBlank="1" showDropDown="0" showInputMessage="1" showErrorMessage="1" errorTitle="" error="" promptTitle="" prompt="" sqref="O73:O73">
      <x:formula1>0</x:formula1>
      <x:formula2>100</x:formula2>
    </x:dataValidation>
    <x:dataValidation type="list" errorStyle="stop" operator="between" allowBlank="1" showDropDown="0" showInputMessage="1" showErrorMessage="1" errorTitle="" error="" promptTitle="" prompt="" sqref="H74:H74">
      <x:formula1>'MasterData'!$B$1:$B$14</x:formula1>
      <x:formula2/>
    </x:dataValidation>
    <x:dataValidation type="list" errorStyle="stop" operator="between" allowBlank="1" showDropDown="0" showInputMessage="1" showErrorMessage="1" errorTitle="" error="" promptTitle="" prompt="" sqref="I74:I74">
      <x:formula1>'MasterData'!$E$531:$E$540</x:formula1>
      <x:formula2/>
    </x:dataValidation>
    <x:dataValidation type="decimal" errorStyle="stop" operator="greaterThanOrEqual" allowBlank="1" showDropDown="0" showInputMessage="1" showErrorMessage="1" errorTitle="" error="" promptTitle="" prompt="" sqref="K74:K74">
      <x:formula1>0</x:formula1>
      <x:formula2/>
    </x:dataValidation>
    <x:dataValidation type="decimal" errorStyle="stop" operator="between" allowBlank="1" showDropDown="0" showInputMessage="1" showErrorMessage="1" errorTitle="" error="" promptTitle="" prompt="" sqref="N74:N74">
      <x:formula1>0</x:formula1>
      <x:formula2>100</x:formula2>
    </x:dataValidation>
    <x:dataValidation type="decimal" errorStyle="stop" operator="between" allowBlank="1" showDropDown="0" showInputMessage="1" showErrorMessage="1" errorTitle="" error="" promptTitle="" prompt="" sqref="O74:O74">
      <x:formula1>0</x:formula1>
      <x:formula2>100</x:formula2>
    </x:dataValidation>
    <x:dataValidation type="list" errorStyle="stop" operator="between" allowBlank="1" showDropDown="0" showInputMessage="1" showErrorMessage="1" errorTitle="" error="" promptTitle="" prompt="" sqref="H75:H75">
      <x:formula1>'MasterData'!$B$1:$B$14</x:formula1>
      <x:formula2/>
    </x:dataValidation>
    <x:dataValidation type="list" errorStyle="stop" operator="between" allowBlank="1" showDropDown="0" showInputMessage="1" showErrorMessage="1" errorTitle="" error="" promptTitle="" prompt="" sqref="I75:I75">
      <x:formula1>'MasterData'!$E$541:$E$550</x:formula1>
      <x:formula2/>
    </x:dataValidation>
    <x:dataValidation type="decimal" errorStyle="stop" operator="greaterThanOrEqual" allowBlank="1" showDropDown="0" showInputMessage="1" showErrorMessage="1" errorTitle="" error="" promptTitle="" prompt="" sqref="K75:K75">
      <x:formula1>0</x:formula1>
      <x:formula2/>
    </x:dataValidation>
    <x:dataValidation type="decimal" errorStyle="stop" operator="between" allowBlank="1" showDropDown="0" showInputMessage="1" showErrorMessage="1" errorTitle="" error="" promptTitle="" prompt="" sqref="N75:N75">
      <x:formula1>0</x:formula1>
      <x:formula2>100</x:formula2>
    </x:dataValidation>
    <x:dataValidation type="decimal" errorStyle="stop" operator="between" allowBlank="1" showDropDown="0" showInputMessage="1" showErrorMessage="1" errorTitle="" error="" promptTitle="" prompt="" sqref="O75:O75">
      <x:formula1>0</x:formula1>
      <x:formula2>100</x:formula2>
    </x:dataValidation>
    <x:dataValidation type="list" errorStyle="stop" operator="between" allowBlank="1" showDropDown="0" showInputMessage="1" showErrorMessage="1" errorTitle="" error="" promptTitle="" prompt="" sqref="H76:H76">
      <x:formula1>'MasterData'!$B$1:$B$14</x:formula1>
      <x:formula2/>
    </x:dataValidation>
    <x:dataValidation type="list" errorStyle="stop" operator="between" allowBlank="1" showDropDown="0" showInputMessage="1" showErrorMessage="1" errorTitle="" error="" promptTitle="" prompt="" sqref="I76:I76">
      <x:formula1>'MasterData'!$E$551:$E$560</x:formula1>
      <x:formula2/>
    </x:dataValidation>
    <x:dataValidation type="decimal" errorStyle="stop" operator="greaterThanOrEqual" allowBlank="1" showDropDown="0" showInputMessage="1" showErrorMessage="1" errorTitle="" error="" promptTitle="" prompt="" sqref="K76:K76">
      <x:formula1>0</x:formula1>
      <x:formula2/>
    </x:dataValidation>
    <x:dataValidation type="decimal" errorStyle="stop" operator="between" allowBlank="1" showDropDown="0" showInputMessage="1" showErrorMessage="1" errorTitle="" error="" promptTitle="" prompt="" sqref="N76:N76">
      <x:formula1>0</x:formula1>
      <x:formula2>100</x:formula2>
    </x:dataValidation>
    <x:dataValidation type="decimal" errorStyle="stop" operator="between" allowBlank="1" showDropDown="0" showInputMessage="1" showErrorMessage="1" errorTitle="" error="" promptTitle="" prompt="" sqref="O76:O76">
      <x:formula1>0</x:formula1>
      <x:formula2>100</x:formula2>
    </x:dataValidation>
    <x:dataValidation type="list" errorStyle="stop" operator="between" allowBlank="1" showDropDown="0" showInputMessage="1" showErrorMessage="1" errorTitle="" error="" promptTitle="" prompt="" sqref="H77:H77">
      <x:formula1>'MasterData'!$B$1:$B$14</x:formula1>
      <x:formula2/>
    </x:dataValidation>
    <x:dataValidation type="list" errorStyle="stop" operator="between" allowBlank="1" showDropDown="0" showInputMessage="1" showErrorMessage="1" errorTitle="" error="" promptTitle="" prompt="" sqref="I77:I77">
      <x:formula1>'MasterData'!$E$561:$E$570</x:formula1>
      <x:formula2/>
    </x:dataValidation>
    <x:dataValidation type="decimal" errorStyle="stop" operator="greaterThanOrEqual" allowBlank="1" showDropDown="0" showInputMessage="1" showErrorMessage="1" errorTitle="" error="" promptTitle="" prompt="" sqref="K77:K77">
      <x:formula1>0</x:formula1>
      <x:formula2/>
    </x:dataValidation>
    <x:dataValidation type="decimal" errorStyle="stop" operator="between" allowBlank="1" showDropDown="0" showInputMessage="1" showErrorMessage="1" errorTitle="" error="" promptTitle="" prompt="" sqref="N77:N77">
      <x:formula1>0</x:formula1>
      <x:formula2>100</x:formula2>
    </x:dataValidation>
    <x:dataValidation type="decimal" errorStyle="stop" operator="between" allowBlank="1" showDropDown="0" showInputMessage="1" showErrorMessage="1" errorTitle="" error="" promptTitle="" prompt="" sqref="O77:O77">
      <x:formula1>0</x:formula1>
      <x:formula2>100</x:formula2>
    </x:dataValidation>
    <x:dataValidation type="list" errorStyle="stop" operator="between" allowBlank="1" showDropDown="0" showInputMessage="1" showErrorMessage="1" errorTitle="" error="" promptTitle="" prompt="" sqref="H78:H78">
      <x:formula1>'MasterData'!$B$1:$B$14</x:formula1>
      <x:formula2/>
    </x:dataValidation>
    <x:dataValidation type="list" errorStyle="stop" operator="between" allowBlank="1" showDropDown="0" showInputMessage="1" showErrorMessage="1" errorTitle="" error="" promptTitle="" prompt="" sqref="I78:I78">
      <x:formula1>'MasterData'!$E$571:$E$580</x:formula1>
      <x:formula2/>
    </x:dataValidation>
    <x:dataValidation type="decimal" errorStyle="stop" operator="greaterThanOrEqual" allowBlank="1" showDropDown="0" showInputMessage="1" showErrorMessage="1" errorTitle="" error="" promptTitle="" prompt="" sqref="K78:K78">
      <x:formula1>0</x:formula1>
      <x:formula2/>
    </x:dataValidation>
    <x:dataValidation type="decimal" errorStyle="stop" operator="between" allowBlank="1" showDropDown="0" showInputMessage="1" showErrorMessage="1" errorTitle="" error="" promptTitle="" prompt="" sqref="N78:N78">
      <x:formula1>0</x:formula1>
      <x:formula2>100</x:formula2>
    </x:dataValidation>
    <x:dataValidation type="decimal" errorStyle="stop" operator="between" allowBlank="1" showDropDown="0" showInputMessage="1" showErrorMessage="1" errorTitle="" error="" promptTitle="" prompt="" sqref="O78:O78">
      <x:formula1>0</x:formula1>
      <x:formula2>100</x:formula2>
    </x:dataValidation>
    <x:dataValidation type="list" errorStyle="stop" operator="between" allowBlank="1" showDropDown="0" showInputMessage="1" showErrorMessage="1" errorTitle="" error="" promptTitle="" prompt="" sqref="H79:H79">
      <x:formula1>'MasterData'!$B$1:$B$14</x:formula1>
      <x:formula2/>
    </x:dataValidation>
    <x:dataValidation type="list" errorStyle="stop" operator="between" allowBlank="1" showDropDown="0" showInputMessage="1" showErrorMessage="1" errorTitle="" error="" promptTitle="" prompt="" sqref="I79:I79">
      <x:formula1>'MasterData'!$E$581:$E$590</x:formula1>
      <x:formula2/>
    </x:dataValidation>
    <x:dataValidation type="decimal" errorStyle="stop" operator="greaterThanOrEqual" allowBlank="1" showDropDown="0" showInputMessage="1" showErrorMessage="1" errorTitle="" error="" promptTitle="" prompt="" sqref="K79:K79">
      <x:formula1>0</x:formula1>
      <x:formula2/>
    </x:dataValidation>
    <x:dataValidation type="decimal" errorStyle="stop" operator="between" allowBlank="1" showDropDown="0" showInputMessage="1" showErrorMessage="1" errorTitle="" error="" promptTitle="" prompt="" sqref="N79:N79">
      <x:formula1>0</x:formula1>
      <x:formula2>100</x:formula2>
    </x:dataValidation>
    <x:dataValidation type="decimal" errorStyle="stop" operator="between" allowBlank="1" showDropDown="0" showInputMessage="1" showErrorMessage="1" errorTitle="" error="" promptTitle="" prompt="" sqref="O79:O79">
      <x:formula1>0</x:formula1>
      <x:formula2>100</x:formula2>
    </x:dataValidation>
    <x:dataValidation type="list" errorStyle="stop" operator="between" allowBlank="1" showDropDown="0" showInputMessage="1" showErrorMessage="1" errorTitle="" error="" promptTitle="" prompt="" sqref="H80:H80">
      <x:formula1>'MasterData'!$B$1:$B$14</x:formula1>
      <x:formula2/>
    </x:dataValidation>
    <x:dataValidation type="list" errorStyle="stop" operator="between" allowBlank="1" showDropDown="0" showInputMessage="1" showErrorMessage="1" errorTitle="" error="" promptTitle="" prompt="" sqref="I80:I80">
      <x:formula1>'MasterData'!$E$591:$E$600</x:formula1>
      <x:formula2/>
    </x:dataValidation>
    <x:dataValidation type="decimal" errorStyle="stop" operator="greaterThanOrEqual" allowBlank="1" showDropDown="0" showInputMessage="1" showErrorMessage="1" errorTitle="" error="" promptTitle="" prompt="" sqref="K80:K80">
      <x:formula1>0</x:formula1>
      <x:formula2/>
    </x:dataValidation>
    <x:dataValidation type="decimal" errorStyle="stop" operator="between" allowBlank="1" showDropDown="0" showInputMessage="1" showErrorMessage="1" errorTitle="" error="" promptTitle="" prompt="" sqref="N80:N80">
      <x:formula1>0</x:formula1>
      <x:formula2>100</x:formula2>
    </x:dataValidation>
    <x:dataValidation type="decimal" errorStyle="stop" operator="between" allowBlank="1" showDropDown="0" showInputMessage="1" showErrorMessage="1" errorTitle="" error="" promptTitle="" prompt="" sqref="O80:O80">
      <x:formula1>0</x:formula1>
      <x:formula2>100</x:formula2>
    </x:dataValidation>
    <x:dataValidation type="list" errorStyle="stop" operator="between" allowBlank="1" showDropDown="0" showInputMessage="1" showErrorMessage="1" errorTitle="" error="" promptTitle="" prompt="" sqref="H81:H81">
      <x:formula1>'MasterData'!$B$1:$B$14</x:formula1>
      <x:formula2/>
    </x:dataValidation>
    <x:dataValidation type="list" errorStyle="stop" operator="between" allowBlank="1" showDropDown="0" showInputMessage="1" showErrorMessage="1" errorTitle="" error="" promptTitle="" prompt="" sqref="I81:I81">
      <x:formula1>'MasterData'!$E$601:$E$610</x:formula1>
      <x:formula2/>
    </x:dataValidation>
    <x:dataValidation type="decimal" errorStyle="stop" operator="greaterThanOrEqual" allowBlank="1" showDropDown="0" showInputMessage="1" showErrorMessage="1" errorTitle="" error="" promptTitle="" prompt="" sqref="K81:K81">
      <x:formula1>0</x:formula1>
      <x:formula2/>
    </x:dataValidation>
    <x:dataValidation type="decimal" errorStyle="stop" operator="between" allowBlank="1" showDropDown="0" showInputMessage="1" showErrorMessage="1" errorTitle="" error="" promptTitle="" prompt="" sqref="N81:N81">
      <x:formula1>0</x:formula1>
      <x:formula2>100</x:formula2>
    </x:dataValidation>
    <x:dataValidation type="decimal" errorStyle="stop" operator="between" allowBlank="1" showDropDown="0" showInputMessage="1" showErrorMessage="1" errorTitle="" error="" promptTitle="" prompt="" sqref="O81:O81">
      <x:formula1>0</x:formula1>
      <x:formula2>100</x:formula2>
    </x:dataValidation>
    <x:dataValidation type="list" errorStyle="stop" operator="between" allowBlank="1" showDropDown="0" showInputMessage="1" showErrorMessage="1" errorTitle="" error="" promptTitle="" prompt="" sqref="H82:H82">
      <x:formula1>'MasterData'!$B$1:$B$14</x:formula1>
      <x:formula2/>
    </x:dataValidation>
    <x:dataValidation type="list" errorStyle="stop" operator="between" allowBlank="1" showDropDown="0" showInputMessage="1" showErrorMessage="1" errorTitle="" error="" promptTitle="" prompt="" sqref="I82:I82">
      <x:formula1>'MasterData'!$E$611:$E$620</x:formula1>
      <x:formula2/>
    </x:dataValidation>
    <x:dataValidation type="decimal" errorStyle="stop" operator="greaterThanOrEqual" allowBlank="1" showDropDown="0" showInputMessage="1" showErrorMessage="1" errorTitle="" error="" promptTitle="" prompt="" sqref="K82:K82">
      <x:formula1>0</x:formula1>
      <x:formula2/>
    </x:dataValidation>
    <x:dataValidation type="decimal" errorStyle="stop" operator="between" allowBlank="1" showDropDown="0" showInputMessage="1" showErrorMessage="1" errorTitle="" error="" promptTitle="" prompt="" sqref="N82:N82">
      <x:formula1>0</x:formula1>
      <x:formula2>100</x:formula2>
    </x:dataValidation>
    <x:dataValidation type="decimal" errorStyle="stop" operator="between" allowBlank="1" showDropDown="0" showInputMessage="1" showErrorMessage="1" errorTitle="" error="" promptTitle="" prompt="" sqref="O82:O82">
      <x:formula1>0</x:formula1>
      <x:formula2>100</x:formula2>
    </x:dataValidation>
    <x:dataValidation type="list" errorStyle="stop" operator="between" allowBlank="1" showDropDown="0" showInputMessage="1" showErrorMessage="1" errorTitle="" error="" promptTitle="" prompt="" sqref="H83:H83">
      <x:formula1>'MasterData'!$B$1:$B$14</x:formula1>
      <x:formula2/>
    </x:dataValidation>
    <x:dataValidation type="list" errorStyle="stop" operator="between" allowBlank="1" showDropDown="0" showInputMessage="1" showErrorMessage="1" errorTitle="" error="" promptTitle="" prompt="" sqref="I83:I83">
      <x:formula1>'MasterData'!$E$621:$E$630</x:formula1>
      <x:formula2/>
    </x:dataValidation>
    <x:dataValidation type="decimal" errorStyle="stop" operator="greaterThanOrEqual" allowBlank="1" showDropDown="0" showInputMessage="1" showErrorMessage="1" errorTitle="" error="" promptTitle="" prompt="" sqref="K83:K83">
      <x:formula1>0</x:formula1>
      <x:formula2/>
    </x:dataValidation>
    <x:dataValidation type="decimal" errorStyle="stop" operator="between" allowBlank="1" showDropDown="0" showInputMessage="1" showErrorMessage="1" errorTitle="" error="" promptTitle="" prompt="" sqref="N83:N83">
      <x:formula1>0</x:formula1>
      <x:formula2>100</x:formula2>
    </x:dataValidation>
    <x:dataValidation type="decimal" errorStyle="stop" operator="between" allowBlank="1" showDropDown="0" showInputMessage="1" showErrorMessage="1" errorTitle="" error="" promptTitle="" prompt="" sqref="O83:O83">
      <x:formula1>0</x:formula1>
      <x:formula2>100</x:formula2>
    </x:dataValidation>
    <x:dataValidation type="list" errorStyle="stop" operator="between" allowBlank="1" showDropDown="0" showInputMessage="1" showErrorMessage="1" errorTitle="" error="" promptTitle="" prompt="" sqref="H84:H84">
      <x:formula1>'MasterData'!$B$1:$B$14</x:formula1>
      <x:formula2/>
    </x:dataValidation>
    <x:dataValidation type="list" errorStyle="stop" operator="between" allowBlank="1" showDropDown="0" showInputMessage="1" showErrorMessage="1" errorTitle="" error="" promptTitle="" prompt="" sqref="I84:I84">
      <x:formula1>'MasterData'!$E$631:$E$640</x:formula1>
      <x:formula2/>
    </x:dataValidation>
    <x:dataValidation type="decimal" errorStyle="stop" operator="greaterThanOrEqual" allowBlank="1" showDropDown="0" showInputMessage="1" showErrorMessage="1" errorTitle="" error="" promptTitle="" prompt="" sqref="K84:K84">
      <x:formula1>0</x:formula1>
      <x:formula2/>
    </x:dataValidation>
    <x:dataValidation type="decimal" errorStyle="stop" operator="between" allowBlank="1" showDropDown="0" showInputMessage="1" showErrorMessage="1" errorTitle="" error="" promptTitle="" prompt="" sqref="N84:N84">
      <x:formula1>0</x:formula1>
      <x:formula2>100</x:formula2>
    </x:dataValidation>
    <x:dataValidation type="decimal" errorStyle="stop" operator="between" allowBlank="1" showDropDown="0" showInputMessage="1" showErrorMessage="1" errorTitle="" error="" promptTitle="" prompt="" sqref="O84:O84">
      <x:formula1>0</x:formula1>
      <x:formula2>100</x:formula2>
    </x:dataValidation>
    <x:dataValidation type="list" errorStyle="stop" operator="between" allowBlank="1" showDropDown="0" showInputMessage="1" showErrorMessage="1" errorTitle="" error="" promptTitle="" prompt="" sqref="H85:H85">
      <x:formula1>'MasterData'!$B$1:$B$14</x:formula1>
      <x:formula2/>
    </x:dataValidation>
    <x:dataValidation type="list" errorStyle="stop" operator="between" allowBlank="1" showDropDown="0" showInputMessage="1" showErrorMessage="1" errorTitle="" error="" promptTitle="" prompt="" sqref="I85:I85">
      <x:formula1>'MasterData'!$E$641:$E$650</x:formula1>
      <x:formula2/>
    </x:dataValidation>
    <x:dataValidation type="decimal" errorStyle="stop" operator="greaterThanOrEqual" allowBlank="1" showDropDown="0" showInputMessage="1" showErrorMessage="1" errorTitle="" error="" promptTitle="" prompt="" sqref="K85:K85">
      <x:formula1>0</x:formula1>
      <x:formula2/>
    </x:dataValidation>
    <x:dataValidation type="decimal" errorStyle="stop" operator="between" allowBlank="1" showDropDown="0" showInputMessage="1" showErrorMessage="1" errorTitle="" error="" promptTitle="" prompt="" sqref="N85:N85">
      <x:formula1>0</x:formula1>
      <x:formula2>100</x:formula2>
    </x:dataValidation>
    <x:dataValidation type="decimal" errorStyle="stop" operator="between" allowBlank="1" showDropDown="0" showInputMessage="1" showErrorMessage="1" errorTitle="" error="" promptTitle="" prompt="" sqref="O85:O85">
      <x:formula1>0</x:formula1>
      <x:formula2>100</x:formula2>
    </x:dataValidation>
    <x:dataValidation type="list" errorStyle="stop" operator="between" allowBlank="1" showDropDown="0" showInputMessage="1" showErrorMessage="1" errorTitle="" error="" promptTitle="" prompt="" sqref="H86:H86">
      <x:formula1>'MasterData'!$B$1:$B$14</x:formula1>
      <x:formula2/>
    </x:dataValidation>
    <x:dataValidation type="list" errorStyle="stop" operator="between" allowBlank="1" showDropDown="0" showInputMessage="1" showErrorMessage="1" errorTitle="" error="" promptTitle="" prompt="" sqref="I86:I86">
      <x:formula1>'MasterData'!$E$651:$E$660</x:formula1>
      <x:formula2/>
    </x:dataValidation>
    <x:dataValidation type="decimal" errorStyle="stop" operator="greaterThanOrEqual" allowBlank="1" showDropDown="0" showInputMessage="1" showErrorMessage="1" errorTitle="" error="" promptTitle="" prompt="" sqref="K86:K86">
      <x:formula1>0</x:formula1>
      <x:formula2/>
    </x:dataValidation>
    <x:dataValidation type="decimal" errorStyle="stop" operator="between" allowBlank="1" showDropDown="0" showInputMessage="1" showErrorMessage="1" errorTitle="" error="" promptTitle="" prompt="" sqref="N86:N86">
      <x:formula1>0</x:formula1>
      <x:formula2>100</x:formula2>
    </x:dataValidation>
    <x:dataValidation type="decimal" errorStyle="stop" operator="between" allowBlank="1" showDropDown="0" showInputMessage="1" showErrorMessage="1" errorTitle="" error="" promptTitle="" prompt="" sqref="O86:O86">
      <x:formula1>0</x:formula1>
      <x:formula2>100</x:formula2>
    </x:dataValidation>
    <x:dataValidation type="list" errorStyle="stop" operator="between" allowBlank="1" showDropDown="0" showInputMessage="1" showErrorMessage="1" errorTitle="" error="" promptTitle="" prompt="" sqref="H87:H87">
      <x:formula1>'MasterData'!$B$1:$B$14</x:formula1>
      <x:formula2/>
    </x:dataValidation>
    <x:dataValidation type="list" errorStyle="stop" operator="between" allowBlank="1" showDropDown="0" showInputMessage="1" showErrorMessage="1" errorTitle="" error="" promptTitle="" prompt="" sqref="I87:I87">
      <x:formula1>'MasterData'!$E$661:$E$670</x:formula1>
      <x:formula2/>
    </x:dataValidation>
    <x:dataValidation type="decimal" errorStyle="stop" operator="greaterThanOrEqual" allowBlank="1" showDropDown="0" showInputMessage="1" showErrorMessage="1" errorTitle="" error="" promptTitle="" prompt="" sqref="K87:K87">
      <x:formula1>0</x:formula1>
      <x:formula2/>
    </x:dataValidation>
    <x:dataValidation type="decimal" errorStyle="stop" operator="between" allowBlank="1" showDropDown="0" showInputMessage="1" showErrorMessage="1" errorTitle="" error="" promptTitle="" prompt="" sqref="N87:N87">
      <x:formula1>0</x:formula1>
      <x:formula2>100</x:formula2>
    </x:dataValidation>
    <x:dataValidation type="decimal" errorStyle="stop" operator="between" allowBlank="1" showDropDown="0" showInputMessage="1" showErrorMessage="1" errorTitle="" error="" promptTitle="" prompt="" sqref="O87:O87">
      <x:formula1>0</x:formula1>
      <x:formula2>100</x:formula2>
    </x:dataValidation>
    <x:dataValidation type="list" errorStyle="stop" operator="between" allowBlank="1" showDropDown="0" showInputMessage="1" showErrorMessage="1" errorTitle="" error="" promptTitle="" prompt="" sqref="H88:H88">
      <x:formula1>'MasterData'!$B$1:$B$14</x:formula1>
      <x:formula2/>
    </x:dataValidation>
    <x:dataValidation type="list" errorStyle="stop" operator="between" allowBlank="1" showDropDown="0" showInputMessage="1" showErrorMessage="1" errorTitle="" error="" promptTitle="" prompt="" sqref="I88:I88">
      <x:formula1>'MasterData'!$E$671:$E$680</x:formula1>
      <x:formula2/>
    </x:dataValidation>
    <x:dataValidation type="decimal" errorStyle="stop" operator="greaterThanOrEqual" allowBlank="1" showDropDown="0" showInputMessage="1" showErrorMessage="1" errorTitle="" error="" promptTitle="" prompt="" sqref="K88:K88">
      <x:formula1>0</x:formula1>
      <x:formula2/>
    </x:dataValidation>
    <x:dataValidation type="decimal" errorStyle="stop" operator="between" allowBlank="1" showDropDown="0" showInputMessage="1" showErrorMessage="1" errorTitle="" error="" promptTitle="" prompt="" sqref="N88:N88">
      <x:formula1>0</x:formula1>
      <x:formula2>100</x:formula2>
    </x:dataValidation>
    <x:dataValidation type="decimal" errorStyle="stop" operator="between" allowBlank="1" showDropDown="0" showInputMessage="1" showErrorMessage="1" errorTitle="" error="" promptTitle="" prompt="" sqref="O88:O88">
      <x:formula1>0</x:formula1>
      <x:formula2>100</x:formula2>
    </x:dataValidation>
    <x:dataValidation type="list" errorStyle="stop" operator="between" allowBlank="1" showDropDown="0" showInputMessage="1" showErrorMessage="1" errorTitle="" error="" promptTitle="" prompt="" sqref="H89:H89">
      <x:formula1>'MasterData'!$B$1:$B$14</x:formula1>
      <x:formula2/>
    </x:dataValidation>
    <x:dataValidation type="list" errorStyle="stop" operator="between" allowBlank="1" showDropDown="0" showInputMessage="1" showErrorMessage="1" errorTitle="" error="" promptTitle="" prompt="" sqref="I89:I89">
      <x:formula1>'MasterData'!$E$681:$E$690</x:formula1>
      <x:formula2/>
    </x:dataValidation>
    <x:dataValidation type="decimal" errorStyle="stop" operator="greaterThanOrEqual" allowBlank="1" showDropDown="0" showInputMessage="1" showErrorMessage="1" errorTitle="" error="" promptTitle="" prompt="" sqref="K89:K89">
      <x:formula1>0</x:formula1>
      <x:formula2/>
    </x:dataValidation>
    <x:dataValidation type="decimal" errorStyle="stop" operator="between" allowBlank="1" showDropDown="0" showInputMessage="1" showErrorMessage="1" errorTitle="" error="" promptTitle="" prompt="" sqref="N89:N89">
      <x:formula1>0</x:formula1>
      <x:formula2>100</x:formula2>
    </x:dataValidation>
    <x:dataValidation type="decimal" errorStyle="stop" operator="between" allowBlank="1" showDropDown="0" showInputMessage="1" showErrorMessage="1" errorTitle="" error="" promptTitle="" prompt="" sqref="O89:O89">
      <x:formula1>0</x:formula1>
      <x:formula2>100</x:formula2>
    </x:dataValidation>
    <x:dataValidation type="list" errorStyle="stop" operator="between" allowBlank="1" showDropDown="0" showInputMessage="1" showErrorMessage="1" errorTitle="" error="" promptTitle="" prompt="" sqref="H90:H90">
      <x:formula1>'MasterData'!$B$1:$B$14</x:formula1>
      <x:formula2/>
    </x:dataValidation>
    <x:dataValidation type="list" errorStyle="stop" operator="between" allowBlank="1" showDropDown="0" showInputMessage="1" showErrorMessage="1" errorTitle="" error="" promptTitle="" prompt="" sqref="I90:I90">
      <x:formula1>'MasterData'!$E$691:$E$700</x:formula1>
      <x:formula2/>
    </x:dataValidation>
    <x:dataValidation type="decimal" errorStyle="stop" operator="greaterThanOrEqual" allowBlank="1" showDropDown="0" showInputMessage="1" showErrorMessage="1" errorTitle="" error="" promptTitle="" prompt="" sqref="K90:K90">
      <x:formula1>0</x:formula1>
      <x:formula2/>
    </x:dataValidation>
    <x:dataValidation type="decimal" errorStyle="stop" operator="between" allowBlank="1" showDropDown="0" showInputMessage="1" showErrorMessage="1" errorTitle="" error="" promptTitle="" prompt="" sqref="N90:N90">
      <x:formula1>0</x:formula1>
      <x:formula2>100</x:formula2>
    </x:dataValidation>
    <x:dataValidation type="decimal" errorStyle="stop" operator="between" allowBlank="1" showDropDown="0" showInputMessage="1" showErrorMessage="1" errorTitle="" error="" promptTitle="" prompt="" sqref="O90:O90">
      <x:formula1>0</x:formula1>
      <x:formula2>100</x:formula2>
    </x:dataValidation>
    <x:dataValidation type="list" errorStyle="stop" operator="between" allowBlank="1" showDropDown="0" showInputMessage="1" showErrorMessage="1" errorTitle="" error="" promptTitle="" prompt="" sqref="H91:H91">
      <x:formula1>'MasterData'!$B$1:$B$14</x:formula1>
      <x:formula2/>
    </x:dataValidation>
    <x:dataValidation type="list" errorStyle="stop" operator="between" allowBlank="1" showDropDown="0" showInputMessage="1" showErrorMessage="1" errorTitle="" error="" promptTitle="" prompt="" sqref="I91:I91">
      <x:formula1>'MasterData'!$E$701:$E$710</x:formula1>
      <x:formula2/>
    </x:dataValidation>
    <x:dataValidation type="decimal" errorStyle="stop" operator="greaterThanOrEqual" allowBlank="1" showDropDown="0" showInputMessage="1" showErrorMessage="1" errorTitle="" error="" promptTitle="" prompt="" sqref="K91:K91">
      <x:formula1>0</x:formula1>
      <x:formula2/>
    </x:dataValidation>
    <x:dataValidation type="decimal" errorStyle="stop" operator="between" allowBlank="1" showDropDown="0" showInputMessage="1" showErrorMessage="1" errorTitle="" error="" promptTitle="" prompt="" sqref="N91:N91">
      <x:formula1>0</x:formula1>
      <x:formula2>100</x:formula2>
    </x:dataValidation>
    <x:dataValidation type="decimal" errorStyle="stop" operator="between" allowBlank="1" showDropDown="0" showInputMessage="1" showErrorMessage="1" errorTitle="" error="" promptTitle="" prompt="" sqref="O91:O91">
      <x:formula1>0</x:formula1>
      <x:formula2>100</x:formula2>
    </x:dataValidation>
    <x:dataValidation type="list" errorStyle="stop" operator="between" allowBlank="1" showDropDown="0" showInputMessage="1" showErrorMessage="1" errorTitle="" error="" promptTitle="" prompt="" sqref="H92:H92">
      <x:formula1>'MasterData'!$B$1:$B$14</x:formula1>
      <x:formula2/>
    </x:dataValidation>
    <x:dataValidation type="list" errorStyle="stop" operator="between" allowBlank="1" showDropDown="0" showInputMessage="1" showErrorMessage="1" errorTitle="" error="" promptTitle="" prompt="" sqref="I92:I92">
      <x:formula1>'MasterData'!$E$711:$E$720</x:formula1>
      <x:formula2/>
    </x:dataValidation>
    <x:dataValidation type="decimal" errorStyle="stop" operator="greaterThanOrEqual" allowBlank="1" showDropDown="0" showInputMessage="1" showErrorMessage="1" errorTitle="" error="" promptTitle="" prompt="" sqref="K92:K92">
      <x:formula1>0</x:formula1>
      <x:formula2/>
    </x:dataValidation>
    <x:dataValidation type="decimal" errorStyle="stop" operator="between" allowBlank="1" showDropDown="0" showInputMessage="1" showErrorMessage="1" errorTitle="" error="" promptTitle="" prompt="" sqref="N92:N92">
      <x:formula1>0</x:formula1>
      <x:formula2>100</x:formula2>
    </x:dataValidation>
    <x:dataValidation type="decimal" errorStyle="stop" operator="between" allowBlank="1" showDropDown="0" showInputMessage="1" showErrorMessage="1" errorTitle="" error="" promptTitle="" prompt="" sqref="O92:O92">
      <x:formula1>0</x:formula1>
      <x:formula2>100</x:formula2>
    </x:dataValidation>
    <x:dataValidation type="list" errorStyle="stop" operator="between" allowBlank="1" showDropDown="0" showInputMessage="1" showErrorMessage="1" errorTitle="" error="" promptTitle="" prompt="" sqref="H93:H93">
      <x:formula1>'MasterData'!$B$1:$B$14</x:formula1>
      <x:formula2/>
    </x:dataValidation>
    <x:dataValidation type="list" errorStyle="stop" operator="between" allowBlank="1" showDropDown="0" showInputMessage="1" showErrorMessage="1" errorTitle="" error="" promptTitle="" prompt="" sqref="I93:I93">
      <x:formula1>'MasterData'!$E$721:$E$730</x:formula1>
      <x:formula2/>
    </x:dataValidation>
    <x:dataValidation type="decimal" errorStyle="stop" operator="greaterThanOrEqual" allowBlank="1" showDropDown="0" showInputMessage="1" showErrorMessage="1" errorTitle="" error="" promptTitle="" prompt="" sqref="K93:K93">
      <x:formula1>0</x:formula1>
      <x:formula2/>
    </x:dataValidation>
    <x:dataValidation type="decimal" errorStyle="stop" operator="between" allowBlank="1" showDropDown="0" showInputMessage="1" showErrorMessage="1" errorTitle="" error="" promptTitle="" prompt="" sqref="N93:N93">
      <x:formula1>0</x:formula1>
      <x:formula2>100</x:formula2>
    </x:dataValidation>
    <x:dataValidation type="decimal" errorStyle="stop" operator="between" allowBlank="1" showDropDown="0" showInputMessage="1" showErrorMessage="1" errorTitle="" error="" promptTitle="" prompt="" sqref="O93:O93">
      <x:formula1>0</x:formula1>
      <x:formula2>100</x:formula2>
    </x:dataValidation>
    <x:dataValidation type="list" errorStyle="stop" operator="between" allowBlank="1" showDropDown="0" showInputMessage="1" showErrorMessage="1" errorTitle="" error="" promptTitle="" prompt="" sqref="H94:H94">
      <x:formula1>'MasterData'!$B$1:$B$14</x:formula1>
      <x:formula2/>
    </x:dataValidation>
    <x:dataValidation type="list" errorStyle="stop" operator="between" allowBlank="1" showDropDown="0" showInputMessage="1" showErrorMessage="1" errorTitle="" error="" promptTitle="" prompt="" sqref="I94:I94">
      <x:formula1>'MasterData'!$E$731:$E$740</x:formula1>
      <x:formula2/>
    </x:dataValidation>
    <x:dataValidation type="decimal" errorStyle="stop" operator="greaterThanOrEqual" allowBlank="1" showDropDown="0" showInputMessage="1" showErrorMessage="1" errorTitle="" error="" promptTitle="" prompt="" sqref="K94:K94">
      <x:formula1>0</x:formula1>
      <x:formula2/>
    </x:dataValidation>
    <x:dataValidation type="decimal" errorStyle="stop" operator="between" allowBlank="1" showDropDown="0" showInputMessage="1" showErrorMessage="1" errorTitle="" error="" promptTitle="" prompt="" sqref="N94:N94">
      <x:formula1>0</x:formula1>
      <x:formula2>100</x:formula2>
    </x:dataValidation>
    <x:dataValidation type="decimal" errorStyle="stop" operator="between" allowBlank="1" showDropDown="0" showInputMessage="1" showErrorMessage="1" errorTitle="" error="" promptTitle="" prompt="" sqref="O94:O94">
      <x:formula1>0</x:formula1>
      <x:formula2>100</x:formula2>
    </x:dataValidation>
    <x:dataValidation type="list" errorStyle="stop" operator="between" allowBlank="1" showDropDown="0" showInputMessage="1" showErrorMessage="1" errorTitle="" error="" promptTitle="" prompt="" sqref="H95:H95">
      <x:formula1>'MasterData'!$B$1:$B$14</x:formula1>
      <x:formula2/>
    </x:dataValidation>
    <x:dataValidation type="list" errorStyle="stop" operator="between" allowBlank="1" showDropDown="0" showInputMessage="1" showErrorMessage="1" errorTitle="" error="" promptTitle="" prompt="" sqref="I95:I95">
      <x:formula1>'MasterData'!$E$741:$E$750</x:formula1>
      <x:formula2/>
    </x:dataValidation>
    <x:dataValidation type="decimal" errorStyle="stop" operator="greaterThanOrEqual" allowBlank="1" showDropDown="0" showInputMessage="1" showErrorMessage="1" errorTitle="" error="" promptTitle="" prompt="" sqref="K95:K95">
      <x:formula1>0</x:formula1>
      <x:formula2/>
    </x:dataValidation>
    <x:dataValidation type="decimal" errorStyle="stop" operator="between" allowBlank="1" showDropDown="0" showInputMessage="1" showErrorMessage="1" errorTitle="" error="" promptTitle="" prompt="" sqref="N95:N95">
      <x:formula1>0</x:formula1>
      <x:formula2>100</x:formula2>
    </x:dataValidation>
    <x:dataValidation type="decimal" errorStyle="stop" operator="between" allowBlank="1" showDropDown="0" showInputMessage="1" showErrorMessage="1" errorTitle="" error="" promptTitle="" prompt="" sqref="O95:O95">
      <x:formula1>0</x:formula1>
      <x:formula2>100</x:formula2>
    </x:dataValidation>
    <x:dataValidation type="list" errorStyle="stop" operator="between" allowBlank="1" showDropDown="0" showInputMessage="1" showErrorMessage="1" errorTitle="" error="" promptTitle="" prompt="" sqref="H96:H96">
      <x:formula1>'MasterData'!$B$1:$B$14</x:formula1>
      <x:formula2/>
    </x:dataValidation>
    <x:dataValidation type="list" errorStyle="stop" operator="between" allowBlank="1" showDropDown="0" showInputMessage="1" showErrorMessage="1" errorTitle="" error="" promptTitle="" prompt="" sqref="I96:I96">
      <x:formula1>'MasterData'!$E$751:$E$760</x:formula1>
      <x:formula2/>
    </x:dataValidation>
    <x:dataValidation type="decimal" errorStyle="stop" operator="greaterThanOrEqual" allowBlank="1" showDropDown="0" showInputMessage="1" showErrorMessage="1" errorTitle="" error="" promptTitle="" prompt="" sqref="K96:K96">
      <x:formula1>0</x:formula1>
      <x:formula2/>
    </x:dataValidation>
    <x:dataValidation type="decimal" errorStyle="stop" operator="between" allowBlank="1" showDropDown="0" showInputMessage="1" showErrorMessage="1" errorTitle="" error="" promptTitle="" prompt="" sqref="N96:N96">
      <x:formula1>0</x:formula1>
      <x:formula2>100</x:formula2>
    </x:dataValidation>
    <x:dataValidation type="decimal" errorStyle="stop" operator="between" allowBlank="1" showDropDown="0" showInputMessage="1" showErrorMessage="1" errorTitle="" error="" promptTitle="" prompt="" sqref="O96:O96">
      <x:formula1>0</x:formula1>
      <x:formula2>100</x:formula2>
    </x:dataValidation>
    <x:dataValidation type="list" errorStyle="stop" operator="between" allowBlank="1" showDropDown="0" showInputMessage="1" showErrorMessage="1" errorTitle="" error="" promptTitle="" prompt="" sqref="H97:H97">
      <x:formula1>'MasterData'!$B$1:$B$14</x:formula1>
      <x:formula2/>
    </x:dataValidation>
    <x:dataValidation type="list" errorStyle="stop" operator="between" allowBlank="1" showDropDown="0" showInputMessage="1" showErrorMessage="1" errorTitle="" error="" promptTitle="" prompt="" sqref="I97:I97">
      <x:formula1>'MasterData'!$E$761:$E$770</x:formula1>
      <x:formula2/>
    </x:dataValidation>
    <x:dataValidation type="decimal" errorStyle="stop" operator="greaterThanOrEqual" allowBlank="1" showDropDown="0" showInputMessage="1" showErrorMessage="1" errorTitle="" error="" promptTitle="" prompt="" sqref="K97:K97">
      <x:formula1>0</x:formula1>
      <x:formula2/>
    </x:dataValidation>
    <x:dataValidation type="decimal" errorStyle="stop" operator="between" allowBlank="1" showDropDown="0" showInputMessage="1" showErrorMessage="1" errorTitle="" error="" promptTitle="" prompt="" sqref="N97:N97">
      <x:formula1>0</x:formula1>
      <x:formula2>100</x:formula2>
    </x:dataValidation>
    <x:dataValidation type="decimal" errorStyle="stop" operator="between" allowBlank="1" showDropDown="0" showInputMessage="1" showErrorMessage="1" errorTitle="" error="" promptTitle="" prompt="" sqref="O97:O97">
      <x:formula1>0</x:formula1>
      <x:formula2>100</x:formula2>
    </x:dataValidation>
    <x:dataValidation type="list" errorStyle="stop" operator="between" allowBlank="1" showDropDown="0" showInputMessage="1" showErrorMessage="1" errorTitle="" error="" promptTitle="" prompt="" sqref="H98:H98">
      <x:formula1>'MasterData'!$B$1:$B$14</x:formula1>
      <x:formula2/>
    </x:dataValidation>
    <x:dataValidation type="list" errorStyle="stop" operator="between" allowBlank="1" showDropDown="0" showInputMessage="1" showErrorMessage="1" errorTitle="" error="" promptTitle="" prompt="" sqref="I98:I98">
      <x:formula1>'MasterData'!$E$771:$E$780</x:formula1>
      <x:formula2/>
    </x:dataValidation>
    <x:dataValidation type="decimal" errorStyle="stop" operator="greaterThanOrEqual" allowBlank="1" showDropDown="0" showInputMessage="1" showErrorMessage="1" errorTitle="" error="" promptTitle="" prompt="" sqref="K98:K98">
      <x:formula1>0</x:formula1>
      <x:formula2/>
    </x:dataValidation>
    <x:dataValidation type="decimal" errorStyle="stop" operator="between" allowBlank="1" showDropDown="0" showInputMessage="1" showErrorMessage="1" errorTitle="" error="" promptTitle="" prompt="" sqref="N98:N98">
      <x:formula1>0</x:formula1>
      <x:formula2>100</x:formula2>
    </x:dataValidation>
    <x:dataValidation type="decimal" errorStyle="stop" operator="between" allowBlank="1" showDropDown="0" showInputMessage="1" showErrorMessage="1" errorTitle="" error="" promptTitle="" prompt="" sqref="O98:O98">
      <x:formula1>0</x:formula1>
      <x:formula2>100</x:formula2>
    </x:dataValidation>
    <x:dataValidation type="list" errorStyle="stop" operator="between" allowBlank="1" showDropDown="0" showInputMessage="1" showErrorMessage="1" errorTitle="" error="" promptTitle="" prompt="" sqref="H99:H99">
      <x:formula1>'MasterData'!$B$1:$B$14</x:formula1>
      <x:formula2/>
    </x:dataValidation>
    <x:dataValidation type="list" errorStyle="stop" operator="between" allowBlank="1" showDropDown="0" showInputMessage="1" showErrorMessage="1" errorTitle="" error="" promptTitle="" prompt="" sqref="I99:I99">
      <x:formula1>'MasterData'!$E$781:$E$790</x:formula1>
      <x:formula2/>
    </x:dataValidation>
    <x:dataValidation type="decimal" errorStyle="stop" operator="greaterThanOrEqual" allowBlank="1" showDropDown="0" showInputMessage="1" showErrorMessage="1" errorTitle="" error="" promptTitle="" prompt="" sqref="K99:K99">
      <x:formula1>0</x:formula1>
      <x:formula2/>
    </x:dataValidation>
    <x:dataValidation type="decimal" errorStyle="stop" operator="between" allowBlank="1" showDropDown="0" showInputMessage="1" showErrorMessage="1" errorTitle="" error="" promptTitle="" prompt="" sqref="N99:N99">
      <x:formula1>0</x:formula1>
      <x:formula2>100</x:formula2>
    </x:dataValidation>
    <x:dataValidation type="decimal" errorStyle="stop" operator="between" allowBlank="1" showDropDown="0" showInputMessage="1" showErrorMessage="1" errorTitle="" error="" promptTitle="" prompt="" sqref="O99:O99">
      <x:formula1>0</x:formula1>
      <x:formula2>100</x:formula2>
    </x:dataValidation>
    <x:dataValidation type="list" errorStyle="stop" operator="between" allowBlank="1" showDropDown="0" showInputMessage="1" showErrorMessage="1" errorTitle="" error="" promptTitle="" prompt="" sqref="H100:H100">
      <x:formula1>'MasterData'!$B$1:$B$14</x:formula1>
      <x:formula2/>
    </x:dataValidation>
    <x:dataValidation type="list" errorStyle="stop" operator="between" allowBlank="1" showDropDown="0" showInputMessage="1" showErrorMessage="1" errorTitle="" error="" promptTitle="" prompt="" sqref="I100:I100">
      <x:formula1>'MasterData'!$E$791:$E$800</x:formula1>
      <x:formula2/>
    </x:dataValidation>
    <x:dataValidation type="decimal" errorStyle="stop" operator="greaterThanOrEqual" allowBlank="1" showDropDown="0" showInputMessage="1" showErrorMessage="1" errorTitle="" error="" promptTitle="" prompt="" sqref="K100:K100">
      <x:formula1>0</x:formula1>
      <x:formula2/>
    </x:dataValidation>
    <x:dataValidation type="decimal" errorStyle="stop" operator="between" allowBlank="1" showDropDown="0" showInputMessage="1" showErrorMessage="1" errorTitle="" error="" promptTitle="" prompt="" sqref="N100:N100">
      <x:formula1>0</x:formula1>
      <x:formula2>100</x:formula2>
    </x:dataValidation>
    <x:dataValidation type="decimal" errorStyle="stop" operator="between" allowBlank="1" showDropDown="0" showInputMessage="1" showErrorMessage="1" errorTitle="" error="" promptTitle="" prompt="" sqref="O100:O100">
      <x:formula1>0</x:formula1>
      <x:formula2>100</x:formula2>
    </x:dataValidation>
    <x:dataValidation type="list" errorStyle="stop" operator="between" allowBlank="1" showDropDown="0" showInputMessage="1" showErrorMessage="1" errorTitle="" error="" promptTitle="" prompt="" sqref="H101:H101">
      <x:formula1>'MasterData'!$B$1:$B$14</x:formula1>
      <x:formula2/>
    </x:dataValidation>
    <x:dataValidation type="list" errorStyle="stop" operator="between" allowBlank="1" showDropDown="0" showInputMessage="1" showErrorMessage="1" errorTitle="" error="" promptTitle="" prompt="" sqref="I101:I101">
      <x:formula1>'MasterData'!$E$801:$E$810</x:formula1>
      <x:formula2/>
    </x:dataValidation>
    <x:dataValidation type="decimal" errorStyle="stop" operator="greaterThanOrEqual" allowBlank="1" showDropDown="0" showInputMessage="1" showErrorMessage="1" errorTitle="" error="" promptTitle="" prompt="" sqref="K101:K101">
      <x:formula1>0</x:formula1>
      <x:formula2/>
    </x:dataValidation>
    <x:dataValidation type="decimal" errorStyle="stop" operator="between" allowBlank="1" showDropDown="0" showInputMessage="1" showErrorMessage="1" errorTitle="" error="" promptTitle="" prompt="" sqref="N101:N101">
      <x:formula1>0</x:formula1>
      <x:formula2>100</x:formula2>
    </x:dataValidation>
    <x:dataValidation type="decimal" errorStyle="stop" operator="between" allowBlank="1" showDropDown="0" showInputMessage="1" showErrorMessage="1" errorTitle="" error="" promptTitle="" prompt="" sqref="O101:O101">
      <x:formula1>0</x:formula1>
      <x:formula2>100</x:formula2>
    </x:dataValidation>
    <x:dataValidation type="list" errorStyle="stop" operator="between" allowBlank="1" showDropDown="0" showInputMessage="1" showErrorMessage="1" errorTitle="" error="" promptTitle="" prompt="" sqref="H102:H102">
      <x:formula1>'MasterData'!$B$1:$B$14</x:formula1>
      <x:formula2/>
    </x:dataValidation>
    <x:dataValidation type="list" errorStyle="stop" operator="between" allowBlank="1" showDropDown="0" showInputMessage="1" showErrorMessage="1" errorTitle="" error="" promptTitle="" prompt="" sqref="I102:I102">
      <x:formula1>'MasterData'!$E$811:$E$820</x:formula1>
      <x:formula2/>
    </x:dataValidation>
    <x:dataValidation type="decimal" errorStyle="stop" operator="greaterThanOrEqual" allowBlank="1" showDropDown="0" showInputMessage="1" showErrorMessage="1" errorTitle="" error="" promptTitle="" prompt="" sqref="K102:K102">
      <x:formula1>0</x:formula1>
      <x:formula2/>
    </x:dataValidation>
    <x:dataValidation type="decimal" errorStyle="stop" operator="between" allowBlank="1" showDropDown="0" showInputMessage="1" showErrorMessage="1" errorTitle="" error="" promptTitle="" prompt="" sqref="N102:N102">
      <x:formula1>0</x:formula1>
      <x:formula2>100</x:formula2>
    </x:dataValidation>
    <x:dataValidation type="decimal" errorStyle="stop" operator="between" allowBlank="1" showDropDown="0" showInputMessage="1" showErrorMessage="1" errorTitle="" error="" promptTitle="" prompt="" sqref="O102:O102">
      <x:formula1>0</x:formula1>
      <x:formula2>100</x:formula2>
    </x:dataValidation>
    <x:dataValidation type="list" errorStyle="stop" operator="between" allowBlank="1" showDropDown="0" showInputMessage="1" showErrorMessage="1" errorTitle="" error="" promptTitle="" prompt="" sqref="H103:H103">
      <x:formula1>'MasterData'!$B$1:$B$14</x:formula1>
      <x:formula2/>
    </x:dataValidation>
    <x:dataValidation type="list" errorStyle="stop" operator="between" allowBlank="1" showDropDown="0" showInputMessage="1" showErrorMessage="1" errorTitle="" error="" promptTitle="" prompt="" sqref="I103:I103">
      <x:formula1>'MasterData'!$E$821:$E$830</x:formula1>
      <x:formula2/>
    </x:dataValidation>
    <x:dataValidation type="decimal" errorStyle="stop" operator="greaterThanOrEqual" allowBlank="1" showDropDown="0" showInputMessage="1" showErrorMessage="1" errorTitle="" error="" promptTitle="" prompt="" sqref="K103:K103">
      <x:formula1>0</x:formula1>
      <x:formula2/>
    </x:dataValidation>
    <x:dataValidation type="decimal" errorStyle="stop" operator="between" allowBlank="1" showDropDown="0" showInputMessage="1" showErrorMessage="1" errorTitle="" error="" promptTitle="" prompt="" sqref="N103:N103">
      <x:formula1>0</x:formula1>
      <x:formula2>100</x:formula2>
    </x:dataValidation>
    <x:dataValidation type="decimal" errorStyle="stop" operator="between" allowBlank="1" showDropDown="0" showInputMessage="1" showErrorMessage="1" errorTitle="" error="" promptTitle="" prompt="" sqref="O103:O103">
      <x:formula1>0</x:formula1>
      <x:formula2>100</x:formula2>
    </x:dataValidation>
    <x:dataValidation type="list" errorStyle="stop" operator="between" allowBlank="1" showDropDown="0" showInputMessage="1" showErrorMessage="1" errorTitle="" error="" promptTitle="" prompt="" sqref="H104:H104">
      <x:formula1>'MasterData'!$B$1:$B$14</x:formula1>
      <x:formula2/>
    </x:dataValidation>
    <x:dataValidation type="list" errorStyle="stop" operator="between" allowBlank="1" showDropDown="0" showInputMessage="1" showErrorMessage="1" errorTitle="" error="" promptTitle="" prompt="" sqref="I104:I104">
      <x:formula1>'MasterData'!$E$831:$E$840</x:formula1>
      <x:formula2/>
    </x:dataValidation>
    <x:dataValidation type="decimal" errorStyle="stop" operator="greaterThanOrEqual" allowBlank="1" showDropDown="0" showInputMessage="1" showErrorMessage="1" errorTitle="" error="" promptTitle="" prompt="" sqref="K104:K104">
      <x:formula1>0</x:formula1>
      <x:formula2/>
    </x:dataValidation>
    <x:dataValidation type="decimal" errorStyle="stop" operator="between" allowBlank="1" showDropDown="0" showInputMessage="1" showErrorMessage="1" errorTitle="" error="" promptTitle="" prompt="" sqref="N104:N104">
      <x:formula1>0</x:formula1>
      <x:formula2>100</x:formula2>
    </x:dataValidation>
    <x:dataValidation type="decimal" errorStyle="stop" operator="between" allowBlank="1" showDropDown="0" showInputMessage="1" showErrorMessage="1" errorTitle="" error="" promptTitle="" prompt="" sqref="O104:O104">
      <x:formula1>0</x:formula1>
      <x:formula2>100</x:formula2>
    </x:dataValidation>
    <x:dataValidation type="list" errorStyle="stop" operator="between" allowBlank="1" showDropDown="0" showInputMessage="1" showErrorMessage="1" errorTitle="" error="" promptTitle="" prompt="" sqref="H105:H105">
      <x:formula1>'MasterData'!$B$1:$B$14</x:formula1>
      <x:formula2/>
    </x:dataValidation>
    <x:dataValidation type="list" errorStyle="stop" operator="between" allowBlank="1" showDropDown="0" showInputMessage="1" showErrorMessage="1" errorTitle="" error="" promptTitle="" prompt="" sqref="I105:I105">
      <x:formula1>'MasterData'!$E$841:$E$850</x:formula1>
      <x:formula2/>
    </x:dataValidation>
    <x:dataValidation type="decimal" errorStyle="stop" operator="greaterThanOrEqual" allowBlank="1" showDropDown="0" showInputMessage="1" showErrorMessage="1" errorTitle="" error="" promptTitle="" prompt="" sqref="K105:K105">
      <x:formula1>0</x:formula1>
      <x:formula2/>
    </x:dataValidation>
    <x:dataValidation type="decimal" errorStyle="stop" operator="between" allowBlank="1" showDropDown="0" showInputMessage="1" showErrorMessage="1" errorTitle="" error="" promptTitle="" prompt="" sqref="N105:N105">
      <x:formula1>0</x:formula1>
      <x:formula2>100</x:formula2>
    </x:dataValidation>
    <x:dataValidation type="decimal" errorStyle="stop" operator="between" allowBlank="1" showDropDown="0" showInputMessage="1" showErrorMessage="1" errorTitle="" error="" promptTitle="" prompt="" sqref="O105:O105">
      <x:formula1>0</x:formula1>
      <x:formula2>100</x:formula2>
    </x:dataValidation>
    <x:dataValidation type="list" errorStyle="stop" operator="between" allowBlank="1" showDropDown="0" showInputMessage="1" showErrorMessage="1" errorTitle="" error="" promptTitle="" prompt="" sqref="H106:H106">
      <x:formula1>'MasterData'!$B$1:$B$14</x:formula1>
      <x:formula2/>
    </x:dataValidation>
    <x:dataValidation type="list" errorStyle="stop" operator="between" allowBlank="1" showDropDown="0" showInputMessage="1" showErrorMessage="1" errorTitle="" error="" promptTitle="" prompt="" sqref="I106:I106">
      <x:formula1>'MasterData'!$E$851:$E$860</x:formula1>
      <x:formula2/>
    </x:dataValidation>
    <x:dataValidation type="decimal" errorStyle="stop" operator="greaterThanOrEqual" allowBlank="1" showDropDown="0" showInputMessage="1" showErrorMessage="1" errorTitle="" error="" promptTitle="" prompt="" sqref="K106:K106">
      <x:formula1>0</x:formula1>
      <x:formula2/>
    </x:dataValidation>
    <x:dataValidation type="decimal" errorStyle="stop" operator="between" allowBlank="1" showDropDown="0" showInputMessage="1" showErrorMessage="1" errorTitle="" error="" promptTitle="" prompt="" sqref="N106:N106">
      <x:formula1>0</x:formula1>
      <x:formula2>100</x:formula2>
    </x:dataValidation>
    <x:dataValidation type="decimal" errorStyle="stop" operator="between" allowBlank="1" showDropDown="0" showInputMessage="1" showErrorMessage="1" errorTitle="" error="" promptTitle="" prompt="" sqref="O106:O106">
      <x:formula1>0</x:formula1>
      <x:formula2>100</x:formula2>
    </x:dataValidation>
    <x:dataValidation type="list" errorStyle="stop" operator="between" allowBlank="1" showDropDown="0" showInputMessage="1" showErrorMessage="1" errorTitle="" error="" promptTitle="" prompt="" sqref="H107:H107">
      <x:formula1>'MasterData'!$B$1:$B$14</x:formula1>
      <x:formula2/>
    </x:dataValidation>
    <x:dataValidation type="list" errorStyle="stop" operator="between" allowBlank="1" showDropDown="0" showInputMessage="1" showErrorMessage="1" errorTitle="" error="" promptTitle="" prompt="" sqref="I107:I107">
      <x:formula1>'MasterData'!$E$861:$E$870</x:formula1>
      <x:formula2/>
    </x:dataValidation>
    <x:dataValidation type="decimal" errorStyle="stop" operator="greaterThanOrEqual" allowBlank="1" showDropDown="0" showInputMessage="1" showErrorMessage="1" errorTitle="" error="" promptTitle="" prompt="" sqref="K107:K107">
      <x:formula1>0</x:formula1>
      <x:formula2/>
    </x:dataValidation>
    <x:dataValidation type="decimal" errorStyle="stop" operator="between" allowBlank="1" showDropDown="0" showInputMessage="1" showErrorMessage="1" errorTitle="" error="" promptTitle="" prompt="" sqref="N107:N107">
      <x:formula1>0</x:formula1>
      <x:formula2>100</x:formula2>
    </x:dataValidation>
    <x:dataValidation type="decimal" errorStyle="stop" operator="between" allowBlank="1" showDropDown="0" showInputMessage="1" showErrorMessage="1" errorTitle="" error="" promptTitle="" prompt="" sqref="O107:O107">
      <x:formula1>0</x:formula1>
      <x:formula2>100</x:formula2>
    </x:dataValidation>
    <x:dataValidation type="list" errorStyle="stop" operator="between" allowBlank="1" showDropDown="0" showInputMessage="1" showErrorMessage="1" errorTitle="" error="" promptTitle="" prompt="" sqref="H108:H108">
      <x:formula1>'MasterData'!$B$1:$B$14</x:formula1>
      <x:formula2/>
    </x:dataValidation>
    <x:dataValidation type="list" errorStyle="stop" operator="between" allowBlank="1" showDropDown="0" showInputMessage="1" showErrorMessage="1" errorTitle="" error="" promptTitle="" prompt="" sqref="I108:I108">
      <x:formula1>'MasterData'!$E$871:$E$880</x:formula1>
      <x:formula2/>
    </x:dataValidation>
    <x:dataValidation type="decimal" errorStyle="stop" operator="greaterThanOrEqual" allowBlank="1" showDropDown="0" showInputMessage="1" showErrorMessage="1" errorTitle="" error="" promptTitle="" prompt="" sqref="K108:K108">
      <x:formula1>0</x:formula1>
      <x:formula2/>
    </x:dataValidation>
    <x:dataValidation type="decimal" errorStyle="stop" operator="between" allowBlank="1" showDropDown="0" showInputMessage="1" showErrorMessage="1" errorTitle="" error="" promptTitle="" prompt="" sqref="N108:N108">
      <x:formula1>0</x:formula1>
      <x:formula2>100</x:formula2>
    </x:dataValidation>
    <x:dataValidation type="decimal" errorStyle="stop" operator="between" allowBlank="1" showDropDown="0" showInputMessage="1" showErrorMessage="1" errorTitle="" error="" promptTitle="" prompt="" sqref="O108:O108">
      <x:formula1>0</x:formula1>
      <x:formula2>100</x:formula2>
    </x:dataValidation>
    <x:dataValidation type="list" errorStyle="stop" operator="between" allowBlank="1" showDropDown="0" showInputMessage="1" showErrorMessage="1" errorTitle="" error="" promptTitle="" prompt="" sqref="H109:H109">
      <x:formula1>'MasterData'!$B$1:$B$14</x:formula1>
      <x:formula2/>
    </x:dataValidation>
    <x:dataValidation type="list" errorStyle="stop" operator="between" allowBlank="1" showDropDown="0" showInputMessage="1" showErrorMessage="1" errorTitle="" error="" promptTitle="" prompt="" sqref="I109:I109">
      <x:formula1>'MasterData'!$E$881:$E$890</x:formula1>
      <x:formula2/>
    </x:dataValidation>
    <x:dataValidation type="decimal" errorStyle="stop" operator="greaterThanOrEqual" allowBlank="1" showDropDown="0" showInputMessage="1" showErrorMessage="1" errorTitle="" error="" promptTitle="" prompt="" sqref="K109:K109">
      <x:formula1>0</x:formula1>
      <x:formula2/>
    </x:dataValidation>
    <x:dataValidation type="decimal" errorStyle="stop" operator="between" allowBlank="1" showDropDown="0" showInputMessage="1" showErrorMessage="1" errorTitle="" error="" promptTitle="" prompt="" sqref="N109:N109">
      <x:formula1>0</x:formula1>
      <x:formula2>100</x:formula2>
    </x:dataValidation>
    <x:dataValidation type="decimal" errorStyle="stop" operator="between" allowBlank="1" showDropDown="0" showInputMessage="1" showErrorMessage="1" errorTitle="" error="" promptTitle="" prompt="" sqref="O109:O109">
      <x:formula1>0</x:formula1>
      <x:formula2>100</x:formula2>
    </x:dataValidation>
    <x:dataValidation type="list" errorStyle="stop" operator="between" allowBlank="1" showDropDown="0" showInputMessage="1" showErrorMessage="1" errorTitle="" error="" promptTitle="" prompt="" sqref="H110:H110">
      <x:formula1>'MasterData'!$B$1:$B$14</x:formula1>
      <x:formula2/>
    </x:dataValidation>
    <x:dataValidation type="list" errorStyle="stop" operator="between" allowBlank="1" showDropDown="0" showInputMessage="1" showErrorMessage="1" errorTitle="" error="" promptTitle="" prompt="" sqref="I110:I110">
      <x:formula1>'MasterData'!$E$891:$E$900</x:formula1>
      <x:formula2/>
    </x:dataValidation>
    <x:dataValidation type="decimal" errorStyle="stop" operator="greaterThanOrEqual" allowBlank="1" showDropDown="0" showInputMessage="1" showErrorMessage="1" errorTitle="" error="" promptTitle="" prompt="" sqref="K110:K110">
      <x:formula1>0</x:formula1>
      <x:formula2/>
    </x:dataValidation>
    <x:dataValidation type="decimal" errorStyle="stop" operator="between" allowBlank="1" showDropDown="0" showInputMessage="1" showErrorMessage="1" errorTitle="" error="" promptTitle="" prompt="" sqref="N110:N110">
      <x:formula1>0</x:formula1>
      <x:formula2>100</x:formula2>
    </x:dataValidation>
    <x:dataValidation type="decimal" errorStyle="stop" operator="between" allowBlank="1" showDropDown="0" showInputMessage="1" showErrorMessage="1" errorTitle="" error="" promptTitle="" prompt="" sqref="O110:O110">
      <x:formula1>0</x:formula1>
      <x:formula2>100</x:formula2>
    </x:dataValidation>
    <x:dataValidation type="list" errorStyle="stop" operator="between" allowBlank="1" showDropDown="0" showInputMessage="1" showErrorMessage="1" errorTitle="" error="" promptTitle="" prompt="" sqref="H111:H111">
      <x:formula1>'MasterData'!$B$1:$B$14</x:formula1>
      <x:formula2/>
    </x:dataValidation>
    <x:dataValidation type="list" errorStyle="stop" operator="between" allowBlank="1" showDropDown="0" showInputMessage="1" showErrorMessage="1" errorTitle="" error="" promptTitle="" prompt="" sqref="I111:I111">
      <x:formula1>'MasterData'!$E$901:$E$910</x:formula1>
      <x:formula2/>
    </x:dataValidation>
    <x:dataValidation type="decimal" errorStyle="stop" operator="greaterThanOrEqual" allowBlank="1" showDropDown="0" showInputMessage="1" showErrorMessage="1" errorTitle="" error="" promptTitle="" prompt="" sqref="K111:K111">
      <x:formula1>0</x:formula1>
      <x:formula2/>
    </x:dataValidation>
    <x:dataValidation type="decimal" errorStyle="stop" operator="between" allowBlank="1" showDropDown="0" showInputMessage="1" showErrorMessage="1" errorTitle="" error="" promptTitle="" prompt="" sqref="N111:N111">
      <x:formula1>0</x:formula1>
      <x:formula2>100</x:formula2>
    </x:dataValidation>
    <x:dataValidation type="decimal" errorStyle="stop" operator="between" allowBlank="1" showDropDown="0" showInputMessage="1" showErrorMessage="1" errorTitle="" error="" promptTitle="" prompt="" sqref="O111:O111">
      <x:formula1>0</x:formula1>
      <x:formula2>100</x:formula2>
    </x:dataValidation>
    <x:dataValidation type="none" errorStyle="stop" operator="between" allowBlank="1" showDropDown="0" showInputMessage="1" showErrorMessage="1" errorTitle="" error="" promptTitle="" prompt="" sqref="P117:P117">
      <x:formula1/>
      <x:formula2/>
    </x:dataValidation>
    <x:dataValidation type="list" errorStyle="stop" operator="between" allowBlank="1" showDropDown="0" showInputMessage="1" showErrorMessage="1" errorTitle="" error="" promptTitle="" prompt="" sqref="H114:H114">
      <x:formula1>'MasterData'!$B$1:$B$14</x:formula1>
      <x:formula2/>
    </x:dataValidation>
    <x:dataValidation type="list" errorStyle="stop" operator="between" allowBlank="1" showDropDown="0" showInputMessage="1" showErrorMessage="1" errorTitle="" error="" promptTitle="" prompt="" sqref="I114:I114">
      <x:formula1>'MasterData'!$E$1:$E$10</x:formula1>
      <x:formula2/>
    </x:dataValidation>
    <x:dataValidation type="decimal" errorStyle="stop" operator="greaterThanOrEqual" allowBlank="1" showDropDown="0" showInputMessage="1" showErrorMessage="1" errorTitle="" error="" promptTitle="" prompt="" sqref="K114:K114">
      <x:formula1>0</x:formula1>
      <x:formula2/>
    </x:dataValidation>
    <x:dataValidation type="decimal" errorStyle="stop" operator="between" allowBlank="1" showDropDown="0" showInputMessage="1" showErrorMessage="1" errorTitle="" error="" promptTitle="" prompt="" sqref="N114:N114">
      <x:formula1>0</x:formula1>
      <x:formula2>100</x:formula2>
    </x:dataValidation>
    <x:dataValidation type="decimal" errorStyle="stop" operator="between" allowBlank="1" showDropDown="0" showInputMessage="1" showErrorMessage="1" errorTitle="" error="" promptTitle="" prompt="" sqref="O114:O114">
      <x:formula1>0</x:formula1>
      <x:formula2>100</x:formula2>
    </x:dataValidation>
    <x:dataValidation type="none" errorStyle="stop" operator="between" allowBlank="1" showDropDown="0" showInputMessage="1" showErrorMessage="1" errorTitle="" error="" promptTitle="" prompt="" sqref="P118:P118">
      <x:formula1/>
      <x:formula2/>
    </x:dataValidation>
    <x:dataValidation type="decimal" errorStyle="stop" operator="greaterThanOrEqual" allowBlank="1" showDropDown="0" showInputMessage="1" showErrorMessage="1" errorTitle="" error="" promptTitle="" prompt="" sqref="P119:P119">
      <x:formula1>0</x:formula1>
      <x:formula2/>
    </x:dataValidation>
    <x:dataValidation type="decimal" errorStyle="stop" operator="greaterThanOrEqual" allowBlank="1" showDropDown="0" showInputMessage="1" showErrorMessage="1" errorTitle="" error="" promptTitle="" prompt="" sqref="P120:P120">
      <x:formula1>0</x:formula1>
      <x:formula2/>
    </x:dataValidation>
    <x:dataValidation type="decimal" errorStyle="stop" operator="greaterThanOrEqual" allowBlank="1" showDropDown="0" showInputMessage="1" showErrorMessage="1" errorTitle="" error="" promptTitle="" prompt="" sqref="P121:P121">
      <x:formula1>0</x:formula1>
      <x:formula2/>
    </x:dataValidation>
    <x:dataValidation type="decimal" errorStyle="stop" operator="greaterThanOrEqual" allowBlank="1" showDropDown="0" showInputMessage="1" showErrorMessage="1" errorTitle="" error="" promptTitle="" prompt="" sqref="P122:P122">
      <x:formula1>0</x:formula1>
      <x:formula2/>
    </x:dataValidation>
    <x:dataValidation type="list" errorStyle="stop" operator="between" allowBlank="1" showDropDown="0" showInputMessage="1" showErrorMessage="1" errorTitle="" error="" promptTitle="" prompt="" sqref="C119:K119">
      <x:formula1>'MasterData'!$H$1:$H$15</x:formula1>
      <x:formula2/>
    </x:dataValidation>
    <x:dataValidation type="list" errorStyle="stop" operator="between" allowBlank="1" showDropDown="0" showInputMessage="1" showErrorMessage="1" errorTitle="" error="" promptTitle="" prompt="" sqref="C120:K120">
      <x:formula1>'MasterData'!$H$1:$H$15</x:formula1>
      <x:formula2/>
    </x:dataValidation>
    <x:dataValidation type="list" errorStyle="stop" operator="between" allowBlank="1" showDropDown="0" showInputMessage="1" showErrorMessage="1" errorTitle="" error="" promptTitle="" prompt="" sqref="C121:K121">
      <x:formula1>'MasterData'!$H$1:$H$15</x:formula1>
      <x:formula2/>
    </x:dataValidation>
    <x:dataValidation type="list" errorStyle="stop" operator="between" allowBlank="1" showDropDown="0" showInputMessage="1" showErrorMessage="1" errorTitle="" error="" promptTitle="" prompt="" sqref="C122:K122">
      <x:formula1>'MasterData'!$H$1:$H$15</x:formula1>
      <x:formula2/>
    </x:dataValidation>
  </x:dataValidations>
  <x:hyperlinks>
    <x:hyperlink ref="C10" r:id="rId8"/>
  </x:hyperlinks>
  <x:printOptions horizontalCentered="0" verticalCentered="0" headings="0" gridLines="0"/>
  <x:pageMargins left="0.7" right="0.7" top="0.75" bottom="0.75" header="0.3" footer="0.3"/>
  <x:pageSetup paperSize="1" scale="49" pageOrder="downThenOver" orientation="portrait" blackAndWhite="0" draft="0" cellComments="none" errors="displayed" r:id="rId2"/>
  <x:headerFooter/>
  <x:drawing r:id="rId3"/>
  <x:tableParts count="0"/>
  <x:extLst>
    <x: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4000000}">
          <x14:formula1>
            <xm:f>MasterData!$O$1:$O$70</xm:f>
          </x14:formula1>
          <xm:sqref>O14</xm:sqref>
        </x14:dataValidation>
      </x14:dataValidations>
    </x:ext>
  </x:extLst>
</x:worksheet>
</file>

<file path=xl/worksheets/sheet2.xml><?xml version="1.0" encoding="utf-8"?>
<x:worksheet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00000000-0001-0000-0100-000000000000}" mc:Ignorable="x14ac xr xr2 xr3">
  <x:sheetPr>
    <x:outlinePr summaryBelow="1" summaryRight="1"/>
  </x:sheetPr>
  <x:dimension ref="M1:Q70"/>
  <x:sheetViews>
    <x:sheetView topLeftCell="A46" workbookViewId="0">
      <x:selection activeCell="F68" sqref="F68 F68:F68"/>
    </x:sheetView>
  </x:sheetViews>
  <x:sheetFormatPr defaultRowHeight="15" x14ac:dyDescent="0.25"/>
  <x:cols>
    <x:col min="1" max="12" width="9.140625" style="147" customWidth="1"/>
    <x:col min="13" max="13" width="18.855469" style="269" bestFit="1" customWidth="1"/>
    <x:col min="14" max="14" width="35.285156" style="147" customWidth="1"/>
    <x:col min="15" max="16" width="9.140625" style="147" customWidth="1"/>
    <x:col min="17" max="17" width="9.140625" style="271" customWidth="1"/>
  </x:cols>
  <x:sheetData>
    <x:row r="1" spans="1:17" x14ac:dyDescent="0.25">
      <x:c r="A1" s="147" t="n">
        <x:v>400000</x:v>
      </x:c>
      <x:c r="B1" s="147" t="s">
        <x:v>58</x:v>
      </x:c>
      <x:c r="D1" s="147" t="n">
        <x:v>10128579</x:v>
      </x:c>
      <x:c r="E1" s="147" t="s">
        <x:v>104</x:v>
      </x:c>
      <x:c r="G1" s="147" t="n">
        <x:v>1001307</x:v>
      </x:c>
      <x:c r="H1" s="147" t="s">
        <x:v>276</x:v>
      </x:c>
      <x:c r="M1" s="269" t="s">
        <x:v>302</x:v>
      </x:c>
      <x:c r="N1" s="270" t="s">
        <x:v>303</x:v>
      </x:c>
      <x:c r="O1" s="147" t="s">
        <x:v>304</x:v>
      </x:c>
    </x:row>
    <x:row r="2" spans="1:17" x14ac:dyDescent="0.25">
      <x:c r="A2" s="147" t="n">
        <x:v>400001</x:v>
      </x:c>
      <x:c r="B2" s="147" t="s">
        <x:v>104</x:v>
      </x:c>
      <x:c r="D2" s="147" t="n">
        <x:v>10128580</x:v>
      </x:c>
      <x:c r="E2" s="147" t="s">
        <x:v>226</x:v>
      </x:c>
      <x:c r="G2" s="147" t="n">
        <x:v>1001310</x:v>
      </x:c>
      <x:c r="H2" s="147" t="s">
        <x:v>277</x:v>
      </x:c>
      <x:c r="M2" s="269" t="s">
        <x:v>305</x:v>
      </x:c>
      <x:c r="N2" s="270" t="n">
        <x:v>1020825864</x:v>
      </x:c>
      <x:c r="O2" s="147" t="s">
        <x:v>306</x:v>
      </x:c>
    </x:row>
    <x:row r="3" spans="1:17" x14ac:dyDescent="0.25">
      <x:c r="A3" s="147" t="n">
        <x:v>400002</x:v>
      </x:c>
      <x:c r="B3" s="147" t="s">
        <x:v>95</x:v>
      </x:c>
      <x:c r="D3" s="147" t="n">
        <x:v>10128581</x:v>
      </x:c>
      <x:c r="E3" s="147" t="s">
        <x:v>226</x:v>
      </x:c>
      <x:c r="G3" s="147" t="n">
        <x:v>1012729</x:v>
      </x:c>
      <x:c r="H3" s="147" t="s">
        <x:v>307</x:v>
      </x:c>
      <x:c r="M3" s="269" t="s">
        <x:v>308</x:v>
      </x:c>
      <x:c r="N3" s="270" t="n">
        <x:v>99990000462558</x:v>
      </x:c>
      <x:c r="O3" s="147" t="s">
        <x:v>309</x:v>
      </x:c>
    </x:row>
    <x:row r="4" spans="1:17" x14ac:dyDescent="0.25">
      <x:c r="A4" s="147" t="n">
        <x:v>400003</x:v>
      </x:c>
      <x:c r="B4" s="147" t="s">
        <x:v>226</x:v>
      </x:c>
      <x:c r="D4" s="147" t="n">
        <x:v>10128582</x:v>
      </x:c>
      <x:c r="E4" s="147" t="s">
        <x:v>95</x:v>
      </x:c>
      <x:c r="G4" s="147" t="n">
        <x:v>1012730</x:v>
      </x:c>
      <x:c r="H4" s="147" t="s">
        <x:v>310</x:v>
      </x:c>
      <x:c r="M4" s="269" t="s">
        <x:v>311</x:v>
      </x:c>
      <x:c r="N4" s="270" t="n">
        <x:v>1022209712</x:v>
      </x:c>
      <x:c r="O4" s="147" t="s">
        <x:v>312</x:v>
      </x:c>
    </x:row>
    <x:row r="5" spans="1:17" x14ac:dyDescent="0.25">
      <x:c r="A5" s="147" t="n">
        <x:v>400004</x:v>
      </x:c>
      <x:c r="B5" s="147" t="s">
        <x:v>313</x:v>
      </x:c>
      <x:c r="D5" s="147" t="n">
        <x:v>10128595</x:v>
      </x:c>
      <x:c r="E5" s="147" t="s">
        <x:v>95</x:v>
      </x:c>
      <x:c r="G5" s="147" t="n">
        <x:v>1012731</x:v>
      </x:c>
      <x:c r="H5" s="147" t="s">
        <x:v>314</x:v>
      </x:c>
      <x:c r="M5" s="269" t="s">
        <x:v>315</x:v>
      </x:c>
      <x:c r="N5" s="270" t="s"/>
      <x:c r="O5" s="147" t="s">
        <x:v>316</x:v>
      </x:c>
    </x:row>
    <x:row r="6" spans="1:17" x14ac:dyDescent="0.25">
      <x:c r="A6" s="147" t="n">
        <x:v>400005</x:v>
      </x:c>
      <x:c r="B6" s="147" t="s">
        <x:v>317</x:v>
      </x:c>
      <x:c r="D6" s="147" t="n">
        <x:v>10128596</x:v>
      </x:c>
      <x:c r="E6" s="147" t="s">
        <x:v>58</x:v>
      </x:c>
      <x:c r="G6" s="147" t="n">
        <x:v>1012732</x:v>
      </x:c>
      <x:c r="H6" s="147" t="s">
        <x:v>318</x:v>
      </x:c>
      <x:c r="M6" s="269" t="s">
        <x:v>319</x:v>
      </x:c>
      <x:c r="N6" s="270" t="s">
        <x:v>320</x:v>
      </x:c>
      <x:c r="O6" s="147" t="s">
        <x:v>321</x:v>
      </x:c>
    </x:row>
    <x:row r="7" spans="1:17" x14ac:dyDescent="0.25">
      <x:c r="A7" s="147" t="n">
        <x:v>400017</x:v>
      </x:c>
      <x:c r="B7" s="147" t="s">
        <x:v>322</x:v>
      </x:c>
      <x:c r="D7" s="147" t="n">
        <x:v>10128597</x:v>
      </x:c>
      <x:c r="E7" s="147" t="s">
        <x:v>226</x:v>
      </x:c>
      <x:c r="G7" s="147" t="n">
        <x:v>1012733</x:v>
      </x:c>
      <x:c r="H7" s="147" t="s">
        <x:v>323</x:v>
      </x:c>
      <x:c r="M7" s="269" t="s">
        <x:v>324</x:v>
      </x:c>
      <x:c r="N7" s="270" t="n">
        <x:v>0</x:v>
      </x:c>
      <x:c r="O7" s="147" t="s">
        <x:v>325</x:v>
      </x:c>
    </x:row>
    <x:row r="8" spans="1:17" x14ac:dyDescent="0.25">
      <x:c r="A8" s="147" t="n">
        <x:v>900009</x:v>
      </x:c>
      <x:c r="B8" s="147" t="s">
        <x:v>326</x:v>
      </x:c>
      <x:c r="D8" s="147" t="n">
        <x:v>10128598</x:v>
      </x:c>
      <x:c r="E8" s="147" t="s">
        <x:v>95</x:v>
      </x:c>
      <x:c r="G8" s="147" t="n">
        <x:v>1012735</x:v>
      </x:c>
      <x:c r="H8" s="147" t="s">
        <x:v>327</x:v>
      </x:c>
      <x:c r="O8" s="147" t="s">
        <x:v>328</x:v>
      </x:c>
    </x:row>
    <x:row r="9" spans="1:17" x14ac:dyDescent="0.25">
      <x:c r="A9" s="147" t="n">
        <x:v>900010</x:v>
      </x:c>
      <x:c r="B9" s="147" t="s">
        <x:v>329</x:v>
      </x:c>
      <x:c r="D9" s="147" t="n">
        <x:v>10128599</x:v>
      </x:c>
      <x:c r="E9" s="147" t="s">
        <x:v>104</x:v>
      </x:c>
      <x:c r="G9" s="147" t="n">
        <x:v>1012736</x:v>
      </x:c>
      <x:c r="H9" s="147" t="s">
        <x:v>330</x:v>
      </x:c>
      <x:c r="O9" s="147" t="s">
        <x:v>331</x:v>
      </x:c>
    </x:row>
    <x:row r="10" spans="1:17" x14ac:dyDescent="0.25">
      <x:c r="A10" s="147" t="n">
        <x:v>900011</x:v>
      </x:c>
      <x:c r="B10" s="147" t="s">
        <x:v>332</x:v>
      </x:c>
      <x:c r="D10" s="147" t="n">
        <x:v>10128600</x:v>
      </x:c>
      <x:c r="E10" s="147" t="s">
        <x:v>226</x:v>
      </x:c>
      <x:c r="G10" s="147" t="n">
        <x:v>1012737</x:v>
      </x:c>
      <x:c r="H10" s="147" t="s">
        <x:v>333</x:v>
      </x:c>
      <x:c r="O10" s="147" t="s">
        <x:v>334</x:v>
      </x:c>
    </x:row>
    <x:row r="11" spans="1:17" x14ac:dyDescent="0.25">
      <x:c r="A11" s="147" t="n">
        <x:v>900012</x:v>
      </x:c>
      <x:c r="B11" s="147" t="s">
        <x:v>335</x:v>
      </x:c>
      <x:c r="D11" s="147" t="n">
        <x:v>10128579</x:v>
      </x:c>
      <x:c r="E11" s="147" t="s">
        <x:v>104</x:v>
      </x:c>
      <x:c r="G11" s="147" t="n">
        <x:v>1012741</x:v>
      </x:c>
      <x:c r="H11" s="147" t="s">
        <x:v>336</x:v>
      </x:c>
      <x:c r="O11" s="147" t="s">
        <x:v>337</x:v>
      </x:c>
    </x:row>
    <x:row r="12" spans="1:17" x14ac:dyDescent="0.25">
      <x:c r="A12" s="147" t="n">
        <x:v>900013</x:v>
      </x:c>
      <x:c r="B12" s="147" t="s">
        <x:v>272</x:v>
      </x:c>
      <x:c r="D12" s="147" t="n">
        <x:v>10128580</x:v>
      </x:c>
      <x:c r="E12" s="147" t="s">
        <x:v>226</x:v>
      </x:c>
      <x:c r="G12" s="147" t="n">
        <x:v>1012742</x:v>
      </x:c>
      <x:c r="H12" s="147" t="s">
        <x:v>338</x:v>
      </x:c>
      <x:c r="O12" s="147" t="s">
        <x:v>339</x:v>
      </x:c>
    </x:row>
    <x:row r="13" spans="1:17" x14ac:dyDescent="0.25">
      <x:c r="A13" s="147" t="n">
        <x:v>900014</x:v>
      </x:c>
      <x:c r="B13" s="147" t="s">
        <x:v>340</x:v>
      </x:c>
      <x:c r="D13" s="147" t="n">
        <x:v>10128581</x:v>
      </x:c>
      <x:c r="E13" s="147" t="s">
        <x:v>226</x:v>
      </x:c>
      <x:c r="G13" s="147" t="n">
        <x:v>1012743</x:v>
      </x:c>
      <x:c r="H13" s="147" t="s">
        <x:v>341</x:v>
      </x:c>
      <x:c r="O13" s="147" t="s">
        <x:v>342</x:v>
      </x:c>
    </x:row>
    <x:row r="14" spans="1:17" x14ac:dyDescent="0.25">
      <x:c r="A14" s="147" t="n">
        <x:v>900073</x:v>
      </x:c>
      <x:c r="B14" s="147" t="s">
        <x:v>343</x:v>
      </x:c>
      <x:c r="D14" s="147" t="n">
        <x:v>10128582</x:v>
      </x:c>
      <x:c r="E14" s="147" t="s">
        <x:v>95</x:v>
      </x:c>
      <x:c r="G14" s="147" t="n">
        <x:v>1012744</x:v>
      </x:c>
      <x:c r="H14" s="147" t="s">
        <x:v>344</x:v>
      </x:c>
      <x:c r="O14" s="147" t="s">
        <x:v>345</x:v>
      </x:c>
    </x:row>
    <x:row r="15" spans="1:17" x14ac:dyDescent="0.25">
      <x:c r="D15" s="147" t="n">
        <x:v>10128595</x:v>
      </x:c>
      <x:c r="E15" s="147" t="s">
        <x:v>95</x:v>
      </x:c>
      <x:c r="G15" s="147" t="n">
        <x:v>1020032</x:v>
      </x:c>
      <x:c r="H15" s="147" t="s">
        <x:v>346</x:v>
      </x:c>
      <x:c r="O15" s="147" t="s">
        <x:v>347</x:v>
      </x:c>
    </x:row>
    <x:row r="16" spans="1:17" x14ac:dyDescent="0.25">
      <x:c r="D16" s="147" t="n">
        <x:v>10128596</x:v>
      </x:c>
      <x:c r="E16" s="147" t="s">
        <x:v>58</x:v>
      </x:c>
      <x:c r="O16" s="147" t="s">
        <x:v>348</x:v>
      </x:c>
    </x:row>
    <x:row r="17" spans="1:17" x14ac:dyDescent="0.25">
      <x:c r="D17" s="147" t="n">
        <x:v>10128597</x:v>
      </x:c>
      <x:c r="E17" s="147" t="s">
        <x:v>226</x:v>
      </x:c>
      <x:c r="O17" s="147" t="s">
        <x:v>349</x:v>
      </x:c>
    </x:row>
    <x:row r="18" spans="1:17" x14ac:dyDescent="0.25">
      <x:c r="D18" s="147" t="n">
        <x:v>10128598</x:v>
      </x:c>
      <x:c r="E18" s="147" t="s">
        <x:v>95</x:v>
      </x:c>
      <x:c r="O18" s="147" t="s">
        <x:v>350</x:v>
      </x:c>
    </x:row>
    <x:row r="19" spans="1:17" x14ac:dyDescent="0.25">
      <x:c r="D19" s="147" t="n">
        <x:v>10128599</x:v>
      </x:c>
      <x:c r="E19" s="147" t="s">
        <x:v>104</x:v>
      </x:c>
      <x:c r="O19" s="147" t="s">
        <x:v>351</x:v>
      </x:c>
    </x:row>
    <x:row r="20" spans="1:17" x14ac:dyDescent="0.25">
      <x:c r="D20" s="147" t="n">
        <x:v>10128600</x:v>
      </x:c>
      <x:c r="E20" s="147" t="s">
        <x:v>226</x:v>
      </x:c>
      <x:c r="O20" s="147" t="s">
        <x:v>352</x:v>
      </x:c>
    </x:row>
    <x:row r="21" spans="1:17" x14ac:dyDescent="0.25">
      <x:c r="D21" s="147" t="n">
        <x:v>10128579</x:v>
      </x:c>
      <x:c r="E21" s="147" t="s">
        <x:v>104</x:v>
      </x:c>
      <x:c r="O21" s="147" t="s">
        <x:v>353</x:v>
      </x:c>
    </x:row>
    <x:row r="22" spans="1:17" x14ac:dyDescent="0.25">
      <x:c r="D22" s="147" t="n">
        <x:v>10128580</x:v>
      </x:c>
      <x:c r="E22" s="147" t="s">
        <x:v>226</x:v>
      </x:c>
      <x:c r="O22" s="147" t="s">
        <x:v>354</x:v>
      </x:c>
    </x:row>
    <x:row r="23" spans="1:17" x14ac:dyDescent="0.25">
      <x:c r="D23" s="147" t="n">
        <x:v>10128581</x:v>
      </x:c>
      <x:c r="E23" s="147" t="s">
        <x:v>226</x:v>
      </x:c>
      <x:c r="O23" s="147" t="s">
        <x:v>355</x:v>
      </x:c>
    </x:row>
    <x:row r="24" spans="1:17" x14ac:dyDescent="0.25">
      <x:c r="D24" s="147" t="n">
        <x:v>10128582</x:v>
      </x:c>
      <x:c r="E24" s="147" t="s">
        <x:v>95</x:v>
      </x:c>
      <x:c r="O24" s="147" t="s">
        <x:v>356</x:v>
      </x:c>
    </x:row>
    <x:row r="25" spans="1:17" x14ac:dyDescent="0.25">
      <x:c r="D25" s="147" t="n">
        <x:v>10128595</x:v>
      </x:c>
      <x:c r="E25" s="147" t="s">
        <x:v>95</x:v>
      </x:c>
      <x:c r="O25" s="147" t="s">
        <x:v>357</x:v>
      </x:c>
    </x:row>
    <x:row r="26" spans="1:17" x14ac:dyDescent="0.25">
      <x:c r="D26" s="147" t="n">
        <x:v>10128596</x:v>
      </x:c>
      <x:c r="E26" s="147" t="s">
        <x:v>58</x:v>
      </x:c>
      <x:c r="O26" s="147" t="s">
        <x:v>358</x:v>
      </x:c>
    </x:row>
    <x:row r="27" spans="1:17" x14ac:dyDescent="0.25">
      <x:c r="D27" s="147" t="n">
        <x:v>10128597</x:v>
      </x:c>
      <x:c r="E27" s="147" t="s">
        <x:v>226</x:v>
      </x:c>
      <x:c r="O27" s="147" t="s">
        <x:v>359</x:v>
      </x:c>
    </x:row>
    <x:row r="28" spans="1:17" x14ac:dyDescent="0.25">
      <x:c r="D28" s="147" t="n">
        <x:v>10128598</x:v>
      </x:c>
      <x:c r="E28" s="147" t="s">
        <x:v>95</x:v>
      </x:c>
      <x:c r="O28" s="147" t="s">
        <x:v>360</x:v>
      </x:c>
    </x:row>
    <x:row r="29" spans="1:17" x14ac:dyDescent="0.25">
      <x:c r="D29" s="147" t="n">
        <x:v>10128599</x:v>
      </x:c>
      <x:c r="E29" s="147" t="s">
        <x:v>104</x:v>
      </x:c>
      <x:c r="O29" s="147" t="s">
        <x:v>361</x:v>
      </x:c>
    </x:row>
    <x:row r="30" spans="1:17" x14ac:dyDescent="0.25">
      <x:c r="D30" s="147" t="n">
        <x:v>10128600</x:v>
      </x:c>
      <x:c r="E30" s="147" t="s">
        <x:v>226</x:v>
      </x:c>
      <x:c r="O30" s="147" t="s">
        <x:v>362</x:v>
      </x:c>
    </x:row>
    <x:row r="31" spans="1:17" x14ac:dyDescent="0.25">
      <x:c r="D31" s="147" t="n">
        <x:v>10128579</x:v>
      </x:c>
      <x:c r="E31" s="147" t="s">
        <x:v>104</x:v>
      </x:c>
      <x:c r="O31" s="147" t="s">
        <x:v>363</x:v>
      </x:c>
    </x:row>
    <x:row r="32" spans="1:17" x14ac:dyDescent="0.25">
      <x:c r="D32" s="147" t="n">
        <x:v>10128580</x:v>
      </x:c>
      <x:c r="E32" s="147" t="s">
        <x:v>226</x:v>
      </x:c>
      <x:c r="O32" s="147" t="s">
        <x:v>364</x:v>
      </x:c>
    </x:row>
    <x:row r="33" spans="1:17" x14ac:dyDescent="0.25">
      <x:c r="D33" s="147" t="n">
        <x:v>10128581</x:v>
      </x:c>
      <x:c r="E33" s="147" t="s">
        <x:v>226</x:v>
      </x:c>
      <x:c r="O33" s="147" t="s">
        <x:v>365</x:v>
      </x:c>
    </x:row>
    <x:row r="34" spans="1:17" x14ac:dyDescent="0.25">
      <x:c r="D34" s="147" t="n">
        <x:v>10128582</x:v>
      </x:c>
      <x:c r="E34" s="147" t="s">
        <x:v>95</x:v>
      </x:c>
      <x:c r="O34" s="147" t="s">
        <x:v>366</x:v>
      </x:c>
    </x:row>
    <x:row r="35" spans="1:17" x14ac:dyDescent="0.25">
      <x:c r="D35" s="147" t="n">
        <x:v>10128595</x:v>
      </x:c>
      <x:c r="E35" s="147" t="s">
        <x:v>95</x:v>
      </x:c>
      <x:c r="O35" s="147" t="s">
        <x:v>367</x:v>
      </x:c>
    </x:row>
    <x:row r="36" spans="1:17" x14ac:dyDescent="0.25">
      <x:c r="D36" s="147" t="n">
        <x:v>10128596</x:v>
      </x:c>
      <x:c r="E36" s="147" t="s">
        <x:v>58</x:v>
      </x:c>
      <x:c r="O36" s="147" t="s">
        <x:v>368</x:v>
      </x:c>
    </x:row>
    <x:row r="37" spans="1:17" x14ac:dyDescent="0.25">
      <x:c r="D37" s="147" t="n">
        <x:v>10128597</x:v>
      </x:c>
      <x:c r="E37" s="147" t="s">
        <x:v>226</x:v>
      </x:c>
      <x:c r="O37" s="147" t="s">
        <x:v>369</x:v>
      </x:c>
    </x:row>
    <x:row r="38" spans="1:17" x14ac:dyDescent="0.25">
      <x:c r="D38" s="147" t="n">
        <x:v>10128598</x:v>
      </x:c>
      <x:c r="E38" s="147" t="s">
        <x:v>95</x:v>
      </x:c>
      <x:c r="O38" s="147" t="s">
        <x:v>370</x:v>
      </x:c>
    </x:row>
    <x:row r="39" spans="1:17" x14ac:dyDescent="0.25">
      <x:c r="D39" s="147" t="n">
        <x:v>10128599</x:v>
      </x:c>
      <x:c r="E39" s="147" t="s">
        <x:v>104</x:v>
      </x:c>
      <x:c r="O39" s="147" t="s">
        <x:v>371</x:v>
      </x:c>
    </x:row>
    <x:row r="40" spans="1:17" x14ac:dyDescent="0.25">
      <x:c r="D40" s="147" t="n">
        <x:v>10128600</x:v>
      </x:c>
      <x:c r="E40" s="147" t="s">
        <x:v>226</x:v>
      </x:c>
      <x:c r="O40" s="147" t="s">
        <x:v>372</x:v>
      </x:c>
    </x:row>
    <x:row r="41" spans="1:17" x14ac:dyDescent="0.25">
      <x:c r="D41" s="147" t="n">
        <x:v>10128579</x:v>
      </x:c>
      <x:c r="E41" s="147" t="s">
        <x:v>104</x:v>
      </x:c>
      <x:c r="O41" s="147" t="s">
        <x:v>373</x:v>
      </x:c>
    </x:row>
    <x:row r="42" spans="1:17" x14ac:dyDescent="0.25">
      <x:c r="D42" s="147" t="n">
        <x:v>10128580</x:v>
      </x:c>
      <x:c r="E42" s="147" t="s">
        <x:v>226</x:v>
      </x:c>
      <x:c r="O42" s="147" t="s">
        <x:v>374</x:v>
      </x:c>
    </x:row>
    <x:row r="43" spans="1:17" x14ac:dyDescent="0.25">
      <x:c r="D43" s="147" t="n">
        <x:v>10128581</x:v>
      </x:c>
      <x:c r="E43" s="147" t="s">
        <x:v>226</x:v>
      </x:c>
      <x:c r="O43" s="147" t="s">
        <x:v>375</x:v>
      </x:c>
    </x:row>
    <x:row r="44" spans="1:17" x14ac:dyDescent="0.25">
      <x:c r="D44" s="147" t="n">
        <x:v>10128582</x:v>
      </x:c>
      <x:c r="E44" s="147" t="s">
        <x:v>95</x:v>
      </x:c>
      <x:c r="O44" s="147" t="s">
        <x:v>376</x:v>
      </x:c>
    </x:row>
    <x:row r="45" spans="1:17" x14ac:dyDescent="0.25">
      <x:c r="D45" s="147" t="n">
        <x:v>10128595</x:v>
      </x:c>
      <x:c r="E45" s="147" t="s">
        <x:v>95</x:v>
      </x:c>
      <x:c r="O45" s="147" t="s">
        <x:v>377</x:v>
      </x:c>
    </x:row>
    <x:row r="46" spans="1:17" x14ac:dyDescent="0.25">
      <x:c r="D46" s="147" t="n">
        <x:v>10128596</x:v>
      </x:c>
      <x:c r="E46" s="147" t="s">
        <x:v>58</x:v>
      </x:c>
      <x:c r="O46" s="147" t="s">
        <x:v>378</x:v>
      </x:c>
    </x:row>
    <x:row r="47" spans="1:17" x14ac:dyDescent="0.25">
      <x:c r="D47" s="147" t="n">
        <x:v>10128597</x:v>
      </x:c>
      <x:c r="E47" s="147" t="s">
        <x:v>226</x:v>
      </x:c>
      <x:c r="O47" s="147" t="s">
        <x:v>379</x:v>
      </x:c>
    </x:row>
    <x:row r="48" spans="1:17" x14ac:dyDescent="0.25">
      <x:c r="D48" s="147" t="n">
        <x:v>10128598</x:v>
      </x:c>
      <x:c r="E48" s="147" t="s">
        <x:v>95</x:v>
      </x:c>
      <x:c r="O48" s="147" t="s">
        <x:v>380</x:v>
      </x:c>
    </x:row>
    <x:row r="49" spans="1:17" x14ac:dyDescent="0.25">
      <x:c r="D49" s="147" t="n">
        <x:v>10128599</x:v>
      </x:c>
      <x:c r="E49" s="147" t="s">
        <x:v>104</x:v>
      </x:c>
      <x:c r="O49" s="147" t="s">
        <x:v>381</x:v>
      </x:c>
    </x:row>
    <x:row r="50" spans="1:17" x14ac:dyDescent="0.25">
      <x:c r="D50" s="147" t="n">
        <x:v>10128600</x:v>
      </x:c>
      <x:c r="E50" s="147" t="s">
        <x:v>226</x:v>
      </x:c>
      <x:c r="O50" s="147" t="s">
        <x:v>382</x:v>
      </x:c>
    </x:row>
    <x:row r="51" spans="1:17" x14ac:dyDescent="0.25">
      <x:c r="D51" s="147" t="n">
        <x:v>10128579</x:v>
      </x:c>
      <x:c r="E51" s="147" t="s">
        <x:v>104</x:v>
      </x:c>
      <x:c r="O51" s="147" t="s">
        <x:v>383</x:v>
      </x:c>
    </x:row>
    <x:row r="52" spans="1:17" x14ac:dyDescent="0.25">
      <x:c r="D52" s="147" t="n">
        <x:v>10128580</x:v>
      </x:c>
      <x:c r="E52" s="147" t="s">
        <x:v>226</x:v>
      </x:c>
      <x:c r="O52" s="147" t="s">
        <x:v>384</x:v>
      </x:c>
    </x:row>
    <x:row r="53" spans="1:17" x14ac:dyDescent="0.25">
      <x:c r="D53" s="147" t="n">
        <x:v>10128581</x:v>
      </x:c>
      <x:c r="E53" s="147" t="s">
        <x:v>226</x:v>
      </x:c>
      <x:c r="O53" s="147" t="s">
        <x:v>385</x:v>
      </x:c>
    </x:row>
    <x:row r="54" spans="1:17" x14ac:dyDescent="0.25">
      <x:c r="D54" s="147" t="n">
        <x:v>10128582</x:v>
      </x:c>
      <x:c r="E54" s="147" t="s">
        <x:v>95</x:v>
      </x:c>
      <x:c r="O54" s="147" t="s">
        <x:v>386</x:v>
      </x:c>
    </x:row>
    <x:row r="55" spans="1:17" x14ac:dyDescent="0.25">
      <x:c r="D55" s="147" t="n">
        <x:v>10128595</x:v>
      </x:c>
      <x:c r="E55" s="147" t="s">
        <x:v>95</x:v>
      </x:c>
      <x:c r="O55" s="147" t="s">
        <x:v>387</x:v>
      </x:c>
    </x:row>
    <x:row r="56" spans="1:17" x14ac:dyDescent="0.25">
      <x:c r="D56" s="147" t="n">
        <x:v>10128596</x:v>
      </x:c>
      <x:c r="E56" s="147" t="s">
        <x:v>58</x:v>
      </x:c>
      <x:c r="O56" s="147" t="s">
        <x:v>388</x:v>
      </x:c>
    </x:row>
    <x:row r="57" spans="1:17" x14ac:dyDescent="0.25">
      <x:c r="D57" s="147" t="n">
        <x:v>10128597</x:v>
      </x:c>
      <x:c r="E57" s="147" t="s">
        <x:v>226</x:v>
      </x:c>
      <x:c r="O57" s="147" t="s">
        <x:v>389</x:v>
      </x:c>
    </x:row>
    <x:row r="58" spans="1:17" x14ac:dyDescent="0.25">
      <x:c r="D58" s="147" t="n">
        <x:v>10128598</x:v>
      </x:c>
      <x:c r="E58" s="147" t="s">
        <x:v>95</x:v>
      </x:c>
      <x:c r="O58" s="147" t="s">
        <x:v>390</x:v>
      </x:c>
    </x:row>
    <x:row r="59" spans="1:17" x14ac:dyDescent="0.25">
      <x:c r="D59" s="147" t="n">
        <x:v>10128599</x:v>
      </x:c>
      <x:c r="E59" s="147" t="s">
        <x:v>104</x:v>
      </x:c>
      <x:c r="O59" s="147" t="s">
        <x:v>391</x:v>
      </x:c>
    </x:row>
    <x:row r="60" spans="1:17" x14ac:dyDescent="0.25">
      <x:c r="D60" s="147" t="n">
        <x:v>10128600</x:v>
      </x:c>
      <x:c r="E60" s="147" t="s">
        <x:v>226</x:v>
      </x:c>
      <x:c r="O60" s="147" t="s">
        <x:v>392</x:v>
      </x:c>
    </x:row>
    <x:row r="61" spans="1:17" x14ac:dyDescent="0.25">
      <x:c r="D61" s="147" t="n">
        <x:v>10128579</x:v>
      </x:c>
      <x:c r="E61" s="147" t="s">
        <x:v>104</x:v>
      </x:c>
      <x:c r="O61" s="147" t="s">
        <x:v>393</x:v>
      </x:c>
    </x:row>
    <x:row r="62" spans="1:17" x14ac:dyDescent="0.25">
      <x:c r="D62" s="147" t="n">
        <x:v>10128580</x:v>
      </x:c>
      <x:c r="E62" s="147" t="s">
        <x:v>226</x:v>
      </x:c>
      <x:c r="O62" s="147" t="s">
        <x:v>394</x:v>
      </x:c>
    </x:row>
    <x:row r="63" spans="1:17" x14ac:dyDescent="0.25">
      <x:c r="D63" s="147" t="n">
        <x:v>10128581</x:v>
      </x:c>
      <x:c r="E63" s="147" t="s">
        <x:v>226</x:v>
      </x:c>
      <x:c r="O63" s="147" t="s">
        <x:v>395</x:v>
      </x:c>
    </x:row>
    <x:row r="64" spans="1:17" x14ac:dyDescent="0.25">
      <x:c r="D64" s="147" t="n">
        <x:v>10128582</x:v>
      </x:c>
      <x:c r="E64" s="147" t="s">
        <x:v>95</x:v>
      </x:c>
      <x:c r="O64" s="147" t="s">
        <x:v>31</x:v>
      </x:c>
    </x:row>
    <x:row r="65" spans="1:17" x14ac:dyDescent="0.25">
      <x:c r="D65" s="147" t="n">
        <x:v>10128595</x:v>
      </x:c>
      <x:c r="E65" s="147" t="s">
        <x:v>95</x:v>
      </x:c>
      <x:c r="O65" s="147" t="s">
        <x:v>396</x:v>
      </x:c>
    </x:row>
    <x:row r="66" spans="1:17" x14ac:dyDescent="0.25">
      <x:c r="D66" s="147" t="n">
        <x:v>10128596</x:v>
      </x:c>
      <x:c r="E66" s="147" t="s">
        <x:v>58</x:v>
      </x:c>
      <x:c r="O66" s="147" t="s">
        <x:v>397</x:v>
      </x:c>
    </x:row>
    <x:row r="67" spans="1:17" x14ac:dyDescent="0.25">
      <x:c r="D67" s="147" t="n">
        <x:v>10128597</x:v>
      </x:c>
      <x:c r="E67" s="147" t="s">
        <x:v>226</x:v>
      </x:c>
      <x:c r="O67" s="147" t="s">
        <x:v>398</x:v>
      </x:c>
    </x:row>
    <x:row r="68" spans="1:17" x14ac:dyDescent="0.25">
      <x:c r="D68" s="147" t="n">
        <x:v>10128598</x:v>
      </x:c>
      <x:c r="E68" s="147" t="s">
        <x:v>95</x:v>
      </x:c>
      <x:c r="O68" s="147" t="s">
        <x:v>399</x:v>
      </x:c>
    </x:row>
    <x:row r="69" spans="1:17" x14ac:dyDescent="0.25">
      <x:c r="D69" s="147" t="n">
        <x:v>10128599</x:v>
      </x:c>
      <x:c r="E69" s="147" t="s">
        <x:v>104</x:v>
      </x:c>
      <x:c r="O69" s="147" t="s">
        <x:v>400</x:v>
      </x:c>
    </x:row>
    <x:row r="70" spans="1:17" x14ac:dyDescent="0.25">
      <x:c r="D70" s="147" t="n">
        <x:v>10128600</x:v>
      </x:c>
      <x:c r="E70" s="147" t="s">
        <x:v>226</x:v>
      </x:c>
      <x:c r="O70" s="147" t="s">
        <x:v>401</x:v>
      </x:c>
    </x:row>
    <x:row r="71" spans="1:17">
      <x:c r="D71" s="147" t="n">
        <x:v>10128579</x:v>
      </x:c>
      <x:c r="E71" s="147" t="s">
        <x:v>104</x:v>
      </x:c>
    </x:row>
    <x:row r="72" spans="1:17">
      <x:c r="D72" s="147" t="n">
        <x:v>10128580</x:v>
      </x:c>
      <x:c r="E72" s="147" t="s">
        <x:v>226</x:v>
      </x:c>
    </x:row>
    <x:row r="73" spans="1:17">
      <x:c r="D73" s="147" t="n">
        <x:v>10128581</x:v>
      </x:c>
      <x:c r="E73" s="147" t="s">
        <x:v>226</x:v>
      </x:c>
    </x:row>
    <x:row r="74" spans="1:17">
      <x:c r="D74" s="147" t="n">
        <x:v>10128582</x:v>
      </x:c>
      <x:c r="E74" s="147" t="s">
        <x:v>95</x:v>
      </x:c>
    </x:row>
    <x:row r="75" spans="1:17">
      <x:c r="D75" s="147" t="n">
        <x:v>10128595</x:v>
      </x:c>
      <x:c r="E75" s="147" t="s">
        <x:v>95</x:v>
      </x:c>
    </x:row>
    <x:row r="76" spans="1:17">
      <x:c r="D76" s="147" t="n">
        <x:v>10128596</x:v>
      </x:c>
      <x:c r="E76" s="147" t="s">
        <x:v>58</x:v>
      </x:c>
    </x:row>
    <x:row r="77" spans="1:17">
      <x:c r="D77" s="147" t="n">
        <x:v>10128597</x:v>
      </x:c>
      <x:c r="E77" s="147" t="s">
        <x:v>226</x:v>
      </x:c>
    </x:row>
    <x:row r="78" spans="1:17">
      <x:c r="D78" s="147" t="n">
        <x:v>10128598</x:v>
      </x:c>
      <x:c r="E78" s="147" t="s">
        <x:v>95</x:v>
      </x:c>
    </x:row>
    <x:row r="79" spans="1:17">
      <x:c r="D79" s="147" t="n">
        <x:v>10128599</x:v>
      </x:c>
      <x:c r="E79" s="147" t="s">
        <x:v>104</x:v>
      </x:c>
    </x:row>
    <x:row r="80" spans="1:17">
      <x:c r="D80" s="147" t="n">
        <x:v>10128600</x:v>
      </x:c>
      <x:c r="E80" s="147" t="s">
        <x:v>226</x:v>
      </x:c>
    </x:row>
    <x:row r="81" spans="1:17">
      <x:c r="D81" s="147" t="n">
        <x:v>10128579</x:v>
      </x:c>
      <x:c r="E81" s="147" t="s">
        <x:v>104</x:v>
      </x:c>
    </x:row>
    <x:row r="82" spans="1:17">
      <x:c r="D82" s="147" t="n">
        <x:v>10128580</x:v>
      </x:c>
      <x:c r="E82" s="147" t="s">
        <x:v>226</x:v>
      </x:c>
    </x:row>
    <x:row r="83" spans="1:17">
      <x:c r="D83" s="147" t="n">
        <x:v>10128581</x:v>
      </x:c>
      <x:c r="E83" s="147" t="s">
        <x:v>226</x:v>
      </x:c>
    </x:row>
    <x:row r="84" spans="1:17">
      <x:c r="D84" s="147" t="n">
        <x:v>10128582</x:v>
      </x:c>
      <x:c r="E84" s="147" t="s">
        <x:v>95</x:v>
      </x:c>
    </x:row>
    <x:row r="85" spans="1:17">
      <x:c r="D85" s="147" t="n">
        <x:v>10128595</x:v>
      </x:c>
      <x:c r="E85" s="147" t="s">
        <x:v>95</x:v>
      </x:c>
    </x:row>
    <x:row r="86" spans="1:17">
      <x:c r="D86" s="147" t="n">
        <x:v>10128596</x:v>
      </x:c>
      <x:c r="E86" s="147" t="s">
        <x:v>58</x:v>
      </x:c>
    </x:row>
    <x:row r="87" spans="1:17">
      <x:c r="D87" s="147" t="n">
        <x:v>10128597</x:v>
      </x:c>
      <x:c r="E87" s="147" t="s">
        <x:v>226</x:v>
      </x:c>
    </x:row>
    <x:row r="88" spans="1:17">
      <x:c r="D88" s="147" t="n">
        <x:v>10128598</x:v>
      </x:c>
      <x:c r="E88" s="147" t="s">
        <x:v>95</x:v>
      </x:c>
    </x:row>
    <x:row r="89" spans="1:17">
      <x:c r="D89" s="147" t="n">
        <x:v>10128599</x:v>
      </x:c>
      <x:c r="E89" s="147" t="s">
        <x:v>104</x:v>
      </x:c>
    </x:row>
    <x:row r="90" spans="1:17">
      <x:c r="D90" s="147" t="n">
        <x:v>10128600</x:v>
      </x:c>
      <x:c r="E90" s="147" t="s">
        <x:v>226</x:v>
      </x:c>
    </x:row>
    <x:row r="91" spans="1:17">
      <x:c r="D91" s="147" t="n">
        <x:v>10128579</x:v>
      </x:c>
      <x:c r="E91" s="147" t="s">
        <x:v>104</x:v>
      </x:c>
    </x:row>
    <x:row r="92" spans="1:17">
      <x:c r="D92" s="147" t="n">
        <x:v>10128580</x:v>
      </x:c>
      <x:c r="E92" s="147" t="s">
        <x:v>226</x:v>
      </x:c>
    </x:row>
    <x:row r="93" spans="1:17">
      <x:c r="D93" s="147" t="n">
        <x:v>10128581</x:v>
      </x:c>
      <x:c r="E93" s="147" t="s">
        <x:v>226</x:v>
      </x:c>
    </x:row>
    <x:row r="94" spans="1:17">
      <x:c r="D94" s="147" t="n">
        <x:v>10128582</x:v>
      </x:c>
      <x:c r="E94" s="147" t="s">
        <x:v>95</x:v>
      </x:c>
    </x:row>
    <x:row r="95" spans="1:17">
      <x:c r="D95" s="147" t="n">
        <x:v>10128595</x:v>
      </x:c>
      <x:c r="E95" s="147" t="s">
        <x:v>95</x:v>
      </x:c>
    </x:row>
    <x:row r="96" spans="1:17">
      <x:c r="D96" s="147" t="n">
        <x:v>10128596</x:v>
      </x:c>
      <x:c r="E96" s="147" t="s">
        <x:v>58</x:v>
      </x:c>
    </x:row>
    <x:row r="97" spans="1:17">
      <x:c r="D97" s="147" t="n">
        <x:v>10128597</x:v>
      </x:c>
      <x:c r="E97" s="147" t="s">
        <x:v>226</x:v>
      </x:c>
    </x:row>
    <x:row r="98" spans="1:17">
      <x:c r="D98" s="147" t="n">
        <x:v>10128598</x:v>
      </x:c>
      <x:c r="E98" s="147" t="s">
        <x:v>95</x:v>
      </x:c>
    </x:row>
    <x:row r="99" spans="1:17">
      <x:c r="D99" s="147" t="n">
        <x:v>10128599</x:v>
      </x:c>
      <x:c r="E99" s="147" t="s">
        <x:v>104</x:v>
      </x:c>
    </x:row>
    <x:row r="100" spans="1:17">
      <x:c r="D100" s="147" t="n">
        <x:v>10128600</x:v>
      </x:c>
      <x:c r="E100" s="147" t="s">
        <x:v>226</x:v>
      </x:c>
    </x:row>
    <x:row r="101" spans="1:17">
      <x:c r="D101" s="147" t="n">
        <x:v>10128579</x:v>
      </x:c>
      <x:c r="E101" s="147" t="s">
        <x:v>104</x:v>
      </x:c>
    </x:row>
    <x:row r="102" spans="1:17">
      <x:c r="D102" s="147" t="n">
        <x:v>10128580</x:v>
      </x:c>
      <x:c r="E102" s="147" t="s">
        <x:v>226</x:v>
      </x:c>
    </x:row>
    <x:row r="103" spans="1:17">
      <x:c r="D103" s="147" t="n">
        <x:v>10128581</x:v>
      </x:c>
      <x:c r="E103" s="147" t="s">
        <x:v>226</x:v>
      </x:c>
    </x:row>
    <x:row r="104" spans="1:17">
      <x:c r="D104" s="147" t="n">
        <x:v>10128582</x:v>
      </x:c>
      <x:c r="E104" s="147" t="s">
        <x:v>95</x:v>
      </x:c>
    </x:row>
    <x:row r="105" spans="1:17">
      <x:c r="D105" s="147" t="n">
        <x:v>10128595</x:v>
      </x:c>
      <x:c r="E105" s="147" t="s">
        <x:v>95</x:v>
      </x:c>
    </x:row>
    <x:row r="106" spans="1:17">
      <x:c r="D106" s="147" t="n">
        <x:v>10128596</x:v>
      </x:c>
      <x:c r="E106" s="147" t="s">
        <x:v>58</x:v>
      </x:c>
    </x:row>
    <x:row r="107" spans="1:17">
      <x:c r="D107" s="147" t="n">
        <x:v>10128597</x:v>
      </x:c>
      <x:c r="E107" s="147" t="s">
        <x:v>226</x:v>
      </x:c>
    </x:row>
    <x:row r="108" spans="1:17">
      <x:c r="D108" s="147" t="n">
        <x:v>10128598</x:v>
      </x:c>
      <x:c r="E108" s="147" t="s">
        <x:v>95</x:v>
      </x:c>
    </x:row>
    <x:row r="109" spans="1:17">
      <x:c r="D109" s="147" t="n">
        <x:v>10128599</x:v>
      </x:c>
      <x:c r="E109" s="147" t="s">
        <x:v>104</x:v>
      </x:c>
    </x:row>
    <x:row r="110" spans="1:17">
      <x:c r="D110" s="147" t="n">
        <x:v>10128600</x:v>
      </x:c>
      <x:c r="E110" s="147" t="s">
        <x:v>226</x:v>
      </x:c>
    </x:row>
    <x:row r="111" spans="1:17">
      <x:c r="D111" s="147" t="n">
        <x:v>10128579</x:v>
      </x:c>
      <x:c r="E111" s="147" t="s">
        <x:v>104</x:v>
      </x:c>
    </x:row>
    <x:row r="112" spans="1:17">
      <x:c r="D112" s="147" t="n">
        <x:v>10128580</x:v>
      </x:c>
      <x:c r="E112" s="147" t="s">
        <x:v>226</x:v>
      </x:c>
    </x:row>
    <x:row r="113" spans="1:17">
      <x:c r="D113" s="147" t="n">
        <x:v>10128581</x:v>
      </x:c>
      <x:c r="E113" s="147" t="s">
        <x:v>226</x:v>
      </x:c>
    </x:row>
    <x:row r="114" spans="1:17">
      <x:c r="D114" s="147" t="n">
        <x:v>10128582</x:v>
      </x:c>
      <x:c r="E114" s="147" t="s">
        <x:v>95</x:v>
      </x:c>
    </x:row>
    <x:row r="115" spans="1:17">
      <x:c r="D115" s="147" t="n">
        <x:v>10128595</x:v>
      </x:c>
      <x:c r="E115" s="147" t="s">
        <x:v>95</x:v>
      </x:c>
    </x:row>
    <x:row r="116" spans="1:17">
      <x:c r="D116" s="147" t="n">
        <x:v>10128596</x:v>
      </x:c>
      <x:c r="E116" s="147" t="s">
        <x:v>58</x:v>
      </x:c>
    </x:row>
    <x:row r="117" spans="1:17">
      <x:c r="D117" s="147" t="n">
        <x:v>10128597</x:v>
      </x:c>
      <x:c r="E117" s="147" t="s">
        <x:v>226</x:v>
      </x:c>
    </x:row>
    <x:row r="118" spans="1:17">
      <x:c r="D118" s="147" t="n">
        <x:v>10128598</x:v>
      </x:c>
      <x:c r="E118" s="147" t="s">
        <x:v>95</x:v>
      </x:c>
    </x:row>
    <x:row r="119" spans="1:17">
      <x:c r="D119" s="147" t="n">
        <x:v>10128599</x:v>
      </x:c>
      <x:c r="E119" s="147" t="s">
        <x:v>104</x:v>
      </x:c>
    </x:row>
    <x:row r="120" spans="1:17">
      <x:c r="D120" s="147" t="n">
        <x:v>10128600</x:v>
      </x:c>
      <x:c r="E120" s="147" t="s">
        <x:v>226</x:v>
      </x:c>
    </x:row>
    <x:row r="121" spans="1:17">
      <x:c r="D121" s="147" t="n">
        <x:v>10128579</x:v>
      </x:c>
      <x:c r="E121" s="147" t="s">
        <x:v>104</x:v>
      </x:c>
    </x:row>
    <x:row r="122" spans="1:17">
      <x:c r="D122" s="147" t="n">
        <x:v>10128580</x:v>
      </x:c>
      <x:c r="E122" s="147" t="s">
        <x:v>226</x:v>
      </x:c>
    </x:row>
    <x:row r="123" spans="1:17">
      <x:c r="D123" s="147" t="n">
        <x:v>10128581</x:v>
      </x:c>
      <x:c r="E123" s="147" t="s">
        <x:v>226</x:v>
      </x:c>
    </x:row>
    <x:row r="124" spans="1:17">
      <x:c r="D124" s="147" t="n">
        <x:v>10128582</x:v>
      </x:c>
      <x:c r="E124" s="147" t="s">
        <x:v>95</x:v>
      </x:c>
    </x:row>
    <x:row r="125" spans="1:17">
      <x:c r="D125" s="147" t="n">
        <x:v>10128595</x:v>
      </x:c>
      <x:c r="E125" s="147" t="s">
        <x:v>95</x:v>
      </x:c>
    </x:row>
    <x:row r="126" spans="1:17">
      <x:c r="D126" s="147" t="n">
        <x:v>10128596</x:v>
      </x:c>
      <x:c r="E126" s="147" t="s">
        <x:v>58</x:v>
      </x:c>
    </x:row>
    <x:row r="127" spans="1:17">
      <x:c r="D127" s="147" t="n">
        <x:v>10128597</x:v>
      </x:c>
      <x:c r="E127" s="147" t="s">
        <x:v>226</x:v>
      </x:c>
    </x:row>
    <x:row r="128" spans="1:17">
      <x:c r="D128" s="147" t="n">
        <x:v>10128598</x:v>
      </x:c>
      <x:c r="E128" s="147" t="s">
        <x:v>95</x:v>
      </x:c>
    </x:row>
    <x:row r="129" spans="1:17">
      <x:c r="D129" s="147" t="n">
        <x:v>10128599</x:v>
      </x:c>
      <x:c r="E129" s="147" t="s">
        <x:v>104</x:v>
      </x:c>
    </x:row>
    <x:row r="130" spans="1:17">
      <x:c r="D130" s="147" t="n">
        <x:v>10128600</x:v>
      </x:c>
      <x:c r="E130" s="147" t="s">
        <x:v>226</x:v>
      </x:c>
    </x:row>
    <x:row r="131" spans="1:17">
      <x:c r="D131" s="147" t="n">
        <x:v>10128579</x:v>
      </x:c>
      <x:c r="E131" s="147" t="s">
        <x:v>104</x:v>
      </x:c>
    </x:row>
    <x:row r="132" spans="1:17">
      <x:c r="D132" s="147" t="n">
        <x:v>10128580</x:v>
      </x:c>
      <x:c r="E132" s="147" t="s">
        <x:v>226</x:v>
      </x:c>
    </x:row>
    <x:row r="133" spans="1:17">
      <x:c r="D133" s="147" t="n">
        <x:v>10128581</x:v>
      </x:c>
      <x:c r="E133" s="147" t="s">
        <x:v>226</x:v>
      </x:c>
    </x:row>
    <x:row r="134" spans="1:17">
      <x:c r="D134" s="147" t="n">
        <x:v>10128582</x:v>
      </x:c>
      <x:c r="E134" s="147" t="s">
        <x:v>95</x:v>
      </x:c>
    </x:row>
    <x:row r="135" spans="1:17">
      <x:c r="D135" s="147" t="n">
        <x:v>10128595</x:v>
      </x:c>
      <x:c r="E135" s="147" t="s">
        <x:v>95</x:v>
      </x:c>
    </x:row>
    <x:row r="136" spans="1:17">
      <x:c r="D136" s="147" t="n">
        <x:v>10128596</x:v>
      </x:c>
      <x:c r="E136" s="147" t="s">
        <x:v>58</x:v>
      </x:c>
    </x:row>
    <x:row r="137" spans="1:17">
      <x:c r="D137" s="147" t="n">
        <x:v>10128597</x:v>
      </x:c>
      <x:c r="E137" s="147" t="s">
        <x:v>226</x:v>
      </x:c>
    </x:row>
    <x:row r="138" spans="1:17">
      <x:c r="D138" s="147" t="n">
        <x:v>10128598</x:v>
      </x:c>
      <x:c r="E138" s="147" t="s">
        <x:v>95</x:v>
      </x:c>
    </x:row>
    <x:row r="139" spans="1:17">
      <x:c r="D139" s="147" t="n">
        <x:v>10128599</x:v>
      </x:c>
      <x:c r="E139" s="147" t="s">
        <x:v>104</x:v>
      </x:c>
    </x:row>
    <x:row r="140" spans="1:17">
      <x:c r="D140" s="147" t="n">
        <x:v>10128600</x:v>
      </x:c>
      <x:c r="E140" s="147" t="s">
        <x:v>226</x:v>
      </x:c>
    </x:row>
    <x:row r="141" spans="1:17">
      <x:c r="D141" s="147" t="n">
        <x:v>10128579</x:v>
      </x:c>
      <x:c r="E141" s="147" t="s">
        <x:v>104</x:v>
      </x:c>
    </x:row>
    <x:row r="142" spans="1:17">
      <x:c r="D142" s="147" t="n">
        <x:v>10128580</x:v>
      </x:c>
      <x:c r="E142" s="147" t="s">
        <x:v>226</x:v>
      </x:c>
    </x:row>
    <x:row r="143" spans="1:17">
      <x:c r="D143" s="147" t="n">
        <x:v>10128581</x:v>
      </x:c>
      <x:c r="E143" s="147" t="s">
        <x:v>226</x:v>
      </x:c>
    </x:row>
    <x:row r="144" spans="1:17">
      <x:c r="D144" s="147" t="n">
        <x:v>10128582</x:v>
      </x:c>
      <x:c r="E144" s="147" t="s">
        <x:v>95</x:v>
      </x:c>
    </x:row>
    <x:row r="145" spans="1:17">
      <x:c r="D145" s="147" t="n">
        <x:v>10128595</x:v>
      </x:c>
      <x:c r="E145" s="147" t="s">
        <x:v>95</x:v>
      </x:c>
    </x:row>
    <x:row r="146" spans="1:17">
      <x:c r="D146" s="147" t="n">
        <x:v>10128596</x:v>
      </x:c>
      <x:c r="E146" s="147" t="s">
        <x:v>58</x:v>
      </x:c>
    </x:row>
    <x:row r="147" spans="1:17">
      <x:c r="D147" s="147" t="n">
        <x:v>10128597</x:v>
      </x:c>
      <x:c r="E147" s="147" t="s">
        <x:v>226</x:v>
      </x:c>
    </x:row>
    <x:row r="148" spans="1:17">
      <x:c r="D148" s="147" t="n">
        <x:v>10128598</x:v>
      </x:c>
      <x:c r="E148" s="147" t="s">
        <x:v>95</x:v>
      </x:c>
    </x:row>
    <x:row r="149" spans="1:17">
      <x:c r="D149" s="147" t="n">
        <x:v>10128599</x:v>
      </x:c>
      <x:c r="E149" s="147" t="s">
        <x:v>104</x:v>
      </x:c>
    </x:row>
    <x:row r="150" spans="1:17">
      <x:c r="D150" s="147" t="n">
        <x:v>10128600</x:v>
      </x:c>
      <x:c r="E150" s="147" t="s">
        <x:v>226</x:v>
      </x:c>
    </x:row>
    <x:row r="151" spans="1:17">
      <x:c r="D151" s="147" t="n">
        <x:v>10128579</x:v>
      </x:c>
      <x:c r="E151" s="147" t="s">
        <x:v>104</x:v>
      </x:c>
    </x:row>
    <x:row r="152" spans="1:17">
      <x:c r="D152" s="147" t="n">
        <x:v>10128580</x:v>
      </x:c>
      <x:c r="E152" s="147" t="s">
        <x:v>226</x:v>
      </x:c>
    </x:row>
    <x:row r="153" spans="1:17">
      <x:c r="D153" s="147" t="n">
        <x:v>10128581</x:v>
      </x:c>
      <x:c r="E153" s="147" t="s">
        <x:v>226</x:v>
      </x:c>
    </x:row>
    <x:row r="154" spans="1:17">
      <x:c r="D154" s="147" t="n">
        <x:v>10128582</x:v>
      </x:c>
      <x:c r="E154" s="147" t="s">
        <x:v>95</x:v>
      </x:c>
    </x:row>
    <x:row r="155" spans="1:17">
      <x:c r="D155" s="147" t="n">
        <x:v>10128595</x:v>
      </x:c>
      <x:c r="E155" s="147" t="s">
        <x:v>95</x:v>
      </x:c>
    </x:row>
    <x:row r="156" spans="1:17">
      <x:c r="D156" s="147" t="n">
        <x:v>10128596</x:v>
      </x:c>
      <x:c r="E156" s="147" t="s">
        <x:v>58</x:v>
      </x:c>
    </x:row>
    <x:row r="157" spans="1:17">
      <x:c r="D157" s="147" t="n">
        <x:v>10128597</x:v>
      </x:c>
      <x:c r="E157" s="147" t="s">
        <x:v>226</x:v>
      </x:c>
    </x:row>
    <x:row r="158" spans="1:17">
      <x:c r="D158" s="147" t="n">
        <x:v>10128598</x:v>
      </x:c>
      <x:c r="E158" s="147" t="s">
        <x:v>95</x:v>
      </x:c>
    </x:row>
    <x:row r="159" spans="1:17">
      <x:c r="D159" s="147" t="n">
        <x:v>10128599</x:v>
      </x:c>
      <x:c r="E159" s="147" t="s">
        <x:v>104</x:v>
      </x:c>
    </x:row>
    <x:row r="160" spans="1:17">
      <x:c r="D160" s="147" t="n">
        <x:v>10128600</x:v>
      </x:c>
      <x:c r="E160" s="147" t="s">
        <x:v>226</x:v>
      </x:c>
    </x:row>
    <x:row r="161" spans="1:17">
      <x:c r="D161" s="147" t="n">
        <x:v>10128579</x:v>
      </x:c>
      <x:c r="E161" s="147" t="s">
        <x:v>104</x:v>
      </x:c>
    </x:row>
    <x:row r="162" spans="1:17">
      <x:c r="D162" s="147" t="n">
        <x:v>10128580</x:v>
      </x:c>
      <x:c r="E162" s="147" t="s">
        <x:v>226</x:v>
      </x:c>
    </x:row>
    <x:row r="163" spans="1:17">
      <x:c r="D163" s="147" t="n">
        <x:v>10128581</x:v>
      </x:c>
      <x:c r="E163" s="147" t="s">
        <x:v>226</x:v>
      </x:c>
    </x:row>
    <x:row r="164" spans="1:17">
      <x:c r="D164" s="147" t="n">
        <x:v>10128582</x:v>
      </x:c>
      <x:c r="E164" s="147" t="s">
        <x:v>95</x:v>
      </x:c>
    </x:row>
    <x:row r="165" spans="1:17">
      <x:c r="D165" s="147" t="n">
        <x:v>10128595</x:v>
      </x:c>
      <x:c r="E165" s="147" t="s">
        <x:v>95</x:v>
      </x:c>
    </x:row>
    <x:row r="166" spans="1:17">
      <x:c r="D166" s="147" t="n">
        <x:v>10128596</x:v>
      </x:c>
      <x:c r="E166" s="147" t="s">
        <x:v>58</x:v>
      </x:c>
    </x:row>
    <x:row r="167" spans="1:17">
      <x:c r="D167" s="147" t="n">
        <x:v>10128597</x:v>
      </x:c>
      <x:c r="E167" s="147" t="s">
        <x:v>226</x:v>
      </x:c>
    </x:row>
    <x:row r="168" spans="1:17">
      <x:c r="D168" s="147" t="n">
        <x:v>10128598</x:v>
      </x:c>
      <x:c r="E168" s="147" t="s">
        <x:v>95</x:v>
      </x:c>
    </x:row>
    <x:row r="169" spans="1:17">
      <x:c r="D169" s="147" t="n">
        <x:v>10128599</x:v>
      </x:c>
      <x:c r="E169" s="147" t="s">
        <x:v>104</x:v>
      </x:c>
    </x:row>
    <x:row r="170" spans="1:17">
      <x:c r="D170" s="147" t="n">
        <x:v>10128600</x:v>
      </x:c>
      <x:c r="E170" s="147" t="s">
        <x:v>226</x:v>
      </x:c>
    </x:row>
    <x:row r="171" spans="1:17">
      <x:c r="D171" s="147" t="n">
        <x:v>10128579</x:v>
      </x:c>
      <x:c r="E171" s="147" t="s">
        <x:v>104</x:v>
      </x:c>
    </x:row>
    <x:row r="172" spans="1:17">
      <x:c r="D172" s="147" t="n">
        <x:v>10128580</x:v>
      </x:c>
      <x:c r="E172" s="147" t="s">
        <x:v>226</x:v>
      </x:c>
    </x:row>
    <x:row r="173" spans="1:17">
      <x:c r="D173" s="147" t="n">
        <x:v>10128581</x:v>
      </x:c>
      <x:c r="E173" s="147" t="s">
        <x:v>226</x:v>
      </x:c>
    </x:row>
    <x:row r="174" spans="1:17">
      <x:c r="D174" s="147" t="n">
        <x:v>10128582</x:v>
      </x:c>
      <x:c r="E174" s="147" t="s">
        <x:v>95</x:v>
      </x:c>
    </x:row>
    <x:row r="175" spans="1:17">
      <x:c r="D175" s="147" t="n">
        <x:v>10128595</x:v>
      </x:c>
      <x:c r="E175" s="147" t="s">
        <x:v>95</x:v>
      </x:c>
    </x:row>
    <x:row r="176" spans="1:17">
      <x:c r="D176" s="147" t="n">
        <x:v>10128596</x:v>
      </x:c>
      <x:c r="E176" s="147" t="s">
        <x:v>58</x:v>
      </x:c>
    </x:row>
    <x:row r="177" spans="1:17">
      <x:c r="D177" s="147" t="n">
        <x:v>10128597</x:v>
      </x:c>
      <x:c r="E177" s="147" t="s">
        <x:v>226</x:v>
      </x:c>
    </x:row>
    <x:row r="178" spans="1:17">
      <x:c r="D178" s="147" t="n">
        <x:v>10128598</x:v>
      </x:c>
      <x:c r="E178" s="147" t="s">
        <x:v>95</x:v>
      </x:c>
    </x:row>
    <x:row r="179" spans="1:17">
      <x:c r="D179" s="147" t="n">
        <x:v>10128599</x:v>
      </x:c>
      <x:c r="E179" s="147" t="s">
        <x:v>104</x:v>
      </x:c>
    </x:row>
    <x:row r="180" spans="1:17">
      <x:c r="D180" s="147" t="n">
        <x:v>10128600</x:v>
      </x:c>
      <x:c r="E180" s="147" t="s">
        <x:v>226</x:v>
      </x:c>
    </x:row>
    <x:row r="181" spans="1:17">
      <x:c r="D181" s="147" t="n">
        <x:v>10128579</x:v>
      </x:c>
      <x:c r="E181" s="147" t="s">
        <x:v>104</x:v>
      </x:c>
    </x:row>
    <x:row r="182" spans="1:17">
      <x:c r="D182" s="147" t="n">
        <x:v>10128580</x:v>
      </x:c>
      <x:c r="E182" s="147" t="s">
        <x:v>226</x:v>
      </x:c>
    </x:row>
    <x:row r="183" spans="1:17">
      <x:c r="D183" s="147" t="n">
        <x:v>10128581</x:v>
      </x:c>
      <x:c r="E183" s="147" t="s">
        <x:v>226</x:v>
      </x:c>
    </x:row>
    <x:row r="184" spans="1:17">
      <x:c r="D184" s="147" t="n">
        <x:v>10128582</x:v>
      </x:c>
      <x:c r="E184" s="147" t="s">
        <x:v>95</x:v>
      </x:c>
    </x:row>
    <x:row r="185" spans="1:17">
      <x:c r="D185" s="147" t="n">
        <x:v>10128595</x:v>
      </x:c>
      <x:c r="E185" s="147" t="s">
        <x:v>95</x:v>
      </x:c>
    </x:row>
    <x:row r="186" spans="1:17">
      <x:c r="D186" s="147" t="n">
        <x:v>10128596</x:v>
      </x:c>
      <x:c r="E186" s="147" t="s">
        <x:v>58</x:v>
      </x:c>
    </x:row>
    <x:row r="187" spans="1:17">
      <x:c r="D187" s="147" t="n">
        <x:v>10128597</x:v>
      </x:c>
      <x:c r="E187" s="147" t="s">
        <x:v>226</x:v>
      </x:c>
    </x:row>
    <x:row r="188" spans="1:17">
      <x:c r="D188" s="147" t="n">
        <x:v>10128598</x:v>
      </x:c>
      <x:c r="E188" s="147" t="s">
        <x:v>95</x:v>
      </x:c>
    </x:row>
    <x:row r="189" spans="1:17">
      <x:c r="D189" s="147" t="n">
        <x:v>10128599</x:v>
      </x:c>
      <x:c r="E189" s="147" t="s">
        <x:v>104</x:v>
      </x:c>
    </x:row>
    <x:row r="190" spans="1:17">
      <x:c r="D190" s="147" t="n">
        <x:v>10128600</x:v>
      </x:c>
      <x:c r="E190" s="147" t="s">
        <x:v>226</x:v>
      </x:c>
    </x:row>
    <x:row r="191" spans="1:17">
      <x:c r="D191" s="147" t="n">
        <x:v>10128579</x:v>
      </x:c>
      <x:c r="E191" s="147" t="s">
        <x:v>104</x:v>
      </x:c>
    </x:row>
    <x:row r="192" spans="1:17">
      <x:c r="D192" s="147" t="n">
        <x:v>10128580</x:v>
      </x:c>
      <x:c r="E192" s="147" t="s">
        <x:v>226</x:v>
      </x:c>
    </x:row>
    <x:row r="193" spans="1:17">
      <x:c r="D193" s="147" t="n">
        <x:v>10128581</x:v>
      </x:c>
      <x:c r="E193" s="147" t="s">
        <x:v>226</x:v>
      </x:c>
    </x:row>
    <x:row r="194" spans="1:17">
      <x:c r="D194" s="147" t="n">
        <x:v>10128582</x:v>
      </x:c>
      <x:c r="E194" s="147" t="s">
        <x:v>95</x:v>
      </x:c>
    </x:row>
    <x:row r="195" spans="1:17">
      <x:c r="D195" s="147" t="n">
        <x:v>10128595</x:v>
      </x:c>
      <x:c r="E195" s="147" t="s">
        <x:v>95</x:v>
      </x:c>
    </x:row>
    <x:row r="196" spans="1:17">
      <x:c r="D196" s="147" t="n">
        <x:v>10128596</x:v>
      </x:c>
      <x:c r="E196" s="147" t="s">
        <x:v>58</x:v>
      </x:c>
    </x:row>
    <x:row r="197" spans="1:17">
      <x:c r="D197" s="147" t="n">
        <x:v>10128597</x:v>
      </x:c>
      <x:c r="E197" s="147" t="s">
        <x:v>226</x:v>
      </x:c>
    </x:row>
    <x:row r="198" spans="1:17">
      <x:c r="D198" s="147" t="n">
        <x:v>10128598</x:v>
      </x:c>
      <x:c r="E198" s="147" t="s">
        <x:v>95</x:v>
      </x:c>
    </x:row>
    <x:row r="199" spans="1:17">
      <x:c r="D199" s="147" t="n">
        <x:v>10128599</x:v>
      </x:c>
      <x:c r="E199" s="147" t="s">
        <x:v>104</x:v>
      </x:c>
    </x:row>
    <x:row r="200" spans="1:17">
      <x:c r="D200" s="147" t="n">
        <x:v>10128600</x:v>
      </x:c>
      <x:c r="E200" s="147" t="s">
        <x:v>226</x:v>
      </x:c>
    </x:row>
    <x:row r="201" spans="1:17">
      <x:c r="D201" s="147" t="n">
        <x:v>10128579</x:v>
      </x:c>
      <x:c r="E201" s="147" t="s">
        <x:v>104</x:v>
      </x:c>
    </x:row>
    <x:row r="202" spans="1:17">
      <x:c r="D202" s="147" t="n">
        <x:v>10128580</x:v>
      </x:c>
      <x:c r="E202" s="147" t="s">
        <x:v>226</x:v>
      </x:c>
    </x:row>
    <x:row r="203" spans="1:17">
      <x:c r="D203" s="147" t="n">
        <x:v>10128581</x:v>
      </x:c>
      <x:c r="E203" s="147" t="s">
        <x:v>226</x:v>
      </x:c>
    </x:row>
    <x:row r="204" spans="1:17">
      <x:c r="D204" s="147" t="n">
        <x:v>10128582</x:v>
      </x:c>
      <x:c r="E204" s="147" t="s">
        <x:v>95</x:v>
      </x:c>
    </x:row>
    <x:row r="205" spans="1:17">
      <x:c r="D205" s="147" t="n">
        <x:v>10128595</x:v>
      </x:c>
      <x:c r="E205" s="147" t="s">
        <x:v>95</x:v>
      </x:c>
    </x:row>
    <x:row r="206" spans="1:17">
      <x:c r="D206" s="147" t="n">
        <x:v>10128596</x:v>
      </x:c>
      <x:c r="E206" s="147" t="s">
        <x:v>58</x:v>
      </x:c>
    </x:row>
    <x:row r="207" spans="1:17">
      <x:c r="D207" s="147" t="n">
        <x:v>10128597</x:v>
      </x:c>
      <x:c r="E207" s="147" t="s">
        <x:v>226</x:v>
      </x:c>
    </x:row>
    <x:row r="208" spans="1:17">
      <x:c r="D208" s="147" t="n">
        <x:v>10128598</x:v>
      </x:c>
      <x:c r="E208" s="147" t="s">
        <x:v>95</x:v>
      </x:c>
    </x:row>
    <x:row r="209" spans="1:17">
      <x:c r="D209" s="147" t="n">
        <x:v>10128599</x:v>
      </x:c>
      <x:c r="E209" s="147" t="s">
        <x:v>104</x:v>
      </x:c>
    </x:row>
    <x:row r="210" spans="1:17">
      <x:c r="D210" s="147" t="n">
        <x:v>10128600</x:v>
      </x:c>
      <x:c r="E210" s="147" t="s">
        <x:v>226</x:v>
      </x:c>
    </x:row>
    <x:row r="211" spans="1:17">
      <x:c r="D211" s="147" t="n">
        <x:v>10128579</x:v>
      </x:c>
      <x:c r="E211" s="147" t="s">
        <x:v>104</x:v>
      </x:c>
    </x:row>
    <x:row r="212" spans="1:17">
      <x:c r="D212" s="147" t="n">
        <x:v>10128580</x:v>
      </x:c>
      <x:c r="E212" s="147" t="s">
        <x:v>226</x:v>
      </x:c>
    </x:row>
    <x:row r="213" spans="1:17">
      <x:c r="D213" s="147" t="n">
        <x:v>10128581</x:v>
      </x:c>
      <x:c r="E213" s="147" t="s">
        <x:v>226</x:v>
      </x:c>
    </x:row>
    <x:row r="214" spans="1:17">
      <x:c r="D214" s="147" t="n">
        <x:v>10128582</x:v>
      </x:c>
      <x:c r="E214" s="147" t="s">
        <x:v>95</x:v>
      </x:c>
    </x:row>
    <x:row r="215" spans="1:17">
      <x:c r="D215" s="147" t="n">
        <x:v>10128595</x:v>
      </x:c>
      <x:c r="E215" s="147" t="s">
        <x:v>95</x:v>
      </x:c>
    </x:row>
    <x:row r="216" spans="1:17">
      <x:c r="D216" s="147" t="n">
        <x:v>10128596</x:v>
      </x:c>
      <x:c r="E216" s="147" t="s">
        <x:v>58</x:v>
      </x:c>
    </x:row>
    <x:row r="217" spans="1:17">
      <x:c r="D217" s="147" t="n">
        <x:v>10128597</x:v>
      </x:c>
      <x:c r="E217" s="147" t="s">
        <x:v>226</x:v>
      </x:c>
    </x:row>
    <x:row r="218" spans="1:17">
      <x:c r="D218" s="147" t="n">
        <x:v>10128598</x:v>
      </x:c>
      <x:c r="E218" s="147" t="s">
        <x:v>95</x:v>
      </x:c>
    </x:row>
    <x:row r="219" spans="1:17">
      <x:c r="D219" s="147" t="n">
        <x:v>10128599</x:v>
      </x:c>
      <x:c r="E219" s="147" t="s">
        <x:v>104</x:v>
      </x:c>
    </x:row>
    <x:row r="220" spans="1:17">
      <x:c r="D220" s="147" t="n">
        <x:v>10128600</x:v>
      </x:c>
      <x:c r="E220" s="147" t="s">
        <x:v>226</x:v>
      </x:c>
    </x:row>
    <x:row r="221" spans="1:17">
      <x:c r="D221" s="147" t="n">
        <x:v>10128579</x:v>
      </x:c>
      <x:c r="E221" s="147" t="s">
        <x:v>104</x:v>
      </x:c>
    </x:row>
    <x:row r="222" spans="1:17">
      <x:c r="D222" s="147" t="n">
        <x:v>10128580</x:v>
      </x:c>
      <x:c r="E222" s="147" t="s">
        <x:v>226</x:v>
      </x:c>
    </x:row>
    <x:row r="223" spans="1:17">
      <x:c r="D223" s="147" t="n">
        <x:v>10128581</x:v>
      </x:c>
      <x:c r="E223" s="147" t="s">
        <x:v>226</x:v>
      </x:c>
    </x:row>
    <x:row r="224" spans="1:17">
      <x:c r="D224" s="147" t="n">
        <x:v>10128582</x:v>
      </x:c>
      <x:c r="E224" s="147" t="s">
        <x:v>95</x:v>
      </x:c>
    </x:row>
    <x:row r="225" spans="1:17">
      <x:c r="D225" s="147" t="n">
        <x:v>10128595</x:v>
      </x:c>
      <x:c r="E225" s="147" t="s">
        <x:v>95</x:v>
      </x:c>
    </x:row>
    <x:row r="226" spans="1:17">
      <x:c r="D226" s="147" t="n">
        <x:v>10128596</x:v>
      </x:c>
      <x:c r="E226" s="147" t="s">
        <x:v>58</x:v>
      </x:c>
    </x:row>
    <x:row r="227" spans="1:17">
      <x:c r="D227" s="147" t="n">
        <x:v>10128597</x:v>
      </x:c>
      <x:c r="E227" s="147" t="s">
        <x:v>226</x:v>
      </x:c>
    </x:row>
    <x:row r="228" spans="1:17">
      <x:c r="D228" s="147" t="n">
        <x:v>10128598</x:v>
      </x:c>
      <x:c r="E228" s="147" t="s">
        <x:v>95</x:v>
      </x:c>
    </x:row>
    <x:row r="229" spans="1:17">
      <x:c r="D229" s="147" t="n">
        <x:v>10128599</x:v>
      </x:c>
      <x:c r="E229" s="147" t="s">
        <x:v>104</x:v>
      </x:c>
    </x:row>
    <x:row r="230" spans="1:17">
      <x:c r="D230" s="147" t="n">
        <x:v>10128600</x:v>
      </x:c>
      <x:c r="E230" s="147" t="s">
        <x:v>226</x:v>
      </x:c>
    </x:row>
    <x:row r="231" spans="1:17">
      <x:c r="D231" s="147" t="n">
        <x:v>10128579</x:v>
      </x:c>
      <x:c r="E231" s="147" t="s">
        <x:v>104</x:v>
      </x:c>
    </x:row>
    <x:row r="232" spans="1:17">
      <x:c r="D232" s="147" t="n">
        <x:v>10128580</x:v>
      </x:c>
      <x:c r="E232" s="147" t="s">
        <x:v>226</x:v>
      </x:c>
    </x:row>
    <x:row r="233" spans="1:17">
      <x:c r="D233" s="147" t="n">
        <x:v>10128581</x:v>
      </x:c>
      <x:c r="E233" s="147" t="s">
        <x:v>226</x:v>
      </x:c>
    </x:row>
    <x:row r="234" spans="1:17">
      <x:c r="D234" s="147" t="n">
        <x:v>10128582</x:v>
      </x:c>
      <x:c r="E234" s="147" t="s">
        <x:v>95</x:v>
      </x:c>
    </x:row>
    <x:row r="235" spans="1:17">
      <x:c r="D235" s="147" t="n">
        <x:v>10128595</x:v>
      </x:c>
      <x:c r="E235" s="147" t="s">
        <x:v>95</x:v>
      </x:c>
    </x:row>
    <x:row r="236" spans="1:17">
      <x:c r="D236" s="147" t="n">
        <x:v>10128596</x:v>
      </x:c>
      <x:c r="E236" s="147" t="s">
        <x:v>58</x:v>
      </x:c>
    </x:row>
    <x:row r="237" spans="1:17">
      <x:c r="D237" s="147" t="n">
        <x:v>10128597</x:v>
      </x:c>
      <x:c r="E237" s="147" t="s">
        <x:v>226</x:v>
      </x:c>
    </x:row>
    <x:row r="238" spans="1:17">
      <x:c r="D238" s="147" t="n">
        <x:v>10128598</x:v>
      </x:c>
      <x:c r="E238" s="147" t="s">
        <x:v>95</x:v>
      </x:c>
    </x:row>
    <x:row r="239" spans="1:17">
      <x:c r="D239" s="147" t="n">
        <x:v>10128599</x:v>
      </x:c>
      <x:c r="E239" s="147" t="s">
        <x:v>104</x:v>
      </x:c>
    </x:row>
    <x:row r="240" spans="1:17">
      <x:c r="D240" s="147" t="n">
        <x:v>10128600</x:v>
      </x:c>
      <x:c r="E240" s="147" t="s">
        <x:v>226</x:v>
      </x:c>
    </x:row>
    <x:row r="241" spans="1:17">
      <x:c r="D241" s="147" t="n">
        <x:v>10128579</x:v>
      </x:c>
      <x:c r="E241" s="147" t="s">
        <x:v>104</x:v>
      </x:c>
    </x:row>
    <x:row r="242" spans="1:17">
      <x:c r="D242" s="147" t="n">
        <x:v>10128580</x:v>
      </x:c>
      <x:c r="E242" s="147" t="s">
        <x:v>226</x:v>
      </x:c>
    </x:row>
    <x:row r="243" spans="1:17">
      <x:c r="D243" s="147" t="n">
        <x:v>10128581</x:v>
      </x:c>
      <x:c r="E243" s="147" t="s">
        <x:v>226</x:v>
      </x:c>
    </x:row>
    <x:row r="244" spans="1:17">
      <x:c r="D244" s="147" t="n">
        <x:v>10128582</x:v>
      </x:c>
      <x:c r="E244" s="147" t="s">
        <x:v>95</x:v>
      </x:c>
    </x:row>
    <x:row r="245" spans="1:17">
      <x:c r="D245" s="147" t="n">
        <x:v>10128595</x:v>
      </x:c>
      <x:c r="E245" s="147" t="s">
        <x:v>95</x:v>
      </x:c>
    </x:row>
    <x:row r="246" spans="1:17">
      <x:c r="D246" s="147" t="n">
        <x:v>10128596</x:v>
      </x:c>
      <x:c r="E246" s="147" t="s">
        <x:v>58</x:v>
      </x:c>
    </x:row>
    <x:row r="247" spans="1:17">
      <x:c r="D247" s="147" t="n">
        <x:v>10128597</x:v>
      </x:c>
      <x:c r="E247" s="147" t="s">
        <x:v>226</x:v>
      </x:c>
    </x:row>
    <x:row r="248" spans="1:17">
      <x:c r="D248" s="147" t="n">
        <x:v>10128598</x:v>
      </x:c>
      <x:c r="E248" s="147" t="s">
        <x:v>95</x:v>
      </x:c>
    </x:row>
    <x:row r="249" spans="1:17">
      <x:c r="D249" s="147" t="n">
        <x:v>10128599</x:v>
      </x:c>
      <x:c r="E249" s="147" t="s">
        <x:v>104</x:v>
      </x:c>
    </x:row>
    <x:row r="250" spans="1:17">
      <x:c r="D250" s="147" t="n">
        <x:v>10128600</x:v>
      </x:c>
      <x:c r="E250" s="147" t="s">
        <x:v>226</x:v>
      </x:c>
    </x:row>
    <x:row r="251" spans="1:17">
      <x:c r="D251" s="147" t="n">
        <x:v>10128579</x:v>
      </x:c>
      <x:c r="E251" s="147" t="s">
        <x:v>104</x:v>
      </x:c>
    </x:row>
    <x:row r="252" spans="1:17">
      <x:c r="D252" s="147" t="n">
        <x:v>10128580</x:v>
      </x:c>
      <x:c r="E252" s="147" t="s">
        <x:v>226</x:v>
      </x:c>
    </x:row>
    <x:row r="253" spans="1:17">
      <x:c r="D253" s="147" t="n">
        <x:v>10128581</x:v>
      </x:c>
      <x:c r="E253" s="147" t="s">
        <x:v>226</x:v>
      </x:c>
    </x:row>
    <x:row r="254" spans="1:17">
      <x:c r="D254" s="147" t="n">
        <x:v>10128582</x:v>
      </x:c>
      <x:c r="E254" s="147" t="s">
        <x:v>95</x:v>
      </x:c>
    </x:row>
    <x:row r="255" spans="1:17">
      <x:c r="D255" s="147" t="n">
        <x:v>10128595</x:v>
      </x:c>
      <x:c r="E255" s="147" t="s">
        <x:v>95</x:v>
      </x:c>
    </x:row>
    <x:row r="256" spans="1:17">
      <x:c r="D256" s="147" t="n">
        <x:v>10128596</x:v>
      </x:c>
      <x:c r="E256" s="147" t="s">
        <x:v>58</x:v>
      </x:c>
    </x:row>
    <x:row r="257" spans="1:17">
      <x:c r="D257" s="147" t="n">
        <x:v>10128597</x:v>
      </x:c>
      <x:c r="E257" s="147" t="s">
        <x:v>226</x:v>
      </x:c>
    </x:row>
    <x:row r="258" spans="1:17">
      <x:c r="D258" s="147" t="n">
        <x:v>10128598</x:v>
      </x:c>
      <x:c r="E258" s="147" t="s">
        <x:v>95</x:v>
      </x:c>
    </x:row>
    <x:row r="259" spans="1:17">
      <x:c r="D259" s="147" t="n">
        <x:v>10128599</x:v>
      </x:c>
      <x:c r="E259" s="147" t="s">
        <x:v>104</x:v>
      </x:c>
    </x:row>
    <x:row r="260" spans="1:17">
      <x:c r="D260" s="147" t="n">
        <x:v>10128600</x:v>
      </x:c>
      <x:c r="E260" s="147" t="s">
        <x:v>226</x:v>
      </x:c>
    </x:row>
    <x:row r="261" spans="1:17">
      <x:c r="D261" s="147" t="n">
        <x:v>10128579</x:v>
      </x:c>
      <x:c r="E261" s="147" t="s">
        <x:v>104</x:v>
      </x:c>
    </x:row>
    <x:row r="262" spans="1:17">
      <x:c r="D262" s="147" t="n">
        <x:v>10128580</x:v>
      </x:c>
      <x:c r="E262" s="147" t="s">
        <x:v>226</x:v>
      </x:c>
    </x:row>
    <x:row r="263" spans="1:17">
      <x:c r="D263" s="147" t="n">
        <x:v>10128581</x:v>
      </x:c>
      <x:c r="E263" s="147" t="s">
        <x:v>226</x:v>
      </x:c>
    </x:row>
    <x:row r="264" spans="1:17">
      <x:c r="D264" s="147" t="n">
        <x:v>10128582</x:v>
      </x:c>
      <x:c r="E264" s="147" t="s">
        <x:v>95</x:v>
      </x:c>
    </x:row>
    <x:row r="265" spans="1:17">
      <x:c r="D265" s="147" t="n">
        <x:v>10128595</x:v>
      </x:c>
      <x:c r="E265" s="147" t="s">
        <x:v>95</x:v>
      </x:c>
    </x:row>
    <x:row r="266" spans="1:17">
      <x:c r="D266" s="147" t="n">
        <x:v>10128596</x:v>
      </x:c>
      <x:c r="E266" s="147" t="s">
        <x:v>58</x:v>
      </x:c>
    </x:row>
    <x:row r="267" spans="1:17">
      <x:c r="D267" s="147" t="n">
        <x:v>10128597</x:v>
      </x:c>
      <x:c r="E267" s="147" t="s">
        <x:v>226</x:v>
      </x:c>
    </x:row>
    <x:row r="268" spans="1:17">
      <x:c r="D268" s="147" t="n">
        <x:v>10128598</x:v>
      </x:c>
      <x:c r="E268" s="147" t="s">
        <x:v>95</x:v>
      </x:c>
    </x:row>
    <x:row r="269" spans="1:17">
      <x:c r="D269" s="147" t="n">
        <x:v>10128599</x:v>
      </x:c>
      <x:c r="E269" s="147" t="s">
        <x:v>104</x:v>
      </x:c>
    </x:row>
    <x:row r="270" spans="1:17">
      <x:c r="D270" s="147" t="n">
        <x:v>10128600</x:v>
      </x:c>
      <x:c r="E270" s="147" t="s">
        <x:v>226</x:v>
      </x:c>
    </x:row>
    <x:row r="271" spans="1:17">
      <x:c r="D271" s="147" t="n">
        <x:v>10128579</x:v>
      </x:c>
      <x:c r="E271" s="147" t="s">
        <x:v>104</x:v>
      </x:c>
    </x:row>
    <x:row r="272" spans="1:17">
      <x:c r="D272" s="147" t="n">
        <x:v>10128580</x:v>
      </x:c>
      <x:c r="E272" s="147" t="s">
        <x:v>226</x:v>
      </x:c>
    </x:row>
    <x:row r="273" spans="1:17">
      <x:c r="D273" s="147" t="n">
        <x:v>10128581</x:v>
      </x:c>
      <x:c r="E273" s="147" t="s">
        <x:v>226</x:v>
      </x:c>
    </x:row>
    <x:row r="274" spans="1:17">
      <x:c r="D274" s="147" t="n">
        <x:v>10128582</x:v>
      </x:c>
      <x:c r="E274" s="147" t="s">
        <x:v>95</x:v>
      </x:c>
    </x:row>
    <x:row r="275" spans="1:17">
      <x:c r="D275" s="147" t="n">
        <x:v>10128595</x:v>
      </x:c>
      <x:c r="E275" s="147" t="s">
        <x:v>95</x:v>
      </x:c>
    </x:row>
    <x:row r="276" spans="1:17">
      <x:c r="D276" s="147" t="n">
        <x:v>10128596</x:v>
      </x:c>
      <x:c r="E276" s="147" t="s">
        <x:v>58</x:v>
      </x:c>
    </x:row>
    <x:row r="277" spans="1:17">
      <x:c r="D277" s="147" t="n">
        <x:v>10128597</x:v>
      </x:c>
      <x:c r="E277" s="147" t="s">
        <x:v>226</x:v>
      </x:c>
    </x:row>
    <x:row r="278" spans="1:17">
      <x:c r="D278" s="147" t="n">
        <x:v>10128598</x:v>
      </x:c>
      <x:c r="E278" s="147" t="s">
        <x:v>95</x:v>
      </x:c>
    </x:row>
    <x:row r="279" spans="1:17">
      <x:c r="D279" s="147" t="n">
        <x:v>10128599</x:v>
      </x:c>
      <x:c r="E279" s="147" t="s">
        <x:v>104</x:v>
      </x:c>
    </x:row>
    <x:row r="280" spans="1:17">
      <x:c r="D280" s="147" t="n">
        <x:v>10128600</x:v>
      </x:c>
      <x:c r="E280" s="147" t="s">
        <x:v>226</x:v>
      </x:c>
    </x:row>
    <x:row r="281" spans="1:17">
      <x:c r="D281" s="147" t="n">
        <x:v>10128579</x:v>
      </x:c>
      <x:c r="E281" s="147" t="s">
        <x:v>104</x:v>
      </x:c>
    </x:row>
    <x:row r="282" spans="1:17">
      <x:c r="D282" s="147" t="n">
        <x:v>10128580</x:v>
      </x:c>
      <x:c r="E282" s="147" t="s">
        <x:v>226</x:v>
      </x:c>
    </x:row>
    <x:row r="283" spans="1:17">
      <x:c r="D283" s="147" t="n">
        <x:v>10128581</x:v>
      </x:c>
      <x:c r="E283" s="147" t="s">
        <x:v>226</x:v>
      </x:c>
    </x:row>
    <x:row r="284" spans="1:17">
      <x:c r="D284" s="147" t="n">
        <x:v>10128582</x:v>
      </x:c>
      <x:c r="E284" s="147" t="s">
        <x:v>95</x:v>
      </x:c>
    </x:row>
    <x:row r="285" spans="1:17">
      <x:c r="D285" s="147" t="n">
        <x:v>10128595</x:v>
      </x:c>
      <x:c r="E285" s="147" t="s">
        <x:v>95</x:v>
      </x:c>
    </x:row>
    <x:row r="286" spans="1:17">
      <x:c r="D286" s="147" t="n">
        <x:v>10128596</x:v>
      </x:c>
      <x:c r="E286" s="147" t="s">
        <x:v>58</x:v>
      </x:c>
    </x:row>
    <x:row r="287" spans="1:17">
      <x:c r="D287" s="147" t="n">
        <x:v>10128597</x:v>
      </x:c>
      <x:c r="E287" s="147" t="s">
        <x:v>226</x:v>
      </x:c>
    </x:row>
    <x:row r="288" spans="1:17">
      <x:c r="D288" s="147" t="n">
        <x:v>10128598</x:v>
      </x:c>
      <x:c r="E288" s="147" t="s">
        <x:v>95</x:v>
      </x:c>
    </x:row>
    <x:row r="289" spans="1:17">
      <x:c r="D289" s="147" t="n">
        <x:v>10128599</x:v>
      </x:c>
      <x:c r="E289" s="147" t="s">
        <x:v>104</x:v>
      </x:c>
    </x:row>
    <x:row r="290" spans="1:17">
      <x:c r="D290" s="147" t="n">
        <x:v>10128600</x:v>
      </x:c>
      <x:c r="E290" s="147" t="s">
        <x:v>226</x:v>
      </x:c>
    </x:row>
    <x:row r="291" spans="1:17">
      <x:c r="D291" s="147" t="n">
        <x:v>10128579</x:v>
      </x:c>
      <x:c r="E291" s="147" t="s">
        <x:v>104</x:v>
      </x:c>
    </x:row>
    <x:row r="292" spans="1:17">
      <x:c r="D292" s="147" t="n">
        <x:v>10128580</x:v>
      </x:c>
      <x:c r="E292" s="147" t="s">
        <x:v>226</x:v>
      </x:c>
    </x:row>
    <x:row r="293" spans="1:17">
      <x:c r="D293" s="147" t="n">
        <x:v>10128581</x:v>
      </x:c>
      <x:c r="E293" s="147" t="s">
        <x:v>226</x:v>
      </x:c>
    </x:row>
    <x:row r="294" spans="1:17">
      <x:c r="D294" s="147" t="n">
        <x:v>10128582</x:v>
      </x:c>
      <x:c r="E294" s="147" t="s">
        <x:v>95</x:v>
      </x:c>
    </x:row>
    <x:row r="295" spans="1:17">
      <x:c r="D295" s="147" t="n">
        <x:v>10128595</x:v>
      </x:c>
      <x:c r="E295" s="147" t="s">
        <x:v>95</x:v>
      </x:c>
    </x:row>
    <x:row r="296" spans="1:17">
      <x:c r="D296" s="147" t="n">
        <x:v>10128596</x:v>
      </x:c>
      <x:c r="E296" s="147" t="s">
        <x:v>58</x:v>
      </x:c>
    </x:row>
    <x:row r="297" spans="1:17">
      <x:c r="D297" s="147" t="n">
        <x:v>10128597</x:v>
      </x:c>
      <x:c r="E297" s="147" t="s">
        <x:v>226</x:v>
      </x:c>
    </x:row>
    <x:row r="298" spans="1:17">
      <x:c r="D298" s="147" t="n">
        <x:v>10128598</x:v>
      </x:c>
      <x:c r="E298" s="147" t="s">
        <x:v>95</x:v>
      </x:c>
    </x:row>
    <x:row r="299" spans="1:17">
      <x:c r="D299" s="147" t="n">
        <x:v>10128599</x:v>
      </x:c>
      <x:c r="E299" s="147" t="s">
        <x:v>104</x:v>
      </x:c>
    </x:row>
    <x:row r="300" spans="1:17">
      <x:c r="D300" s="147" t="n">
        <x:v>10128600</x:v>
      </x:c>
      <x:c r="E300" s="147" t="s">
        <x:v>226</x:v>
      </x:c>
    </x:row>
    <x:row r="301" spans="1:17">
      <x:c r="D301" s="147" t="n">
        <x:v>10128579</x:v>
      </x:c>
      <x:c r="E301" s="147" t="s">
        <x:v>104</x:v>
      </x:c>
    </x:row>
    <x:row r="302" spans="1:17">
      <x:c r="D302" s="147" t="n">
        <x:v>10128580</x:v>
      </x:c>
      <x:c r="E302" s="147" t="s">
        <x:v>226</x:v>
      </x:c>
    </x:row>
    <x:row r="303" spans="1:17">
      <x:c r="D303" s="147" t="n">
        <x:v>10128581</x:v>
      </x:c>
      <x:c r="E303" s="147" t="s">
        <x:v>226</x:v>
      </x:c>
    </x:row>
    <x:row r="304" spans="1:17">
      <x:c r="D304" s="147" t="n">
        <x:v>10128582</x:v>
      </x:c>
      <x:c r="E304" s="147" t="s">
        <x:v>95</x:v>
      </x:c>
    </x:row>
    <x:row r="305" spans="1:17">
      <x:c r="D305" s="147" t="n">
        <x:v>10128595</x:v>
      </x:c>
      <x:c r="E305" s="147" t="s">
        <x:v>95</x:v>
      </x:c>
    </x:row>
    <x:row r="306" spans="1:17">
      <x:c r="D306" s="147" t="n">
        <x:v>10128596</x:v>
      </x:c>
      <x:c r="E306" s="147" t="s">
        <x:v>58</x:v>
      </x:c>
    </x:row>
    <x:row r="307" spans="1:17">
      <x:c r="D307" s="147" t="n">
        <x:v>10128597</x:v>
      </x:c>
      <x:c r="E307" s="147" t="s">
        <x:v>226</x:v>
      </x:c>
    </x:row>
    <x:row r="308" spans="1:17">
      <x:c r="D308" s="147" t="n">
        <x:v>10128598</x:v>
      </x:c>
      <x:c r="E308" s="147" t="s">
        <x:v>95</x:v>
      </x:c>
    </x:row>
    <x:row r="309" spans="1:17">
      <x:c r="D309" s="147" t="n">
        <x:v>10128599</x:v>
      </x:c>
      <x:c r="E309" s="147" t="s">
        <x:v>104</x:v>
      </x:c>
    </x:row>
    <x:row r="310" spans="1:17">
      <x:c r="D310" s="147" t="n">
        <x:v>10128600</x:v>
      </x:c>
      <x:c r="E310" s="147" t="s">
        <x:v>226</x:v>
      </x:c>
    </x:row>
    <x:row r="311" spans="1:17">
      <x:c r="D311" s="147" t="n">
        <x:v>10128579</x:v>
      </x:c>
      <x:c r="E311" s="147" t="s">
        <x:v>104</x:v>
      </x:c>
    </x:row>
    <x:row r="312" spans="1:17">
      <x:c r="D312" s="147" t="n">
        <x:v>10128580</x:v>
      </x:c>
      <x:c r="E312" s="147" t="s">
        <x:v>226</x:v>
      </x:c>
    </x:row>
    <x:row r="313" spans="1:17">
      <x:c r="D313" s="147" t="n">
        <x:v>10128581</x:v>
      </x:c>
      <x:c r="E313" s="147" t="s">
        <x:v>226</x:v>
      </x:c>
    </x:row>
    <x:row r="314" spans="1:17">
      <x:c r="D314" s="147" t="n">
        <x:v>10128582</x:v>
      </x:c>
      <x:c r="E314" s="147" t="s">
        <x:v>95</x:v>
      </x:c>
    </x:row>
    <x:row r="315" spans="1:17">
      <x:c r="D315" s="147" t="n">
        <x:v>10128595</x:v>
      </x:c>
      <x:c r="E315" s="147" t="s">
        <x:v>95</x:v>
      </x:c>
    </x:row>
    <x:row r="316" spans="1:17">
      <x:c r="D316" s="147" t="n">
        <x:v>10128596</x:v>
      </x:c>
      <x:c r="E316" s="147" t="s">
        <x:v>58</x:v>
      </x:c>
    </x:row>
    <x:row r="317" spans="1:17">
      <x:c r="D317" s="147" t="n">
        <x:v>10128597</x:v>
      </x:c>
      <x:c r="E317" s="147" t="s">
        <x:v>226</x:v>
      </x:c>
    </x:row>
    <x:row r="318" spans="1:17">
      <x:c r="D318" s="147" t="n">
        <x:v>10128598</x:v>
      </x:c>
      <x:c r="E318" s="147" t="s">
        <x:v>95</x:v>
      </x:c>
    </x:row>
    <x:row r="319" spans="1:17">
      <x:c r="D319" s="147" t="n">
        <x:v>10128599</x:v>
      </x:c>
      <x:c r="E319" s="147" t="s">
        <x:v>104</x:v>
      </x:c>
    </x:row>
    <x:row r="320" spans="1:17">
      <x:c r="D320" s="147" t="n">
        <x:v>10128600</x:v>
      </x:c>
      <x:c r="E320" s="147" t="s">
        <x:v>226</x:v>
      </x:c>
    </x:row>
    <x:row r="321" spans="1:17">
      <x:c r="D321" s="147" t="n">
        <x:v>10128579</x:v>
      </x:c>
      <x:c r="E321" s="147" t="s">
        <x:v>104</x:v>
      </x:c>
    </x:row>
    <x:row r="322" spans="1:17">
      <x:c r="D322" s="147" t="n">
        <x:v>10128580</x:v>
      </x:c>
      <x:c r="E322" s="147" t="s">
        <x:v>226</x:v>
      </x:c>
    </x:row>
    <x:row r="323" spans="1:17">
      <x:c r="D323" s="147" t="n">
        <x:v>10128581</x:v>
      </x:c>
      <x:c r="E323" s="147" t="s">
        <x:v>226</x:v>
      </x:c>
    </x:row>
    <x:row r="324" spans="1:17">
      <x:c r="D324" s="147" t="n">
        <x:v>10128582</x:v>
      </x:c>
      <x:c r="E324" s="147" t="s">
        <x:v>95</x:v>
      </x:c>
    </x:row>
    <x:row r="325" spans="1:17">
      <x:c r="D325" s="147" t="n">
        <x:v>10128595</x:v>
      </x:c>
      <x:c r="E325" s="147" t="s">
        <x:v>95</x:v>
      </x:c>
    </x:row>
    <x:row r="326" spans="1:17">
      <x:c r="D326" s="147" t="n">
        <x:v>10128596</x:v>
      </x:c>
      <x:c r="E326" s="147" t="s">
        <x:v>58</x:v>
      </x:c>
    </x:row>
    <x:row r="327" spans="1:17">
      <x:c r="D327" s="147" t="n">
        <x:v>10128597</x:v>
      </x:c>
      <x:c r="E327" s="147" t="s">
        <x:v>226</x:v>
      </x:c>
    </x:row>
    <x:row r="328" spans="1:17">
      <x:c r="D328" s="147" t="n">
        <x:v>10128598</x:v>
      </x:c>
      <x:c r="E328" s="147" t="s">
        <x:v>95</x:v>
      </x:c>
    </x:row>
    <x:row r="329" spans="1:17">
      <x:c r="D329" s="147" t="n">
        <x:v>10128599</x:v>
      </x:c>
      <x:c r="E329" s="147" t="s">
        <x:v>104</x:v>
      </x:c>
    </x:row>
    <x:row r="330" spans="1:17">
      <x:c r="D330" s="147" t="n">
        <x:v>10128600</x:v>
      </x:c>
      <x:c r="E330" s="147" t="s">
        <x:v>226</x:v>
      </x:c>
    </x:row>
    <x:row r="331" spans="1:17">
      <x:c r="D331" s="147" t="n">
        <x:v>10128579</x:v>
      </x:c>
      <x:c r="E331" s="147" t="s">
        <x:v>104</x:v>
      </x:c>
    </x:row>
    <x:row r="332" spans="1:17">
      <x:c r="D332" s="147" t="n">
        <x:v>10128580</x:v>
      </x:c>
      <x:c r="E332" s="147" t="s">
        <x:v>226</x:v>
      </x:c>
    </x:row>
    <x:row r="333" spans="1:17">
      <x:c r="D333" s="147" t="n">
        <x:v>10128581</x:v>
      </x:c>
      <x:c r="E333" s="147" t="s">
        <x:v>226</x:v>
      </x:c>
    </x:row>
    <x:row r="334" spans="1:17">
      <x:c r="D334" s="147" t="n">
        <x:v>10128582</x:v>
      </x:c>
      <x:c r="E334" s="147" t="s">
        <x:v>95</x:v>
      </x:c>
    </x:row>
    <x:row r="335" spans="1:17">
      <x:c r="D335" s="147" t="n">
        <x:v>10128595</x:v>
      </x:c>
      <x:c r="E335" s="147" t="s">
        <x:v>95</x:v>
      </x:c>
    </x:row>
    <x:row r="336" spans="1:17">
      <x:c r="D336" s="147" t="n">
        <x:v>10128596</x:v>
      </x:c>
      <x:c r="E336" s="147" t="s">
        <x:v>58</x:v>
      </x:c>
    </x:row>
    <x:row r="337" spans="1:17">
      <x:c r="D337" s="147" t="n">
        <x:v>10128597</x:v>
      </x:c>
      <x:c r="E337" s="147" t="s">
        <x:v>226</x:v>
      </x:c>
    </x:row>
    <x:row r="338" spans="1:17">
      <x:c r="D338" s="147" t="n">
        <x:v>10128598</x:v>
      </x:c>
      <x:c r="E338" s="147" t="s">
        <x:v>95</x:v>
      </x:c>
    </x:row>
    <x:row r="339" spans="1:17">
      <x:c r="D339" s="147" t="n">
        <x:v>10128599</x:v>
      </x:c>
      <x:c r="E339" s="147" t="s">
        <x:v>104</x:v>
      </x:c>
    </x:row>
    <x:row r="340" spans="1:17">
      <x:c r="D340" s="147" t="n">
        <x:v>10128600</x:v>
      </x:c>
      <x:c r="E340" s="147" t="s">
        <x:v>226</x:v>
      </x:c>
    </x:row>
    <x:row r="341" spans="1:17">
      <x:c r="D341" s="147" t="n">
        <x:v>10128579</x:v>
      </x:c>
      <x:c r="E341" s="147" t="s">
        <x:v>104</x:v>
      </x:c>
    </x:row>
    <x:row r="342" spans="1:17">
      <x:c r="D342" s="147" t="n">
        <x:v>10128580</x:v>
      </x:c>
      <x:c r="E342" s="147" t="s">
        <x:v>226</x:v>
      </x:c>
    </x:row>
    <x:row r="343" spans="1:17">
      <x:c r="D343" s="147" t="n">
        <x:v>10128581</x:v>
      </x:c>
      <x:c r="E343" s="147" t="s">
        <x:v>226</x:v>
      </x:c>
    </x:row>
    <x:row r="344" spans="1:17">
      <x:c r="D344" s="147" t="n">
        <x:v>10128582</x:v>
      </x:c>
      <x:c r="E344" s="147" t="s">
        <x:v>95</x:v>
      </x:c>
    </x:row>
    <x:row r="345" spans="1:17">
      <x:c r="D345" s="147" t="n">
        <x:v>10128595</x:v>
      </x:c>
      <x:c r="E345" s="147" t="s">
        <x:v>95</x:v>
      </x:c>
    </x:row>
    <x:row r="346" spans="1:17">
      <x:c r="D346" s="147" t="n">
        <x:v>10128596</x:v>
      </x:c>
      <x:c r="E346" s="147" t="s">
        <x:v>58</x:v>
      </x:c>
    </x:row>
    <x:row r="347" spans="1:17">
      <x:c r="D347" s="147" t="n">
        <x:v>10128597</x:v>
      </x:c>
      <x:c r="E347" s="147" t="s">
        <x:v>226</x:v>
      </x:c>
    </x:row>
    <x:row r="348" spans="1:17">
      <x:c r="D348" s="147" t="n">
        <x:v>10128598</x:v>
      </x:c>
      <x:c r="E348" s="147" t="s">
        <x:v>95</x:v>
      </x:c>
    </x:row>
    <x:row r="349" spans="1:17">
      <x:c r="D349" s="147" t="n">
        <x:v>10128599</x:v>
      </x:c>
      <x:c r="E349" s="147" t="s">
        <x:v>104</x:v>
      </x:c>
    </x:row>
    <x:row r="350" spans="1:17">
      <x:c r="D350" s="147" t="n">
        <x:v>10128600</x:v>
      </x:c>
      <x:c r="E350" s="147" t="s">
        <x:v>226</x:v>
      </x:c>
    </x:row>
    <x:row r="351" spans="1:17">
      <x:c r="D351" s="147" t="n">
        <x:v>10128579</x:v>
      </x:c>
      <x:c r="E351" s="147" t="s">
        <x:v>104</x:v>
      </x:c>
    </x:row>
    <x:row r="352" spans="1:17">
      <x:c r="D352" s="147" t="n">
        <x:v>10128580</x:v>
      </x:c>
      <x:c r="E352" s="147" t="s">
        <x:v>226</x:v>
      </x:c>
    </x:row>
    <x:row r="353" spans="1:17">
      <x:c r="D353" s="147" t="n">
        <x:v>10128581</x:v>
      </x:c>
      <x:c r="E353" s="147" t="s">
        <x:v>226</x:v>
      </x:c>
    </x:row>
    <x:row r="354" spans="1:17">
      <x:c r="D354" s="147" t="n">
        <x:v>10128582</x:v>
      </x:c>
      <x:c r="E354" s="147" t="s">
        <x:v>95</x:v>
      </x:c>
    </x:row>
    <x:row r="355" spans="1:17">
      <x:c r="D355" s="147" t="n">
        <x:v>10128595</x:v>
      </x:c>
      <x:c r="E355" s="147" t="s">
        <x:v>95</x:v>
      </x:c>
    </x:row>
    <x:row r="356" spans="1:17">
      <x:c r="D356" s="147" t="n">
        <x:v>10128596</x:v>
      </x:c>
      <x:c r="E356" s="147" t="s">
        <x:v>58</x:v>
      </x:c>
    </x:row>
    <x:row r="357" spans="1:17">
      <x:c r="D357" s="147" t="n">
        <x:v>10128597</x:v>
      </x:c>
      <x:c r="E357" s="147" t="s">
        <x:v>226</x:v>
      </x:c>
    </x:row>
    <x:row r="358" spans="1:17">
      <x:c r="D358" s="147" t="n">
        <x:v>10128598</x:v>
      </x:c>
      <x:c r="E358" s="147" t="s">
        <x:v>95</x:v>
      </x:c>
    </x:row>
    <x:row r="359" spans="1:17">
      <x:c r="D359" s="147" t="n">
        <x:v>10128599</x:v>
      </x:c>
      <x:c r="E359" s="147" t="s">
        <x:v>104</x:v>
      </x:c>
    </x:row>
    <x:row r="360" spans="1:17">
      <x:c r="D360" s="147" t="n">
        <x:v>10128600</x:v>
      </x:c>
      <x:c r="E360" s="147" t="s">
        <x:v>226</x:v>
      </x:c>
    </x:row>
    <x:row r="361" spans="1:17">
      <x:c r="D361" s="147" t="n">
        <x:v>10128579</x:v>
      </x:c>
      <x:c r="E361" s="147" t="s">
        <x:v>104</x:v>
      </x:c>
    </x:row>
    <x:row r="362" spans="1:17">
      <x:c r="D362" s="147" t="n">
        <x:v>10128580</x:v>
      </x:c>
      <x:c r="E362" s="147" t="s">
        <x:v>226</x:v>
      </x:c>
    </x:row>
    <x:row r="363" spans="1:17">
      <x:c r="D363" s="147" t="n">
        <x:v>10128581</x:v>
      </x:c>
      <x:c r="E363" s="147" t="s">
        <x:v>226</x:v>
      </x:c>
    </x:row>
    <x:row r="364" spans="1:17">
      <x:c r="D364" s="147" t="n">
        <x:v>10128582</x:v>
      </x:c>
      <x:c r="E364" s="147" t="s">
        <x:v>95</x:v>
      </x:c>
    </x:row>
    <x:row r="365" spans="1:17">
      <x:c r="D365" s="147" t="n">
        <x:v>10128595</x:v>
      </x:c>
      <x:c r="E365" s="147" t="s">
        <x:v>95</x:v>
      </x:c>
    </x:row>
    <x:row r="366" spans="1:17">
      <x:c r="D366" s="147" t="n">
        <x:v>10128596</x:v>
      </x:c>
      <x:c r="E366" s="147" t="s">
        <x:v>58</x:v>
      </x:c>
    </x:row>
    <x:row r="367" spans="1:17">
      <x:c r="D367" s="147" t="n">
        <x:v>10128597</x:v>
      </x:c>
      <x:c r="E367" s="147" t="s">
        <x:v>226</x:v>
      </x:c>
    </x:row>
    <x:row r="368" spans="1:17">
      <x:c r="D368" s="147" t="n">
        <x:v>10128598</x:v>
      </x:c>
      <x:c r="E368" s="147" t="s">
        <x:v>95</x:v>
      </x:c>
    </x:row>
    <x:row r="369" spans="1:17">
      <x:c r="D369" s="147" t="n">
        <x:v>10128599</x:v>
      </x:c>
      <x:c r="E369" s="147" t="s">
        <x:v>104</x:v>
      </x:c>
    </x:row>
    <x:row r="370" spans="1:17">
      <x:c r="D370" s="147" t="n">
        <x:v>10128600</x:v>
      </x:c>
      <x:c r="E370" s="147" t="s">
        <x:v>226</x:v>
      </x:c>
    </x:row>
    <x:row r="371" spans="1:17">
      <x:c r="D371" s="147" t="n">
        <x:v>10128579</x:v>
      </x:c>
      <x:c r="E371" s="147" t="s">
        <x:v>104</x:v>
      </x:c>
    </x:row>
    <x:row r="372" spans="1:17">
      <x:c r="D372" s="147" t="n">
        <x:v>10128580</x:v>
      </x:c>
      <x:c r="E372" s="147" t="s">
        <x:v>226</x:v>
      </x:c>
    </x:row>
    <x:row r="373" spans="1:17">
      <x:c r="D373" s="147" t="n">
        <x:v>10128581</x:v>
      </x:c>
      <x:c r="E373" s="147" t="s">
        <x:v>226</x:v>
      </x:c>
    </x:row>
    <x:row r="374" spans="1:17">
      <x:c r="D374" s="147" t="n">
        <x:v>10128582</x:v>
      </x:c>
      <x:c r="E374" s="147" t="s">
        <x:v>95</x:v>
      </x:c>
    </x:row>
    <x:row r="375" spans="1:17">
      <x:c r="D375" s="147" t="n">
        <x:v>10128595</x:v>
      </x:c>
      <x:c r="E375" s="147" t="s">
        <x:v>95</x:v>
      </x:c>
    </x:row>
    <x:row r="376" spans="1:17">
      <x:c r="D376" s="147" t="n">
        <x:v>10128596</x:v>
      </x:c>
      <x:c r="E376" s="147" t="s">
        <x:v>58</x:v>
      </x:c>
    </x:row>
    <x:row r="377" spans="1:17">
      <x:c r="D377" s="147" t="n">
        <x:v>10128597</x:v>
      </x:c>
      <x:c r="E377" s="147" t="s">
        <x:v>226</x:v>
      </x:c>
    </x:row>
    <x:row r="378" spans="1:17">
      <x:c r="D378" s="147" t="n">
        <x:v>10128598</x:v>
      </x:c>
      <x:c r="E378" s="147" t="s">
        <x:v>95</x:v>
      </x:c>
    </x:row>
    <x:row r="379" spans="1:17">
      <x:c r="D379" s="147" t="n">
        <x:v>10128599</x:v>
      </x:c>
      <x:c r="E379" s="147" t="s">
        <x:v>104</x:v>
      </x:c>
    </x:row>
    <x:row r="380" spans="1:17">
      <x:c r="D380" s="147" t="n">
        <x:v>10128600</x:v>
      </x:c>
      <x:c r="E380" s="147" t="s">
        <x:v>226</x:v>
      </x:c>
    </x:row>
    <x:row r="381" spans="1:17">
      <x:c r="D381" s="147" t="n">
        <x:v>10128579</x:v>
      </x:c>
      <x:c r="E381" s="147" t="s">
        <x:v>104</x:v>
      </x:c>
    </x:row>
    <x:row r="382" spans="1:17">
      <x:c r="D382" s="147" t="n">
        <x:v>10128580</x:v>
      </x:c>
      <x:c r="E382" s="147" t="s">
        <x:v>226</x:v>
      </x:c>
    </x:row>
    <x:row r="383" spans="1:17">
      <x:c r="D383" s="147" t="n">
        <x:v>10128581</x:v>
      </x:c>
      <x:c r="E383" s="147" t="s">
        <x:v>226</x:v>
      </x:c>
    </x:row>
    <x:row r="384" spans="1:17">
      <x:c r="D384" s="147" t="n">
        <x:v>10128582</x:v>
      </x:c>
      <x:c r="E384" s="147" t="s">
        <x:v>95</x:v>
      </x:c>
    </x:row>
    <x:row r="385" spans="1:17">
      <x:c r="D385" s="147" t="n">
        <x:v>10128595</x:v>
      </x:c>
      <x:c r="E385" s="147" t="s">
        <x:v>95</x:v>
      </x:c>
    </x:row>
    <x:row r="386" spans="1:17">
      <x:c r="D386" s="147" t="n">
        <x:v>10128596</x:v>
      </x:c>
      <x:c r="E386" s="147" t="s">
        <x:v>58</x:v>
      </x:c>
    </x:row>
    <x:row r="387" spans="1:17">
      <x:c r="D387" s="147" t="n">
        <x:v>10128597</x:v>
      </x:c>
      <x:c r="E387" s="147" t="s">
        <x:v>226</x:v>
      </x:c>
    </x:row>
    <x:row r="388" spans="1:17">
      <x:c r="D388" s="147" t="n">
        <x:v>10128598</x:v>
      </x:c>
      <x:c r="E388" s="147" t="s">
        <x:v>95</x:v>
      </x:c>
    </x:row>
    <x:row r="389" spans="1:17">
      <x:c r="D389" s="147" t="n">
        <x:v>10128599</x:v>
      </x:c>
      <x:c r="E389" s="147" t="s">
        <x:v>104</x:v>
      </x:c>
    </x:row>
    <x:row r="390" spans="1:17">
      <x:c r="D390" s="147" t="n">
        <x:v>10128600</x:v>
      </x:c>
      <x:c r="E390" s="147" t="s">
        <x:v>226</x:v>
      </x:c>
    </x:row>
    <x:row r="391" spans="1:17">
      <x:c r="D391" s="147" t="n">
        <x:v>10128579</x:v>
      </x:c>
      <x:c r="E391" s="147" t="s">
        <x:v>104</x:v>
      </x:c>
    </x:row>
    <x:row r="392" spans="1:17">
      <x:c r="D392" s="147" t="n">
        <x:v>10128580</x:v>
      </x:c>
      <x:c r="E392" s="147" t="s">
        <x:v>226</x:v>
      </x:c>
    </x:row>
    <x:row r="393" spans="1:17">
      <x:c r="D393" s="147" t="n">
        <x:v>10128581</x:v>
      </x:c>
      <x:c r="E393" s="147" t="s">
        <x:v>226</x:v>
      </x:c>
    </x:row>
    <x:row r="394" spans="1:17">
      <x:c r="D394" s="147" t="n">
        <x:v>10128582</x:v>
      </x:c>
      <x:c r="E394" s="147" t="s">
        <x:v>95</x:v>
      </x:c>
    </x:row>
    <x:row r="395" spans="1:17">
      <x:c r="D395" s="147" t="n">
        <x:v>10128595</x:v>
      </x:c>
      <x:c r="E395" s="147" t="s">
        <x:v>95</x:v>
      </x:c>
    </x:row>
    <x:row r="396" spans="1:17">
      <x:c r="D396" s="147" t="n">
        <x:v>10128596</x:v>
      </x:c>
      <x:c r="E396" s="147" t="s">
        <x:v>58</x:v>
      </x:c>
    </x:row>
    <x:row r="397" spans="1:17">
      <x:c r="D397" s="147" t="n">
        <x:v>10128597</x:v>
      </x:c>
      <x:c r="E397" s="147" t="s">
        <x:v>226</x:v>
      </x:c>
    </x:row>
    <x:row r="398" spans="1:17">
      <x:c r="D398" s="147" t="n">
        <x:v>10128598</x:v>
      </x:c>
      <x:c r="E398" s="147" t="s">
        <x:v>95</x:v>
      </x:c>
    </x:row>
    <x:row r="399" spans="1:17">
      <x:c r="D399" s="147" t="n">
        <x:v>10128599</x:v>
      </x:c>
      <x:c r="E399" s="147" t="s">
        <x:v>104</x:v>
      </x:c>
    </x:row>
    <x:row r="400" spans="1:17">
      <x:c r="D400" s="147" t="n">
        <x:v>10128600</x:v>
      </x:c>
      <x:c r="E400" s="147" t="s">
        <x:v>226</x:v>
      </x:c>
    </x:row>
    <x:row r="401" spans="1:17">
      <x:c r="D401" s="147" t="n">
        <x:v>10128579</x:v>
      </x:c>
      <x:c r="E401" s="147" t="s">
        <x:v>104</x:v>
      </x:c>
    </x:row>
    <x:row r="402" spans="1:17">
      <x:c r="D402" s="147" t="n">
        <x:v>10128580</x:v>
      </x:c>
      <x:c r="E402" s="147" t="s">
        <x:v>226</x:v>
      </x:c>
    </x:row>
    <x:row r="403" spans="1:17">
      <x:c r="D403" s="147" t="n">
        <x:v>10128581</x:v>
      </x:c>
      <x:c r="E403" s="147" t="s">
        <x:v>226</x:v>
      </x:c>
    </x:row>
    <x:row r="404" spans="1:17">
      <x:c r="D404" s="147" t="n">
        <x:v>10128582</x:v>
      </x:c>
      <x:c r="E404" s="147" t="s">
        <x:v>95</x:v>
      </x:c>
    </x:row>
    <x:row r="405" spans="1:17">
      <x:c r="D405" s="147" t="n">
        <x:v>10128595</x:v>
      </x:c>
      <x:c r="E405" s="147" t="s">
        <x:v>95</x:v>
      </x:c>
    </x:row>
    <x:row r="406" spans="1:17">
      <x:c r="D406" s="147" t="n">
        <x:v>10128596</x:v>
      </x:c>
      <x:c r="E406" s="147" t="s">
        <x:v>58</x:v>
      </x:c>
    </x:row>
    <x:row r="407" spans="1:17">
      <x:c r="D407" s="147" t="n">
        <x:v>10128597</x:v>
      </x:c>
      <x:c r="E407" s="147" t="s">
        <x:v>226</x:v>
      </x:c>
    </x:row>
    <x:row r="408" spans="1:17">
      <x:c r="D408" s="147" t="n">
        <x:v>10128598</x:v>
      </x:c>
      <x:c r="E408" s="147" t="s">
        <x:v>95</x:v>
      </x:c>
    </x:row>
    <x:row r="409" spans="1:17">
      <x:c r="D409" s="147" t="n">
        <x:v>10128599</x:v>
      </x:c>
      <x:c r="E409" s="147" t="s">
        <x:v>104</x:v>
      </x:c>
    </x:row>
    <x:row r="410" spans="1:17">
      <x:c r="D410" s="147" t="n">
        <x:v>10128600</x:v>
      </x:c>
      <x:c r="E410" s="147" t="s">
        <x:v>226</x:v>
      </x:c>
    </x:row>
    <x:row r="411" spans="1:17">
      <x:c r="D411" s="147" t="n">
        <x:v>10128579</x:v>
      </x:c>
      <x:c r="E411" s="147" t="s">
        <x:v>104</x:v>
      </x:c>
    </x:row>
    <x:row r="412" spans="1:17">
      <x:c r="D412" s="147" t="n">
        <x:v>10128580</x:v>
      </x:c>
      <x:c r="E412" s="147" t="s">
        <x:v>226</x:v>
      </x:c>
    </x:row>
    <x:row r="413" spans="1:17">
      <x:c r="D413" s="147" t="n">
        <x:v>10128581</x:v>
      </x:c>
      <x:c r="E413" s="147" t="s">
        <x:v>226</x:v>
      </x:c>
    </x:row>
    <x:row r="414" spans="1:17">
      <x:c r="D414" s="147" t="n">
        <x:v>10128582</x:v>
      </x:c>
      <x:c r="E414" s="147" t="s">
        <x:v>95</x:v>
      </x:c>
    </x:row>
    <x:row r="415" spans="1:17">
      <x:c r="D415" s="147" t="n">
        <x:v>10128595</x:v>
      </x:c>
      <x:c r="E415" s="147" t="s">
        <x:v>95</x:v>
      </x:c>
    </x:row>
    <x:row r="416" spans="1:17">
      <x:c r="D416" s="147" t="n">
        <x:v>10128596</x:v>
      </x:c>
      <x:c r="E416" s="147" t="s">
        <x:v>58</x:v>
      </x:c>
    </x:row>
    <x:row r="417" spans="1:17">
      <x:c r="D417" s="147" t="n">
        <x:v>10128597</x:v>
      </x:c>
      <x:c r="E417" s="147" t="s">
        <x:v>226</x:v>
      </x:c>
    </x:row>
    <x:row r="418" spans="1:17">
      <x:c r="D418" s="147" t="n">
        <x:v>10128598</x:v>
      </x:c>
      <x:c r="E418" s="147" t="s">
        <x:v>95</x:v>
      </x:c>
    </x:row>
    <x:row r="419" spans="1:17">
      <x:c r="D419" s="147" t="n">
        <x:v>10128599</x:v>
      </x:c>
      <x:c r="E419" s="147" t="s">
        <x:v>104</x:v>
      </x:c>
    </x:row>
    <x:row r="420" spans="1:17">
      <x:c r="D420" s="147" t="n">
        <x:v>10128600</x:v>
      </x:c>
      <x:c r="E420" s="147" t="s">
        <x:v>226</x:v>
      </x:c>
    </x:row>
    <x:row r="421" spans="1:17">
      <x:c r="D421" s="147" t="n">
        <x:v>10128579</x:v>
      </x:c>
      <x:c r="E421" s="147" t="s">
        <x:v>104</x:v>
      </x:c>
    </x:row>
    <x:row r="422" spans="1:17">
      <x:c r="D422" s="147" t="n">
        <x:v>10128580</x:v>
      </x:c>
      <x:c r="E422" s="147" t="s">
        <x:v>226</x:v>
      </x:c>
    </x:row>
    <x:row r="423" spans="1:17">
      <x:c r="D423" s="147" t="n">
        <x:v>10128581</x:v>
      </x:c>
      <x:c r="E423" s="147" t="s">
        <x:v>226</x:v>
      </x:c>
    </x:row>
    <x:row r="424" spans="1:17">
      <x:c r="D424" s="147" t="n">
        <x:v>10128582</x:v>
      </x:c>
      <x:c r="E424" s="147" t="s">
        <x:v>95</x:v>
      </x:c>
    </x:row>
    <x:row r="425" spans="1:17">
      <x:c r="D425" s="147" t="n">
        <x:v>10128595</x:v>
      </x:c>
      <x:c r="E425" s="147" t="s">
        <x:v>95</x:v>
      </x:c>
    </x:row>
    <x:row r="426" spans="1:17">
      <x:c r="D426" s="147" t="n">
        <x:v>10128596</x:v>
      </x:c>
      <x:c r="E426" s="147" t="s">
        <x:v>58</x:v>
      </x:c>
    </x:row>
    <x:row r="427" spans="1:17">
      <x:c r="D427" s="147" t="n">
        <x:v>10128597</x:v>
      </x:c>
      <x:c r="E427" s="147" t="s">
        <x:v>226</x:v>
      </x:c>
    </x:row>
    <x:row r="428" spans="1:17">
      <x:c r="D428" s="147" t="n">
        <x:v>10128598</x:v>
      </x:c>
      <x:c r="E428" s="147" t="s">
        <x:v>95</x:v>
      </x:c>
    </x:row>
    <x:row r="429" spans="1:17">
      <x:c r="D429" s="147" t="n">
        <x:v>10128599</x:v>
      </x:c>
      <x:c r="E429" s="147" t="s">
        <x:v>104</x:v>
      </x:c>
    </x:row>
    <x:row r="430" spans="1:17">
      <x:c r="D430" s="147" t="n">
        <x:v>10128600</x:v>
      </x:c>
      <x:c r="E430" s="147" t="s">
        <x:v>226</x:v>
      </x:c>
    </x:row>
    <x:row r="431" spans="1:17">
      <x:c r="D431" s="147" t="n">
        <x:v>10128579</x:v>
      </x:c>
      <x:c r="E431" s="147" t="s">
        <x:v>104</x:v>
      </x:c>
    </x:row>
    <x:row r="432" spans="1:17">
      <x:c r="D432" s="147" t="n">
        <x:v>10128580</x:v>
      </x:c>
      <x:c r="E432" s="147" t="s">
        <x:v>226</x:v>
      </x:c>
    </x:row>
    <x:row r="433" spans="1:17">
      <x:c r="D433" s="147" t="n">
        <x:v>10128581</x:v>
      </x:c>
      <x:c r="E433" s="147" t="s">
        <x:v>226</x:v>
      </x:c>
    </x:row>
    <x:row r="434" spans="1:17">
      <x:c r="D434" s="147" t="n">
        <x:v>10128582</x:v>
      </x:c>
      <x:c r="E434" s="147" t="s">
        <x:v>95</x:v>
      </x:c>
    </x:row>
    <x:row r="435" spans="1:17">
      <x:c r="D435" s="147" t="n">
        <x:v>10128595</x:v>
      </x:c>
      <x:c r="E435" s="147" t="s">
        <x:v>95</x:v>
      </x:c>
    </x:row>
    <x:row r="436" spans="1:17">
      <x:c r="D436" s="147" t="n">
        <x:v>10128596</x:v>
      </x:c>
      <x:c r="E436" s="147" t="s">
        <x:v>58</x:v>
      </x:c>
    </x:row>
    <x:row r="437" spans="1:17">
      <x:c r="D437" s="147" t="n">
        <x:v>10128597</x:v>
      </x:c>
      <x:c r="E437" s="147" t="s">
        <x:v>226</x:v>
      </x:c>
    </x:row>
    <x:row r="438" spans="1:17">
      <x:c r="D438" s="147" t="n">
        <x:v>10128598</x:v>
      </x:c>
      <x:c r="E438" s="147" t="s">
        <x:v>95</x:v>
      </x:c>
    </x:row>
    <x:row r="439" spans="1:17">
      <x:c r="D439" s="147" t="n">
        <x:v>10128599</x:v>
      </x:c>
      <x:c r="E439" s="147" t="s">
        <x:v>104</x:v>
      </x:c>
    </x:row>
    <x:row r="440" spans="1:17">
      <x:c r="D440" s="147" t="n">
        <x:v>10128600</x:v>
      </x:c>
      <x:c r="E440" s="147" t="s">
        <x:v>226</x:v>
      </x:c>
    </x:row>
    <x:row r="441" spans="1:17">
      <x:c r="D441" s="147" t="n">
        <x:v>10128579</x:v>
      </x:c>
      <x:c r="E441" s="147" t="s">
        <x:v>104</x:v>
      </x:c>
    </x:row>
    <x:row r="442" spans="1:17">
      <x:c r="D442" s="147" t="n">
        <x:v>10128580</x:v>
      </x:c>
      <x:c r="E442" s="147" t="s">
        <x:v>226</x:v>
      </x:c>
    </x:row>
    <x:row r="443" spans="1:17">
      <x:c r="D443" s="147" t="n">
        <x:v>10128581</x:v>
      </x:c>
      <x:c r="E443" s="147" t="s">
        <x:v>226</x:v>
      </x:c>
    </x:row>
    <x:row r="444" spans="1:17">
      <x:c r="D444" s="147" t="n">
        <x:v>10128582</x:v>
      </x:c>
      <x:c r="E444" s="147" t="s">
        <x:v>95</x:v>
      </x:c>
    </x:row>
    <x:row r="445" spans="1:17">
      <x:c r="D445" s="147" t="n">
        <x:v>10128595</x:v>
      </x:c>
      <x:c r="E445" s="147" t="s">
        <x:v>95</x:v>
      </x:c>
    </x:row>
    <x:row r="446" spans="1:17">
      <x:c r="D446" s="147" t="n">
        <x:v>10128596</x:v>
      </x:c>
      <x:c r="E446" s="147" t="s">
        <x:v>58</x:v>
      </x:c>
    </x:row>
    <x:row r="447" spans="1:17">
      <x:c r="D447" s="147" t="n">
        <x:v>10128597</x:v>
      </x:c>
      <x:c r="E447" s="147" t="s">
        <x:v>226</x:v>
      </x:c>
    </x:row>
    <x:row r="448" spans="1:17">
      <x:c r="D448" s="147" t="n">
        <x:v>10128598</x:v>
      </x:c>
      <x:c r="E448" s="147" t="s">
        <x:v>95</x:v>
      </x:c>
    </x:row>
    <x:row r="449" spans="1:17">
      <x:c r="D449" s="147" t="n">
        <x:v>10128599</x:v>
      </x:c>
      <x:c r="E449" s="147" t="s">
        <x:v>104</x:v>
      </x:c>
    </x:row>
    <x:row r="450" spans="1:17">
      <x:c r="D450" s="147" t="n">
        <x:v>10128600</x:v>
      </x:c>
      <x:c r="E450" s="147" t="s">
        <x:v>226</x:v>
      </x:c>
    </x:row>
    <x:row r="451" spans="1:17">
      <x:c r="D451" s="147" t="n">
        <x:v>10128579</x:v>
      </x:c>
      <x:c r="E451" s="147" t="s">
        <x:v>104</x:v>
      </x:c>
    </x:row>
    <x:row r="452" spans="1:17">
      <x:c r="D452" s="147" t="n">
        <x:v>10128580</x:v>
      </x:c>
      <x:c r="E452" s="147" t="s">
        <x:v>226</x:v>
      </x:c>
    </x:row>
    <x:row r="453" spans="1:17">
      <x:c r="D453" s="147" t="n">
        <x:v>10128581</x:v>
      </x:c>
      <x:c r="E453" s="147" t="s">
        <x:v>226</x:v>
      </x:c>
    </x:row>
    <x:row r="454" spans="1:17">
      <x:c r="D454" s="147" t="n">
        <x:v>10128582</x:v>
      </x:c>
      <x:c r="E454" s="147" t="s">
        <x:v>95</x:v>
      </x:c>
    </x:row>
    <x:row r="455" spans="1:17">
      <x:c r="D455" s="147" t="n">
        <x:v>10128595</x:v>
      </x:c>
      <x:c r="E455" s="147" t="s">
        <x:v>95</x:v>
      </x:c>
    </x:row>
    <x:row r="456" spans="1:17">
      <x:c r="D456" s="147" t="n">
        <x:v>10128596</x:v>
      </x:c>
      <x:c r="E456" s="147" t="s">
        <x:v>58</x:v>
      </x:c>
    </x:row>
    <x:row r="457" spans="1:17">
      <x:c r="D457" s="147" t="n">
        <x:v>10128597</x:v>
      </x:c>
      <x:c r="E457" s="147" t="s">
        <x:v>226</x:v>
      </x:c>
    </x:row>
    <x:row r="458" spans="1:17">
      <x:c r="D458" s="147" t="n">
        <x:v>10128598</x:v>
      </x:c>
      <x:c r="E458" s="147" t="s">
        <x:v>95</x:v>
      </x:c>
    </x:row>
    <x:row r="459" spans="1:17">
      <x:c r="D459" s="147" t="n">
        <x:v>10128599</x:v>
      </x:c>
      <x:c r="E459" s="147" t="s">
        <x:v>104</x:v>
      </x:c>
    </x:row>
    <x:row r="460" spans="1:17">
      <x:c r="D460" s="147" t="n">
        <x:v>10128600</x:v>
      </x:c>
      <x:c r="E460" s="147" t="s">
        <x:v>226</x:v>
      </x:c>
    </x:row>
    <x:row r="461" spans="1:17">
      <x:c r="D461" s="147" t="n">
        <x:v>10128579</x:v>
      </x:c>
      <x:c r="E461" s="147" t="s">
        <x:v>104</x:v>
      </x:c>
    </x:row>
    <x:row r="462" spans="1:17">
      <x:c r="D462" s="147" t="n">
        <x:v>10128580</x:v>
      </x:c>
      <x:c r="E462" s="147" t="s">
        <x:v>226</x:v>
      </x:c>
    </x:row>
    <x:row r="463" spans="1:17">
      <x:c r="D463" s="147" t="n">
        <x:v>10128581</x:v>
      </x:c>
      <x:c r="E463" s="147" t="s">
        <x:v>226</x:v>
      </x:c>
    </x:row>
    <x:row r="464" spans="1:17">
      <x:c r="D464" s="147" t="n">
        <x:v>10128582</x:v>
      </x:c>
      <x:c r="E464" s="147" t="s">
        <x:v>95</x:v>
      </x:c>
    </x:row>
    <x:row r="465" spans="1:17">
      <x:c r="D465" s="147" t="n">
        <x:v>10128595</x:v>
      </x:c>
      <x:c r="E465" s="147" t="s">
        <x:v>95</x:v>
      </x:c>
    </x:row>
    <x:row r="466" spans="1:17">
      <x:c r="D466" s="147" t="n">
        <x:v>10128596</x:v>
      </x:c>
      <x:c r="E466" s="147" t="s">
        <x:v>58</x:v>
      </x:c>
    </x:row>
    <x:row r="467" spans="1:17">
      <x:c r="D467" s="147" t="n">
        <x:v>10128597</x:v>
      </x:c>
      <x:c r="E467" s="147" t="s">
        <x:v>226</x:v>
      </x:c>
    </x:row>
    <x:row r="468" spans="1:17">
      <x:c r="D468" s="147" t="n">
        <x:v>10128598</x:v>
      </x:c>
      <x:c r="E468" s="147" t="s">
        <x:v>95</x:v>
      </x:c>
    </x:row>
    <x:row r="469" spans="1:17">
      <x:c r="D469" s="147" t="n">
        <x:v>10128599</x:v>
      </x:c>
      <x:c r="E469" s="147" t="s">
        <x:v>104</x:v>
      </x:c>
    </x:row>
    <x:row r="470" spans="1:17">
      <x:c r="D470" s="147" t="n">
        <x:v>10128600</x:v>
      </x:c>
      <x:c r="E470" s="147" t="s">
        <x:v>226</x:v>
      </x:c>
    </x:row>
    <x:row r="471" spans="1:17">
      <x:c r="D471" s="147" t="n">
        <x:v>10128579</x:v>
      </x:c>
      <x:c r="E471" s="147" t="s">
        <x:v>104</x:v>
      </x:c>
    </x:row>
    <x:row r="472" spans="1:17">
      <x:c r="D472" s="147" t="n">
        <x:v>10128580</x:v>
      </x:c>
      <x:c r="E472" s="147" t="s">
        <x:v>226</x:v>
      </x:c>
    </x:row>
    <x:row r="473" spans="1:17">
      <x:c r="D473" s="147" t="n">
        <x:v>10128581</x:v>
      </x:c>
      <x:c r="E473" s="147" t="s">
        <x:v>226</x:v>
      </x:c>
    </x:row>
    <x:row r="474" spans="1:17">
      <x:c r="D474" s="147" t="n">
        <x:v>10128582</x:v>
      </x:c>
      <x:c r="E474" s="147" t="s">
        <x:v>95</x:v>
      </x:c>
    </x:row>
    <x:row r="475" spans="1:17">
      <x:c r="D475" s="147" t="n">
        <x:v>10128595</x:v>
      </x:c>
      <x:c r="E475" s="147" t="s">
        <x:v>95</x:v>
      </x:c>
    </x:row>
    <x:row r="476" spans="1:17">
      <x:c r="D476" s="147" t="n">
        <x:v>10128596</x:v>
      </x:c>
      <x:c r="E476" s="147" t="s">
        <x:v>58</x:v>
      </x:c>
    </x:row>
    <x:row r="477" spans="1:17">
      <x:c r="D477" s="147" t="n">
        <x:v>10128597</x:v>
      </x:c>
      <x:c r="E477" s="147" t="s">
        <x:v>226</x:v>
      </x:c>
    </x:row>
    <x:row r="478" spans="1:17">
      <x:c r="D478" s="147" t="n">
        <x:v>10128598</x:v>
      </x:c>
      <x:c r="E478" s="147" t="s">
        <x:v>95</x:v>
      </x:c>
    </x:row>
    <x:row r="479" spans="1:17">
      <x:c r="D479" s="147" t="n">
        <x:v>10128599</x:v>
      </x:c>
      <x:c r="E479" s="147" t="s">
        <x:v>104</x:v>
      </x:c>
    </x:row>
    <x:row r="480" spans="1:17">
      <x:c r="D480" s="147" t="n">
        <x:v>10128600</x:v>
      </x:c>
      <x:c r="E480" s="147" t="s">
        <x:v>226</x:v>
      </x:c>
    </x:row>
    <x:row r="481" spans="1:17">
      <x:c r="D481" s="147" t="n">
        <x:v>10128579</x:v>
      </x:c>
      <x:c r="E481" s="147" t="s">
        <x:v>104</x:v>
      </x:c>
    </x:row>
    <x:row r="482" spans="1:17">
      <x:c r="D482" s="147" t="n">
        <x:v>10128580</x:v>
      </x:c>
      <x:c r="E482" s="147" t="s">
        <x:v>226</x:v>
      </x:c>
    </x:row>
    <x:row r="483" spans="1:17">
      <x:c r="D483" s="147" t="n">
        <x:v>10128581</x:v>
      </x:c>
      <x:c r="E483" s="147" t="s">
        <x:v>226</x:v>
      </x:c>
    </x:row>
    <x:row r="484" spans="1:17">
      <x:c r="D484" s="147" t="n">
        <x:v>10128582</x:v>
      </x:c>
      <x:c r="E484" s="147" t="s">
        <x:v>95</x:v>
      </x:c>
    </x:row>
    <x:row r="485" spans="1:17">
      <x:c r="D485" s="147" t="n">
        <x:v>10128595</x:v>
      </x:c>
      <x:c r="E485" s="147" t="s">
        <x:v>95</x:v>
      </x:c>
    </x:row>
    <x:row r="486" spans="1:17">
      <x:c r="D486" s="147" t="n">
        <x:v>10128596</x:v>
      </x:c>
      <x:c r="E486" s="147" t="s">
        <x:v>58</x:v>
      </x:c>
    </x:row>
    <x:row r="487" spans="1:17">
      <x:c r="D487" s="147" t="n">
        <x:v>10128597</x:v>
      </x:c>
      <x:c r="E487" s="147" t="s">
        <x:v>226</x:v>
      </x:c>
    </x:row>
    <x:row r="488" spans="1:17">
      <x:c r="D488" s="147" t="n">
        <x:v>10128598</x:v>
      </x:c>
      <x:c r="E488" s="147" t="s">
        <x:v>95</x:v>
      </x:c>
    </x:row>
    <x:row r="489" spans="1:17">
      <x:c r="D489" s="147" t="n">
        <x:v>10128599</x:v>
      </x:c>
      <x:c r="E489" s="147" t="s">
        <x:v>104</x:v>
      </x:c>
    </x:row>
    <x:row r="490" spans="1:17">
      <x:c r="D490" s="147" t="n">
        <x:v>10128600</x:v>
      </x:c>
      <x:c r="E490" s="147" t="s">
        <x:v>226</x:v>
      </x:c>
    </x:row>
    <x:row r="491" spans="1:17">
      <x:c r="D491" s="147" t="n">
        <x:v>10128579</x:v>
      </x:c>
      <x:c r="E491" s="147" t="s">
        <x:v>104</x:v>
      </x:c>
    </x:row>
    <x:row r="492" spans="1:17">
      <x:c r="D492" s="147" t="n">
        <x:v>10128580</x:v>
      </x:c>
      <x:c r="E492" s="147" t="s">
        <x:v>226</x:v>
      </x:c>
    </x:row>
    <x:row r="493" spans="1:17">
      <x:c r="D493" s="147" t="n">
        <x:v>10128581</x:v>
      </x:c>
      <x:c r="E493" s="147" t="s">
        <x:v>226</x:v>
      </x:c>
    </x:row>
    <x:row r="494" spans="1:17">
      <x:c r="D494" s="147" t="n">
        <x:v>10128582</x:v>
      </x:c>
      <x:c r="E494" s="147" t="s">
        <x:v>95</x:v>
      </x:c>
    </x:row>
    <x:row r="495" spans="1:17">
      <x:c r="D495" s="147" t="n">
        <x:v>10128595</x:v>
      </x:c>
      <x:c r="E495" s="147" t="s">
        <x:v>95</x:v>
      </x:c>
    </x:row>
    <x:row r="496" spans="1:17">
      <x:c r="D496" s="147" t="n">
        <x:v>10128596</x:v>
      </x:c>
      <x:c r="E496" s="147" t="s">
        <x:v>58</x:v>
      </x:c>
    </x:row>
    <x:row r="497" spans="1:17">
      <x:c r="D497" s="147" t="n">
        <x:v>10128597</x:v>
      </x:c>
      <x:c r="E497" s="147" t="s">
        <x:v>226</x:v>
      </x:c>
    </x:row>
    <x:row r="498" spans="1:17">
      <x:c r="D498" s="147" t="n">
        <x:v>10128598</x:v>
      </x:c>
      <x:c r="E498" s="147" t="s">
        <x:v>95</x:v>
      </x:c>
    </x:row>
    <x:row r="499" spans="1:17">
      <x:c r="D499" s="147" t="n">
        <x:v>10128599</x:v>
      </x:c>
      <x:c r="E499" s="147" t="s">
        <x:v>104</x:v>
      </x:c>
    </x:row>
    <x:row r="500" spans="1:17">
      <x:c r="D500" s="147" t="n">
        <x:v>10128600</x:v>
      </x:c>
      <x:c r="E500" s="147" t="s">
        <x:v>226</x:v>
      </x:c>
    </x:row>
    <x:row r="501" spans="1:17">
      <x:c r="D501" s="147" t="n">
        <x:v>10128579</x:v>
      </x:c>
      <x:c r="E501" s="147" t="s">
        <x:v>104</x:v>
      </x:c>
    </x:row>
    <x:row r="502" spans="1:17">
      <x:c r="D502" s="147" t="n">
        <x:v>10128580</x:v>
      </x:c>
      <x:c r="E502" s="147" t="s">
        <x:v>226</x:v>
      </x:c>
    </x:row>
    <x:row r="503" spans="1:17">
      <x:c r="D503" s="147" t="n">
        <x:v>10128581</x:v>
      </x:c>
      <x:c r="E503" s="147" t="s">
        <x:v>226</x:v>
      </x:c>
    </x:row>
    <x:row r="504" spans="1:17">
      <x:c r="D504" s="147" t="n">
        <x:v>10128582</x:v>
      </x:c>
      <x:c r="E504" s="147" t="s">
        <x:v>95</x:v>
      </x:c>
    </x:row>
    <x:row r="505" spans="1:17">
      <x:c r="D505" s="147" t="n">
        <x:v>10128595</x:v>
      </x:c>
      <x:c r="E505" s="147" t="s">
        <x:v>95</x:v>
      </x:c>
    </x:row>
    <x:row r="506" spans="1:17">
      <x:c r="D506" s="147" t="n">
        <x:v>10128596</x:v>
      </x:c>
      <x:c r="E506" s="147" t="s">
        <x:v>58</x:v>
      </x:c>
    </x:row>
    <x:row r="507" spans="1:17">
      <x:c r="D507" s="147" t="n">
        <x:v>10128597</x:v>
      </x:c>
      <x:c r="E507" s="147" t="s">
        <x:v>226</x:v>
      </x:c>
    </x:row>
    <x:row r="508" spans="1:17">
      <x:c r="D508" s="147" t="n">
        <x:v>10128598</x:v>
      </x:c>
      <x:c r="E508" s="147" t="s">
        <x:v>95</x:v>
      </x:c>
    </x:row>
    <x:row r="509" spans="1:17">
      <x:c r="D509" s="147" t="n">
        <x:v>10128599</x:v>
      </x:c>
      <x:c r="E509" s="147" t="s">
        <x:v>104</x:v>
      </x:c>
    </x:row>
    <x:row r="510" spans="1:17">
      <x:c r="D510" s="147" t="n">
        <x:v>10128600</x:v>
      </x:c>
      <x:c r="E510" s="147" t="s">
        <x:v>226</x:v>
      </x:c>
    </x:row>
    <x:row r="511" spans="1:17">
      <x:c r="D511" s="147" t="n">
        <x:v>10128579</x:v>
      </x:c>
      <x:c r="E511" s="147" t="s">
        <x:v>104</x:v>
      </x:c>
    </x:row>
    <x:row r="512" spans="1:17">
      <x:c r="D512" s="147" t="n">
        <x:v>10128580</x:v>
      </x:c>
      <x:c r="E512" s="147" t="s">
        <x:v>226</x:v>
      </x:c>
    </x:row>
    <x:row r="513" spans="1:17">
      <x:c r="D513" s="147" t="n">
        <x:v>10128581</x:v>
      </x:c>
      <x:c r="E513" s="147" t="s">
        <x:v>226</x:v>
      </x:c>
    </x:row>
    <x:row r="514" spans="1:17">
      <x:c r="D514" s="147" t="n">
        <x:v>10128582</x:v>
      </x:c>
      <x:c r="E514" s="147" t="s">
        <x:v>95</x:v>
      </x:c>
    </x:row>
    <x:row r="515" spans="1:17">
      <x:c r="D515" s="147" t="n">
        <x:v>10128595</x:v>
      </x:c>
      <x:c r="E515" s="147" t="s">
        <x:v>95</x:v>
      </x:c>
    </x:row>
    <x:row r="516" spans="1:17">
      <x:c r="D516" s="147" t="n">
        <x:v>10128596</x:v>
      </x:c>
      <x:c r="E516" s="147" t="s">
        <x:v>58</x:v>
      </x:c>
    </x:row>
    <x:row r="517" spans="1:17">
      <x:c r="D517" s="147" t="n">
        <x:v>10128597</x:v>
      </x:c>
      <x:c r="E517" s="147" t="s">
        <x:v>226</x:v>
      </x:c>
    </x:row>
    <x:row r="518" spans="1:17">
      <x:c r="D518" s="147" t="n">
        <x:v>10128598</x:v>
      </x:c>
      <x:c r="E518" s="147" t="s">
        <x:v>95</x:v>
      </x:c>
    </x:row>
    <x:row r="519" spans="1:17">
      <x:c r="D519" s="147" t="n">
        <x:v>10128599</x:v>
      </x:c>
      <x:c r="E519" s="147" t="s">
        <x:v>104</x:v>
      </x:c>
    </x:row>
    <x:row r="520" spans="1:17">
      <x:c r="D520" s="147" t="n">
        <x:v>10128600</x:v>
      </x:c>
      <x:c r="E520" s="147" t="s">
        <x:v>226</x:v>
      </x:c>
    </x:row>
    <x:row r="521" spans="1:17">
      <x:c r="D521" s="147" t="n">
        <x:v>10128579</x:v>
      </x:c>
      <x:c r="E521" s="147" t="s">
        <x:v>104</x:v>
      </x:c>
    </x:row>
    <x:row r="522" spans="1:17">
      <x:c r="D522" s="147" t="n">
        <x:v>10128580</x:v>
      </x:c>
      <x:c r="E522" s="147" t="s">
        <x:v>226</x:v>
      </x:c>
    </x:row>
    <x:row r="523" spans="1:17">
      <x:c r="D523" s="147" t="n">
        <x:v>10128581</x:v>
      </x:c>
      <x:c r="E523" s="147" t="s">
        <x:v>226</x:v>
      </x:c>
    </x:row>
    <x:row r="524" spans="1:17">
      <x:c r="D524" s="147" t="n">
        <x:v>10128582</x:v>
      </x:c>
      <x:c r="E524" s="147" t="s">
        <x:v>95</x:v>
      </x:c>
    </x:row>
    <x:row r="525" spans="1:17">
      <x:c r="D525" s="147" t="n">
        <x:v>10128595</x:v>
      </x:c>
      <x:c r="E525" s="147" t="s">
        <x:v>95</x:v>
      </x:c>
    </x:row>
    <x:row r="526" spans="1:17">
      <x:c r="D526" s="147" t="n">
        <x:v>10128596</x:v>
      </x:c>
      <x:c r="E526" s="147" t="s">
        <x:v>58</x:v>
      </x:c>
    </x:row>
    <x:row r="527" spans="1:17">
      <x:c r="D527" s="147" t="n">
        <x:v>10128597</x:v>
      </x:c>
      <x:c r="E527" s="147" t="s">
        <x:v>226</x:v>
      </x:c>
    </x:row>
    <x:row r="528" spans="1:17">
      <x:c r="D528" s="147" t="n">
        <x:v>10128598</x:v>
      </x:c>
      <x:c r="E528" s="147" t="s">
        <x:v>95</x:v>
      </x:c>
    </x:row>
    <x:row r="529" spans="1:17">
      <x:c r="D529" s="147" t="n">
        <x:v>10128599</x:v>
      </x:c>
      <x:c r="E529" s="147" t="s">
        <x:v>104</x:v>
      </x:c>
    </x:row>
    <x:row r="530" spans="1:17">
      <x:c r="D530" s="147" t="n">
        <x:v>10128600</x:v>
      </x:c>
      <x:c r="E530" s="147" t="s">
        <x:v>226</x:v>
      </x:c>
    </x:row>
    <x:row r="531" spans="1:17">
      <x:c r="D531" s="147" t="n">
        <x:v>10128579</x:v>
      </x:c>
      <x:c r="E531" s="147" t="s">
        <x:v>104</x:v>
      </x:c>
    </x:row>
    <x:row r="532" spans="1:17">
      <x:c r="D532" s="147" t="n">
        <x:v>10128580</x:v>
      </x:c>
      <x:c r="E532" s="147" t="s">
        <x:v>226</x:v>
      </x:c>
    </x:row>
    <x:row r="533" spans="1:17">
      <x:c r="D533" s="147" t="n">
        <x:v>10128581</x:v>
      </x:c>
      <x:c r="E533" s="147" t="s">
        <x:v>226</x:v>
      </x:c>
    </x:row>
    <x:row r="534" spans="1:17">
      <x:c r="D534" s="147" t="n">
        <x:v>10128582</x:v>
      </x:c>
      <x:c r="E534" s="147" t="s">
        <x:v>95</x:v>
      </x:c>
    </x:row>
    <x:row r="535" spans="1:17">
      <x:c r="D535" s="147" t="n">
        <x:v>10128595</x:v>
      </x:c>
      <x:c r="E535" s="147" t="s">
        <x:v>95</x:v>
      </x:c>
    </x:row>
    <x:row r="536" spans="1:17">
      <x:c r="D536" s="147" t="n">
        <x:v>10128596</x:v>
      </x:c>
      <x:c r="E536" s="147" t="s">
        <x:v>58</x:v>
      </x:c>
    </x:row>
    <x:row r="537" spans="1:17">
      <x:c r="D537" s="147" t="n">
        <x:v>10128597</x:v>
      </x:c>
      <x:c r="E537" s="147" t="s">
        <x:v>226</x:v>
      </x:c>
    </x:row>
    <x:row r="538" spans="1:17">
      <x:c r="D538" s="147" t="n">
        <x:v>10128598</x:v>
      </x:c>
      <x:c r="E538" s="147" t="s">
        <x:v>95</x:v>
      </x:c>
    </x:row>
    <x:row r="539" spans="1:17">
      <x:c r="D539" s="147" t="n">
        <x:v>10128599</x:v>
      </x:c>
      <x:c r="E539" s="147" t="s">
        <x:v>104</x:v>
      </x:c>
    </x:row>
    <x:row r="540" spans="1:17">
      <x:c r="D540" s="147" t="n">
        <x:v>10128600</x:v>
      </x:c>
      <x:c r="E540" s="147" t="s">
        <x:v>226</x:v>
      </x:c>
    </x:row>
    <x:row r="541" spans="1:17">
      <x:c r="D541" s="147" t="n">
        <x:v>10128579</x:v>
      </x:c>
      <x:c r="E541" s="147" t="s">
        <x:v>104</x:v>
      </x:c>
    </x:row>
    <x:row r="542" spans="1:17">
      <x:c r="D542" s="147" t="n">
        <x:v>10128580</x:v>
      </x:c>
      <x:c r="E542" s="147" t="s">
        <x:v>226</x:v>
      </x:c>
    </x:row>
    <x:row r="543" spans="1:17">
      <x:c r="D543" s="147" t="n">
        <x:v>10128581</x:v>
      </x:c>
      <x:c r="E543" s="147" t="s">
        <x:v>226</x:v>
      </x:c>
    </x:row>
    <x:row r="544" spans="1:17">
      <x:c r="D544" s="147" t="n">
        <x:v>10128582</x:v>
      </x:c>
      <x:c r="E544" s="147" t="s">
        <x:v>95</x:v>
      </x:c>
    </x:row>
    <x:row r="545" spans="1:17">
      <x:c r="D545" s="147" t="n">
        <x:v>10128595</x:v>
      </x:c>
      <x:c r="E545" s="147" t="s">
        <x:v>95</x:v>
      </x:c>
    </x:row>
    <x:row r="546" spans="1:17">
      <x:c r="D546" s="147" t="n">
        <x:v>10128596</x:v>
      </x:c>
      <x:c r="E546" s="147" t="s">
        <x:v>58</x:v>
      </x:c>
    </x:row>
    <x:row r="547" spans="1:17">
      <x:c r="D547" s="147" t="n">
        <x:v>10128597</x:v>
      </x:c>
      <x:c r="E547" s="147" t="s">
        <x:v>226</x:v>
      </x:c>
    </x:row>
    <x:row r="548" spans="1:17">
      <x:c r="D548" s="147" t="n">
        <x:v>10128598</x:v>
      </x:c>
      <x:c r="E548" s="147" t="s">
        <x:v>95</x:v>
      </x:c>
    </x:row>
    <x:row r="549" spans="1:17">
      <x:c r="D549" s="147" t="n">
        <x:v>10128599</x:v>
      </x:c>
      <x:c r="E549" s="147" t="s">
        <x:v>104</x:v>
      </x:c>
    </x:row>
    <x:row r="550" spans="1:17">
      <x:c r="D550" s="147" t="n">
        <x:v>10128600</x:v>
      </x:c>
      <x:c r="E550" s="147" t="s">
        <x:v>226</x:v>
      </x:c>
    </x:row>
    <x:row r="551" spans="1:17">
      <x:c r="D551" s="147" t="n">
        <x:v>10128579</x:v>
      </x:c>
      <x:c r="E551" s="147" t="s">
        <x:v>104</x:v>
      </x:c>
    </x:row>
    <x:row r="552" spans="1:17">
      <x:c r="D552" s="147" t="n">
        <x:v>10128580</x:v>
      </x:c>
      <x:c r="E552" s="147" t="s">
        <x:v>226</x:v>
      </x:c>
    </x:row>
    <x:row r="553" spans="1:17">
      <x:c r="D553" s="147" t="n">
        <x:v>10128581</x:v>
      </x:c>
      <x:c r="E553" s="147" t="s">
        <x:v>226</x:v>
      </x:c>
    </x:row>
    <x:row r="554" spans="1:17">
      <x:c r="D554" s="147" t="n">
        <x:v>10128582</x:v>
      </x:c>
      <x:c r="E554" s="147" t="s">
        <x:v>95</x:v>
      </x:c>
    </x:row>
    <x:row r="555" spans="1:17">
      <x:c r="D555" s="147" t="n">
        <x:v>10128595</x:v>
      </x:c>
      <x:c r="E555" s="147" t="s">
        <x:v>95</x:v>
      </x:c>
    </x:row>
    <x:row r="556" spans="1:17">
      <x:c r="D556" s="147" t="n">
        <x:v>10128596</x:v>
      </x:c>
      <x:c r="E556" s="147" t="s">
        <x:v>58</x:v>
      </x:c>
    </x:row>
    <x:row r="557" spans="1:17">
      <x:c r="D557" s="147" t="n">
        <x:v>10128597</x:v>
      </x:c>
      <x:c r="E557" s="147" t="s">
        <x:v>226</x:v>
      </x:c>
    </x:row>
    <x:row r="558" spans="1:17">
      <x:c r="D558" s="147" t="n">
        <x:v>10128598</x:v>
      </x:c>
      <x:c r="E558" s="147" t="s">
        <x:v>95</x:v>
      </x:c>
    </x:row>
    <x:row r="559" spans="1:17">
      <x:c r="D559" s="147" t="n">
        <x:v>10128599</x:v>
      </x:c>
      <x:c r="E559" s="147" t="s">
        <x:v>104</x:v>
      </x:c>
    </x:row>
    <x:row r="560" spans="1:17">
      <x:c r="D560" s="147" t="n">
        <x:v>10128600</x:v>
      </x:c>
      <x:c r="E560" s="147" t="s">
        <x:v>226</x:v>
      </x:c>
    </x:row>
    <x:row r="561" spans="1:17">
      <x:c r="D561" s="147" t="n">
        <x:v>10128579</x:v>
      </x:c>
      <x:c r="E561" s="147" t="s">
        <x:v>104</x:v>
      </x:c>
    </x:row>
    <x:row r="562" spans="1:17">
      <x:c r="D562" s="147" t="n">
        <x:v>10128580</x:v>
      </x:c>
      <x:c r="E562" s="147" t="s">
        <x:v>226</x:v>
      </x:c>
    </x:row>
    <x:row r="563" spans="1:17">
      <x:c r="D563" s="147" t="n">
        <x:v>10128581</x:v>
      </x:c>
      <x:c r="E563" s="147" t="s">
        <x:v>226</x:v>
      </x:c>
    </x:row>
    <x:row r="564" spans="1:17">
      <x:c r="D564" s="147" t="n">
        <x:v>10128582</x:v>
      </x:c>
      <x:c r="E564" s="147" t="s">
        <x:v>95</x:v>
      </x:c>
    </x:row>
    <x:row r="565" spans="1:17">
      <x:c r="D565" s="147" t="n">
        <x:v>10128595</x:v>
      </x:c>
      <x:c r="E565" s="147" t="s">
        <x:v>95</x:v>
      </x:c>
    </x:row>
    <x:row r="566" spans="1:17">
      <x:c r="D566" s="147" t="n">
        <x:v>10128596</x:v>
      </x:c>
      <x:c r="E566" s="147" t="s">
        <x:v>58</x:v>
      </x:c>
    </x:row>
    <x:row r="567" spans="1:17">
      <x:c r="D567" s="147" t="n">
        <x:v>10128597</x:v>
      </x:c>
      <x:c r="E567" s="147" t="s">
        <x:v>226</x:v>
      </x:c>
    </x:row>
    <x:row r="568" spans="1:17">
      <x:c r="D568" s="147" t="n">
        <x:v>10128598</x:v>
      </x:c>
      <x:c r="E568" s="147" t="s">
        <x:v>95</x:v>
      </x:c>
    </x:row>
    <x:row r="569" spans="1:17">
      <x:c r="D569" s="147" t="n">
        <x:v>10128599</x:v>
      </x:c>
      <x:c r="E569" s="147" t="s">
        <x:v>104</x:v>
      </x:c>
    </x:row>
    <x:row r="570" spans="1:17">
      <x:c r="D570" s="147" t="n">
        <x:v>10128600</x:v>
      </x:c>
      <x:c r="E570" s="147" t="s">
        <x:v>226</x:v>
      </x:c>
    </x:row>
    <x:row r="571" spans="1:17">
      <x:c r="D571" s="147" t="n">
        <x:v>10128579</x:v>
      </x:c>
      <x:c r="E571" s="147" t="s">
        <x:v>104</x:v>
      </x:c>
    </x:row>
    <x:row r="572" spans="1:17">
      <x:c r="D572" s="147" t="n">
        <x:v>10128580</x:v>
      </x:c>
      <x:c r="E572" s="147" t="s">
        <x:v>226</x:v>
      </x:c>
    </x:row>
    <x:row r="573" spans="1:17">
      <x:c r="D573" s="147" t="n">
        <x:v>10128581</x:v>
      </x:c>
      <x:c r="E573" s="147" t="s">
        <x:v>226</x:v>
      </x:c>
    </x:row>
    <x:row r="574" spans="1:17">
      <x:c r="D574" s="147" t="n">
        <x:v>10128582</x:v>
      </x:c>
      <x:c r="E574" s="147" t="s">
        <x:v>95</x:v>
      </x:c>
    </x:row>
    <x:row r="575" spans="1:17">
      <x:c r="D575" s="147" t="n">
        <x:v>10128595</x:v>
      </x:c>
      <x:c r="E575" s="147" t="s">
        <x:v>95</x:v>
      </x:c>
    </x:row>
    <x:row r="576" spans="1:17">
      <x:c r="D576" s="147" t="n">
        <x:v>10128596</x:v>
      </x:c>
      <x:c r="E576" s="147" t="s">
        <x:v>58</x:v>
      </x:c>
    </x:row>
    <x:row r="577" spans="1:17">
      <x:c r="D577" s="147" t="n">
        <x:v>10128597</x:v>
      </x:c>
      <x:c r="E577" s="147" t="s">
        <x:v>226</x:v>
      </x:c>
    </x:row>
    <x:row r="578" spans="1:17">
      <x:c r="D578" s="147" t="n">
        <x:v>10128598</x:v>
      </x:c>
      <x:c r="E578" s="147" t="s">
        <x:v>95</x:v>
      </x:c>
    </x:row>
    <x:row r="579" spans="1:17">
      <x:c r="D579" s="147" t="n">
        <x:v>10128599</x:v>
      </x:c>
      <x:c r="E579" s="147" t="s">
        <x:v>104</x:v>
      </x:c>
    </x:row>
    <x:row r="580" spans="1:17">
      <x:c r="D580" s="147" t="n">
        <x:v>10128600</x:v>
      </x:c>
      <x:c r="E580" s="147" t="s">
        <x:v>226</x:v>
      </x:c>
    </x:row>
    <x:row r="581" spans="1:17">
      <x:c r="D581" s="147" t="n">
        <x:v>10128579</x:v>
      </x:c>
      <x:c r="E581" s="147" t="s">
        <x:v>104</x:v>
      </x:c>
    </x:row>
    <x:row r="582" spans="1:17">
      <x:c r="D582" s="147" t="n">
        <x:v>10128580</x:v>
      </x:c>
      <x:c r="E582" s="147" t="s">
        <x:v>226</x:v>
      </x:c>
    </x:row>
    <x:row r="583" spans="1:17">
      <x:c r="D583" s="147" t="n">
        <x:v>10128581</x:v>
      </x:c>
      <x:c r="E583" s="147" t="s">
        <x:v>226</x:v>
      </x:c>
    </x:row>
    <x:row r="584" spans="1:17">
      <x:c r="D584" s="147" t="n">
        <x:v>10128582</x:v>
      </x:c>
      <x:c r="E584" s="147" t="s">
        <x:v>95</x:v>
      </x:c>
    </x:row>
    <x:row r="585" spans="1:17">
      <x:c r="D585" s="147" t="n">
        <x:v>10128595</x:v>
      </x:c>
      <x:c r="E585" s="147" t="s">
        <x:v>95</x:v>
      </x:c>
    </x:row>
    <x:row r="586" spans="1:17">
      <x:c r="D586" s="147" t="n">
        <x:v>10128596</x:v>
      </x:c>
      <x:c r="E586" s="147" t="s">
        <x:v>58</x:v>
      </x:c>
    </x:row>
    <x:row r="587" spans="1:17">
      <x:c r="D587" s="147" t="n">
        <x:v>10128597</x:v>
      </x:c>
      <x:c r="E587" s="147" t="s">
        <x:v>226</x:v>
      </x:c>
    </x:row>
    <x:row r="588" spans="1:17">
      <x:c r="D588" s="147" t="n">
        <x:v>10128598</x:v>
      </x:c>
      <x:c r="E588" s="147" t="s">
        <x:v>95</x:v>
      </x:c>
    </x:row>
    <x:row r="589" spans="1:17">
      <x:c r="D589" s="147" t="n">
        <x:v>10128599</x:v>
      </x:c>
      <x:c r="E589" s="147" t="s">
        <x:v>104</x:v>
      </x:c>
    </x:row>
    <x:row r="590" spans="1:17">
      <x:c r="D590" s="147" t="n">
        <x:v>10128600</x:v>
      </x:c>
      <x:c r="E590" s="147" t="s">
        <x:v>226</x:v>
      </x:c>
    </x:row>
    <x:row r="591" spans="1:17">
      <x:c r="D591" s="147" t="n">
        <x:v>10128579</x:v>
      </x:c>
      <x:c r="E591" s="147" t="s">
        <x:v>104</x:v>
      </x:c>
    </x:row>
    <x:row r="592" spans="1:17">
      <x:c r="D592" s="147" t="n">
        <x:v>10128580</x:v>
      </x:c>
      <x:c r="E592" s="147" t="s">
        <x:v>226</x:v>
      </x:c>
    </x:row>
    <x:row r="593" spans="1:17">
      <x:c r="D593" s="147" t="n">
        <x:v>10128581</x:v>
      </x:c>
      <x:c r="E593" s="147" t="s">
        <x:v>226</x:v>
      </x:c>
    </x:row>
    <x:row r="594" spans="1:17">
      <x:c r="D594" s="147" t="n">
        <x:v>10128582</x:v>
      </x:c>
      <x:c r="E594" s="147" t="s">
        <x:v>95</x:v>
      </x:c>
    </x:row>
    <x:row r="595" spans="1:17">
      <x:c r="D595" s="147" t="n">
        <x:v>10128595</x:v>
      </x:c>
      <x:c r="E595" s="147" t="s">
        <x:v>95</x:v>
      </x:c>
    </x:row>
    <x:row r="596" spans="1:17">
      <x:c r="D596" s="147" t="n">
        <x:v>10128596</x:v>
      </x:c>
      <x:c r="E596" s="147" t="s">
        <x:v>58</x:v>
      </x:c>
    </x:row>
    <x:row r="597" spans="1:17">
      <x:c r="D597" s="147" t="n">
        <x:v>10128597</x:v>
      </x:c>
      <x:c r="E597" s="147" t="s">
        <x:v>226</x:v>
      </x:c>
    </x:row>
    <x:row r="598" spans="1:17">
      <x:c r="D598" s="147" t="n">
        <x:v>10128598</x:v>
      </x:c>
      <x:c r="E598" s="147" t="s">
        <x:v>95</x:v>
      </x:c>
    </x:row>
    <x:row r="599" spans="1:17">
      <x:c r="D599" s="147" t="n">
        <x:v>10128599</x:v>
      </x:c>
      <x:c r="E599" s="147" t="s">
        <x:v>104</x:v>
      </x:c>
    </x:row>
    <x:row r="600" spans="1:17">
      <x:c r="D600" s="147" t="n">
        <x:v>10128600</x:v>
      </x:c>
      <x:c r="E600" s="147" t="s">
        <x:v>226</x:v>
      </x:c>
    </x:row>
    <x:row r="601" spans="1:17">
      <x:c r="D601" s="147" t="n">
        <x:v>10128579</x:v>
      </x:c>
      <x:c r="E601" s="147" t="s">
        <x:v>104</x:v>
      </x:c>
    </x:row>
    <x:row r="602" spans="1:17">
      <x:c r="D602" s="147" t="n">
        <x:v>10128580</x:v>
      </x:c>
      <x:c r="E602" s="147" t="s">
        <x:v>226</x:v>
      </x:c>
    </x:row>
    <x:row r="603" spans="1:17">
      <x:c r="D603" s="147" t="n">
        <x:v>10128581</x:v>
      </x:c>
      <x:c r="E603" s="147" t="s">
        <x:v>226</x:v>
      </x:c>
    </x:row>
    <x:row r="604" spans="1:17">
      <x:c r="D604" s="147" t="n">
        <x:v>10128582</x:v>
      </x:c>
      <x:c r="E604" s="147" t="s">
        <x:v>95</x:v>
      </x:c>
    </x:row>
    <x:row r="605" spans="1:17">
      <x:c r="D605" s="147" t="n">
        <x:v>10128595</x:v>
      </x:c>
      <x:c r="E605" s="147" t="s">
        <x:v>95</x:v>
      </x:c>
    </x:row>
    <x:row r="606" spans="1:17">
      <x:c r="D606" s="147" t="n">
        <x:v>10128596</x:v>
      </x:c>
      <x:c r="E606" s="147" t="s">
        <x:v>58</x:v>
      </x:c>
    </x:row>
    <x:row r="607" spans="1:17">
      <x:c r="D607" s="147" t="n">
        <x:v>10128597</x:v>
      </x:c>
      <x:c r="E607" s="147" t="s">
        <x:v>226</x:v>
      </x:c>
    </x:row>
    <x:row r="608" spans="1:17">
      <x:c r="D608" s="147" t="n">
        <x:v>10128598</x:v>
      </x:c>
      <x:c r="E608" s="147" t="s">
        <x:v>95</x:v>
      </x:c>
    </x:row>
    <x:row r="609" spans="1:17">
      <x:c r="D609" s="147" t="n">
        <x:v>10128599</x:v>
      </x:c>
      <x:c r="E609" s="147" t="s">
        <x:v>104</x:v>
      </x:c>
    </x:row>
    <x:row r="610" spans="1:17">
      <x:c r="D610" s="147" t="n">
        <x:v>10128600</x:v>
      </x:c>
      <x:c r="E610" s="147" t="s">
        <x:v>226</x:v>
      </x:c>
    </x:row>
    <x:row r="611" spans="1:17">
      <x:c r="D611" s="147" t="n">
        <x:v>10128579</x:v>
      </x:c>
      <x:c r="E611" s="147" t="s">
        <x:v>104</x:v>
      </x:c>
    </x:row>
    <x:row r="612" spans="1:17">
      <x:c r="D612" s="147" t="n">
        <x:v>10128580</x:v>
      </x:c>
      <x:c r="E612" s="147" t="s">
        <x:v>226</x:v>
      </x:c>
    </x:row>
    <x:row r="613" spans="1:17">
      <x:c r="D613" s="147" t="n">
        <x:v>10128581</x:v>
      </x:c>
      <x:c r="E613" s="147" t="s">
        <x:v>226</x:v>
      </x:c>
    </x:row>
    <x:row r="614" spans="1:17">
      <x:c r="D614" s="147" t="n">
        <x:v>10128582</x:v>
      </x:c>
      <x:c r="E614" s="147" t="s">
        <x:v>95</x:v>
      </x:c>
    </x:row>
    <x:row r="615" spans="1:17">
      <x:c r="D615" s="147" t="n">
        <x:v>10128595</x:v>
      </x:c>
      <x:c r="E615" s="147" t="s">
        <x:v>95</x:v>
      </x:c>
    </x:row>
    <x:row r="616" spans="1:17">
      <x:c r="D616" s="147" t="n">
        <x:v>10128596</x:v>
      </x:c>
      <x:c r="E616" s="147" t="s">
        <x:v>58</x:v>
      </x:c>
    </x:row>
    <x:row r="617" spans="1:17">
      <x:c r="D617" s="147" t="n">
        <x:v>10128597</x:v>
      </x:c>
      <x:c r="E617" s="147" t="s">
        <x:v>226</x:v>
      </x:c>
    </x:row>
    <x:row r="618" spans="1:17">
      <x:c r="D618" s="147" t="n">
        <x:v>10128598</x:v>
      </x:c>
      <x:c r="E618" s="147" t="s">
        <x:v>95</x:v>
      </x:c>
    </x:row>
    <x:row r="619" spans="1:17">
      <x:c r="D619" s="147" t="n">
        <x:v>10128599</x:v>
      </x:c>
      <x:c r="E619" s="147" t="s">
        <x:v>104</x:v>
      </x:c>
    </x:row>
    <x:row r="620" spans="1:17">
      <x:c r="D620" s="147" t="n">
        <x:v>10128600</x:v>
      </x:c>
      <x:c r="E620" s="147" t="s">
        <x:v>226</x:v>
      </x:c>
    </x:row>
    <x:row r="621" spans="1:17">
      <x:c r="D621" s="147" t="n">
        <x:v>10128579</x:v>
      </x:c>
      <x:c r="E621" s="147" t="s">
        <x:v>104</x:v>
      </x:c>
    </x:row>
    <x:row r="622" spans="1:17">
      <x:c r="D622" s="147" t="n">
        <x:v>10128580</x:v>
      </x:c>
      <x:c r="E622" s="147" t="s">
        <x:v>226</x:v>
      </x:c>
    </x:row>
    <x:row r="623" spans="1:17">
      <x:c r="D623" s="147" t="n">
        <x:v>10128581</x:v>
      </x:c>
      <x:c r="E623" s="147" t="s">
        <x:v>226</x:v>
      </x:c>
    </x:row>
    <x:row r="624" spans="1:17">
      <x:c r="D624" s="147" t="n">
        <x:v>10128582</x:v>
      </x:c>
      <x:c r="E624" s="147" t="s">
        <x:v>95</x:v>
      </x:c>
    </x:row>
    <x:row r="625" spans="1:17">
      <x:c r="D625" s="147" t="n">
        <x:v>10128595</x:v>
      </x:c>
      <x:c r="E625" s="147" t="s">
        <x:v>95</x:v>
      </x:c>
    </x:row>
    <x:row r="626" spans="1:17">
      <x:c r="D626" s="147" t="n">
        <x:v>10128596</x:v>
      </x:c>
      <x:c r="E626" s="147" t="s">
        <x:v>58</x:v>
      </x:c>
    </x:row>
    <x:row r="627" spans="1:17">
      <x:c r="D627" s="147" t="n">
        <x:v>10128597</x:v>
      </x:c>
      <x:c r="E627" s="147" t="s">
        <x:v>226</x:v>
      </x:c>
    </x:row>
    <x:row r="628" spans="1:17">
      <x:c r="D628" s="147" t="n">
        <x:v>10128598</x:v>
      </x:c>
      <x:c r="E628" s="147" t="s">
        <x:v>95</x:v>
      </x:c>
    </x:row>
    <x:row r="629" spans="1:17">
      <x:c r="D629" s="147" t="n">
        <x:v>10128599</x:v>
      </x:c>
      <x:c r="E629" s="147" t="s">
        <x:v>104</x:v>
      </x:c>
    </x:row>
    <x:row r="630" spans="1:17">
      <x:c r="D630" s="147" t="n">
        <x:v>10128600</x:v>
      </x:c>
      <x:c r="E630" s="147" t="s">
        <x:v>226</x:v>
      </x:c>
    </x:row>
    <x:row r="631" spans="1:17">
      <x:c r="D631" s="147" t="n">
        <x:v>10128579</x:v>
      </x:c>
      <x:c r="E631" s="147" t="s">
        <x:v>104</x:v>
      </x:c>
    </x:row>
    <x:row r="632" spans="1:17">
      <x:c r="D632" s="147" t="n">
        <x:v>10128580</x:v>
      </x:c>
      <x:c r="E632" s="147" t="s">
        <x:v>226</x:v>
      </x:c>
    </x:row>
    <x:row r="633" spans="1:17">
      <x:c r="D633" s="147" t="n">
        <x:v>10128581</x:v>
      </x:c>
      <x:c r="E633" s="147" t="s">
        <x:v>226</x:v>
      </x:c>
    </x:row>
    <x:row r="634" spans="1:17">
      <x:c r="D634" s="147" t="n">
        <x:v>10128582</x:v>
      </x:c>
      <x:c r="E634" s="147" t="s">
        <x:v>95</x:v>
      </x:c>
    </x:row>
    <x:row r="635" spans="1:17">
      <x:c r="D635" s="147" t="n">
        <x:v>10128595</x:v>
      </x:c>
      <x:c r="E635" s="147" t="s">
        <x:v>95</x:v>
      </x:c>
    </x:row>
    <x:row r="636" spans="1:17">
      <x:c r="D636" s="147" t="n">
        <x:v>10128596</x:v>
      </x:c>
      <x:c r="E636" s="147" t="s">
        <x:v>58</x:v>
      </x:c>
    </x:row>
    <x:row r="637" spans="1:17">
      <x:c r="D637" s="147" t="n">
        <x:v>10128597</x:v>
      </x:c>
      <x:c r="E637" s="147" t="s">
        <x:v>226</x:v>
      </x:c>
    </x:row>
    <x:row r="638" spans="1:17">
      <x:c r="D638" s="147" t="n">
        <x:v>10128598</x:v>
      </x:c>
      <x:c r="E638" s="147" t="s">
        <x:v>95</x:v>
      </x:c>
    </x:row>
    <x:row r="639" spans="1:17">
      <x:c r="D639" s="147" t="n">
        <x:v>10128599</x:v>
      </x:c>
      <x:c r="E639" s="147" t="s">
        <x:v>104</x:v>
      </x:c>
    </x:row>
    <x:row r="640" spans="1:17">
      <x:c r="D640" s="147" t="n">
        <x:v>10128600</x:v>
      </x:c>
      <x:c r="E640" s="147" t="s">
        <x:v>226</x:v>
      </x:c>
    </x:row>
    <x:row r="641" spans="1:17">
      <x:c r="D641" s="147" t="n">
        <x:v>10128579</x:v>
      </x:c>
      <x:c r="E641" s="147" t="s">
        <x:v>104</x:v>
      </x:c>
    </x:row>
    <x:row r="642" spans="1:17">
      <x:c r="D642" s="147" t="n">
        <x:v>10128580</x:v>
      </x:c>
      <x:c r="E642" s="147" t="s">
        <x:v>226</x:v>
      </x:c>
    </x:row>
    <x:row r="643" spans="1:17">
      <x:c r="D643" s="147" t="n">
        <x:v>10128581</x:v>
      </x:c>
      <x:c r="E643" s="147" t="s">
        <x:v>226</x:v>
      </x:c>
    </x:row>
    <x:row r="644" spans="1:17">
      <x:c r="D644" s="147" t="n">
        <x:v>10128582</x:v>
      </x:c>
      <x:c r="E644" s="147" t="s">
        <x:v>95</x:v>
      </x:c>
    </x:row>
    <x:row r="645" spans="1:17">
      <x:c r="D645" s="147" t="n">
        <x:v>10128595</x:v>
      </x:c>
      <x:c r="E645" s="147" t="s">
        <x:v>95</x:v>
      </x:c>
    </x:row>
    <x:row r="646" spans="1:17">
      <x:c r="D646" s="147" t="n">
        <x:v>10128596</x:v>
      </x:c>
      <x:c r="E646" s="147" t="s">
        <x:v>58</x:v>
      </x:c>
    </x:row>
    <x:row r="647" spans="1:17">
      <x:c r="D647" s="147" t="n">
        <x:v>10128597</x:v>
      </x:c>
      <x:c r="E647" s="147" t="s">
        <x:v>226</x:v>
      </x:c>
    </x:row>
    <x:row r="648" spans="1:17">
      <x:c r="D648" s="147" t="n">
        <x:v>10128598</x:v>
      </x:c>
      <x:c r="E648" s="147" t="s">
        <x:v>95</x:v>
      </x:c>
    </x:row>
    <x:row r="649" spans="1:17">
      <x:c r="D649" s="147" t="n">
        <x:v>10128599</x:v>
      </x:c>
      <x:c r="E649" s="147" t="s">
        <x:v>104</x:v>
      </x:c>
    </x:row>
    <x:row r="650" spans="1:17">
      <x:c r="D650" s="147" t="n">
        <x:v>10128600</x:v>
      </x:c>
      <x:c r="E650" s="147" t="s">
        <x:v>226</x:v>
      </x:c>
    </x:row>
    <x:row r="651" spans="1:17">
      <x:c r="D651" s="147" t="n">
        <x:v>10128579</x:v>
      </x:c>
      <x:c r="E651" s="147" t="s">
        <x:v>104</x:v>
      </x:c>
    </x:row>
    <x:row r="652" spans="1:17">
      <x:c r="D652" s="147" t="n">
        <x:v>10128580</x:v>
      </x:c>
      <x:c r="E652" s="147" t="s">
        <x:v>226</x:v>
      </x:c>
    </x:row>
    <x:row r="653" spans="1:17">
      <x:c r="D653" s="147" t="n">
        <x:v>10128581</x:v>
      </x:c>
      <x:c r="E653" s="147" t="s">
        <x:v>226</x:v>
      </x:c>
    </x:row>
    <x:row r="654" spans="1:17">
      <x:c r="D654" s="147" t="n">
        <x:v>10128582</x:v>
      </x:c>
      <x:c r="E654" s="147" t="s">
        <x:v>95</x:v>
      </x:c>
    </x:row>
    <x:row r="655" spans="1:17">
      <x:c r="D655" s="147" t="n">
        <x:v>10128595</x:v>
      </x:c>
      <x:c r="E655" s="147" t="s">
        <x:v>95</x:v>
      </x:c>
    </x:row>
    <x:row r="656" spans="1:17">
      <x:c r="D656" s="147" t="n">
        <x:v>10128596</x:v>
      </x:c>
      <x:c r="E656" s="147" t="s">
        <x:v>58</x:v>
      </x:c>
    </x:row>
    <x:row r="657" spans="1:17">
      <x:c r="D657" s="147" t="n">
        <x:v>10128597</x:v>
      </x:c>
      <x:c r="E657" s="147" t="s">
        <x:v>226</x:v>
      </x:c>
    </x:row>
    <x:row r="658" spans="1:17">
      <x:c r="D658" s="147" t="n">
        <x:v>10128598</x:v>
      </x:c>
      <x:c r="E658" s="147" t="s">
        <x:v>95</x:v>
      </x:c>
    </x:row>
    <x:row r="659" spans="1:17">
      <x:c r="D659" s="147" t="n">
        <x:v>10128599</x:v>
      </x:c>
      <x:c r="E659" s="147" t="s">
        <x:v>104</x:v>
      </x:c>
    </x:row>
    <x:row r="660" spans="1:17">
      <x:c r="D660" s="147" t="n">
        <x:v>10128600</x:v>
      </x:c>
      <x:c r="E660" s="147" t="s">
        <x:v>226</x:v>
      </x:c>
    </x:row>
    <x:row r="661" spans="1:17">
      <x:c r="D661" s="147" t="n">
        <x:v>10128579</x:v>
      </x:c>
      <x:c r="E661" s="147" t="s">
        <x:v>104</x:v>
      </x:c>
    </x:row>
    <x:row r="662" spans="1:17">
      <x:c r="D662" s="147" t="n">
        <x:v>10128580</x:v>
      </x:c>
      <x:c r="E662" s="147" t="s">
        <x:v>226</x:v>
      </x:c>
    </x:row>
    <x:row r="663" spans="1:17">
      <x:c r="D663" s="147" t="n">
        <x:v>10128581</x:v>
      </x:c>
      <x:c r="E663" s="147" t="s">
        <x:v>226</x:v>
      </x:c>
    </x:row>
    <x:row r="664" spans="1:17">
      <x:c r="D664" s="147" t="n">
        <x:v>10128582</x:v>
      </x:c>
      <x:c r="E664" s="147" t="s">
        <x:v>95</x:v>
      </x:c>
    </x:row>
    <x:row r="665" spans="1:17">
      <x:c r="D665" s="147" t="n">
        <x:v>10128595</x:v>
      </x:c>
      <x:c r="E665" s="147" t="s">
        <x:v>95</x:v>
      </x:c>
    </x:row>
    <x:row r="666" spans="1:17">
      <x:c r="D666" s="147" t="n">
        <x:v>10128596</x:v>
      </x:c>
      <x:c r="E666" s="147" t="s">
        <x:v>58</x:v>
      </x:c>
    </x:row>
    <x:row r="667" spans="1:17">
      <x:c r="D667" s="147" t="n">
        <x:v>10128597</x:v>
      </x:c>
      <x:c r="E667" s="147" t="s">
        <x:v>226</x:v>
      </x:c>
    </x:row>
    <x:row r="668" spans="1:17">
      <x:c r="D668" s="147" t="n">
        <x:v>10128598</x:v>
      </x:c>
      <x:c r="E668" s="147" t="s">
        <x:v>95</x:v>
      </x:c>
    </x:row>
    <x:row r="669" spans="1:17">
      <x:c r="D669" s="147" t="n">
        <x:v>10128599</x:v>
      </x:c>
      <x:c r="E669" s="147" t="s">
        <x:v>104</x:v>
      </x:c>
    </x:row>
    <x:row r="670" spans="1:17">
      <x:c r="D670" s="147" t="n">
        <x:v>10128600</x:v>
      </x:c>
      <x:c r="E670" s="147" t="s">
        <x:v>226</x:v>
      </x:c>
    </x:row>
    <x:row r="671" spans="1:17">
      <x:c r="D671" s="147" t="n">
        <x:v>10128579</x:v>
      </x:c>
      <x:c r="E671" s="147" t="s">
        <x:v>104</x:v>
      </x:c>
    </x:row>
    <x:row r="672" spans="1:17">
      <x:c r="D672" s="147" t="n">
        <x:v>10128580</x:v>
      </x:c>
      <x:c r="E672" s="147" t="s">
        <x:v>226</x:v>
      </x:c>
    </x:row>
    <x:row r="673" spans="1:17">
      <x:c r="D673" s="147" t="n">
        <x:v>10128581</x:v>
      </x:c>
      <x:c r="E673" s="147" t="s">
        <x:v>226</x:v>
      </x:c>
    </x:row>
    <x:row r="674" spans="1:17">
      <x:c r="D674" s="147" t="n">
        <x:v>10128582</x:v>
      </x:c>
      <x:c r="E674" s="147" t="s">
        <x:v>95</x:v>
      </x:c>
    </x:row>
    <x:row r="675" spans="1:17">
      <x:c r="D675" s="147" t="n">
        <x:v>10128595</x:v>
      </x:c>
      <x:c r="E675" s="147" t="s">
        <x:v>95</x:v>
      </x:c>
    </x:row>
    <x:row r="676" spans="1:17">
      <x:c r="D676" s="147" t="n">
        <x:v>10128596</x:v>
      </x:c>
      <x:c r="E676" s="147" t="s">
        <x:v>58</x:v>
      </x:c>
    </x:row>
    <x:row r="677" spans="1:17">
      <x:c r="D677" s="147" t="n">
        <x:v>10128597</x:v>
      </x:c>
      <x:c r="E677" s="147" t="s">
        <x:v>226</x:v>
      </x:c>
    </x:row>
    <x:row r="678" spans="1:17">
      <x:c r="D678" s="147" t="n">
        <x:v>10128598</x:v>
      </x:c>
      <x:c r="E678" s="147" t="s">
        <x:v>95</x:v>
      </x:c>
    </x:row>
    <x:row r="679" spans="1:17">
      <x:c r="D679" s="147" t="n">
        <x:v>10128599</x:v>
      </x:c>
      <x:c r="E679" s="147" t="s">
        <x:v>104</x:v>
      </x:c>
    </x:row>
    <x:row r="680" spans="1:17">
      <x:c r="D680" s="147" t="n">
        <x:v>10128600</x:v>
      </x:c>
      <x:c r="E680" s="147" t="s">
        <x:v>226</x:v>
      </x:c>
    </x:row>
    <x:row r="681" spans="1:17">
      <x:c r="D681" s="147" t="n">
        <x:v>10128579</x:v>
      </x:c>
      <x:c r="E681" s="147" t="s">
        <x:v>104</x:v>
      </x:c>
    </x:row>
    <x:row r="682" spans="1:17">
      <x:c r="D682" s="147" t="n">
        <x:v>10128580</x:v>
      </x:c>
      <x:c r="E682" s="147" t="s">
        <x:v>226</x:v>
      </x:c>
    </x:row>
    <x:row r="683" spans="1:17">
      <x:c r="D683" s="147" t="n">
        <x:v>10128581</x:v>
      </x:c>
      <x:c r="E683" s="147" t="s">
        <x:v>226</x:v>
      </x:c>
    </x:row>
    <x:row r="684" spans="1:17">
      <x:c r="D684" s="147" t="n">
        <x:v>10128582</x:v>
      </x:c>
      <x:c r="E684" s="147" t="s">
        <x:v>95</x:v>
      </x:c>
    </x:row>
    <x:row r="685" spans="1:17">
      <x:c r="D685" s="147" t="n">
        <x:v>10128595</x:v>
      </x:c>
      <x:c r="E685" s="147" t="s">
        <x:v>95</x:v>
      </x:c>
    </x:row>
    <x:row r="686" spans="1:17">
      <x:c r="D686" s="147" t="n">
        <x:v>10128596</x:v>
      </x:c>
      <x:c r="E686" s="147" t="s">
        <x:v>58</x:v>
      </x:c>
    </x:row>
    <x:row r="687" spans="1:17">
      <x:c r="D687" s="147" t="n">
        <x:v>10128597</x:v>
      </x:c>
      <x:c r="E687" s="147" t="s">
        <x:v>226</x:v>
      </x:c>
    </x:row>
    <x:row r="688" spans="1:17">
      <x:c r="D688" s="147" t="n">
        <x:v>10128598</x:v>
      </x:c>
      <x:c r="E688" s="147" t="s">
        <x:v>95</x:v>
      </x:c>
    </x:row>
    <x:row r="689" spans="1:17">
      <x:c r="D689" s="147" t="n">
        <x:v>10128599</x:v>
      </x:c>
      <x:c r="E689" s="147" t="s">
        <x:v>104</x:v>
      </x:c>
    </x:row>
    <x:row r="690" spans="1:17">
      <x:c r="D690" s="147" t="n">
        <x:v>10128600</x:v>
      </x:c>
      <x:c r="E690" s="147" t="s">
        <x:v>226</x:v>
      </x:c>
    </x:row>
    <x:row r="691" spans="1:17">
      <x:c r="D691" s="147" t="n">
        <x:v>10128579</x:v>
      </x:c>
      <x:c r="E691" s="147" t="s">
        <x:v>104</x:v>
      </x:c>
    </x:row>
    <x:row r="692" spans="1:17">
      <x:c r="D692" s="147" t="n">
        <x:v>10128580</x:v>
      </x:c>
      <x:c r="E692" s="147" t="s">
        <x:v>226</x:v>
      </x:c>
    </x:row>
    <x:row r="693" spans="1:17">
      <x:c r="D693" s="147" t="n">
        <x:v>10128581</x:v>
      </x:c>
      <x:c r="E693" s="147" t="s">
        <x:v>226</x:v>
      </x:c>
    </x:row>
    <x:row r="694" spans="1:17">
      <x:c r="D694" s="147" t="n">
        <x:v>10128582</x:v>
      </x:c>
      <x:c r="E694" s="147" t="s">
        <x:v>95</x:v>
      </x:c>
    </x:row>
    <x:row r="695" spans="1:17">
      <x:c r="D695" s="147" t="n">
        <x:v>10128595</x:v>
      </x:c>
      <x:c r="E695" s="147" t="s">
        <x:v>95</x:v>
      </x:c>
    </x:row>
    <x:row r="696" spans="1:17">
      <x:c r="D696" s="147" t="n">
        <x:v>10128596</x:v>
      </x:c>
      <x:c r="E696" s="147" t="s">
        <x:v>58</x:v>
      </x:c>
    </x:row>
    <x:row r="697" spans="1:17">
      <x:c r="D697" s="147" t="n">
        <x:v>10128597</x:v>
      </x:c>
      <x:c r="E697" s="147" t="s">
        <x:v>226</x:v>
      </x:c>
    </x:row>
    <x:row r="698" spans="1:17">
      <x:c r="D698" s="147" t="n">
        <x:v>10128598</x:v>
      </x:c>
      <x:c r="E698" s="147" t="s">
        <x:v>95</x:v>
      </x:c>
    </x:row>
    <x:row r="699" spans="1:17">
      <x:c r="D699" s="147" t="n">
        <x:v>10128599</x:v>
      </x:c>
      <x:c r="E699" s="147" t="s">
        <x:v>104</x:v>
      </x:c>
    </x:row>
    <x:row r="700" spans="1:17">
      <x:c r="D700" s="147" t="n">
        <x:v>10128600</x:v>
      </x:c>
      <x:c r="E700" s="147" t="s">
        <x:v>226</x:v>
      </x:c>
    </x:row>
    <x:row r="701" spans="1:17">
      <x:c r="D701" s="147" t="n">
        <x:v>10128579</x:v>
      </x:c>
      <x:c r="E701" s="147" t="s">
        <x:v>104</x:v>
      </x:c>
    </x:row>
    <x:row r="702" spans="1:17">
      <x:c r="D702" s="147" t="n">
        <x:v>10128580</x:v>
      </x:c>
      <x:c r="E702" s="147" t="s">
        <x:v>226</x:v>
      </x:c>
    </x:row>
    <x:row r="703" spans="1:17">
      <x:c r="D703" s="147" t="n">
        <x:v>10128581</x:v>
      </x:c>
      <x:c r="E703" s="147" t="s">
        <x:v>226</x:v>
      </x:c>
    </x:row>
    <x:row r="704" spans="1:17">
      <x:c r="D704" s="147" t="n">
        <x:v>10128582</x:v>
      </x:c>
      <x:c r="E704" s="147" t="s">
        <x:v>95</x:v>
      </x:c>
    </x:row>
    <x:row r="705" spans="1:17">
      <x:c r="D705" s="147" t="n">
        <x:v>10128595</x:v>
      </x:c>
      <x:c r="E705" s="147" t="s">
        <x:v>95</x:v>
      </x:c>
    </x:row>
    <x:row r="706" spans="1:17">
      <x:c r="D706" s="147" t="n">
        <x:v>10128596</x:v>
      </x:c>
      <x:c r="E706" s="147" t="s">
        <x:v>58</x:v>
      </x:c>
    </x:row>
    <x:row r="707" spans="1:17">
      <x:c r="D707" s="147" t="n">
        <x:v>10128597</x:v>
      </x:c>
      <x:c r="E707" s="147" t="s">
        <x:v>226</x:v>
      </x:c>
    </x:row>
    <x:row r="708" spans="1:17">
      <x:c r="D708" s="147" t="n">
        <x:v>10128598</x:v>
      </x:c>
      <x:c r="E708" s="147" t="s">
        <x:v>95</x:v>
      </x:c>
    </x:row>
    <x:row r="709" spans="1:17">
      <x:c r="D709" s="147" t="n">
        <x:v>10128599</x:v>
      </x:c>
      <x:c r="E709" s="147" t="s">
        <x:v>104</x:v>
      </x:c>
    </x:row>
    <x:row r="710" spans="1:17">
      <x:c r="D710" s="147" t="n">
        <x:v>10128600</x:v>
      </x:c>
      <x:c r="E710" s="147" t="s">
        <x:v>226</x:v>
      </x:c>
    </x:row>
    <x:row r="711" spans="1:17">
      <x:c r="D711" s="147" t="n">
        <x:v>10128579</x:v>
      </x:c>
      <x:c r="E711" s="147" t="s">
        <x:v>104</x:v>
      </x:c>
    </x:row>
    <x:row r="712" spans="1:17">
      <x:c r="D712" s="147" t="n">
        <x:v>10128580</x:v>
      </x:c>
      <x:c r="E712" s="147" t="s">
        <x:v>226</x:v>
      </x:c>
    </x:row>
    <x:row r="713" spans="1:17">
      <x:c r="D713" s="147" t="n">
        <x:v>10128581</x:v>
      </x:c>
      <x:c r="E713" s="147" t="s">
        <x:v>226</x:v>
      </x:c>
    </x:row>
    <x:row r="714" spans="1:17">
      <x:c r="D714" s="147" t="n">
        <x:v>10128582</x:v>
      </x:c>
      <x:c r="E714" s="147" t="s">
        <x:v>95</x:v>
      </x:c>
    </x:row>
    <x:row r="715" spans="1:17">
      <x:c r="D715" s="147" t="n">
        <x:v>10128595</x:v>
      </x:c>
      <x:c r="E715" s="147" t="s">
        <x:v>95</x:v>
      </x:c>
    </x:row>
    <x:row r="716" spans="1:17">
      <x:c r="D716" s="147" t="n">
        <x:v>10128596</x:v>
      </x:c>
      <x:c r="E716" s="147" t="s">
        <x:v>58</x:v>
      </x:c>
    </x:row>
    <x:row r="717" spans="1:17">
      <x:c r="D717" s="147" t="n">
        <x:v>10128597</x:v>
      </x:c>
      <x:c r="E717" s="147" t="s">
        <x:v>226</x:v>
      </x:c>
    </x:row>
    <x:row r="718" spans="1:17">
      <x:c r="D718" s="147" t="n">
        <x:v>10128598</x:v>
      </x:c>
      <x:c r="E718" s="147" t="s">
        <x:v>95</x:v>
      </x:c>
    </x:row>
    <x:row r="719" spans="1:17">
      <x:c r="D719" s="147" t="n">
        <x:v>10128599</x:v>
      </x:c>
      <x:c r="E719" s="147" t="s">
        <x:v>104</x:v>
      </x:c>
    </x:row>
    <x:row r="720" spans="1:17">
      <x:c r="D720" s="147" t="n">
        <x:v>10128600</x:v>
      </x:c>
      <x:c r="E720" s="147" t="s">
        <x:v>226</x:v>
      </x:c>
    </x:row>
    <x:row r="721" spans="1:17">
      <x:c r="D721" s="147" t="n">
        <x:v>10128579</x:v>
      </x:c>
      <x:c r="E721" s="147" t="s">
        <x:v>104</x:v>
      </x:c>
    </x:row>
    <x:row r="722" spans="1:17">
      <x:c r="D722" s="147" t="n">
        <x:v>10128580</x:v>
      </x:c>
      <x:c r="E722" s="147" t="s">
        <x:v>226</x:v>
      </x:c>
    </x:row>
    <x:row r="723" spans="1:17">
      <x:c r="D723" s="147" t="n">
        <x:v>10128581</x:v>
      </x:c>
      <x:c r="E723" s="147" t="s">
        <x:v>226</x:v>
      </x:c>
    </x:row>
    <x:row r="724" spans="1:17">
      <x:c r="D724" s="147" t="n">
        <x:v>10128582</x:v>
      </x:c>
      <x:c r="E724" s="147" t="s">
        <x:v>95</x:v>
      </x:c>
    </x:row>
    <x:row r="725" spans="1:17">
      <x:c r="D725" s="147" t="n">
        <x:v>10128595</x:v>
      </x:c>
      <x:c r="E725" s="147" t="s">
        <x:v>95</x:v>
      </x:c>
    </x:row>
    <x:row r="726" spans="1:17">
      <x:c r="D726" s="147" t="n">
        <x:v>10128596</x:v>
      </x:c>
      <x:c r="E726" s="147" t="s">
        <x:v>58</x:v>
      </x:c>
    </x:row>
    <x:row r="727" spans="1:17">
      <x:c r="D727" s="147" t="n">
        <x:v>10128597</x:v>
      </x:c>
      <x:c r="E727" s="147" t="s">
        <x:v>226</x:v>
      </x:c>
    </x:row>
    <x:row r="728" spans="1:17">
      <x:c r="D728" s="147" t="n">
        <x:v>10128598</x:v>
      </x:c>
      <x:c r="E728" s="147" t="s">
        <x:v>95</x:v>
      </x:c>
    </x:row>
    <x:row r="729" spans="1:17">
      <x:c r="D729" s="147" t="n">
        <x:v>10128599</x:v>
      </x:c>
      <x:c r="E729" s="147" t="s">
        <x:v>104</x:v>
      </x:c>
    </x:row>
    <x:row r="730" spans="1:17">
      <x:c r="D730" s="147" t="n">
        <x:v>10128600</x:v>
      </x:c>
      <x:c r="E730" s="147" t="s">
        <x:v>226</x:v>
      </x:c>
    </x:row>
    <x:row r="731" spans="1:17">
      <x:c r="D731" s="147" t="n">
        <x:v>10128579</x:v>
      </x:c>
      <x:c r="E731" s="147" t="s">
        <x:v>104</x:v>
      </x:c>
    </x:row>
    <x:row r="732" spans="1:17">
      <x:c r="D732" s="147" t="n">
        <x:v>10128580</x:v>
      </x:c>
      <x:c r="E732" s="147" t="s">
        <x:v>226</x:v>
      </x:c>
    </x:row>
    <x:row r="733" spans="1:17">
      <x:c r="D733" s="147" t="n">
        <x:v>10128581</x:v>
      </x:c>
      <x:c r="E733" s="147" t="s">
        <x:v>226</x:v>
      </x:c>
    </x:row>
    <x:row r="734" spans="1:17">
      <x:c r="D734" s="147" t="n">
        <x:v>10128582</x:v>
      </x:c>
      <x:c r="E734" s="147" t="s">
        <x:v>95</x:v>
      </x:c>
    </x:row>
    <x:row r="735" spans="1:17">
      <x:c r="D735" s="147" t="n">
        <x:v>10128595</x:v>
      </x:c>
      <x:c r="E735" s="147" t="s">
        <x:v>95</x:v>
      </x:c>
    </x:row>
    <x:row r="736" spans="1:17">
      <x:c r="D736" s="147" t="n">
        <x:v>10128596</x:v>
      </x:c>
      <x:c r="E736" s="147" t="s">
        <x:v>58</x:v>
      </x:c>
    </x:row>
    <x:row r="737" spans="1:17">
      <x:c r="D737" s="147" t="n">
        <x:v>10128597</x:v>
      </x:c>
      <x:c r="E737" s="147" t="s">
        <x:v>226</x:v>
      </x:c>
    </x:row>
    <x:row r="738" spans="1:17">
      <x:c r="D738" s="147" t="n">
        <x:v>10128598</x:v>
      </x:c>
      <x:c r="E738" s="147" t="s">
        <x:v>95</x:v>
      </x:c>
    </x:row>
    <x:row r="739" spans="1:17">
      <x:c r="D739" s="147" t="n">
        <x:v>10128599</x:v>
      </x:c>
      <x:c r="E739" s="147" t="s">
        <x:v>104</x:v>
      </x:c>
    </x:row>
    <x:row r="740" spans="1:17">
      <x:c r="D740" s="147" t="n">
        <x:v>10128600</x:v>
      </x:c>
      <x:c r="E740" s="147" t="s">
        <x:v>226</x:v>
      </x:c>
    </x:row>
    <x:row r="741" spans="1:17">
      <x:c r="D741" s="147" t="n">
        <x:v>10128579</x:v>
      </x:c>
      <x:c r="E741" s="147" t="s">
        <x:v>104</x:v>
      </x:c>
    </x:row>
    <x:row r="742" spans="1:17">
      <x:c r="D742" s="147" t="n">
        <x:v>10128580</x:v>
      </x:c>
      <x:c r="E742" s="147" t="s">
        <x:v>226</x:v>
      </x:c>
    </x:row>
    <x:row r="743" spans="1:17">
      <x:c r="D743" s="147" t="n">
        <x:v>10128581</x:v>
      </x:c>
      <x:c r="E743" s="147" t="s">
        <x:v>226</x:v>
      </x:c>
    </x:row>
    <x:row r="744" spans="1:17">
      <x:c r="D744" s="147" t="n">
        <x:v>10128582</x:v>
      </x:c>
      <x:c r="E744" s="147" t="s">
        <x:v>95</x:v>
      </x:c>
    </x:row>
    <x:row r="745" spans="1:17">
      <x:c r="D745" s="147" t="n">
        <x:v>10128595</x:v>
      </x:c>
      <x:c r="E745" s="147" t="s">
        <x:v>95</x:v>
      </x:c>
    </x:row>
    <x:row r="746" spans="1:17">
      <x:c r="D746" s="147" t="n">
        <x:v>10128596</x:v>
      </x:c>
      <x:c r="E746" s="147" t="s">
        <x:v>58</x:v>
      </x:c>
    </x:row>
    <x:row r="747" spans="1:17">
      <x:c r="D747" s="147" t="n">
        <x:v>10128597</x:v>
      </x:c>
      <x:c r="E747" s="147" t="s">
        <x:v>226</x:v>
      </x:c>
    </x:row>
    <x:row r="748" spans="1:17">
      <x:c r="D748" s="147" t="n">
        <x:v>10128598</x:v>
      </x:c>
      <x:c r="E748" s="147" t="s">
        <x:v>95</x:v>
      </x:c>
    </x:row>
    <x:row r="749" spans="1:17">
      <x:c r="D749" s="147" t="n">
        <x:v>10128599</x:v>
      </x:c>
      <x:c r="E749" s="147" t="s">
        <x:v>104</x:v>
      </x:c>
    </x:row>
    <x:row r="750" spans="1:17">
      <x:c r="D750" s="147" t="n">
        <x:v>10128600</x:v>
      </x:c>
      <x:c r="E750" s="147" t="s">
        <x:v>226</x:v>
      </x:c>
    </x:row>
    <x:row r="751" spans="1:17">
      <x:c r="D751" s="147" t="n">
        <x:v>10128579</x:v>
      </x:c>
      <x:c r="E751" s="147" t="s">
        <x:v>104</x:v>
      </x:c>
    </x:row>
    <x:row r="752" spans="1:17">
      <x:c r="D752" s="147" t="n">
        <x:v>10128580</x:v>
      </x:c>
      <x:c r="E752" s="147" t="s">
        <x:v>226</x:v>
      </x:c>
    </x:row>
    <x:row r="753" spans="1:17">
      <x:c r="D753" s="147" t="n">
        <x:v>10128581</x:v>
      </x:c>
      <x:c r="E753" s="147" t="s">
        <x:v>226</x:v>
      </x:c>
    </x:row>
    <x:row r="754" spans="1:17">
      <x:c r="D754" s="147" t="n">
        <x:v>10128582</x:v>
      </x:c>
      <x:c r="E754" s="147" t="s">
        <x:v>95</x:v>
      </x:c>
    </x:row>
    <x:row r="755" spans="1:17">
      <x:c r="D755" s="147" t="n">
        <x:v>10128595</x:v>
      </x:c>
      <x:c r="E755" s="147" t="s">
        <x:v>95</x:v>
      </x:c>
    </x:row>
    <x:row r="756" spans="1:17">
      <x:c r="D756" s="147" t="n">
        <x:v>10128596</x:v>
      </x:c>
      <x:c r="E756" s="147" t="s">
        <x:v>58</x:v>
      </x:c>
    </x:row>
    <x:row r="757" spans="1:17">
      <x:c r="D757" s="147" t="n">
        <x:v>10128597</x:v>
      </x:c>
      <x:c r="E757" s="147" t="s">
        <x:v>226</x:v>
      </x:c>
    </x:row>
    <x:row r="758" spans="1:17">
      <x:c r="D758" s="147" t="n">
        <x:v>10128598</x:v>
      </x:c>
      <x:c r="E758" s="147" t="s">
        <x:v>95</x:v>
      </x:c>
    </x:row>
    <x:row r="759" spans="1:17">
      <x:c r="D759" s="147" t="n">
        <x:v>10128599</x:v>
      </x:c>
      <x:c r="E759" s="147" t="s">
        <x:v>104</x:v>
      </x:c>
    </x:row>
    <x:row r="760" spans="1:17">
      <x:c r="D760" s="147" t="n">
        <x:v>10128600</x:v>
      </x:c>
      <x:c r="E760" s="147" t="s">
        <x:v>226</x:v>
      </x:c>
    </x:row>
    <x:row r="761" spans="1:17">
      <x:c r="D761" s="147" t="n">
        <x:v>10128579</x:v>
      </x:c>
      <x:c r="E761" s="147" t="s">
        <x:v>104</x:v>
      </x:c>
    </x:row>
    <x:row r="762" spans="1:17">
      <x:c r="D762" s="147" t="n">
        <x:v>10128580</x:v>
      </x:c>
      <x:c r="E762" s="147" t="s">
        <x:v>226</x:v>
      </x:c>
    </x:row>
    <x:row r="763" spans="1:17">
      <x:c r="D763" s="147" t="n">
        <x:v>10128581</x:v>
      </x:c>
      <x:c r="E763" s="147" t="s">
        <x:v>226</x:v>
      </x:c>
    </x:row>
    <x:row r="764" spans="1:17">
      <x:c r="D764" s="147" t="n">
        <x:v>10128582</x:v>
      </x:c>
      <x:c r="E764" s="147" t="s">
        <x:v>95</x:v>
      </x:c>
    </x:row>
    <x:row r="765" spans="1:17">
      <x:c r="D765" s="147" t="n">
        <x:v>10128595</x:v>
      </x:c>
      <x:c r="E765" s="147" t="s">
        <x:v>95</x:v>
      </x:c>
    </x:row>
    <x:row r="766" spans="1:17">
      <x:c r="D766" s="147" t="n">
        <x:v>10128596</x:v>
      </x:c>
      <x:c r="E766" s="147" t="s">
        <x:v>58</x:v>
      </x:c>
    </x:row>
    <x:row r="767" spans="1:17">
      <x:c r="D767" s="147" t="n">
        <x:v>10128597</x:v>
      </x:c>
      <x:c r="E767" s="147" t="s">
        <x:v>226</x:v>
      </x:c>
    </x:row>
    <x:row r="768" spans="1:17">
      <x:c r="D768" s="147" t="n">
        <x:v>10128598</x:v>
      </x:c>
      <x:c r="E768" s="147" t="s">
        <x:v>95</x:v>
      </x:c>
    </x:row>
    <x:row r="769" spans="1:17">
      <x:c r="D769" s="147" t="n">
        <x:v>10128599</x:v>
      </x:c>
      <x:c r="E769" s="147" t="s">
        <x:v>104</x:v>
      </x:c>
    </x:row>
    <x:row r="770" spans="1:17">
      <x:c r="D770" s="147" t="n">
        <x:v>10128600</x:v>
      </x:c>
      <x:c r="E770" s="147" t="s">
        <x:v>226</x:v>
      </x:c>
    </x:row>
    <x:row r="771" spans="1:17">
      <x:c r="D771" s="147" t="n">
        <x:v>10128579</x:v>
      </x:c>
      <x:c r="E771" s="147" t="s">
        <x:v>104</x:v>
      </x:c>
    </x:row>
    <x:row r="772" spans="1:17">
      <x:c r="D772" s="147" t="n">
        <x:v>10128580</x:v>
      </x:c>
      <x:c r="E772" s="147" t="s">
        <x:v>226</x:v>
      </x:c>
    </x:row>
    <x:row r="773" spans="1:17">
      <x:c r="D773" s="147" t="n">
        <x:v>10128581</x:v>
      </x:c>
      <x:c r="E773" s="147" t="s">
        <x:v>226</x:v>
      </x:c>
    </x:row>
    <x:row r="774" spans="1:17">
      <x:c r="D774" s="147" t="n">
        <x:v>10128582</x:v>
      </x:c>
      <x:c r="E774" s="147" t="s">
        <x:v>95</x:v>
      </x:c>
    </x:row>
    <x:row r="775" spans="1:17">
      <x:c r="D775" s="147" t="n">
        <x:v>10128595</x:v>
      </x:c>
      <x:c r="E775" s="147" t="s">
        <x:v>95</x:v>
      </x:c>
    </x:row>
    <x:row r="776" spans="1:17">
      <x:c r="D776" s="147" t="n">
        <x:v>10128596</x:v>
      </x:c>
      <x:c r="E776" s="147" t="s">
        <x:v>58</x:v>
      </x:c>
    </x:row>
    <x:row r="777" spans="1:17">
      <x:c r="D777" s="147" t="n">
        <x:v>10128597</x:v>
      </x:c>
      <x:c r="E777" s="147" t="s">
        <x:v>226</x:v>
      </x:c>
    </x:row>
    <x:row r="778" spans="1:17">
      <x:c r="D778" s="147" t="n">
        <x:v>10128598</x:v>
      </x:c>
      <x:c r="E778" s="147" t="s">
        <x:v>95</x:v>
      </x:c>
    </x:row>
    <x:row r="779" spans="1:17">
      <x:c r="D779" s="147" t="n">
        <x:v>10128599</x:v>
      </x:c>
      <x:c r="E779" s="147" t="s">
        <x:v>104</x:v>
      </x:c>
    </x:row>
    <x:row r="780" spans="1:17">
      <x:c r="D780" s="147" t="n">
        <x:v>10128600</x:v>
      </x:c>
      <x:c r="E780" s="147" t="s">
        <x:v>226</x:v>
      </x:c>
    </x:row>
    <x:row r="781" spans="1:17">
      <x:c r="D781" s="147" t="n">
        <x:v>10128579</x:v>
      </x:c>
      <x:c r="E781" s="147" t="s">
        <x:v>104</x:v>
      </x:c>
    </x:row>
    <x:row r="782" spans="1:17">
      <x:c r="D782" s="147" t="n">
        <x:v>10128580</x:v>
      </x:c>
      <x:c r="E782" s="147" t="s">
        <x:v>226</x:v>
      </x:c>
    </x:row>
    <x:row r="783" spans="1:17">
      <x:c r="D783" s="147" t="n">
        <x:v>10128581</x:v>
      </x:c>
      <x:c r="E783" s="147" t="s">
        <x:v>226</x:v>
      </x:c>
    </x:row>
    <x:row r="784" spans="1:17">
      <x:c r="D784" s="147" t="n">
        <x:v>10128582</x:v>
      </x:c>
      <x:c r="E784" s="147" t="s">
        <x:v>95</x:v>
      </x:c>
    </x:row>
    <x:row r="785" spans="1:17">
      <x:c r="D785" s="147" t="n">
        <x:v>10128595</x:v>
      </x:c>
      <x:c r="E785" s="147" t="s">
        <x:v>95</x:v>
      </x:c>
    </x:row>
    <x:row r="786" spans="1:17">
      <x:c r="D786" s="147" t="n">
        <x:v>10128596</x:v>
      </x:c>
      <x:c r="E786" s="147" t="s">
        <x:v>58</x:v>
      </x:c>
    </x:row>
    <x:row r="787" spans="1:17">
      <x:c r="D787" s="147" t="n">
        <x:v>10128597</x:v>
      </x:c>
      <x:c r="E787" s="147" t="s">
        <x:v>226</x:v>
      </x:c>
    </x:row>
    <x:row r="788" spans="1:17">
      <x:c r="D788" s="147" t="n">
        <x:v>10128598</x:v>
      </x:c>
      <x:c r="E788" s="147" t="s">
        <x:v>95</x:v>
      </x:c>
    </x:row>
    <x:row r="789" spans="1:17">
      <x:c r="D789" s="147" t="n">
        <x:v>10128599</x:v>
      </x:c>
      <x:c r="E789" s="147" t="s">
        <x:v>104</x:v>
      </x:c>
    </x:row>
    <x:row r="790" spans="1:17">
      <x:c r="D790" s="147" t="n">
        <x:v>10128600</x:v>
      </x:c>
      <x:c r="E790" s="147" t="s">
        <x:v>226</x:v>
      </x:c>
    </x:row>
    <x:row r="791" spans="1:17">
      <x:c r="D791" s="147" t="n">
        <x:v>10128579</x:v>
      </x:c>
      <x:c r="E791" s="147" t="s">
        <x:v>104</x:v>
      </x:c>
    </x:row>
    <x:row r="792" spans="1:17">
      <x:c r="D792" s="147" t="n">
        <x:v>10128580</x:v>
      </x:c>
      <x:c r="E792" s="147" t="s">
        <x:v>226</x:v>
      </x:c>
    </x:row>
    <x:row r="793" spans="1:17">
      <x:c r="D793" s="147" t="n">
        <x:v>10128581</x:v>
      </x:c>
      <x:c r="E793" s="147" t="s">
        <x:v>226</x:v>
      </x:c>
    </x:row>
    <x:row r="794" spans="1:17">
      <x:c r="D794" s="147" t="n">
        <x:v>10128582</x:v>
      </x:c>
      <x:c r="E794" s="147" t="s">
        <x:v>95</x:v>
      </x:c>
    </x:row>
    <x:row r="795" spans="1:17">
      <x:c r="D795" s="147" t="n">
        <x:v>10128595</x:v>
      </x:c>
      <x:c r="E795" s="147" t="s">
        <x:v>95</x:v>
      </x:c>
    </x:row>
    <x:row r="796" spans="1:17">
      <x:c r="D796" s="147" t="n">
        <x:v>10128596</x:v>
      </x:c>
      <x:c r="E796" s="147" t="s">
        <x:v>58</x:v>
      </x:c>
    </x:row>
    <x:row r="797" spans="1:17">
      <x:c r="D797" s="147" t="n">
        <x:v>10128597</x:v>
      </x:c>
      <x:c r="E797" s="147" t="s">
        <x:v>226</x:v>
      </x:c>
    </x:row>
    <x:row r="798" spans="1:17">
      <x:c r="D798" s="147" t="n">
        <x:v>10128598</x:v>
      </x:c>
      <x:c r="E798" s="147" t="s">
        <x:v>95</x:v>
      </x:c>
    </x:row>
    <x:row r="799" spans="1:17">
      <x:c r="D799" s="147" t="n">
        <x:v>10128599</x:v>
      </x:c>
      <x:c r="E799" s="147" t="s">
        <x:v>104</x:v>
      </x:c>
    </x:row>
    <x:row r="800" spans="1:17">
      <x:c r="D800" s="147" t="n">
        <x:v>10128600</x:v>
      </x:c>
      <x:c r="E800" s="147" t="s">
        <x:v>226</x:v>
      </x:c>
    </x:row>
    <x:row r="801" spans="1:17">
      <x:c r="D801" s="147" t="n">
        <x:v>10128579</x:v>
      </x:c>
      <x:c r="E801" s="147" t="s">
        <x:v>104</x:v>
      </x:c>
    </x:row>
    <x:row r="802" spans="1:17">
      <x:c r="D802" s="147" t="n">
        <x:v>10128580</x:v>
      </x:c>
      <x:c r="E802" s="147" t="s">
        <x:v>226</x:v>
      </x:c>
    </x:row>
    <x:row r="803" spans="1:17">
      <x:c r="D803" s="147" t="n">
        <x:v>10128581</x:v>
      </x:c>
      <x:c r="E803" s="147" t="s">
        <x:v>226</x:v>
      </x:c>
    </x:row>
    <x:row r="804" spans="1:17">
      <x:c r="D804" s="147" t="n">
        <x:v>10128582</x:v>
      </x:c>
      <x:c r="E804" s="147" t="s">
        <x:v>95</x:v>
      </x:c>
    </x:row>
    <x:row r="805" spans="1:17">
      <x:c r="D805" s="147" t="n">
        <x:v>10128595</x:v>
      </x:c>
      <x:c r="E805" s="147" t="s">
        <x:v>95</x:v>
      </x:c>
    </x:row>
    <x:row r="806" spans="1:17">
      <x:c r="D806" s="147" t="n">
        <x:v>10128596</x:v>
      </x:c>
      <x:c r="E806" s="147" t="s">
        <x:v>58</x:v>
      </x:c>
    </x:row>
    <x:row r="807" spans="1:17">
      <x:c r="D807" s="147" t="n">
        <x:v>10128597</x:v>
      </x:c>
      <x:c r="E807" s="147" t="s">
        <x:v>226</x:v>
      </x:c>
    </x:row>
    <x:row r="808" spans="1:17">
      <x:c r="D808" s="147" t="n">
        <x:v>10128598</x:v>
      </x:c>
      <x:c r="E808" s="147" t="s">
        <x:v>95</x:v>
      </x:c>
    </x:row>
    <x:row r="809" spans="1:17">
      <x:c r="D809" s="147" t="n">
        <x:v>10128599</x:v>
      </x:c>
      <x:c r="E809" s="147" t="s">
        <x:v>104</x:v>
      </x:c>
    </x:row>
    <x:row r="810" spans="1:17">
      <x:c r="D810" s="147" t="n">
        <x:v>10128600</x:v>
      </x:c>
      <x:c r="E810" s="147" t="s">
        <x:v>226</x:v>
      </x:c>
    </x:row>
    <x:row r="811" spans="1:17">
      <x:c r="D811" s="147" t="n">
        <x:v>10128579</x:v>
      </x:c>
      <x:c r="E811" s="147" t="s">
        <x:v>104</x:v>
      </x:c>
    </x:row>
    <x:row r="812" spans="1:17">
      <x:c r="D812" s="147" t="n">
        <x:v>10128580</x:v>
      </x:c>
      <x:c r="E812" s="147" t="s">
        <x:v>226</x:v>
      </x:c>
    </x:row>
    <x:row r="813" spans="1:17">
      <x:c r="D813" s="147" t="n">
        <x:v>10128581</x:v>
      </x:c>
      <x:c r="E813" s="147" t="s">
        <x:v>226</x:v>
      </x:c>
    </x:row>
    <x:row r="814" spans="1:17">
      <x:c r="D814" s="147" t="n">
        <x:v>10128582</x:v>
      </x:c>
      <x:c r="E814" s="147" t="s">
        <x:v>95</x:v>
      </x:c>
    </x:row>
    <x:row r="815" spans="1:17">
      <x:c r="D815" s="147" t="n">
        <x:v>10128595</x:v>
      </x:c>
      <x:c r="E815" s="147" t="s">
        <x:v>95</x:v>
      </x:c>
    </x:row>
    <x:row r="816" spans="1:17">
      <x:c r="D816" s="147" t="n">
        <x:v>10128596</x:v>
      </x:c>
      <x:c r="E816" s="147" t="s">
        <x:v>58</x:v>
      </x:c>
    </x:row>
    <x:row r="817" spans="1:17">
      <x:c r="D817" s="147" t="n">
        <x:v>10128597</x:v>
      </x:c>
      <x:c r="E817" s="147" t="s">
        <x:v>226</x:v>
      </x:c>
    </x:row>
    <x:row r="818" spans="1:17">
      <x:c r="D818" s="147" t="n">
        <x:v>10128598</x:v>
      </x:c>
      <x:c r="E818" s="147" t="s">
        <x:v>95</x:v>
      </x:c>
    </x:row>
    <x:row r="819" spans="1:17">
      <x:c r="D819" s="147" t="n">
        <x:v>10128599</x:v>
      </x:c>
      <x:c r="E819" s="147" t="s">
        <x:v>104</x:v>
      </x:c>
    </x:row>
    <x:row r="820" spans="1:17">
      <x:c r="D820" s="147" t="n">
        <x:v>10128600</x:v>
      </x:c>
      <x:c r="E820" s="147" t="s">
        <x:v>226</x:v>
      </x:c>
    </x:row>
    <x:row r="821" spans="1:17">
      <x:c r="D821" s="147" t="n">
        <x:v>10128579</x:v>
      </x:c>
      <x:c r="E821" s="147" t="s">
        <x:v>104</x:v>
      </x:c>
    </x:row>
    <x:row r="822" spans="1:17">
      <x:c r="D822" s="147" t="n">
        <x:v>10128580</x:v>
      </x:c>
      <x:c r="E822" s="147" t="s">
        <x:v>226</x:v>
      </x:c>
    </x:row>
    <x:row r="823" spans="1:17">
      <x:c r="D823" s="147" t="n">
        <x:v>10128581</x:v>
      </x:c>
      <x:c r="E823" s="147" t="s">
        <x:v>226</x:v>
      </x:c>
    </x:row>
    <x:row r="824" spans="1:17">
      <x:c r="D824" s="147" t="n">
        <x:v>10128582</x:v>
      </x:c>
      <x:c r="E824" s="147" t="s">
        <x:v>95</x:v>
      </x:c>
    </x:row>
    <x:row r="825" spans="1:17">
      <x:c r="D825" s="147" t="n">
        <x:v>10128595</x:v>
      </x:c>
      <x:c r="E825" s="147" t="s">
        <x:v>95</x:v>
      </x:c>
    </x:row>
    <x:row r="826" spans="1:17">
      <x:c r="D826" s="147" t="n">
        <x:v>10128596</x:v>
      </x:c>
      <x:c r="E826" s="147" t="s">
        <x:v>58</x:v>
      </x:c>
    </x:row>
    <x:row r="827" spans="1:17">
      <x:c r="D827" s="147" t="n">
        <x:v>10128597</x:v>
      </x:c>
      <x:c r="E827" s="147" t="s">
        <x:v>226</x:v>
      </x:c>
    </x:row>
    <x:row r="828" spans="1:17">
      <x:c r="D828" s="147" t="n">
        <x:v>10128598</x:v>
      </x:c>
      <x:c r="E828" s="147" t="s">
        <x:v>95</x:v>
      </x:c>
    </x:row>
    <x:row r="829" spans="1:17">
      <x:c r="D829" s="147" t="n">
        <x:v>10128599</x:v>
      </x:c>
      <x:c r="E829" s="147" t="s">
        <x:v>104</x:v>
      </x:c>
    </x:row>
    <x:row r="830" spans="1:17">
      <x:c r="D830" s="147" t="n">
        <x:v>10128600</x:v>
      </x:c>
      <x:c r="E830" s="147" t="s">
        <x:v>226</x:v>
      </x:c>
    </x:row>
    <x:row r="831" spans="1:17">
      <x:c r="D831" s="147" t="n">
        <x:v>10128579</x:v>
      </x:c>
      <x:c r="E831" s="147" t="s">
        <x:v>104</x:v>
      </x:c>
    </x:row>
    <x:row r="832" spans="1:17">
      <x:c r="D832" s="147" t="n">
        <x:v>10128580</x:v>
      </x:c>
      <x:c r="E832" s="147" t="s">
        <x:v>226</x:v>
      </x:c>
    </x:row>
    <x:row r="833" spans="1:17">
      <x:c r="D833" s="147" t="n">
        <x:v>10128581</x:v>
      </x:c>
      <x:c r="E833" s="147" t="s">
        <x:v>226</x:v>
      </x:c>
    </x:row>
    <x:row r="834" spans="1:17">
      <x:c r="D834" s="147" t="n">
        <x:v>10128582</x:v>
      </x:c>
      <x:c r="E834" s="147" t="s">
        <x:v>95</x:v>
      </x:c>
    </x:row>
    <x:row r="835" spans="1:17">
      <x:c r="D835" s="147" t="n">
        <x:v>10128595</x:v>
      </x:c>
      <x:c r="E835" s="147" t="s">
        <x:v>95</x:v>
      </x:c>
    </x:row>
    <x:row r="836" spans="1:17">
      <x:c r="D836" s="147" t="n">
        <x:v>10128596</x:v>
      </x:c>
      <x:c r="E836" s="147" t="s">
        <x:v>58</x:v>
      </x:c>
    </x:row>
    <x:row r="837" spans="1:17">
      <x:c r="D837" s="147" t="n">
        <x:v>10128597</x:v>
      </x:c>
      <x:c r="E837" s="147" t="s">
        <x:v>226</x:v>
      </x:c>
    </x:row>
    <x:row r="838" spans="1:17">
      <x:c r="D838" s="147" t="n">
        <x:v>10128598</x:v>
      </x:c>
      <x:c r="E838" s="147" t="s">
        <x:v>95</x:v>
      </x:c>
    </x:row>
    <x:row r="839" spans="1:17">
      <x:c r="D839" s="147" t="n">
        <x:v>10128599</x:v>
      </x:c>
      <x:c r="E839" s="147" t="s">
        <x:v>104</x:v>
      </x:c>
    </x:row>
    <x:row r="840" spans="1:17">
      <x:c r="D840" s="147" t="n">
        <x:v>10128600</x:v>
      </x:c>
      <x:c r="E840" s="147" t="s">
        <x:v>226</x:v>
      </x:c>
    </x:row>
    <x:row r="841" spans="1:17">
      <x:c r="D841" s="147" t="n">
        <x:v>10128579</x:v>
      </x:c>
      <x:c r="E841" s="147" t="s">
        <x:v>104</x:v>
      </x:c>
    </x:row>
    <x:row r="842" spans="1:17">
      <x:c r="D842" s="147" t="n">
        <x:v>10128580</x:v>
      </x:c>
      <x:c r="E842" s="147" t="s">
        <x:v>226</x:v>
      </x:c>
    </x:row>
    <x:row r="843" spans="1:17">
      <x:c r="D843" s="147" t="n">
        <x:v>10128581</x:v>
      </x:c>
      <x:c r="E843" s="147" t="s">
        <x:v>226</x:v>
      </x:c>
    </x:row>
    <x:row r="844" spans="1:17">
      <x:c r="D844" s="147" t="n">
        <x:v>10128582</x:v>
      </x:c>
      <x:c r="E844" s="147" t="s">
        <x:v>95</x:v>
      </x:c>
    </x:row>
    <x:row r="845" spans="1:17">
      <x:c r="D845" s="147" t="n">
        <x:v>10128595</x:v>
      </x:c>
      <x:c r="E845" s="147" t="s">
        <x:v>95</x:v>
      </x:c>
    </x:row>
    <x:row r="846" spans="1:17">
      <x:c r="D846" s="147" t="n">
        <x:v>10128596</x:v>
      </x:c>
      <x:c r="E846" s="147" t="s">
        <x:v>58</x:v>
      </x:c>
    </x:row>
    <x:row r="847" spans="1:17">
      <x:c r="D847" s="147" t="n">
        <x:v>10128597</x:v>
      </x:c>
      <x:c r="E847" s="147" t="s">
        <x:v>226</x:v>
      </x:c>
    </x:row>
    <x:row r="848" spans="1:17">
      <x:c r="D848" s="147" t="n">
        <x:v>10128598</x:v>
      </x:c>
      <x:c r="E848" s="147" t="s">
        <x:v>95</x:v>
      </x:c>
    </x:row>
    <x:row r="849" spans="1:17">
      <x:c r="D849" s="147" t="n">
        <x:v>10128599</x:v>
      </x:c>
      <x:c r="E849" s="147" t="s">
        <x:v>104</x:v>
      </x:c>
    </x:row>
    <x:row r="850" spans="1:17">
      <x:c r="D850" s="147" t="n">
        <x:v>10128600</x:v>
      </x:c>
      <x:c r="E850" s="147" t="s">
        <x:v>226</x:v>
      </x:c>
    </x:row>
    <x:row r="851" spans="1:17">
      <x:c r="D851" s="147" t="n">
        <x:v>10128579</x:v>
      </x:c>
      <x:c r="E851" s="147" t="s">
        <x:v>104</x:v>
      </x:c>
    </x:row>
    <x:row r="852" spans="1:17">
      <x:c r="D852" s="147" t="n">
        <x:v>10128580</x:v>
      </x:c>
      <x:c r="E852" s="147" t="s">
        <x:v>226</x:v>
      </x:c>
    </x:row>
    <x:row r="853" spans="1:17">
      <x:c r="D853" s="147" t="n">
        <x:v>10128581</x:v>
      </x:c>
      <x:c r="E853" s="147" t="s">
        <x:v>226</x:v>
      </x:c>
    </x:row>
    <x:row r="854" spans="1:17">
      <x:c r="D854" s="147" t="n">
        <x:v>10128582</x:v>
      </x:c>
      <x:c r="E854" s="147" t="s">
        <x:v>95</x:v>
      </x:c>
    </x:row>
    <x:row r="855" spans="1:17">
      <x:c r="D855" s="147" t="n">
        <x:v>10128595</x:v>
      </x:c>
      <x:c r="E855" s="147" t="s">
        <x:v>95</x:v>
      </x:c>
    </x:row>
    <x:row r="856" spans="1:17">
      <x:c r="D856" s="147" t="n">
        <x:v>10128596</x:v>
      </x:c>
      <x:c r="E856" s="147" t="s">
        <x:v>58</x:v>
      </x:c>
    </x:row>
    <x:row r="857" spans="1:17">
      <x:c r="D857" s="147" t="n">
        <x:v>10128597</x:v>
      </x:c>
      <x:c r="E857" s="147" t="s">
        <x:v>226</x:v>
      </x:c>
    </x:row>
    <x:row r="858" spans="1:17">
      <x:c r="D858" s="147" t="n">
        <x:v>10128598</x:v>
      </x:c>
      <x:c r="E858" s="147" t="s">
        <x:v>95</x:v>
      </x:c>
    </x:row>
    <x:row r="859" spans="1:17">
      <x:c r="D859" s="147" t="n">
        <x:v>10128599</x:v>
      </x:c>
      <x:c r="E859" s="147" t="s">
        <x:v>104</x:v>
      </x:c>
    </x:row>
    <x:row r="860" spans="1:17">
      <x:c r="D860" s="147" t="n">
        <x:v>10128600</x:v>
      </x:c>
      <x:c r="E860" s="147" t="s">
        <x:v>226</x:v>
      </x:c>
    </x:row>
    <x:row r="861" spans="1:17">
      <x:c r="D861" s="147" t="n">
        <x:v>10128579</x:v>
      </x:c>
      <x:c r="E861" s="147" t="s">
        <x:v>104</x:v>
      </x:c>
    </x:row>
    <x:row r="862" spans="1:17">
      <x:c r="D862" s="147" t="n">
        <x:v>10128580</x:v>
      </x:c>
      <x:c r="E862" s="147" t="s">
        <x:v>226</x:v>
      </x:c>
    </x:row>
    <x:row r="863" spans="1:17">
      <x:c r="D863" s="147" t="n">
        <x:v>10128581</x:v>
      </x:c>
      <x:c r="E863" s="147" t="s">
        <x:v>226</x:v>
      </x:c>
    </x:row>
    <x:row r="864" spans="1:17">
      <x:c r="D864" s="147" t="n">
        <x:v>10128582</x:v>
      </x:c>
      <x:c r="E864" s="147" t="s">
        <x:v>95</x:v>
      </x:c>
    </x:row>
    <x:row r="865" spans="1:17">
      <x:c r="D865" s="147" t="n">
        <x:v>10128595</x:v>
      </x:c>
      <x:c r="E865" s="147" t="s">
        <x:v>95</x:v>
      </x:c>
    </x:row>
    <x:row r="866" spans="1:17">
      <x:c r="D866" s="147" t="n">
        <x:v>10128596</x:v>
      </x:c>
      <x:c r="E866" s="147" t="s">
        <x:v>58</x:v>
      </x:c>
    </x:row>
    <x:row r="867" spans="1:17">
      <x:c r="D867" s="147" t="n">
        <x:v>10128597</x:v>
      </x:c>
      <x:c r="E867" s="147" t="s">
        <x:v>226</x:v>
      </x:c>
    </x:row>
    <x:row r="868" spans="1:17">
      <x:c r="D868" s="147" t="n">
        <x:v>10128598</x:v>
      </x:c>
      <x:c r="E868" s="147" t="s">
        <x:v>95</x:v>
      </x:c>
    </x:row>
    <x:row r="869" spans="1:17">
      <x:c r="D869" s="147" t="n">
        <x:v>10128599</x:v>
      </x:c>
      <x:c r="E869" s="147" t="s">
        <x:v>104</x:v>
      </x:c>
    </x:row>
    <x:row r="870" spans="1:17">
      <x:c r="D870" s="147" t="n">
        <x:v>10128600</x:v>
      </x:c>
      <x:c r="E870" s="147" t="s">
        <x:v>226</x:v>
      </x:c>
    </x:row>
    <x:row r="871" spans="1:17">
      <x:c r="D871" s="147" t="n">
        <x:v>10128579</x:v>
      </x:c>
      <x:c r="E871" s="147" t="s">
        <x:v>104</x:v>
      </x:c>
    </x:row>
    <x:row r="872" spans="1:17">
      <x:c r="D872" s="147" t="n">
        <x:v>10128580</x:v>
      </x:c>
      <x:c r="E872" s="147" t="s">
        <x:v>226</x:v>
      </x:c>
    </x:row>
    <x:row r="873" spans="1:17">
      <x:c r="D873" s="147" t="n">
        <x:v>10128581</x:v>
      </x:c>
      <x:c r="E873" s="147" t="s">
        <x:v>226</x:v>
      </x:c>
    </x:row>
    <x:row r="874" spans="1:17">
      <x:c r="D874" s="147" t="n">
        <x:v>10128582</x:v>
      </x:c>
      <x:c r="E874" s="147" t="s">
        <x:v>95</x:v>
      </x:c>
    </x:row>
    <x:row r="875" spans="1:17">
      <x:c r="D875" s="147" t="n">
        <x:v>10128595</x:v>
      </x:c>
      <x:c r="E875" s="147" t="s">
        <x:v>95</x:v>
      </x:c>
    </x:row>
    <x:row r="876" spans="1:17">
      <x:c r="D876" s="147" t="n">
        <x:v>10128596</x:v>
      </x:c>
      <x:c r="E876" s="147" t="s">
        <x:v>58</x:v>
      </x:c>
    </x:row>
    <x:row r="877" spans="1:17">
      <x:c r="D877" s="147" t="n">
        <x:v>10128597</x:v>
      </x:c>
      <x:c r="E877" s="147" t="s">
        <x:v>226</x:v>
      </x:c>
    </x:row>
    <x:row r="878" spans="1:17">
      <x:c r="D878" s="147" t="n">
        <x:v>10128598</x:v>
      </x:c>
      <x:c r="E878" s="147" t="s">
        <x:v>95</x:v>
      </x:c>
    </x:row>
    <x:row r="879" spans="1:17">
      <x:c r="D879" s="147" t="n">
        <x:v>10128599</x:v>
      </x:c>
      <x:c r="E879" s="147" t="s">
        <x:v>104</x:v>
      </x:c>
    </x:row>
    <x:row r="880" spans="1:17">
      <x:c r="D880" s="147" t="n">
        <x:v>10128600</x:v>
      </x:c>
      <x:c r="E880" s="147" t="s">
        <x:v>226</x:v>
      </x:c>
    </x:row>
    <x:row r="881" spans="1:17">
      <x:c r="D881" s="147" t="n">
        <x:v>10128579</x:v>
      </x:c>
      <x:c r="E881" s="147" t="s">
        <x:v>104</x:v>
      </x:c>
    </x:row>
    <x:row r="882" spans="1:17">
      <x:c r="D882" s="147" t="n">
        <x:v>10128580</x:v>
      </x:c>
      <x:c r="E882" s="147" t="s">
        <x:v>226</x:v>
      </x:c>
    </x:row>
    <x:row r="883" spans="1:17">
      <x:c r="D883" s="147" t="n">
        <x:v>10128581</x:v>
      </x:c>
      <x:c r="E883" s="147" t="s">
        <x:v>226</x:v>
      </x:c>
    </x:row>
    <x:row r="884" spans="1:17">
      <x:c r="D884" s="147" t="n">
        <x:v>10128582</x:v>
      </x:c>
      <x:c r="E884" s="147" t="s">
        <x:v>95</x:v>
      </x:c>
    </x:row>
    <x:row r="885" spans="1:17">
      <x:c r="D885" s="147" t="n">
        <x:v>10128595</x:v>
      </x:c>
      <x:c r="E885" s="147" t="s">
        <x:v>95</x:v>
      </x:c>
    </x:row>
    <x:row r="886" spans="1:17">
      <x:c r="D886" s="147" t="n">
        <x:v>10128596</x:v>
      </x:c>
      <x:c r="E886" s="147" t="s">
        <x:v>58</x:v>
      </x:c>
    </x:row>
    <x:row r="887" spans="1:17">
      <x:c r="D887" s="147" t="n">
        <x:v>10128597</x:v>
      </x:c>
      <x:c r="E887" s="147" t="s">
        <x:v>226</x:v>
      </x:c>
    </x:row>
    <x:row r="888" spans="1:17">
      <x:c r="D888" s="147" t="n">
        <x:v>10128598</x:v>
      </x:c>
      <x:c r="E888" s="147" t="s">
        <x:v>95</x:v>
      </x:c>
    </x:row>
    <x:row r="889" spans="1:17">
      <x:c r="D889" s="147" t="n">
        <x:v>10128599</x:v>
      </x:c>
      <x:c r="E889" s="147" t="s">
        <x:v>104</x:v>
      </x:c>
    </x:row>
    <x:row r="890" spans="1:17">
      <x:c r="D890" s="147" t="n">
        <x:v>10128600</x:v>
      </x:c>
      <x:c r="E890" s="147" t="s">
        <x:v>226</x:v>
      </x:c>
    </x:row>
    <x:row r="891" spans="1:17">
      <x:c r="D891" s="147" t="n">
        <x:v>10128579</x:v>
      </x:c>
      <x:c r="E891" s="147" t="s">
        <x:v>104</x:v>
      </x:c>
    </x:row>
    <x:row r="892" spans="1:17">
      <x:c r="D892" s="147" t="n">
        <x:v>10128580</x:v>
      </x:c>
      <x:c r="E892" s="147" t="s">
        <x:v>226</x:v>
      </x:c>
    </x:row>
    <x:row r="893" spans="1:17">
      <x:c r="D893" s="147" t="n">
        <x:v>10128581</x:v>
      </x:c>
      <x:c r="E893" s="147" t="s">
        <x:v>226</x:v>
      </x:c>
    </x:row>
    <x:row r="894" spans="1:17">
      <x:c r="D894" s="147" t="n">
        <x:v>10128582</x:v>
      </x:c>
      <x:c r="E894" s="147" t="s">
        <x:v>95</x:v>
      </x:c>
    </x:row>
    <x:row r="895" spans="1:17">
      <x:c r="D895" s="147" t="n">
        <x:v>10128595</x:v>
      </x:c>
      <x:c r="E895" s="147" t="s">
        <x:v>95</x:v>
      </x:c>
    </x:row>
    <x:row r="896" spans="1:17">
      <x:c r="D896" s="147" t="n">
        <x:v>10128596</x:v>
      </x:c>
      <x:c r="E896" s="147" t="s">
        <x:v>58</x:v>
      </x:c>
    </x:row>
    <x:row r="897" spans="1:17">
      <x:c r="D897" s="147" t="n">
        <x:v>10128597</x:v>
      </x:c>
      <x:c r="E897" s="147" t="s">
        <x:v>226</x:v>
      </x:c>
    </x:row>
    <x:row r="898" spans="1:17">
      <x:c r="D898" s="147" t="n">
        <x:v>10128598</x:v>
      </x:c>
      <x:c r="E898" s="147" t="s">
        <x:v>95</x:v>
      </x:c>
    </x:row>
    <x:row r="899" spans="1:17">
      <x:c r="D899" s="147" t="n">
        <x:v>10128599</x:v>
      </x:c>
      <x:c r="E899" s="147" t="s">
        <x:v>104</x:v>
      </x:c>
    </x:row>
    <x:row r="900" spans="1:17">
      <x:c r="D900" s="147" t="n">
        <x:v>10128600</x:v>
      </x:c>
      <x:c r="E900" s="147" t="s">
        <x:v>226</x:v>
      </x:c>
    </x:row>
    <x:row r="901" spans="1:17">
      <x:c r="D901" s="147" t="n">
        <x:v>10128579</x:v>
      </x:c>
      <x:c r="E901" s="147" t="s">
        <x:v>104</x:v>
      </x:c>
    </x:row>
    <x:row r="902" spans="1:17">
      <x:c r="D902" s="147" t="n">
        <x:v>10128580</x:v>
      </x:c>
      <x:c r="E902" s="147" t="s">
        <x:v>226</x:v>
      </x:c>
    </x:row>
    <x:row r="903" spans="1:17">
      <x:c r="D903" s="147" t="n">
        <x:v>10128581</x:v>
      </x:c>
      <x:c r="E903" s="147" t="s">
        <x:v>226</x:v>
      </x:c>
    </x:row>
    <x:row r="904" spans="1:17">
      <x:c r="D904" s="147" t="n">
        <x:v>10128582</x:v>
      </x:c>
      <x:c r="E904" s="147" t="s">
        <x:v>95</x:v>
      </x:c>
    </x:row>
    <x:row r="905" spans="1:17">
      <x:c r="D905" s="147" t="n">
        <x:v>10128595</x:v>
      </x:c>
      <x:c r="E905" s="147" t="s">
        <x:v>95</x:v>
      </x:c>
    </x:row>
    <x:row r="906" spans="1:17">
      <x:c r="D906" s="147" t="n">
        <x:v>10128596</x:v>
      </x:c>
      <x:c r="E906" s="147" t="s">
        <x:v>58</x:v>
      </x:c>
    </x:row>
    <x:row r="907" spans="1:17">
      <x:c r="D907" s="147" t="n">
        <x:v>10128597</x:v>
      </x:c>
      <x:c r="E907" s="147" t="s">
        <x:v>226</x:v>
      </x:c>
    </x:row>
    <x:row r="908" spans="1:17">
      <x:c r="D908" s="147" t="n">
        <x:v>10128598</x:v>
      </x:c>
      <x:c r="E908" s="147" t="s">
        <x:v>95</x:v>
      </x:c>
    </x:row>
    <x:row r="909" spans="1:17">
      <x:c r="D909" s="147" t="n">
        <x:v>10128599</x:v>
      </x:c>
      <x:c r="E909" s="147" t="s">
        <x:v>104</x:v>
      </x:c>
    </x:row>
    <x:row r="910" spans="1:17">
      <x:c r="D910" s="147" t="n">
        <x:v>10128600</x:v>
      </x:c>
      <x:c r="E910" s="147" t="s">
        <x:v>226</x:v>
      </x:c>
    </x:row>
  </x:sheetData>
  <x:printOptions horizontalCentered="0" verticalCentered="0" headings="0" gridLines="0"/>
  <x:pageMargins left="0.7" right="0.7" top="0.75" bottom="0.75" header="0.3" footer="0.3"/>
  <x:pageSetup paperSize="9" scale="100" pageOrder="downThenOver" orientation="portrait" blackAndWhite="0" draft="0" cellComments="none" errors="displayed" r:id="rId1"/>
  <x:headerFooter/>
  <x:tableParts count="0"/>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57</vt:i4>
      </vt:variant>
    </vt:vector>
  </ap:HeadingPairs>
  <ap:TitlesOfParts>
    <vt:vector baseType="lpstr" size="59">
      <vt:lpstr>Quote</vt:lpstr>
      <vt:lpstr>MasterData</vt:lpstr>
      <vt:lpstr>Quote!Print_Area</vt:lpstr>
      <vt:lpstr>Quote!Print_Titles</vt:lpstr>
      <vt:lpstr>MasterData!Print_Area</vt:lpstr>
      <vt:lpstr>MasterData!Print_Titles</vt:lpstr>
      <vt:lpstr>BCCEmailId</vt:lpstr>
      <vt:lpstr>BuyerRemarks</vt:lpstr>
      <vt:lpstr>CompanyAddress</vt:lpstr>
      <vt:lpstr>CompanyName</vt:lpstr>
      <vt:lpstr>Currency</vt:lpstr>
      <vt:lpstr>Days</vt:lpstr>
      <vt:lpstr>Discount_All</vt:lpstr>
      <vt:lpstr>Enquiry_ID</vt:lpstr>
      <vt:lpstr>Enquiry_To_Vendor_ID</vt:lpstr>
      <vt:lpstr>ErrorMessage</vt:lpstr>
      <vt:lpstr>GenPro</vt:lpstr>
      <vt:lpstr>GrandTotal</vt:lpstr>
      <vt:lpstr>HeaderID</vt:lpstr>
      <vt:lpstr>ItemID</vt:lpstr>
      <vt:lpstr>ItemListEndRow</vt:lpstr>
      <vt:lpstr>ItemListStartupRow</vt:lpstr>
      <vt:lpstr>ItemSubTotal</vt:lpstr>
      <vt:lpstr>ItemSubTotalTitle</vt:lpstr>
      <vt:lpstr>LoggedInEmailID</vt:lpstr>
      <vt:lpstr>LoggedInPwd</vt:lpstr>
      <vt:lpstr>OtherChargesLastRow</vt:lpstr>
      <vt:lpstr>OtherChargesStartRow</vt:lpstr>
      <vt:lpstr>PackingInstruction</vt:lpstr>
      <vt:lpstr>Payment_Terms</vt:lpstr>
      <vt:lpstr>PortOfDelivery</vt:lpstr>
      <vt:lpstr>QuoteBefore</vt:lpstr>
      <vt:lpstr>QuoteID</vt:lpstr>
      <vt:lpstr>QuoteSubject</vt:lpstr>
      <vt:lpstr>ReqNumber</vt:lpstr>
      <vt:lpstr>RequestForQuoteID</vt:lpstr>
      <vt:lpstr>RFQ_ID</vt:lpstr>
      <vt:lpstr>RFQCategory</vt:lpstr>
      <vt:lpstr>RFQDate</vt:lpstr>
      <vt:lpstr>RFQFileType</vt:lpstr>
      <vt:lpstr>RFQNumber</vt:lpstr>
      <vt:lpstr>SentDate</vt:lpstr>
      <vt:lpstr>SentIndex</vt:lpstr>
      <vt:lpstr>ToEmailID</vt:lpstr>
      <vt:lpstr>ToEmailPwd</vt:lpstr>
      <vt:lpstr>VAT_All</vt:lpstr>
      <vt:lpstr>Vendor_ID</vt:lpstr>
      <vt:lpstr>VendorAddress</vt:lpstr>
      <vt:lpstr>VendorAddressCity</vt:lpstr>
      <vt:lpstr>VendorAddressEmail</vt:lpstr>
      <vt:lpstr>VendorAddressPhone</vt:lpstr>
      <vt:lpstr>VendorEmailID</vt:lpstr>
      <vt:lpstr>VendorID</vt:lpstr>
      <vt:lpstr>VendorName</vt:lpstr>
      <vt:lpstr>VendorReference</vt:lpstr>
      <vt:lpstr>VendorRemarks</vt:lpstr>
      <vt:lpstr>VesselETA</vt:lpstr>
      <vt:lpstr>VesselName</vt:lpstr>
      <vt:lpstr>SubItemTotal</vt:lpstr>
    </vt:vector>
  </ap:TitlesOfParts>
  <ap:LinksUpToDate>false</ap:LinksUpToDate>
  <ap:SharedDoc>false</ap:SharedDoc>
  <ap:HyperlinksChanged>false</ap:HyperlinksChanged>
  <ap:AppVersion>16.0300</ap:AppVersion>
</ap:Properties>
</file>

<file path=docProps/core.xml><?xml version="1.0" encoding="utf-8"?>
<coreProperties xmlns:dc="http://purl.org/dc/elements/1.1/" xmlns:dcterms="http://purl.org/dc/terms/" xmlns:xsi="http://www.w3.org/2001/XMLSchema-instance" xmlns="http://schemas.openxmlformats.org/package/2006/metadata/core-properties">
  <dc:creator>PAL2G</dc:creator>
  <lastModifiedBy>Nithin Jaison (MA-IN)</lastModifiedBy>
  <lastPrinted>2014-10-25T06:19:58.0000000Z</lastPrinted>
  <dcterms:created xsi:type="dcterms:W3CDTF">2014-10-25T04:06:27.0000000Z</dcterms:created>
  <dcterms:modified xsi:type="dcterms:W3CDTF">2020-03-05T08:37:31.3002905Z</dcterms:modified>
</coreProperties>
</file>